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tion" sheetId="1" r:id="rId5"/>
    <sheet state="visible" name="สำเนาของ Promotion" sheetId="2" r:id="rId6"/>
    <sheet state="visible" name="ชีต61" sheetId="3" r:id="rId7"/>
    <sheet state="visible" name="SES Student Campaign" sheetId="4" r:id="rId8"/>
    <sheet state="visible" name="ของแถม" sheetId="5" r:id="rId9"/>
    <sheet state="visible" name="ชีต66" sheetId="6" r:id="rId10"/>
    <sheet state="hidden" name="Incentive" sheetId="7" r:id="rId11"/>
    <sheet state="visible" name="DATAPremium" sheetId="8" r:id="rId12"/>
    <sheet state="visible" name="Adapter&amp;สาย&amp;Flim" sheetId="9" r:id="rId13"/>
    <sheet state="visible" name="Stock1" sheetId="10" r:id="rId14"/>
    <sheet state="visible" name="Stock2" sheetId="11" r:id="rId15"/>
    <sheet state="visible" name="ชีต65" sheetId="12" r:id="rId16"/>
  </sheets>
  <definedNames/>
  <calcPr/>
</workbook>
</file>

<file path=xl/sharedStrings.xml><?xml version="1.0" encoding="utf-8"?>
<sst xmlns="http://schemas.openxmlformats.org/spreadsheetml/2006/main" count="6924" uniqueCount="2082">
  <si>
    <t xml:space="preserve"> </t>
  </si>
  <si>
    <t>Promotion Samsung</t>
  </si>
  <si>
    <t>Student Promotion model list for SES &amp; SPS</t>
  </si>
  <si>
    <t>Period: 01 Jun - 05 Jul 2026</t>
  </si>
  <si>
    <t xml:space="preserve">                                                                                                                                          </t>
  </si>
  <si>
    <t>Model Name</t>
  </si>
  <si>
    <t>ราคาเต็ม</t>
  </si>
  <si>
    <t>ราคา Student</t>
  </si>
  <si>
    <t>% ส่วนลด</t>
  </si>
  <si>
    <t>ราคาโปรกลาง</t>
  </si>
  <si>
    <t>ส่วนต่าง STD VS NTW</t>
  </si>
  <si>
    <t>https://nimbus.copperwired.co.th/ofs/query/InventoryControl.asp</t>
  </si>
  <si>
    <t>Remarks</t>
  </si>
  <si>
    <t>Mobile: A-Series</t>
  </si>
  <si>
    <t>Stock ชั้น1</t>
  </si>
  <si>
    <t>Stock ชั้น2</t>
  </si>
  <si>
    <t>PROMOTION</t>
  </si>
  <si>
    <t>Galaxy A07 LTE (4/64)</t>
  </si>
  <si>
    <t xml:space="preserve">ราคาหลังหักส่วนลด PROMOTION </t>
  </si>
  <si>
    <t>คูปอง</t>
  </si>
  <si>
    <t>Galaxy A07 LTE (4/128)</t>
  </si>
  <si>
    <t>Remark</t>
  </si>
  <si>
    <t>SM88592896555607</t>
  </si>
  <si>
    <t>Model Code</t>
  </si>
  <si>
    <t>Galaxy A07 5G (6/128)</t>
  </si>
  <si>
    <t>ใช้ร่วมกับ SF+ ดาวน์ไม่เกิน 20% ได้เฉพาะ UPC เท่านั้น</t>
  </si>
  <si>
    <t>Galaxy A17 5G (8/128)</t>
  </si>
  <si>
    <t>Galaxy A17 5G (8/256)</t>
  </si>
  <si>
    <t>"RRP
In.vat"</t>
  </si>
  <si>
    <t>Galaxy A37 5G (8/256)</t>
  </si>
  <si>
    <t>ใช้ร่วม SF+ ดาวน์ไม่เกิน 10% ได้</t>
  </si>
  <si>
    <t>Stock จริง</t>
  </si>
  <si>
    <t>หมายเหตุ</t>
  </si>
  <si>
    <t>จำนวน</t>
  </si>
  <si>
    <t>ขาด/เกิน</t>
  </si>
  <si>
    <t>Galaxy A57 5G (8/256)</t>
  </si>
  <si>
    <t>6 Oct - 2 Nov 2025</t>
  </si>
  <si>
    <t>Galaxy A57 5G (12/256)</t>
  </si>
  <si>
    <t>31 Oct - 2 Nov 2025</t>
  </si>
  <si>
    <t>Galaxy A57 5G (12/512)</t>
  </si>
  <si>
    <t>PROMOTION Student</t>
  </si>
  <si>
    <t>Mobile: S-Series</t>
  </si>
  <si>
    <t>Galaxy S25 FE (12/128)</t>
  </si>
  <si>
    <t>Galaxy A06 4/64GB</t>
  </si>
  <si>
    <t>Galaxy S25 FE (12/256)</t>
  </si>
  <si>
    <t xml:space="preserve">SM-A065FLGDTHL	</t>
  </si>
  <si>
    <t>Galaxy S26 Ultra (12/256)</t>
  </si>
  <si>
    <t>ใช้ร่วม SF+ ดาวน์ไม่เกิน 20% ได้</t>
  </si>
  <si>
    <t>หมายเหยุ</t>
  </si>
  <si>
    <t>Galaxy S26+ (12/256)</t>
  </si>
  <si>
    <t>Galaxy S26 (12/256)</t>
  </si>
  <si>
    <t>Mobile: Z-Series</t>
  </si>
  <si>
    <t>Light Green</t>
  </si>
  <si>
    <t>Galaxy Z Flip7 (12/256)</t>
  </si>
  <si>
    <t>Galaxy Z Flip7 (12/512)</t>
  </si>
  <si>
    <t>Tablet: A</t>
  </si>
  <si>
    <t>Galaxy Tab A11 LTE (8/128)</t>
  </si>
  <si>
    <t>ไม่สามารถใช้ร่วมกับ SF+ ดาวน์ไม่เกิน 10% ได้
 แลกซื้อ Keyboard / Book Cover ลด 50%</t>
  </si>
  <si>
    <t>*กรณีสินค้ามีราคาพิเศษ Flash Sales งดแถมของ Premium*</t>
  </si>
  <si>
    <t>Galaxy Tab A11+ Wifi (6/128)</t>
  </si>
  <si>
    <t>Galaxy Tab A11+ 5G (6/128)</t>
  </si>
  <si>
    <t>Tablet: Lite</t>
  </si>
  <si>
    <t>Galaxy Tab S10 Lite Wi-Fi</t>
  </si>
  <si>
    <t>ฟรี Keyboard Cover (1,990)
 GP-FCX400RLABH</t>
  </si>
  <si>
    <t>Galaxy Tab S10 Lite 5G</t>
  </si>
  <si>
    <t>2Aug - 6 Sep 2026</t>
  </si>
  <si>
    <t>Tablet: FE</t>
  </si>
  <si>
    <t>Galaxy Tab S10 FE Wi-Fi</t>
  </si>
  <si>
    <t>แลกซื้อ Keyboard / Book Cover ลด 50%</t>
  </si>
  <si>
    <t>Galaxy Tab S10 FE 5G</t>
  </si>
  <si>
    <t>Galaxy Tab S10 FE+ WiFi</t>
  </si>
  <si>
    <t>Galaxy Tab S10 FE+ 5G</t>
  </si>
  <si>
    <t>Tablet: S</t>
  </si>
  <si>
    <t>Student</t>
  </si>
  <si>
    <t>Galaxy Tab S11 Wi-Fi</t>
  </si>
  <si>
    <t>Galaxy Tab S11 5G</t>
  </si>
  <si>
    <t>01</t>
  </si>
  <si>
    <t>Galaxy Tab S11 Ultra 5G</t>
  </si>
  <si>
    <t>[PM] Double Wall Stainless Steel 600ml</t>
  </si>
  <si>
    <t>Galaxy A07 4G 4/64 GB</t>
  </si>
  <si>
    <t xml:space="preserve">SM-A065FZKDTHL	</t>
  </si>
  <si>
    <t>6931481215710</t>
  </si>
  <si>
    <t>Black</t>
  </si>
  <si>
    <t>SM-A075FLVDTHL</t>
  </si>
  <si>
    <t>Light Violet</t>
  </si>
  <si>
    <t>Galaxy A06 4/128GB</t>
  </si>
  <si>
    <t>SM-A065FLGGTHL</t>
  </si>
  <si>
    <t>Premium D-Power M22 Speaker Bluetooth</t>
  </si>
  <si>
    <t>8859289657762</t>
  </si>
  <si>
    <t>01             *ร่วม SF+</t>
  </si>
  <si>
    <t xml:space="preserve">SM-A065FZKGTHL	</t>
  </si>
  <si>
    <t>Galaxy A07 4/64GB - BOM SET</t>
  </si>
  <si>
    <t>SM-A075FZKDTHL</t>
  </si>
  <si>
    <t>F-A074G064VDTH</t>
  </si>
  <si>
    <t>Premium SAMSUNG TC-04 (Type-C)</t>
  </si>
  <si>
    <t>8859289665477</t>
  </si>
  <si>
    <t>F-A074G064KDTH</t>
  </si>
  <si>
    <t>SM-A075FLVJTHL</t>
  </si>
  <si>
    <t>[PM] Phone Stand First class NO V168 Phoenix</t>
  </si>
  <si>
    <t>8859763200989</t>
  </si>
  <si>
    <t>Galaxy A07 4/128GB - BOM SET</t>
  </si>
  <si>
    <t>F-A074G128VGTH</t>
  </si>
  <si>
    <t>SM-A075FZKJTHL</t>
  </si>
  <si>
    <t>F-A074G128KGTH</t>
  </si>
  <si>
    <t>[Premium] Gaabor weighing scale GWS-M01A - Black</t>
  </si>
  <si>
    <t>PM4897121002558</t>
  </si>
  <si>
    <t>Galaxy A06 5G 6/128GB - BOM SET</t>
  </si>
  <si>
    <t>F-A066G8OFADTH</t>
  </si>
  <si>
    <t>[Premium] Gaabor Air Fryer 4L AF-40M01A</t>
  </si>
  <si>
    <t>PM4897121009793</t>
  </si>
  <si>
    <t>F-A066K8OFADTH</t>
  </si>
  <si>
    <t>Premiun ����Ѻ�� Mini YOUMI-SAMSUNG</t>
  </si>
  <si>
    <t>PM6931481215697</t>
  </si>
  <si>
    <t>Premium Robot Portable handheld fan RT-HF01 - White</t>
  </si>
  <si>
    <t>PM6936678491526</t>
  </si>
  <si>
    <t>Galaxy A06 5G 6/128GB</t>
  </si>
  <si>
    <t>SM-A066BLGHTHL</t>
  </si>
  <si>
    <t>Premium D-Power Blackpack-SAMSUNG</t>
  </si>
  <si>
    <t>Galaxy A07 4/128GB</t>
  </si>
  <si>
    <t>PM8859289684768</t>
  </si>
  <si>
    <t>SM-A075FLVGTHL</t>
  </si>
  <si>
    <t>SM-A066BZKHTHL</t>
  </si>
  <si>
    <t>Galaxy A16 LTE 8/256 GB</t>
  </si>
  <si>
    <t>SM-A165FLGITHL</t>
  </si>
  <si>
    <t>SM-A075FZKGTHL</t>
  </si>
  <si>
    <t>[PM] Backpack Fashion Phoenix</t>
  </si>
  <si>
    <t>PREMIUM0017044</t>
  </si>
  <si>
    <t>Galaxy A07 6/128GB</t>
  </si>
  <si>
    <t>SM-A075FLVHTHL</t>
  </si>
  <si>
    <t>SM-A165FZKITHL</t>
  </si>
  <si>
    <t>[PM] Sling Bag Phoenix</t>
  </si>
  <si>
    <t>PREMIUM0017046</t>
  </si>
  <si>
    <t>SM-A075FZKHTHL</t>
  </si>
  <si>
    <t>Galaxy A16 5G 4/128 GB - BOM SET</t>
  </si>
  <si>
    <t>F-A166K128OATH</t>
  </si>
  <si>
    <t>[PM] Small Talk TC-04 TypeC Tablet</t>
  </si>
  <si>
    <t>PREMIUM-665477</t>
  </si>
  <si>
    <t>Galaxy A16 5G 4/128 GB</t>
  </si>
  <si>
    <t>Galaxy A07 5G 6/128GB</t>
  </si>
  <si>
    <t>SM-A166PLGDTHL</t>
  </si>
  <si>
    <t>SM-A076BLVCTHL</t>
  </si>
  <si>
    <t>ดาวน์ไม่เกิน 13%</t>
  </si>
  <si>
    <t>SM-A166PZKDTHL</t>
  </si>
  <si>
    <t>[PM] Tablet ring stand</t>
  </si>
  <si>
    <t>PREMIUM-665478</t>
  </si>
  <si>
    <t>01            *ไม่ร่วม SF+</t>
  </si>
  <si>
    <t>Galaxy A16 5G 8/256 GB - BOM SET</t>
  </si>
  <si>
    <t>F-A166G256OATH</t>
  </si>
  <si>
    <t>[PM] Tablet Laptop Sleeve 13 inch</t>
  </si>
  <si>
    <t>PREMIUM-665479</t>
  </si>
  <si>
    <t>SM-A076BZKCTHL</t>
  </si>
  <si>
    <t>F-A166K256OATH</t>
  </si>
  <si>
    <t>[PM]Divoom MiniToo - White</t>
  </si>
  <si>
    <t>PM6958444604725</t>
  </si>
  <si>
    <t>Galaxy A16 5G 8/256 GB</t>
  </si>
  <si>
    <t>SM-A166PLGITHL</t>
  </si>
  <si>
    <t>Galaxy A17 LTE 8/128 GB</t>
  </si>
  <si>
    <t>F-A174G128BDTH</t>
  </si>
  <si>
    <t>Light Blue</t>
  </si>
  <si>
    <t>SM-A166PZKITHL</t>
  </si>
  <si>
    <t>Premium SAMSUNG T-series soundbar HW-T420 2.1ch with Subwoofer</t>
  </si>
  <si>
    <t>PM-8806090284687</t>
  </si>
  <si>
    <t>F-A174G128KDTH</t>
  </si>
  <si>
    <t>Premium SAMSUNG B-series Souundbar HW-B400F 2.0ch Sub woofer</t>
  </si>
  <si>
    <t>PM-8806097071891</t>
  </si>
  <si>
    <t>SM-A175FLBDTHL</t>
  </si>
  <si>
    <t>Premium SAMSUNG Microwave oven SRT-20 liter</t>
  </si>
  <si>
    <t>PM-MS20A3010AL/ST</t>
  </si>
  <si>
    <t>SM-A175FZKDTHL</t>
  </si>
  <si>
    <t>Galaxy A17 5G 8/128 GB</t>
  </si>
  <si>
    <t>SM-A176BZBJTHL</t>
  </si>
  <si>
    <t>Blue</t>
  </si>
  <si>
    <t>SM-A176BZKJTHL</t>
  </si>
  <si>
    <t>[PM]Samsung The Freestyle Case - Green</t>
  </si>
  <si>
    <t>PM8806094095647</t>
  </si>
  <si>
    <t>F-A175G128BLTH</t>
  </si>
  <si>
    <t>[PM]Samsung The Freestyle Skin - Green</t>
  </si>
  <si>
    <t>PM8806094297584</t>
  </si>
  <si>
    <t>F-A175G128BKTH</t>
  </si>
  <si>
    <t>[CS]Focus Premium Bag For Samsung S25 Series - Black</t>
  </si>
  <si>
    <t>8859703434269</t>
  </si>
  <si>
    <t>Galaxy A17 5G 8/256 GB</t>
  </si>
  <si>
    <t>SM-A176BZKKTHL</t>
  </si>
  <si>
    <t>F-A175G256BLTH</t>
  </si>
  <si>
    <t>Premium SAMSUNG Adapter 45W without cable - Black</t>
  </si>
  <si>
    <t>Z-ADAPTER45QHB</t>
  </si>
  <si>
    <t>SM-A176BZBKTHL</t>
  </si>
  <si>
    <t>F-A175G256BKTH</t>
  </si>
  <si>
    <t>Premium SAMSUNG Flip6 Silicone Case Black</t>
  </si>
  <si>
    <t>Z-FLIP7FECASE1</t>
  </si>
  <si>
    <t>Galaxy A26 5G 8/256GB</t>
  </si>
  <si>
    <t>SM-A266BZKHTHL</t>
  </si>
  <si>
    <t>Premium SAMSUNG Flip6 Clear Case Clear Case</t>
  </si>
  <si>
    <t>Z-FLIP7FECASE3</t>
  </si>
  <si>
    <t>SM-A266BLGHTHL</t>
  </si>
  <si>
    <t>Premium SAMSUNG Flip6 Anti-reflecting Film Film</t>
  </si>
  <si>
    <t>Z-FLIP7FECASE4</t>
  </si>
  <si>
    <t>Galaxy A27 5G 8/128GB</t>
  </si>
  <si>
    <t>Galaxy A36 5G 8/128GB</t>
  </si>
  <si>
    <t>SM-A366BLGSTHL</t>
  </si>
  <si>
    <t>SM-A276BLIGTHL</t>
  </si>
  <si>
    <t>LIGHT PINK</t>
  </si>
  <si>
    <t>Premium Samsung SmartTag2 - S26 Series</t>
  </si>
  <si>
    <t>Z-SMARTTAG2WMR</t>
  </si>
  <si>
    <t>ไม่ร่วม Finance</t>
  </si>
  <si>
    <t>05 แถม ไมโครเวฟ 23ลิตร มูลค่า 3,990</t>
  </si>
  <si>
    <t xml:space="preserve">SM-A366BLVSTHL	</t>
  </si>
  <si>
    <t xml:space="preserve">Light Violet </t>
  </si>
  <si>
    <t>SM-A276BZKGTHL</t>
  </si>
  <si>
    <t xml:space="preserve">SM-A366BZKSTHL	</t>
  </si>
  <si>
    <t>Galaxy A37 5G 8/256GB</t>
  </si>
  <si>
    <t>SM-A376BDGTTHL</t>
  </si>
  <si>
    <t>Dark Green</t>
  </si>
  <si>
    <t>Galaxy A56 5G 8/128GB</t>
  </si>
  <si>
    <t xml:space="preserve">SM-A566BLISTHL	</t>
  </si>
  <si>
    <t>Light Pink</t>
  </si>
  <si>
    <t>ดาวน์ไม่เกิน 5%</t>
  </si>
  <si>
    <t>ไม่ร่วม SF+ Cap Down</t>
  </si>
  <si>
    <t xml:space="preserve">SM-A566BZGSTHL	</t>
  </si>
  <si>
    <t>GREEN</t>
  </si>
  <si>
    <t>SM-A376BLVTTHL</t>
  </si>
  <si>
    <t xml:space="preserve">SM-A566BZKSTHL	</t>
  </si>
  <si>
    <t>SM-A376BZATTHL</t>
  </si>
  <si>
    <t>Gray</t>
  </si>
  <si>
    <t>Galaxy A56 5G 12/256GB</t>
  </si>
  <si>
    <t xml:space="preserve">SM-A566BLIUTHL	</t>
  </si>
  <si>
    <t>Galaxy A57 5G 8/256GB</t>
  </si>
  <si>
    <t>SM-A576BDBSTHL</t>
  </si>
  <si>
    <t>Dark Blue</t>
  </si>
  <si>
    <t xml:space="preserve">SM-A566BZGUTHL	</t>
  </si>
  <si>
    <t>SM-A566BZKUTHL</t>
  </si>
  <si>
    <t>Galaxy S24 FE (8/128GB)</t>
  </si>
  <si>
    <t>SM-A576BZVSTHL</t>
  </si>
  <si>
    <t>SM-S721BLBBTHL</t>
  </si>
  <si>
    <t>Violet</t>
  </si>
  <si>
    <t>Brand</t>
  </si>
  <si>
    <t>Part Number</t>
  </si>
  <si>
    <t>Model</t>
  </si>
  <si>
    <t>SRP</t>
  </si>
  <si>
    <t>Sales Staff</t>
  </si>
  <si>
    <t xml:space="preserve">SF+ Capped DP 20%
</t>
  </si>
  <si>
    <t>Incentive Details</t>
  </si>
  <si>
    <t>PAPERLIKE</t>
  </si>
  <si>
    <t>4260470099102</t>
  </si>
  <si>
    <t>SM-A576BZASTHL</t>
  </si>
  <si>
    <t>PAPERLIKE 2-Pack Screen Protector for iPad Pro 12.9 [2018-2022]</t>
  </si>
  <si>
    <t>SM-S721BLGBTHL</t>
  </si>
  <si>
    <t>MINT</t>
  </si>
  <si>
    <t>Galaxy A57 5G 12/256GB</t>
  </si>
  <si>
    <t>SM-A576BDBTTHL</t>
  </si>
  <si>
    <t>SM-S721BZKBTHL</t>
  </si>
  <si>
    <t>Graphite</t>
  </si>
  <si>
    <t>ดาวน์ไม่เกิน 7%</t>
  </si>
  <si>
    <t>ให้ตั้งแต่ชิ้นแรก All Channel (1-31 Aug 2025)</t>
  </si>
  <si>
    <t>4260470099126</t>
  </si>
  <si>
    <t>PAPERLIKE 2-Pack Screen Protector for iPad 10.2 Gen7/8/9</t>
  </si>
  <si>
    <t>SM-A576BZVTTHL</t>
  </si>
  <si>
    <t>Galaxy S24 FE (8/256GB)</t>
  </si>
  <si>
    <t>4260470099300</t>
  </si>
  <si>
    <t>PAPERLIKE 2-Pack Screen Protector for iPad mini G6</t>
  </si>
  <si>
    <t>SM-S721BLBCTHL</t>
  </si>
  <si>
    <t>SM-A576BZATTHL</t>
  </si>
  <si>
    <t>ให้ตั้งแต่ชิ้นแรก All Channel (1-31 July 2025)</t>
  </si>
  <si>
    <t>ZAGG</t>
  </si>
  <si>
    <t>840056173507</t>
  </si>
  <si>
    <t>ZAGG Bundle Set for iPhone 14 Pro</t>
  </si>
  <si>
    <t>SM-S721BLGCTHL</t>
  </si>
  <si>
    <t>Galaxy A57 5G 12/512GB</t>
  </si>
  <si>
    <t>840056173514</t>
  </si>
  <si>
    <t>ZAGG Bundle Set for iPhone 14 Plus</t>
  </si>
  <si>
    <t>SM-A576BDBUTHL</t>
  </si>
  <si>
    <t>840056173521</t>
  </si>
  <si>
    <t>ZAGG Bundle Set for iPhone 14 Pro Max</t>
  </si>
  <si>
    <t>ดาวน์ไม่เกิน 8%</t>
  </si>
  <si>
    <t>02            *ไม่ร่วม SF+</t>
  </si>
  <si>
    <t>SM-S721BZKCTHL</t>
  </si>
  <si>
    <t>840056198531</t>
  </si>
  <si>
    <t>ZAGG Bundle Set for iPhone 15</t>
  </si>
  <si>
    <t>SM-A576BZVUTHL</t>
  </si>
  <si>
    <t>840056198548</t>
  </si>
  <si>
    <t>ZAGG Bundle Set for iPhone 15 Plus</t>
  </si>
  <si>
    <t>Galaxy S25 FE (8/128GB)</t>
  </si>
  <si>
    <t>SM-S731BDBBTHL</t>
  </si>
  <si>
    <t>NAVY</t>
  </si>
  <si>
    <t>840056198555</t>
  </si>
  <si>
    <t>ZAGG Bundle Set for iPhone 15 Pro</t>
  </si>
  <si>
    <t>SM-A576BZAUTHL</t>
  </si>
  <si>
    <t>840056198562</t>
  </si>
  <si>
    <t>ZAGG Bundle Set for iPhone 15 Pro Max</t>
  </si>
  <si>
    <t>SM-S731BLBBTHL</t>
  </si>
  <si>
    <t>ICYBLUE</t>
  </si>
  <si>
    <t>840390300744</t>
  </si>
  <si>
    <t>ZAGG Pro Keys [TH] for iPad Pro 11 [2018-2022] / Air 10.9 Gen4/5 - Black/Gray</t>
  </si>
  <si>
    <t>SM-S731BZKBTHL</t>
  </si>
  <si>
    <t>JETBLACK</t>
  </si>
  <si>
    <t>SPIGEN</t>
  </si>
  <si>
    <t>8800283301953</t>
  </si>
  <si>
    <t>SPIGEN Nintendo Switch 2 Slim HD - Tray X</t>
  </si>
  <si>
    <t>01             *ร่วม SF+ ดาวน์ไม่เกิน 10%</t>
  </si>
  <si>
    <t>02             *ไม่ร่วม SF+</t>
  </si>
  <si>
    <t>SM-S731BZWBTHL</t>
  </si>
  <si>
    <t>WHITE</t>
  </si>
  <si>
    <t>ร่วม SF+ Cap Down</t>
  </si>
  <si>
    <t>เคสและฟิล์ม iPhone16 series</t>
  </si>
  <si>
    <t>100616206</t>
  </si>
  <si>
    <t>ZAGG Bundle Set for iPhone 16</t>
  </si>
  <si>
    <t>Galaxy S25 FE (8/256GB)</t>
  </si>
  <si>
    <t>F-N45731BDBCTH</t>
  </si>
  <si>
    <t>100616207</t>
  </si>
  <si>
    <t>ZAGG Bundle Set for iPhone 16 Plus</t>
  </si>
  <si>
    <t>,</t>
  </si>
  <si>
    <t>100616208</t>
  </si>
  <si>
    <t>ZAGG Bundle Set for iPhone 16 Pro</t>
  </si>
  <si>
    <t>F-N45731BLBCTH</t>
  </si>
  <si>
    <t>100616209</t>
  </si>
  <si>
    <t>ZAGG Bundle Set for iPhone 16 Pro Max</t>
  </si>
  <si>
    <t>PANZERGLASS</t>
  </si>
  <si>
    <t>S31786</t>
  </si>
  <si>
    <t>PANZERGLASS Bundle Set for iPhone 16</t>
  </si>
  <si>
    <t>F-N45731BZKCTH</t>
  </si>
  <si>
    <t>S31788</t>
  </si>
  <si>
    <t>PANZERGLASS Bundle Set for iPhone 16 Plus</t>
  </si>
  <si>
    <t>S31787</t>
  </si>
  <si>
    <t>PANZERGLASS Bundle Set for iPhone 16 Pro</t>
  </si>
  <si>
    <t>S31789</t>
  </si>
  <si>
    <t>PANZERGLASS Bundle Set for iPhone 16 Pro Max</t>
  </si>
  <si>
    <t>F-N45731BZWCTH</t>
  </si>
  <si>
    <t>SM-S731BDBCTHL</t>
  </si>
  <si>
    <t>BODYGUARDZ</t>
  </si>
  <si>
    <t>846237082385</t>
  </si>
  <si>
    <t>BODYGUARDZ APEX for iPhone 16 Pro - Black Border</t>
  </si>
  <si>
    <t>846237082408</t>
  </si>
  <si>
    <t>BODYGUARDZ APEX for iPhone 16 Pro Max - Black Border</t>
  </si>
  <si>
    <t>SM-S731BLBCTHL</t>
  </si>
  <si>
    <t>5715685002335</t>
  </si>
  <si>
    <t>PANZERGLASS Ultra Wide Fit Matte Gaming for iPhone 16</t>
  </si>
  <si>
    <t>ให้ตั้งแต่ชิ้นแรก All channel | 1-31 Aug 2025 (ไม่คู่เครื่อง)</t>
  </si>
  <si>
    <t>5715685002373</t>
  </si>
  <si>
    <t>PANZERGLASS Ultra Wide Fit for iPhone 16</t>
  </si>
  <si>
    <t>SM-S731BZKCTHL</t>
  </si>
  <si>
    <t>ให้ตั้งแต่ชิ้นแรก All channel | 1-30 June 2025 (ไม่คู่เครื่อง)</t>
  </si>
  <si>
    <t>5715685002458</t>
  </si>
  <si>
    <t>PANZERGLASS Ultra Wide Fit Privacy for iPhone 16</t>
  </si>
  <si>
    <t>5715685002359</t>
  </si>
  <si>
    <t>PANZERGLASS Ultra Wide Fit Matte Gaming for iPhone 16 Plus</t>
  </si>
  <si>
    <t>5715685002397</t>
  </si>
  <si>
    <t>PANZERGLASS Ultra Wide Fit for iPhone 16 Plus</t>
  </si>
  <si>
    <t>SM-S731BZWCTHL</t>
  </si>
  <si>
    <t>5715685002472</t>
  </si>
  <si>
    <t>PANZERGLASS Ultra Wide Fit Privacy for iPhone 16 Plus</t>
  </si>
  <si>
    <t>5715685002304</t>
  </si>
  <si>
    <t>PANZERGLASS Ultra Wide Fit Ceramic for iPhone 16 Pro</t>
  </si>
  <si>
    <t>5715685002342</t>
  </si>
  <si>
    <t>Galaxy S25 Ultra 5G 12/256GB</t>
  </si>
  <si>
    <t>PANZERGLASS Ultra Wide Fit Matte Gaming for iPhone 16 Pro</t>
  </si>
  <si>
    <t>F-N1938BZKBTHL</t>
  </si>
  <si>
    <t>BLACK</t>
  </si>
  <si>
    <t>Galaxy S24 Ultra  5G 12/256GB</t>
  </si>
  <si>
    <t>5715685002380</t>
  </si>
  <si>
    <t>PANZERGLASS Ultra Wide Fit for iPhone 16 Pro</t>
  </si>
  <si>
    <t>SM-S928BZKCTHL</t>
  </si>
  <si>
    <t>5715685002465</t>
  </si>
  <si>
    <t>PANZERGLASS Ultra Wide Fit Privacy for iPhone 16 Pro</t>
  </si>
  <si>
    <t>5715685002328</t>
  </si>
  <si>
    <t>PANZERGLASS Ultra Wide Fit Ceramic for iPhone 16 Pro Max</t>
  </si>
  <si>
    <t>5715685002366</t>
  </si>
  <si>
    <t>PANZERGLASS Ultra Wide Fit Matte Gaming for iPhone 16 Pro Max</t>
  </si>
  <si>
    <t>SM-S928BZTCTHL</t>
  </si>
  <si>
    <t>TITANIUM</t>
  </si>
  <si>
    <t>5715685002403</t>
  </si>
  <si>
    <t>PANZERGLASS Ultra Wide Fit for iPhone 16 Pro Max</t>
  </si>
  <si>
    <t>SM-S938BZKBTHL</t>
  </si>
  <si>
    <t>5715685002489</t>
  </si>
  <si>
    <t>PANZERGLASS Ultra Wide Fit Privacy for iPhone 16 Pro Max</t>
  </si>
  <si>
    <t>SM-S928BZVCTHL</t>
  </si>
  <si>
    <t>VIOLET</t>
  </si>
  <si>
    <t>5711724028335</t>
  </si>
  <si>
    <t>PANZERGLASS Glass for iPad 10.9 G10 /Air 11 G6</t>
  </si>
  <si>
    <t>5715685000331</t>
  </si>
  <si>
    <t>PANZERGLASS Glass for iPad mini G6/G7</t>
  </si>
  <si>
    <t>5711724026553</t>
  </si>
  <si>
    <t>SM-S938BZBBTHL</t>
  </si>
  <si>
    <t>PANZERGLASS Glass for iPad Pro 11 [2018-2022] /Air 10.9 Gen4/5</t>
  </si>
  <si>
    <t>BLUE</t>
  </si>
  <si>
    <t>SM-S928BZYCTHL</t>
  </si>
  <si>
    <t>5711724028311</t>
  </si>
  <si>
    <t>YELLOW</t>
  </si>
  <si>
    <t>PANZERGLASS Glass for iPad Pro 11 G5</t>
  </si>
  <si>
    <t>5711724028359</t>
  </si>
  <si>
    <t>PANZERGLASS Glass for iPad Air 13 G6 /Pro 13 G7</t>
  </si>
  <si>
    <t>SM-S938BZTBTHL</t>
  </si>
  <si>
    <t>GRAY</t>
  </si>
  <si>
    <t>Galaxy S25 5G 12/256GB</t>
  </si>
  <si>
    <t>SM-S931BLBCTHL</t>
  </si>
  <si>
    <t>ให้ตั้งแต่ชิ้นแรก All channel | 1-31 Aug 2025 ( ซื้อคู่เครื่อง)</t>
  </si>
  <si>
    <t>SM-S938BZSBTHL</t>
  </si>
  <si>
    <t>SILVER</t>
  </si>
  <si>
    <t>02</t>
  </si>
  <si>
    <t xml:space="preserve">Discount 5,000 + Trade-Up 2,000
</t>
  </si>
  <si>
    <t>SM-S931BLGCTHL</t>
  </si>
  <si>
    <t>F-N1938BZBBTHL</t>
  </si>
  <si>
    <t>SM-S931BDBCTHL</t>
  </si>
  <si>
    <t>Galaxy S26FE 8/128GB</t>
  </si>
  <si>
    <t>SM-S741BLGBTHL</t>
  </si>
  <si>
    <t>Pistachio</t>
  </si>
  <si>
    <t>SM-S931BZSCTHL</t>
  </si>
  <si>
    <t>SILVER SHADOW</t>
  </si>
  <si>
    <t>ร่วม SF+ ดาวน์ไม่เกิน 10%</t>
  </si>
  <si>
    <t>SM-S741BZKBTHL</t>
  </si>
  <si>
    <t>Galaxy S25 5G 12/512GB</t>
  </si>
  <si>
    <t>SM-S931BLBQTHL</t>
  </si>
  <si>
    <t>SM-S741BZVBTHL</t>
  </si>
  <si>
    <t>Blueberry</t>
  </si>
  <si>
    <t>SM-S931BLGQTHL</t>
  </si>
  <si>
    <t>Galaxy S26FE 8/256GB  รหัส F</t>
  </si>
  <si>
    <t>F-NS741BLGCLSV</t>
  </si>
  <si>
    <t>SM-S931BDBQTHL</t>
  </si>
  <si>
    <t>ไม่ร่วม SF+ ดาวน์ไม่เกิน 10%</t>
  </si>
  <si>
    <t>F-NS741BZKCLSV</t>
  </si>
  <si>
    <t>SM-S931BZSQTHL</t>
  </si>
  <si>
    <t>F-NS741BZVCLSV</t>
  </si>
  <si>
    <t>ฟิล์ม Samsung S25, S25+, S25 Ultra</t>
  </si>
  <si>
    <t>Galaxy S25+ 5G 12/256GB</t>
  </si>
  <si>
    <t>SM-S936BLBBTHL</t>
  </si>
  <si>
    <t>SAFE</t>
  </si>
  <si>
    <t>5715685017605</t>
  </si>
  <si>
    <t>SAFE Ultra Wide Fit for Samsung S25 Plus</t>
  </si>
  <si>
    <t>Galaxy S26 5G 12/256GB</t>
  </si>
  <si>
    <t>SM-S942BZKCTHL</t>
  </si>
  <si>
    <t>5715685017636</t>
  </si>
  <si>
    <t>SAFE Ultra Wide Fit for Samsung S25</t>
  </si>
  <si>
    <t>5715685017643</t>
  </si>
  <si>
    <t>SAFE Ultra Wide Fit for Samsung S25 Ultra</t>
  </si>
  <si>
    <t>SM-S936BLGBTHL</t>
  </si>
  <si>
    <t>SAFE Ultra Wide Fit Privacy for Samsung S25 Ultra</t>
  </si>
  <si>
    <t>5715685017766</t>
  </si>
  <si>
    <t>SAFE Camera Lens Protector for Samsung S25 Ultra</t>
  </si>
  <si>
    <t>SM-S942BLBCTHL</t>
  </si>
  <si>
    <t>SKY BLUE</t>
  </si>
  <si>
    <t>SM-S936BDBBTHL</t>
  </si>
  <si>
    <t>ฟิล์ม Samsung Galaxy Flip/Fold 7</t>
  </si>
  <si>
    <t>SM-S942BZVCTHL</t>
  </si>
  <si>
    <t>COBALT VIOLET</t>
  </si>
  <si>
    <t>5715685026492</t>
  </si>
  <si>
    <t>SM-S936BZSBTHL</t>
  </si>
  <si>
    <t>PANZERGLASS Ultra Wide Fit for Samsung Galaxy Z Fold 7</t>
  </si>
  <si>
    <t>5715685026478</t>
  </si>
  <si>
    <t>PANZERGLASS Ultra Wide Fit for Samsung Galaxy Z Flip 7</t>
  </si>
  <si>
    <t>SM-S942BZWCTHL</t>
  </si>
  <si>
    <t>Galaxy S25+ 5G 12/512GB</t>
  </si>
  <si>
    <t>SM-S936BLBCTHL</t>
  </si>
  <si>
    <t>Lens iPhone 16</t>
  </si>
  <si>
    <t>Ablemen</t>
  </si>
  <si>
    <t>8859703428381</t>
  </si>
  <si>
    <t>Ablemen Lens Full Glass Apple iPhone 16/16 Plus</t>
  </si>
  <si>
    <t>Galaxy S26 5G 12/512GB</t>
  </si>
  <si>
    <t>SM-S942BZKQTHL</t>
  </si>
  <si>
    <t>8859703428398</t>
  </si>
  <si>
    <t>Ablemen Lens Full Glass Apple iPhone 16 Pro/16 Pro Max</t>
  </si>
  <si>
    <t>SM-S936BLGCTHL</t>
  </si>
  <si>
    <t>Film iPhone 16</t>
  </si>
  <si>
    <t>8859703427896</t>
  </si>
  <si>
    <t>Ablemen FF 2X PV Apple iPhone 16</t>
  </si>
  <si>
    <t>SM-S942BLBQTHL</t>
  </si>
  <si>
    <t>8859703427919</t>
  </si>
  <si>
    <t>Ablemen FF 2X PV Apple iPhone 16 Pro</t>
  </si>
  <si>
    <t>8859703427926</t>
  </si>
  <si>
    <t>Ablemen FF 2X PV Apple iPhone 16 Pro Max</t>
  </si>
  <si>
    <t>SM-S936BDBCTHL</t>
  </si>
  <si>
    <t>8859703427933</t>
  </si>
  <si>
    <t>Ablemen FF 2X MT Apple iPhone 16</t>
  </si>
  <si>
    <t>SM-S942BZVQTHL</t>
  </si>
  <si>
    <t>8859703427957</t>
  </si>
  <si>
    <t>Ablemen FF 2X MT Apple iPhone 16 Pro</t>
  </si>
  <si>
    <t>8859703427964</t>
  </si>
  <si>
    <t>Ablemen FF 2X MT Apple iPhone 16 Pro Max</t>
  </si>
  <si>
    <t>SM-S942BZWQTHL</t>
  </si>
  <si>
    <t>SM-S936BZSCTHL</t>
  </si>
  <si>
    <t>8859703427971</t>
  </si>
  <si>
    <t>Ablemen FF 2X BLC Apple iPhone 16</t>
  </si>
  <si>
    <t>8859703427995</t>
  </si>
  <si>
    <t>Ablemen FF 2X BLC Apple iPhone 16 Pro</t>
  </si>
  <si>
    <t>8859703428008</t>
  </si>
  <si>
    <t>Ablemen FF 2X BLC Apple iPhone 16 Pro Max</t>
  </si>
  <si>
    <t>Film Samsung S25</t>
  </si>
  <si>
    <t>Galaxy S26+ 5G 12/256GB</t>
  </si>
  <si>
    <t>SM-S947BZKBTHL</t>
  </si>
  <si>
    <t>8859703428466</t>
  </si>
  <si>
    <t>Ablemen FF 2X SL PV Samsung Galaxy S25 Ultra</t>
  </si>
  <si>
    <t>8859703428473</t>
  </si>
  <si>
    <t>Ablemen FF 2X SL MT Samsung Galaxy S25 Ultra</t>
  </si>
  <si>
    <t xml:space="preserve">Discount 6,000 + Trade-Up 2,000
</t>
  </si>
  <si>
    <t>8859703428497</t>
  </si>
  <si>
    <t>Ablemen FF 5XC SL BLC Samsung Galaxy S25 Ultra</t>
  </si>
  <si>
    <t>SM-S947BLBBTHL</t>
  </si>
  <si>
    <t>Box Set Samsung</t>
  </si>
  <si>
    <t>Focus</t>
  </si>
  <si>
    <t>8859703426301</t>
  </si>
  <si>
    <t>Focus Premium Gift Set Samsung Galaxy S24 Ultra (FF-SL) for Trade</t>
  </si>
  <si>
    <t>8859703433729</t>
  </si>
  <si>
    <t>SM-S947BZVBTHL</t>
  </si>
  <si>
    <t>Focus Premium Gift Set Samsung Galaxy S25 Ultra (UG-FF-SL) Pro Magsafe for Trade</t>
  </si>
  <si>
    <t>8859703431336</t>
  </si>
  <si>
    <t>Focus Premium Gift Set Samsung Galaxy Z Flip 6 (TG-UC)</t>
  </si>
  <si>
    <t>8859703431367</t>
  </si>
  <si>
    <t>Focus Premium Gift Set Samsung Galaxy Z Fold 6 (TG-UC)</t>
  </si>
  <si>
    <t>SM-S947BZWBTHL</t>
  </si>
  <si>
    <t>Hydro Film</t>
  </si>
  <si>
    <t>8859095890766</t>
  </si>
  <si>
    <t>Focus Hydroplus Film Ultra Clear</t>
  </si>
  <si>
    <t>Galaxy S26+ 5G 12/512GB</t>
  </si>
  <si>
    <t>SM-S947BZKCTHL</t>
  </si>
  <si>
    <t>8859095890773</t>
  </si>
  <si>
    <t>Focus Hydroplus Film Antifinger Print</t>
  </si>
  <si>
    <t>Galaxy S25 Ultra 5G 12/512GB</t>
  </si>
  <si>
    <t>SM-S938BZKCTHL</t>
  </si>
  <si>
    <t>8859703400875</t>
  </si>
  <si>
    <t>Focus Hydroplus Film Tablet Ultra Clear</t>
  </si>
  <si>
    <t>8859703408253</t>
  </si>
  <si>
    <t>Focus Hydroplus Film Privacy Matte</t>
  </si>
  <si>
    <t>SM-S947BLBCTHL</t>
  </si>
  <si>
    <t>Lens and film</t>
  </si>
  <si>
    <t>SM-S938BZBCTHL</t>
  </si>
  <si>
    <t>8859703426387</t>
  </si>
  <si>
    <t>Focus Perfect Clear Ring Samsung Galaxy S24 Ultra</t>
  </si>
  <si>
    <t>SM-S947BZVCTHL</t>
  </si>
  <si>
    <t>8859703426431</t>
  </si>
  <si>
    <t>Focus Iron Ring Samsung Galaxy S24 Ultra Black</t>
  </si>
  <si>
    <t>SM-S938BZTCTHL</t>
  </si>
  <si>
    <t>8859703426516</t>
  </si>
  <si>
    <t>Focus TG FF SL Samsung Galaxy S24 Black</t>
  </si>
  <si>
    <t>SM-S947BZWCTHL</t>
  </si>
  <si>
    <t>8859703426523</t>
  </si>
  <si>
    <t>Focus TG FF SL Samsung Galaxy S24 Plus Black</t>
  </si>
  <si>
    <t>8859703426530</t>
  </si>
  <si>
    <t>Focus TG FF SL Samsung Galaxy S24 Ultra Black</t>
  </si>
  <si>
    <t>SM-S938BZSCTHL</t>
  </si>
  <si>
    <t>Galaxy S26 Ultra 5G 12/256GB</t>
  </si>
  <si>
    <t>SM-S948BZKBTHL</t>
  </si>
  <si>
    <t>8859703426547</t>
  </si>
  <si>
    <t>Focus TG FF SL MT Samsung Galaxy S24 Ultra Black</t>
  </si>
  <si>
    <t>01             *ร่วม SF+ และ เทรดอัพ</t>
  </si>
  <si>
    <t>Galaxy S25 Ultra 5G 12/1TB</t>
  </si>
  <si>
    <t>8859703426554</t>
  </si>
  <si>
    <t>Focus TG FF SL PV Samsung Galaxy S24 Ultra Black</t>
  </si>
  <si>
    <t>SM-S938BZKQTHL</t>
  </si>
  <si>
    <t>8859703433576</t>
  </si>
  <si>
    <t>Focus TG FF SL Samsung Galaxy S25 Black</t>
  </si>
  <si>
    <t>Discount 5,000 + Trade-Up 2,000</t>
  </si>
  <si>
    <t>8859703433583</t>
  </si>
  <si>
    <t>Focus TG FF SL Samsung Galaxy S25 Plus Black</t>
  </si>
  <si>
    <t>SM-S948BLBBTHL</t>
  </si>
  <si>
    <t>8859703433590</t>
  </si>
  <si>
    <t>Focus TG FF SL Samsung Galaxy S25 Ultra Black</t>
  </si>
  <si>
    <t>SM-S938BZBQTHL</t>
  </si>
  <si>
    <t>8859703433606</t>
  </si>
  <si>
    <t>Focus TG FF SL PV Samsung Galaxy S25 Ultra Black</t>
  </si>
  <si>
    <t>SM-S948BZVBTHL</t>
  </si>
  <si>
    <t>8859703433613</t>
  </si>
  <si>
    <t>Focus TG FF SL MT Samsung Galaxy S25 Ultra Black</t>
  </si>
  <si>
    <t>SM-S938BZTQTHL</t>
  </si>
  <si>
    <t>8859703433620</t>
  </si>
  <si>
    <t>Focus TG FF UG SL Samsung Galaxy S25 Ultra Black</t>
  </si>
  <si>
    <t>8859703433651</t>
  </si>
  <si>
    <t>Focus Iron Ring Samsung Galaxy S25 Ultra Black</t>
  </si>
  <si>
    <t>SM-S948BZWBTHL</t>
  </si>
  <si>
    <t>8859703433675</t>
  </si>
  <si>
    <t>Focus Perfect Clear Ring Samsung Galaxy S25</t>
  </si>
  <si>
    <t>SM-S938BZSQTHL</t>
  </si>
  <si>
    <t>8859703433682</t>
  </si>
  <si>
    <t>Focus Perfect Clear Ring Samsung Galaxy S25 Plus</t>
  </si>
  <si>
    <t>Galaxy S26 Ultra 5G 12/512GB</t>
  </si>
  <si>
    <t>SM-S948BZKCTHL</t>
  </si>
  <si>
    <t>8859703433699</t>
  </si>
  <si>
    <t>Focus Perfect Clear Ring Samsung Galaxy S25 Ultra</t>
  </si>
  <si>
    <t>Galaxy Z Flip7 FE 8/128GB</t>
  </si>
  <si>
    <t>SM-F761BZKATHL</t>
  </si>
  <si>
    <t>8859703423850</t>
  </si>
  <si>
    <t>Focus TG UC Samsung Galaxy Z Flip 5/6 5G F+B</t>
  </si>
  <si>
    <t>Discount 5,000 + Trade-Up 5,000</t>
  </si>
  <si>
    <t>8859703431381</t>
  </si>
  <si>
    <t>Focus Perfect Clear Ring Samsung Galaxy Z Flip 6 5G</t>
  </si>
  <si>
    <t>SM-S948BLBCTHL</t>
  </si>
  <si>
    <t>8859703431398</t>
  </si>
  <si>
    <t>Focus Perfect Clear Ring Samsung Galaxy Z Fold 6 5G</t>
  </si>
  <si>
    <t>SM-F761BZWATHL</t>
  </si>
  <si>
    <t>White</t>
  </si>
  <si>
    <t>8859703431428</t>
  </si>
  <si>
    <t>Focus TG UC Samsung Galaxy Z Fold 6 5G F+B</t>
  </si>
  <si>
    <t>SM-S948BZVCTHL</t>
  </si>
  <si>
    <t>8859703435532</t>
  </si>
  <si>
    <t>Focus TG UC Samsung Galaxy Z Flip 7 5G F+B</t>
  </si>
  <si>
    <t>8859703435549</t>
  </si>
  <si>
    <t>Focus TG UC Samsung Galaxy Z Fold 7 5G F+B</t>
  </si>
  <si>
    <t>Galxy Z Flip7 FE 8/256GB</t>
  </si>
  <si>
    <t>F-NFLIP4FESET2</t>
  </si>
  <si>
    <t>8859703435556</t>
  </si>
  <si>
    <t>Focus Perfect Clear Ring Samsung Galaxy Z Flip 7 5G</t>
  </si>
  <si>
    <t>SM-S948BZWCTHL</t>
  </si>
  <si>
    <t>8859703435563</t>
  </si>
  <si>
    <t>Focus Perfect Clear Ring Samsung Galaxy Z Fold 7 5G</t>
  </si>
  <si>
    <t>SM-F761BZWETHL</t>
  </si>
  <si>
    <t>8859703426721</t>
  </si>
  <si>
    <t>Focus TG FF Samsung Galaxy A35 5G Black</t>
  </si>
  <si>
    <t>Galaxy S26 Ultra 5G 12/1TB</t>
  </si>
  <si>
    <t>SM-S948BZKQTHL</t>
  </si>
  <si>
    <t>8859703433132</t>
  </si>
  <si>
    <t>Focus TG FF Samsung Galaxy A06/A06 5G Black</t>
  </si>
  <si>
    <t>Galaxy Z Flip7 12/256GB</t>
  </si>
  <si>
    <t>SM-F766BZRATHL</t>
  </si>
  <si>
    <t>Coralred</t>
  </si>
  <si>
    <t>8859703433255</t>
  </si>
  <si>
    <t>Focus TG FF Samsung Galaxy S24 FE Black</t>
  </si>
  <si>
    <t>8859703433354</t>
  </si>
  <si>
    <t>Focus TG FF Samsung Galaxy A16 5G Black</t>
  </si>
  <si>
    <t>Discount 3,000 + Trade-Up 5,000 ประกันจอ 2 ปี+SF+ Capped DP 20%</t>
  </si>
  <si>
    <t>8859703433569</t>
  </si>
  <si>
    <t>Focus TG FF Samsung Galaxy A26 5G Black</t>
  </si>
  <si>
    <t>SM-F766BZKATHL</t>
  </si>
  <si>
    <t>Jet Black</t>
  </si>
  <si>
    <t>8859703433828</t>
  </si>
  <si>
    <t>Focus TG FF Samsung Galaxy A36 5G/A56 5G Black</t>
  </si>
  <si>
    <t>8859703400226</t>
  </si>
  <si>
    <t>Focus TG UC Samsung Galaxy Tab S7 FE/5G/S8 Plus/S9 Plus/S9 FE Plus/S10 Plus 12.4in</t>
  </si>
  <si>
    <t>SM-S948BLBQTHL</t>
  </si>
  <si>
    <t>8859703401612</t>
  </si>
  <si>
    <t>Focus TG UC Samsung Galaxy Tab S8 Ultra 14.6in</t>
  </si>
  <si>
    <t>SM-F766BDBATHL</t>
  </si>
  <si>
    <t>Blue Shadow</t>
  </si>
  <si>
    <t>8859703423812</t>
  </si>
  <si>
    <t>Focus TG UC Samsung Galaxy Tab S7/S8 11in/Tab S9 11in/S9 FE/S10 FE 10.9in</t>
  </si>
  <si>
    <t>8859703426066</t>
  </si>
  <si>
    <t>Focus TG UC Samsung Galaxy Tab A9 8.7in</t>
  </si>
  <si>
    <t>8859703426073</t>
  </si>
  <si>
    <t>Focus TG UC Samsung Galaxy Tab A9 Plus 11in</t>
  </si>
  <si>
    <t>Galaxy Z Flip7 12/512GB</t>
  </si>
  <si>
    <t>SM-F766BZRETHL</t>
  </si>
  <si>
    <t>8859703435204</t>
  </si>
  <si>
    <t>SM-S948BZVQTHL</t>
  </si>
  <si>
    <t>Focus TG UC Samsung Galaxy Tab S10 FE Plus 13.1in</t>
  </si>
  <si>
    <t>Discount 3,000 + Trade-Up 7,000 +ประกันจอ 2 ปี+SF+ Capped DP 20%</t>
  </si>
  <si>
    <t>8859703435341</t>
  </si>
  <si>
    <t>Focus TG FF Oppo Reno 14 5G Black</t>
  </si>
  <si>
    <t>SM-S948BZWQTHL</t>
  </si>
  <si>
    <t>8859703435440</t>
  </si>
  <si>
    <t>Focus TG FF Oppo Reno 14F 5G Black</t>
  </si>
  <si>
    <t>SM-F766BZKETHL</t>
  </si>
  <si>
    <t>8859703435457</t>
  </si>
  <si>
    <t>Focus TG FF Oppo Reno 14 Pro 5G Black</t>
  </si>
  <si>
    <t>8859703435648</t>
  </si>
  <si>
    <t>Focus TG FF Nothing Phone 3 Black</t>
  </si>
  <si>
    <t>SM-F766BDBETHL</t>
  </si>
  <si>
    <t>8859703431664</t>
  </si>
  <si>
    <t>Focus TG FF Apple iPhone 16 Black</t>
  </si>
  <si>
    <t>8859703431671</t>
  </si>
  <si>
    <t>Focus TG FF Apple iPhone 16 Plus Black</t>
  </si>
  <si>
    <t>8859703431688</t>
  </si>
  <si>
    <t>Focus TG FF Apple iPhone 16 Pro Black</t>
  </si>
  <si>
    <t>Galaxy Z Fold7 (12/256GB)</t>
  </si>
  <si>
    <t>SM-F966BZKDTHL</t>
  </si>
  <si>
    <t>8859703431695</t>
  </si>
  <si>
    <t>Focus TG FF Apple iPhone 16 Pro Max Black</t>
  </si>
  <si>
    <t>8859703433972</t>
  </si>
  <si>
    <t>Focus TG FF Apple iPhone 16e Black</t>
  </si>
  <si>
    <t>Discount 3,000 + Trade-Up 5,000 +ประกันจอ 2 ปี</t>
  </si>
  <si>
    <t>8859703409106</t>
  </si>
  <si>
    <t>Focus TG PP Like Apple iPad Gen 10 10.9in/11in (A16)</t>
  </si>
  <si>
    <t>ประกันจอ 2 ปี เปลี่ยนฟิล์มฟรี 1 ครั้ง</t>
  </si>
  <si>
    <t>SM-F966BZSDTHL</t>
  </si>
  <si>
    <t>Silver Shadow</t>
  </si>
  <si>
    <t>8859703431008</t>
  </si>
  <si>
    <t>Focus TG UC Apple iPad Air 13in 2024 (M2)/2025 (M3)</t>
  </si>
  <si>
    <t>8859703431053</t>
  </si>
  <si>
    <t>Focus TG PP Like Apple iPad Air 11in 2024 (M2)/2025 (M3)</t>
  </si>
  <si>
    <t>8859703409090</t>
  </si>
  <si>
    <t>Focus TG UC Apple iPad Gen 10 10.9in/11in (A16)</t>
  </si>
  <si>
    <t>SM-F966BDBDTHL</t>
  </si>
  <si>
    <t>8859703430995</t>
  </si>
  <si>
    <t>Focus TG UC Apple iPad Air 11in 2024 (M2)/2025 (M3)</t>
  </si>
  <si>
    <t>8859703431855</t>
  </si>
  <si>
    <t>Focus Perfect Clear Ring iPhone 16/16 Plus</t>
  </si>
  <si>
    <t>8859703431862</t>
  </si>
  <si>
    <t>Focus Perfect Clear Ring iPhone 16 Pro/16 Pro Max</t>
  </si>
  <si>
    <t>Galaxy Z Fold7 (12/512GB)</t>
  </si>
  <si>
    <t>8859703431923</t>
  </si>
  <si>
    <t>Focus 3D IR Titanium Matte Apple iPhone 16/16 Plus Black</t>
  </si>
  <si>
    <t>SM-F966BZKGTHL</t>
  </si>
  <si>
    <t>8859703431978</t>
  </si>
  <si>
    <t>Focus 3D IR Titanium Matte Apple iPhone 16 Pro/16 Pro Max Black</t>
  </si>
  <si>
    <t xml:space="preserve">Discount 3,000 + Trade-Up 7,000 +ประกันจอ 2 ปี
</t>
  </si>
  <si>
    <t>8859703431992</t>
  </si>
  <si>
    <t>Focus 3D IR Titanium Matte Apple iPhone 16 Pro/16 Pro Max Silver</t>
  </si>
  <si>
    <t>SM-F966BZSGTHL</t>
  </si>
  <si>
    <t>8859703432005</t>
  </si>
  <si>
    <t>Focus 3D IR Titanium Matte Apple iPhone 16 Pro/16 Pro Max Desert</t>
  </si>
  <si>
    <t>SM-F966BDBGTHL</t>
  </si>
  <si>
    <t>8859703423836</t>
  </si>
  <si>
    <t>Focus UC Nintendo Switch Oled 7in</t>
  </si>
  <si>
    <t>8859703423843</t>
  </si>
  <si>
    <t>Focus AG Nintendo Switch OLED 7in</t>
  </si>
  <si>
    <t>8859703435334</t>
  </si>
  <si>
    <t>Focus UC Nintendo Switch 2 7.9in</t>
  </si>
  <si>
    <t>Galaxy Z Fold7 (16/1TB)</t>
  </si>
  <si>
    <t>SM-F966BZKHTHL</t>
  </si>
  <si>
    <t>Galaxy Z Flip 8 12/256GB  รหัส F</t>
  </si>
  <si>
    <t>F-NS776BLIATHL</t>
  </si>
  <si>
    <t>Pink</t>
  </si>
  <si>
    <t>SM-F966BDBHTHL</t>
  </si>
  <si>
    <t>01             *ร่วม SF+ โปรเครื่องเปล่า ไม่ร่วมเทรดอัพ</t>
  </si>
  <si>
    <t>แถม Adapter 25W กับ Microwave</t>
  </si>
  <si>
    <t>ไม่รับของแถม ลดเพิ่ม 1,000</t>
  </si>
  <si>
    <t>Tablet</t>
  </si>
  <si>
    <t>Trade-Up 8,000</t>
  </si>
  <si>
    <t>F-NS776BZKATHL</t>
  </si>
  <si>
    <t>Galaxy Tab S11Ultra 5G 12/256GB Bom SD256</t>
  </si>
  <si>
    <t xml:space="preserve">F-X936256ZAASA	</t>
  </si>
  <si>
    <t>F-NS776BZWATHL</t>
  </si>
  <si>
    <t>Cream</t>
  </si>
  <si>
    <t>ฟรี   Slim Keyboard มูลค่า 6,990  (EF-DX930UBEGTH)</t>
  </si>
  <si>
    <t>Galaxy Z Flip 8 12/512GB  รหัส F</t>
  </si>
  <si>
    <t>Galaxy Tab S11Ultra 5G 12/256GB</t>
  </si>
  <si>
    <t>F-NS776BLIETHL</t>
  </si>
  <si>
    <t>SM-X936BZAATHL</t>
  </si>
  <si>
    <t>Hishield</t>
  </si>
  <si>
    <t>8859216638109</t>
  </si>
  <si>
    <t>[CS] Hishield Tempered Glass Full Cover 2.5D Double Strong Glass - iPhone 14 Pro</t>
  </si>
  <si>
    <t>8859216637850</t>
  </si>
  <si>
    <t>[CS] Hishield Tempered Glass Full Cover 3D - iPhone 14 Plus</t>
  </si>
  <si>
    <t>F-NS776BZKETHL</t>
  </si>
  <si>
    <t>8859216637867</t>
  </si>
  <si>
    <t>[CS] Hishield Tempered Glass Full Cover 3D - iPhone 14 Pro</t>
  </si>
  <si>
    <t>8859216666034</t>
  </si>
  <si>
    <t>[CS]Hishield 2.5D Double Strong Glass for iPhone 15</t>
  </si>
  <si>
    <t>F-NS776BZWETHL</t>
  </si>
  <si>
    <t>8859216666027</t>
  </si>
  <si>
    <t>[CS]Hishield 2.5D Double Strong Glass for iPhone 15 Plus</t>
  </si>
  <si>
    <t>8859216666010</t>
  </si>
  <si>
    <t>[CS]Hishield 2.5D Double Strong Glass for iPhone 15 Pro</t>
  </si>
  <si>
    <t>Galaxy Tab S10Plus 5G</t>
  </si>
  <si>
    <t xml:space="preserve">SM-X826BZAATHL	</t>
  </si>
  <si>
    <t>8859216666003</t>
  </si>
  <si>
    <t>[CS]Hishield 2.5D Double Strong Glass for iPhone 15 Pro Max</t>
  </si>
  <si>
    <t>Galaxy Z Flip 8 12/256GB</t>
  </si>
  <si>
    <t>SM-F776BLIATHL</t>
  </si>
  <si>
    <t>8859216712427</t>
  </si>
  <si>
    <t>[CS]Hishield 2.5D Double Strong Glass for iPhone 16</t>
  </si>
  <si>
    <t xml:space="preserve"> 
แลกซื้อ Smart Book Cove และ/หรือ Keyboard ลด 50%</t>
  </si>
  <si>
    <t>8859216712458</t>
  </si>
  <si>
    <t>[CS]Hishield 2.5D Double Strong Glass for iPhone 16 Plus</t>
  </si>
  <si>
    <t>Galaxy Tab S10Plus Wifi</t>
  </si>
  <si>
    <t>SM-X820NZAATHL</t>
  </si>
  <si>
    <t>8859216712434</t>
  </si>
  <si>
    <t>[CS]Hishield 2.5D Double Strong Glass for iPhone 16 Pro</t>
  </si>
  <si>
    <t>SM-F776BZKATHL</t>
  </si>
  <si>
    <t>8859216712441</t>
  </si>
  <si>
    <t>[CS]Hishield 2.5D Double Strong Glass for iPhone 16 Pro Max</t>
  </si>
  <si>
    <t>Galaxy Tab S11 5G 12/128GB Bom SD256</t>
  </si>
  <si>
    <t>F-X736128ZAASA</t>
  </si>
  <si>
    <t>8859216739271</t>
  </si>
  <si>
    <t>[CS]Hishield 2.5D SuperStrong kit Samsung S25Ultra</t>
  </si>
  <si>
    <t>SM-F776BZWATHL</t>
  </si>
  <si>
    <t>8859216681365</t>
  </si>
  <si>
    <t>[CS]Hishield 2.5D Triple Strong max for Samsung Galaxy S24 Plus</t>
  </si>
  <si>
    <t xml:space="preserve"> 
ฟรี  Slim Keyboard  ปรกติ  4,990
EF-DX730UBEGTH</t>
  </si>
  <si>
    <t>8859216681372</t>
  </si>
  <si>
    <t>[CS]Hishield 2.5D Triple Strong max for Samsung Galaxy S24 Ultra</t>
  </si>
  <si>
    <t>Galaxy Z Flip 8 12/512GB</t>
  </si>
  <si>
    <t xml:space="preserve">F-X736128ZSASA	</t>
  </si>
  <si>
    <t>SM-F776BLIETHL</t>
  </si>
  <si>
    <t>Silver</t>
  </si>
  <si>
    <t>8859216739523</t>
  </si>
  <si>
    <t>[CS]Hishield 2.5D Triple Strong max Samsung S25</t>
  </si>
  <si>
    <t>SM-F776BZKETHL</t>
  </si>
  <si>
    <t>Galaxy Tab S11 5G 12/128GB</t>
  </si>
  <si>
    <t>SM-X736BZAATHL</t>
  </si>
  <si>
    <t>SM-F776BZWETHL</t>
  </si>
  <si>
    <t>8859216739530</t>
  </si>
  <si>
    <t>[CS]Hishield 2.5D Triple Strong max Samsung S25Plus</t>
  </si>
  <si>
    <t>SM-X736BZSATHL</t>
  </si>
  <si>
    <t>8859216739547</t>
  </si>
  <si>
    <t>[CS]Hishield 2.5D Triple Strong max Samsung S25Ultra</t>
  </si>
  <si>
    <t>8859216712670</t>
  </si>
  <si>
    <t>[CS]Hishield 3D 5X Strong Corning Glass kit for iPhone 16 Pro</t>
  </si>
  <si>
    <t>Galaxy Tab S11 Wi-Fi 12/128GB</t>
  </si>
  <si>
    <t>SM-X730NZAATHL</t>
  </si>
  <si>
    <t>8859216712687</t>
  </si>
  <si>
    <t>[CS]Hishield 3D 5X Strong Corning Glass kit for iPhone 16 Pro Max</t>
  </si>
  <si>
    <t xml:space="preserve">ประกันจอ 2 ปี เปลี่ยนฟิล์มฟรี 1 ครั้ง
</t>
  </si>
  <si>
    <t>8859216665617</t>
  </si>
  <si>
    <t>[CS]Hishield 3D Strong Max for iPhone 15</t>
  </si>
  <si>
    <t>SM-X730NZSATHL</t>
  </si>
  <si>
    <t>8859216665600</t>
  </si>
  <si>
    <t>[CS]Hishield 3D Strong Max for iPhone 15 Plus</t>
  </si>
  <si>
    <t>8859216665594</t>
  </si>
  <si>
    <t>[CS]Hishield 3D Strong Max for iPhone 15 Pro</t>
  </si>
  <si>
    <t>Galaxy Tab S10FE Plus 5G 12/256GB</t>
  </si>
  <si>
    <t>8859216665587</t>
  </si>
  <si>
    <t xml:space="preserve">SM-X626BZAETHL	</t>
  </si>
  <si>
    <t>[CS]Hishield 3D Strong Max for iPhone 15 Pro Max</t>
  </si>
  <si>
    <t>8859216712700</t>
  </si>
  <si>
    <t>[CS]Hishield 3D Strong Max for iPhone 16</t>
  </si>
  <si>
    <t>8859216712731</t>
  </si>
  <si>
    <t>[CS]Hishield 3D Strong Max for iPhone 16 Plus</t>
  </si>
  <si>
    <t xml:space="preserve">"แลกซื้อ Smart Book Cove และ/หรือ Keyboard ลด 50%
</t>
  </si>
  <si>
    <t>Galaxy Tab S10FE Plus Wi-Fi 12/256GB</t>
  </si>
  <si>
    <t xml:space="preserve">SM-X620NZAETHL	</t>
  </si>
  <si>
    <t>8859216712717</t>
  </si>
  <si>
    <t>[CS]Hishield 3D Strong Max for iPhone 16 Pro</t>
  </si>
  <si>
    <t>8859216712724</t>
  </si>
  <si>
    <t>[CS]Hishield 3D Strong Max for iPhone 16 Pro Max</t>
  </si>
  <si>
    <t>8859216739370</t>
  </si>
  <si>
    <t>[CS]Hishield Aluminium lens Samsung S25 - Black</t>
  </si>
  <si>
    <t>Galaxy Tab S9 FE+ 5G 8/128GB</t>
  </si>
  <si>
    <t>SM-X616BZAATHL</t>
  </si>
  <si>
    <t>8859216739387</t>
  </si>
  <si>
    <t>[CS]Hishield Aluminium lens Samsung S25Plus - Black</t>
  </si>
  <si>
    <t>8859216739394</t>
  </si>
  <si>
    <t>[CS]Hishield Aluminium lens Samsung S25Ultra - Black</t>
  </si>
  <si>
    <t>SM-X616BLGATHL</t>
  </si>
  <si>
    <t>Mint</t>
  </si>
  <si>
    <t>8859216703289</t>
  </si>
  <si>
    <t>[CS]Hishield Aluminum Lens for Samsung Galaxy Z Flip6 - Black</t>
  </si>
  <si>
    <t>8859216703296</t>
  </si>
  <si>
    <t>[CS]Hishield Aluminum Lens for Samsung Galaxy Z Flip6 - Silver</t>
  </si>
  <si>
    <t>Galaxy Z Fold 8 12/256GB  รหัส F</t>
  </si>
  <si>
    <t>8859216703319</t>
  </si>
  <si>
    <t>[CS]Hishield Aluminum Lens for Samsung Galaxy Z Fold6 - Black</t>
  </si>
  <si>
    <t>Galaxy Tab S9 FE+ Wi-Fi 8/128GB</t>
  </si>
  <si>
    <t>F-NS971BLVDTHL</t>
  </si>
  <si>
    <t>SM-X610NZAATHL</t>
  </si>
  <si>
    <t>Lavender</t>
  </si>
  <si>
    <t>8859216703326</t>
  </si>
  <si>
    <t>[CS]Hishield Aluminum Lens for Samsung Galaxy Z Fold6 - Silver</t>
  </si>
  <si>
    <t>01             *โปรเครื่องเปล่า ร่วมเทรดอัพ</t>
  </si>
  <si>
    <t>แถม Adapter 45W กับ Soundbar</t>
  </si>
  <si>
    <t>SM-X610NLGATHL</t>
  </si>
  <si>
    <t>8859216765348</t>
  </si>
  <si>
    <t>[CS]Hishield Aluminum Lens Samsung Flip7 Black</t>
  </si>
  <si>
    <t>8859216765355</t>
  </si>
  <si>
    <t>[CS]Hishield Aluminum Lens Samsung Flip7 Silver</t>
  </si>
  <si>
    <t>F-NS971BZKDTHL</t>
  </si>
  <si>
    <t>Galaxy Tab S10 FE 5G 8/128GB</t>
  </si>
  <si>
    <t xml:space="preserve">SM-X526BLBATHL	</t>
  </si>
  <si>
    <t>8859216765379</t>
  </si>
  <si>
    <t>[CS]Hishield Aluminum Lens Samsung Fold7 Black</t>
  </si>
  <si>
    <t>8859216765386</t>
  </si>
  <si>
    <t>[CS]Hishield Aluminum Lens Samsung Fold7 Silver</t>
  </si>
  <si>
    <t>F-NS971BZWDTHL</t>
  </si>
  <si>
    <t>8859216765621</t>
  </si>
  <si>
    <t>[CS]Hishield Box set for Samsung Flip7</t>
  </si>
  <si>
    <t xml:space="preserve">SM-X526BZAATHL	</t>
  </si>
  <si>
    <t>8859216765614</t>
  </si>
  <si>
    <t>[CS]Hishield Box set for Samsung Fold7</t>
  </si>
  <si>
    <t>Galaxy Z Fold 8 12/512GB  รหัส F</t>
  </si>
  <si>
    <t>F-NS971BLVGTHL</t>
  </si>
  <si>
    <t>8859216705528</t>
  </si>
  <si>
    <t>[CS]Hishield Box set for Samsung Galaxy Z Flip6 - Black Aluminium Lens</t>
  </si>
  <si>
    <t>Galaxy Tab S10 FE Wifi 8/128GB</t>
  </si>
  <si>
    <t>8859216705542</t>
  </si>
  <si>
    <t>[CS]Hishield Box set for Samsung Galaxy Z Flip6 - Silver Aluminium Lens</t>
  </si>
  <si>
    <t xml:space="preserve">SM-X520NLBATHL	</t>
  </si>
  <si>
    <t>01             *โปรเครื่องเปล่า ไม่ร่วมเทรดอัพ</t>
  </si>
  <si>
    <t>F-NS971BZKGTHL</t>
  </si>
  <si>
    <t>8859216705535</t>
  </si>
  <si>
    <t>[CS]Hishield Box set for Samsung Galaxy Z Fold6 - Black Aluminium Lens</t>
  </si>
  <si>
    <t>8859216705559</t>
  </si>
  <si>
    <t>[CS]Hishield Box set for Samsung Galaxy Z Fold6 - Silver Aluminium Lens</t>
  </si>
  <si>
    <t>SM-X520NZAATHL</t>
  </si>
  <si>
    <t>F-NS971BZWGTHL</t>
  </si>
  <si>
    <t>8859216752164</t>
  </si>
  <si>
    <t>[CS]Hishield Boxset 2.5D FC+Lens S1+Magsafe Clear case for S25 Ultra</t>
  </si>
  <si>
    <t>8859216640607</t>
  </si>
  <si>
    <t>[CS]Hishield Clear glass AW Ultra 49mm</t>
  </si>
  <si>
    <t>Galaxy Z Fold 8 16/1TB  รหัส F</t>
  </si>
  <si>
    <t>Galaxy Tab S10 Lite 5G 6/128GB</t>
  </si>
  <si>
    <t>F-NS971BLVHTHL</t>
  </si>
  <si>
    <t>8859216681341</t>
  </si>
  <si>
    <t>[CS]Hishield Crystal Clear Camera lens for Samsung Galaxy S24 Ultra</t>
  </si>
  <si>
    <t>SM-X406BZAATHL</t>
  </si>
  <si>
    <t>8859216612789</t>
  </si>
  <si>
    <t>[CS]Hishield Film Matte PaperLike FullCoverage for iPad Pro 12.9 Gen4 2020</t>
  </si>
  <si>
    <t>Trade-Up 11,000</t>
  </si>
  <si>
    <t xml:space="preserve"> 
รับฟรี BT Keyboard Cover มูลค่า 1,990 บาท</t>
  </si>
  <si>
    <t>F-NS971BZKHTHL</t>
  </si>
  <si>
    <t>8859216623877</t>
  </si>
  <si>
    <t>F-X406BZAAFCX4</t>
  </si>
  <si>
    <t>[CS]Hishield Hydrogel Film/Size S(18x12cm) - Anti Glare Gray</t>
  </si>
  <si>
    <t>F-NS971BZWHTHL</t>
  </si>
  <si>
    <t>8859216623860</t>
  </si>
  <si>
    <t>[CS]Hishield Hydrogel Film/Size S(18x12cm) - Ultra Clear</t>
  </si>
  <si>
    <t>SM-X406BZRATHL</t>
  </si>
  <si>
    <t>Coral Red</t>
  </si>
  <si>
    <t>Galaxy Z Fold 8 12/256GB</t>
  </si>
  <si>
    <t>SM-F971BLVDTHL</t>
  </si>
  <si>
    <t>8859216739158</t>
  </si>
  <si>
    <t>[CS]Hishield Mobile case for S25Ultra Magsafe - Black</t>
  </si>
  <si>
    <t>8859216739141</t>
  </si>
  <si>
    <t>[CS]Hishield Mobile case for S25Ultra Magsafe - Clear</t>
  </si>
  <si>
    <t>Trade-Up 5,000</t>
  </si>
  <si>
    <t>Galaxy Tab S10 Lite Wifi 6/128GB</t>
  </si>
  <si>
    <t>SM-X400NZAATHL</t>
  </si>
  <si>
    <t>SM-F971BZKDTHL</t>
  </si>
  <si>
    <t>8859216759576</t>
  </si>
  <si>
    <t>[CS]Hishield Mobile case for Samsung A36/56 - Crystal Clear</t>
  </si>
  <si>
    <t>8859216680535</t>
  </si>
  <si>
    <t>[CS]Hishield Mobile Case for Samsung Galaxy S24 Ultra - Clear</t>
  </si>
  <si>
    <t>SM-F971BZWDTHL</t>
  </si>
  <si>
    <t>F-X400NZAAFCX4</t>
  </si>
  <si>
    <t>8859216739561</t>
  </si>
  <si>
    <t>[CS]Hishield Sapphire lens Samsung S25Ultra - Black</t>
  </si>
  <si>
    <t>8859216665693</t>
  </si>
  <si>
    <t>[CS]Hishield Selected 2.5D Full coverage for iPhone 15</t>
  </si>
  <si>
    <t>Galaxy Z Fold 8 12/512GB</t>
  </si>
  <si>
    <t>SM-F971BLVGTHL</t>
  </si>
  <si>
    <t>8859216665679</t>
  </si>
  <si>
    <t>[CS]Hishield Selected 2.5D Full coverage for iPhone 15 Plus</t>
  </si>
  <si>
    <t>SM-X400NZRATHL</t>
  </si>
  <si>
    <t>8859216665686</t>
  </si>
  <si>
    <t>[CS]Hishield Selected 2.5D Full coverage for iPhone 15 Pro</t>
  </si>
  <si>
    <t>SM-F971BZKGTHL</t>
  </si>
  <si>
    <t>8859216665662</t>
  </si>
  <si>
    <t>[CS]Hishield Selected 2.5D Full coverage for iPhone 15 Pro Max</t>
  </si>
  <si>
    <t>F-X400NZRAFCX4</t>
  </si>
  <si>
    <t>8859216712946</t>
  </si>
  <si>
    <t>[CS]Hishield Selected 2.5D Full coverage for iPhone 16</t>
  </si>
  <si>
    <t>SM-F971BZWGTHL</t>
  </si>
  <si>
    <t>8859216712977</t>
  </si>
  <si>
    <t>[CS]Hishield Selected 2.5D Full coverage for iPhone 16 Plus</t>
  </si>
  <si>
    <t>Galaxy Tab S6 Lite LTE 4/128</t>
  </si>
  <si>
    <t>8859216712953</t>
  </si>
  <si>
    <t xml:space="preserve">SM-P625NZAETHL	</t>
  </si>
  <si>
    <t>[CS]Hishield Selected 2.5D Full coverage for iPhone 16 Pro</t>
  </si>
  <si>
    <t>Galaxy Z Fold 8 16/1TB</t>
  </si>
  <si>
    <t>SM-F971BLVHTHL</t>
  </si>
  <si>
    <t>8859216712960</t>
  </si>
  <si>
    <t>[CS]Hishield Selected 2.5D Full coverage for iPhone 16 Pro Max</t>
  </si>
  <si>
    <t>8859216739301</t>
  </si>
  <si>
    <t>[CS]Hishield Selected 2.5D Matte glass Samsung S25Ultra</t>
  </si>
  <si>
    <t>Trade-Up 7,000</t>
  </si>
  <si>
    <t>SM-F971BZKHTHL</t>
  </si>
  <si>
    <t>8859216739363</t>
  </si>
  <si>
    <t>[CS]Hishield Selected 2.5D Privacy glass Samsung S25Ultra</t>
  </si>
  <si>
    <t xml:space="preserve">SM-P625NLGETHL        </t>
  </si>
  <si>
    <t>8859216713240</t>
  </si>
  <si>
    <t>[CS]Hishield Super Clear Real Glass 1 Piece for iPhone 16 / 16 Plus</t>
  </si>
  <si>
    <t>SM-F971BZWHTHL</t>
  </si>
  <si>
    <t>8859216713257</t>
  </si>
  <si>
    <t>[CS]Hishield Super Clear Real Glass 1 Piece for iPhone 16 Pro / 16 Pro Max</t>
  </si>
  <si>
    <t>Galaxy Tab A9+ 5G 8/128GB</t>
  </si>
  <si>
    <t>8859216665716</t>
  </si>
  <si>
    <t>[CS]Hishield Super Clear Real glass 1 Piece iPhone 15 / 15 Plus</t>
  </si>
  <si>
    <t>SM-X216BZSETHL</t>
  </si>
  <si>
    <t>8859216665709</t>
  </si>
  <si>
    <t>[CS]Hishield Super Clear Real glass 1 Piece iPhone 15 Pro / 15 Pro Max</t>
  </si>
  <si>
    <t>Galaxy Z Fold 8 Ultra 12/256GB  รหัส F</t>
  </si>
  <si>
    <t>F-NS976BZKDTHL</t>
  </si>
  <si>
    <t>แลกซื้อ Book Cover ลด 50%</t>
  </si>
  <si>
    <t>8859216739486</t>
  </si>
  <si>
    <t>[CS]Hishield Super Clear Real glass Samsung S25Ultra</t>
  </si>
  <si>
    <t>8859216700103</t>
  </si>
  <si>
    <t>[CS]Hishield Tempered Glass 0.33mm for iPad Air 11 G6</t>
  </si>
  <si>
    <t>SM-X216BDBETHL</t>
  </si>
  <si>
    <t>Navy</t>
  </si>
  <si>
    <t>8859216700189</t>
  </si>
  <si>
    <t>[CS]Hishield Tempered Glass 0.33mm for iPad Pro 11 G5</t>
  </si>
  <si>
    <t>F-NS976BZVDTHL</t>
  </si>
  <si>
    <t>Violet shadow</t>
  </si>
  <si>
    <t>8859216700370</t>
  </si>
  <si>
    <t>[CS]Hishield Tempered Glass 0.33mm for iPad Pro 13 G7</t>
  </si>
  <si>
    <t>Galaxy Tab A9+ 5G 4/64GB</t>
  </si>
  <si>
    <t>SM-X216BZSATHL</t>
  </si>
  <si>
    <t>8859216765409</t>
  </si>
  <si>
    <t>[CS]Hishield Tempered Glass 2.5D Clear Samsung Flip7</t>
  </si>
  <si>
    <t>F-NS976BZWDTHL</t>
  </si>
  <si>
    <t>8859216765416</t>
  </si>
  <si>
    <t>[CS]Hishield Tempered Glass 2.5D Clear Samsung Fold7</t>
  </si>
  <si>
    <t>Galaxy Z Fold 8 Ultra 12/512GB  รหัส F</t>
  </si>
  <si>
    <t>F-NS976BZKGTHL</t>
  </si>
  <si>
    <t>8859216765423</t>
  </si>
  <si>
    <t>[CS]Hishield Tempered Glass 2.5D Privacy Samsung Flip7</t>
  </si>
  <si>
    <t>8859216765430</t>
  </si>
  <si>
    <t>[CS]Hishield Tempered Glass 2.5D Privacy Samsung Fold7</t>
  </si>
  <si>
    <t>F-NS976BZVGTHL</t>
  </si>
  <si>
    <t>8859216605323</t>
  </si>
  <si>
    <t>[CS]Hishield Tempered Glass 3D Full Cover 0.3 iPhoneX Black</t>
  </si>
  <si>
    <t>Galaxy Tab A9+ Wifi 8/128GB</t>
  </si>
  <si>
    <t>SM-X210NZSETHL</t>
  </si>
  <si>
    <t>8859216703012</t>
  </si>
  <si>
    <t>[CS]Hishield Tempered Glass Clear 2.5D for Samsung Galaxy Z Flip6</t>
  </si>
  <si>
    <t>F-NS976BZWGTHL</t>
  </si>
  <si>
    <t>8859216703029</t>
  </si>
  <si>
    <t>[CS]Hishield Tempered Glass Clear 2.5D for Samsung Galaxy Z Fold6</t>
  </si>
  <si>
    <t>8859216755578</t>
  </si>
  <si>
    <t>[CS]Hishield Tempered Glass FC 2.5D for Samsung A26</t>
  </si>
  <si>
    <t>SM-X210NDBETHL</t>
  </si>
  <si>
    <t>Galaxy Z Fold 8 Ultra 16/1TB  รหัส F</t>
  </si>
  <si>
    <t>F-NS976BZKHTHL</t>
  </si>
  <si>
    <t>8859216755561</t>
  </si>
  <si>
    <t>[CS]Hishield Tempered Glass FC 2.5D for Samsung A36</t>
  </si>
  <si>
    <t>8859216756964</t>
  </si>
  <si>
    <t>[CS]Hishield Tempered Glass FC 2.5D for Samsung A56</t>
  </si>
  <si>
    <t>Galaxy Tab A11 LTE 8/128GB</t>
  </si>
  <si>
    <t>SM-X135GZAETHL</t>
  </si>
  <si>
    <t>8859216724789</t>
  </si>
  <si>
    <t>[CS]Hishield Tempered Glass FC 2.5D for Samsung Galaxy S24 FE - Black</t>
  </si>
  <si>
    <t>F-NS976BZVHTHL</t>
  </si>
  <si>
    <t>8859216681426</t>
  </si>
  <si>
    <t>[CS]Hishield Tempered Glass FC 2.5D for Samsung Galaxy S24 Plus - Black</t>
  </si>
  <si>
    <t>8859216681433</t>
  </si>
  <si>
    <t>[CS]Hishield Tempered Glass FC 2.5D for Samsung Galaxy S24 Ultra - Black</t>
  </si>
  <si>
    <t>Galaxy Tab A9 LTE 8/128GB</t>
  </si>
  <si>
    <t xml:space="preserve">SM-X115NZAETHL </t>
  </si>
  <si>
    <t>F-NS976BZWHTHL</t>
  </si>
  <si>
    <t>8859216739240</t>
  </si>
  <si>
    <t>[CS]Hishield Tempered Glass FC 2.5D Samsung S25 - Black</t>
  </si>
  <si>
    <t>Galaxy Z Fold 8 Ultra 12/256GB</t>
  </si>
  <si>
    <t>8859216739264</t>
  </si>
  <si>
    <t>[CS]Hishield Tempered Glass FC 2.5D Samsung S25Ultra - Black</t>
  </si>
  <si>
    <t>SM-F976BZKDTHL</t>
  </si>
  <si>
    <t>8859216739257</t>
  </si>
  <si>
    <t>[CS]Hishield Tempered Glass FC 2.5DSamsung S25PLus - Black</t>
  </si>
  <si>
    <t>Galaxy Tab A9 LTE (4/64)</t>
  </si>
  <si>
    <t>SM-X115NZAATHL</t>
  </si>
  <si>
    <t>8859216610228</t>
  </si>
  <si>
    <t>[CS]Hishield Tempered Glass Full Cover 3D/Black/iPhone 11</t>
  </si>
  <si>
    <t>8859216610297</t>
  </si>
  <si>
    <t>[CS]Hishield Tempered Glass Full Cover 3D/Black/iPhone 11 Pro</t>
  </si>
  <si>
    <t>SM-F976BZVDTHL</t>
  </si>
  <si>
    <t>8859216647569</t>
  </si>
  <si>
    <t>[CS]Hishield Tempered Glass iPad G10 0.33 mm</t>
  </si>
  <si>
    <t>Accessory</t>
  </si>
  <si>
    <t>8859216607860</t>
  </si>
  <si>
    <t>[CS]Hishield Tempered Glass Non Full Cover 2.5D Clear/iPhone XS</t>
  </si>
  <si>
    <t>8859216607747</t>
  </si>
  <si>
    <t>[CS]Hishield Tempered Glass Non Full Cover 2.5D Clear/iPhone XS MAX</t>
  </si>
  <si>
    <t>SM-F976BZWDTHL</t>
  </si>
  <si>
    <t>Samsung Galaxy Buds Core</t>
  </si>
  <si>
    <t>SM-R410NZKAASA</t>
  </si>
  <si>
    <t>Galaxy Z Fold 8 Ultra 12/512GB</t>
  </si>
  <si>
    <t>8859216700134</t>
  </si>
  <si>
    <t>[CS]Hishield Tempered Glass Paperlike for iPad Air G6 11</t>
  </si>
  <si>
    <t>SM-F976BZKGTHL</t>
  </si>
  <si>
    <t>8859216700325</t>
  </si>
  <si>
    <t>[CS]Hishield Tempered Glass Paperlike for iPad Air G6 13</t>
  </si>
  <si>
    <t>SM-F976BZVGTHL</t>
  </si>
  <si>
    <t>8859216700219</t>
  </si>
  <si>
    <t>SM-R410NZWAASA</t>
  </si>
  <si>
    <t>[CS]Hishield Tempered Glass Paperlike for iPad Pro G5 11</t>
  </si>
  <si>
    <t>8859216700400</t>
  </si>
  <si>
    <t>[CS]Hishield Tempered Glass Paperlike for iPad Pro G7 13</t>
  </si>
  <si>
    <t>SM-F976BZWGTHL</t>
  </si>
  <si>
    <t>8859216689255</t>
  </si>
  <si>
    <t>[CS]Hishield TemperedGlass FC 2.5D for Samsung Galaxy A35 5G - Black</t>
  </si>
  <si>
    <t>Samsung Galaxy Buds3 FE</t>
  </si>
  <si>
    <t>SM-R420NZKAASA</t>
  </si>
  <si>
    <t>8859216689262</t>
  </si>
  <si>
    <t>[CS]Hishield TemperedGlass FC 2.5D for Samsung Galaxy A55 5G - Black</t>
  </si>
  <si>
    <t>8859216617395</t>
  </si>
  <si>
    <t>Galaxy Z Fold 8 Ultra 16/1TB</t>
  </si>
  <si>
    <t>[CS]Hishield Ultra Clear PET Clear for iPad Gen8/9 10.2</t>
  </si>
  <si>
    <t>30% (แลกซื้อ)</t>
  </si>
  <si>
    <t>8859216600380</t>
  </si>
  <si>
    <t>Hishield Film UC Ultra-Clear - iPhone 6</t>
  </si>
  <si>
    <t>SM-F976BZKHTHL</t>
  </si>
  <si>
    <t>SM-R420NZAAASA</t>
  </si>
  <si>
    <t>SM-F976BZVHTHL</t>
  </si>
  <si>
    <t>Samsung Galaxy Buds3</t>
  </si>
  <si>
    <t>SM-R530NZAAASA</t>
  </si>
  <si>
    <t>SM-F976BZWHTHL</t>
  </si>
  <si>
    <t>SM-R530NZWAASA</t>
  </si>
  <si>
    <t>Samsung Galaxy Buds3 Pro</t>
  </si>
  <si>
    <t>SM-R630NZAAASA</t>
  </si>
  <si>
    <t>SM-R630NZWAASA</t>
  </si>
  <si>
    <t>Samsung Galaxy Fit3</t>
  </si>
  <si>
    <t>SSG-SM-R390NIDAASA</t>
  </si>
  <si>
    <t>Pink Gold</t>
  </si>
  <si>
    <t>SSG-SM-R390NZAAASA</t>
  </si>
  <si>
    <t>SSG-SM-R390NZSAASA</t>
  </si>
  <si>
    <t xml:space="preserve"> 
แลกซื้อ Smart Book Cove และ/หรือ Keyboard ลด 50%</t>
  </si>
  <si>
    <t>แก้วเยติ , กระเป๋าใส่Tab  หรือ  ring Stand , กระเป๋าใส่ Tab</t>
  </si>
  <si>
    <t>SM-R390NIDAASA</t>
  </si>
  <si>
    <t>SM-R390NZAAASA</t>
  </si>
  <si>
    <t>SM-R390NZSAASA</t>
  </si>
  <si>
    <t>Samsung Galaxy Watch7 40mm</t>
  </si>
  <si>
    <t xml:space="preserve">SM-L300NZGAASA        </t>
  </si>
  <si>
    <t>Green</t>
  </si>
  <si>
    <t xml:space="preserve">SM-L300NZEAASA        </t>
  </si>
  <si>
    <t>Samsung Galaxy Watch7 44mm</t>
  </si>
  <si>
    <t xml:space="preserve">SM-L310NZGAASA        </t>
  </si>
  <si>
    <t>Samsung Galaxy Watch8 40mm BT</t>
  </si>
  <si>
    <t>SM-L320NDAAASA</t>
  </si>
  <si>
    <t>กระเป๋าใส่Tab,หูฟัง /  แก้วเยติ , หูฟัง / ลำโพงZ2</t>
  </si>
  <si>
    <t>03</t>
  </si>
  <si>
    <t>35% (แลกซื้อ)</t>
  </si>
  <si>
    <t>05</t>
  </si>
  <si>
    <t>SM-L320NZSAASA</t>
  </si>
  <si>
    <t>Samsung Galaxy Watch8 44mm BT</t>
  </si>
  <si>
    <t>SM-L330NDAAASA</t>
  </si>
  <si>
    <t>Samsung Galaxy Watch8 Classic BT</t>
  </si>
  <si>
    <t xml:space="preserve">SM-L500NZKAASA	</t>
  </si>
  <si>
    <t>SM-L500NZWAASA</t>
  </si>
  <si>
    <t>Samsung Galaxy Watch8 Classic LTE</t>
  </si>
  <si>
    <t>SM-L505FZKATHL</t>
  </si>
  <si>
    <t>Samsung Galaxy Watch Ultra 2024</t>
  </si>
  <si>
    <t xml:space="preserve">SM-L705FDAATHL        </t>
  </si>
  <si>
    <t>Galaxy Tab S10 Lite 5G 6/128GB แถม KB</t>
  </si>
  <si>
    <t xml:space="preserve">SM-L705FZTATHL        </t>
  </si>
  <si>
    <t>แก้วเยติ / หูฟัง / ที่ตั้ง V168 / Ring stand  (ได้ชิ้นเดียว)</t>
  </si>
  <si>
    <t>F-X406BZRAFCX4</t>
  </si>
  <si>
    <t>SM-L705FZWATHL</t>
  </si>
  <si>
    <t>Samsung Galaxy Watch Ultra 2025</t>
  </si>
  <si>
    <t>SM-L705FZB1THL</t>
  </si>
  <si>
    <t>SM-L705FZA1THL</t>
  </si>
  <si>
    <t>SM-L705FZS1THL</t>
  </si>
  <si>
    <t xml:space="preserve">Silver	</t>
  </si>
  <si>
    <t>Galaxy Tab S10 Lite Wifi 6/128GB แถม KB</t>
  </si>
  <si>
    <t xml:space="preserve">SmartTag2
</t>
  </si>
  <si>
    <t xml:space="preserve">EI-T5600BWEGWW	</t>
  </si>
  <si>
    <t>ซื้อ 2 ชิ้น ในราคา 1,590 บาท</t>
  </si>
  <si>
    <t>EI-T5600BBEGWW</t>
  </si>
  <si>
    <t>Galaxy Tab A11Plus 5G 6/128GB</t>
  </si>
  <si>
    <t>F-X236BZAAFBX2</t>
  </si>
  <si>
    <t>Tab S10Ultra Book Cover Keyboard Slim</t>
  </si>
  <si>
    <t>EF-DX920UBEGTH</t>
  </si>
  <si>
    <t>04             *ไม่ร่วม SF+</t>
  </si>
  <si>
    <t>50% (แลกซื้อ)</t>
  </si>
  <si>
    <t>Tab S10Plus Book Cover Keyboard Slim</t>
  </si>
  <si>
    <t>SM-X236BZAATHL</t>
  </si>
  <si>
    <t>EF-DX820UBEGTH</t>
  </si>
  <si>
    <t>Tab S9Plus S10Plus Smart Book Cover</t>
  </si>
  <si>
    <t>EF-BX810PBEGWW</t>
  </si>
  <si>
    <t>Galaxy Tab A11Plus Wi-Fi 6/128GB</t>
  </si>
  <si>
    <t>F-X230NZAAFBX2</t>
  </si>
  <si>
    <t>EF-BX810PLEGWW</t>
  </si>
  <si>
    <t>SM-X230NZAATHL</t>
  </si>
  <si>
    <t>Tab S10Plus Neos Pogo Keyboard Cover</t>
  </si>
  <si>
    <t>GP-FCX828NNABH</t>
  </si>
  <si>
    <t>Tab S10FE Plus (AI) Book Cover Keyboard Slim</t>
  </si>
  <si>
    <t>EF-DX620UBEGTH</t>
  </si>
  <si>
    <t>Tab S10FE Plus Neos Keyboard Cover (BT)</t>
  </si>
  <si>
    <t>GP-FCX626NNCBH</t>
  </si>
  <si>
    <t>Tab S10FE Plus Smart Book Cover</t>
  </si>
  <si>
    <t>EF-BX620PBEGWW</t>
  </si>
  <si>
    <t>Tab S9(AI) Book Cover Keyboard</t>
  </si>
  <si>
    <t>EF-DX720UBEGTH</t>
  </si>
  <si>
    <t>Tab S9 Book Cover Keyboard</t>
  </si>
  <si>
    <t>EF-DX710UBEGTH</t>
  </si>
  <si>
    <t xml:space="preserve">Tab S9 Smart Book Cover </t>
  </si>
  <si>
    <t>EF-BX710PBEGWW</t>
  </si>
  <si>
    <t>Tab S10FE Neos Keyboard Cover</t>
  </si>
  <si>
    <t>GP-FCX526NNBBH</t>
  </si>
  <si>
    <t>Tab A9 Plus Book cover</t>
  </si>
  <si>
    <t>EF-BX210TBEGWW</t>
  </si>
  <si>
    <t>Watch &amp; Ring MBO:
Applicable models are Flagship SMP (Z7 Series, Z6 Series, S26 Series, S25 Series, S24 Series, S25 FE, S24 FE) and A57, A37, A56, A36
Buds MBO: 
Applicable models are Flagship SMP (Z7 Series, Z6 Series,S26 Series, S25 Series, S24 Series, S25 FE, S24 FE), A57, A37, A56, A36 and Tab S11 Series / Tab S10 FE Series /  Tab S10 Lite)
Remark: 
Claim Method:
- หน้าร้านส่ง report claim ตามกำหนด (เคลมได้เฉพาะยอดโทรศัพท์มือถือและนาฬิกา/หูฟัง/แหวนที่เกิดขึ้นในวันเดียวกัน และร้านเดียวกันเท่านั้น) และยอดขายต้องอยู่ในช่วงเวลาโปรโมชั่น
- ร้านค้าต้อง upload ยอดขายนาฬิกา/หูฟัง/แหวนและโทรศัพท์มือถือเข้าในระบบ MCS
กรณีขายผ่านOnline ให้ส่งreport claim ที่ขายโทรศัพท์มือถือและนาฬิกา/หูฟัง/แหวนที่เกิดขึ้นในวันเดียวกัน และMCS code (online เท่านั้น) พร้อม Invoice ที่มียอดขายโทรศัพท์มือถือและนาฬิกา/หูฟัง/แหวน
Remark: MBO = Multi Buy Offer</t>
  </si>
  <si>
    <t>Samsung Galaxy Buds4</t>
  </si>
  <si>
    <t>EF-BX210TWEGWW</t>
  </si>
  <si>
    <t>SM-R540NZKAASA</t>
  </si>
  <si>
    <t>EF-BX210TLEGWW</t>
  </si>
  <si>
    <t>SM-R540NZWAASA</t>
  </si>
  <si>
    <t>Tab A9 Book cover</t>
  </si>
  <si>
    <t>EF-BX110TBEGWW</t>
  </si>
  <si>
    <t>Samsung Galaxy Buds4 Pro</t>
  </si>
  <si>
    <t>SM-R640NZKAASA</t>
  </si>
  <si>
    <t>Samsung Adapter 45W Fastcharge with Cable</t>
  </si>
  <si>
    <t>EP-T4511XBEGTH</t>
  </si>
  <si>
    <t>SM-R640NZWAASA</t>
  </si>
  <si>
    <t>Samsung Adapter 45W without cable</t>
  </si>
  <si>
    <t>SSG-EP-T4511XBEGTH</t>
  </si>
  <si>
    <t>SM-R640NZDAASA</t>
  </si>
  <si>
    <t>Case S24FE</t>
  </si>
  <si>
    <t>Case Flip6 / Fold6</t>
  </si>
  <si>
    <t>Case S25 / S25Plus</t>
  </si>
  <si>
    <t>Case S25 Ultra</t>
  </si>
  <si>
    <t>Case A56 / A36</t>
  </si>
  <si>
    <t>Galaxy Ring</t>
  </si>
  <si>
    <t xml:space="preserve">Case Flip7 / Fold7 </t>
  </si>
  <si>
    <t>Watch8 Band</t>
  </si>
  <si>
    <t xml:space="preserve"> Stock</t>
  </si>
  <si>
    <t>SmartPhone</t>
  </si>
  <si>
    <t>Samsung Galaxy Watch9 40mm</t>
  </si>
  <si>
    <t>SM-L340NZEAASA</t>
  </si>
  <si>
    <t>SM-L340NZKAASA</t>
  </si>
  <si>
    <t>Samsung Galaxy Watch9 44mm</t>
  </si>
  <si>
    <t>SM-L350NZSAASA</t>
  </si>
  <si>
    <t>SM-L350NZKAASA</t>
  </si>
  <si>
    <t>SmartWatch</t>
  </si>
  <si>
    <t>Film</t>
  </si>
  <si>
    <t>Samsung Galaxy Watch Ultra2</t>
  </si>
  <si>
    <t>SM-L715FZKATHL</t>
  </si>
  <si>
    <t>Adapter</t>
  </si>
  <si>
    <t>SM-L715FZSATHL</t>
  </si>
  <si>
    <t>2ชิ้น 1,590</t>
  </si>
  <si>
    <t>Case S25FE</t>
  </si>
  <si>
    <t>Case A57 / A37</t>
  </si>
  <si>
    <t>S26 Series</t>
  </si>
  <si>
    <t>Buds</t>
  </si>
  <si>
    <t>P/N</t>
  </si>
  <si>
    <t>Description</t>
  </si>
  <si>
    <t>Premium</t>
  </si>
  <si>
    <t>2064925400008</t>
  </si>
  <si>
    <t>[PM] Umbrella UV Mini Youmi Black</t>
  </si>
  <si>
    <t>Smartphone 10,000 up</t>
  </si>
  <si>
    <t>4897121000134</t>
  </si>
  <si>
    <t>[PM] Stand Tablet 360 Rotation</t>
  </si>
  <si>
    <t>8859289659292</t>
  </si>
  <si>
    <t>[PM] Multifunction Metal Holder desktop PH-02 Dpower</t>
  </si>
  <si>
    <t>Smartphone</t>
  </si>
  <si>
    <t>8859289682399</t>
  </si>
  <si>
    <t>Premium D-Power Phone Holder PH-03</t>
  </si>
  <si>
    <t>8859289650411</t>
  </si>
  <si>
    <t>Premium Bluetooth Speaker PARCO</t>
  </si>
  <si>
    <t>8859289682863</t>
  </si>
  <si>
    <t>[PM] Bluetooth speaker Z2 Dpower</t>
  </si>
  <si>
    <t>[PM] Blackpack Fashion Phoenix</t>
  </si>
  <si>
    <t>PREMIUM0017045</t>
  </si>
  <si>
    <t>[PM] Blackpack Colorful Phoenix</t>
  </si>
  <si>
    <t>PREMIUM-2025112</t>
  </si>
  <si>
    <t>[PM] Wireless Speaker EP Poppy</t>
  </si>
  <si>
    <t>PREMIUM-OT-1069</t>
  </si>
  <si>
    <t>[PM] Stand Wireless Speaker PK05</t>
  </si>
  <si>
    <t>[PM] Stand Tablet First class NO V168 Phoenix</t>
  </si>
  <si>
    <t>PREMIUM-668158</t>
  </si>
  <si>
    <t>[PM] Small Talk SMT-P5 3.5m Tablet</t>
  </si>
  <si>
    <t>[PM] Tablet Sleeve 13 inch</t>
  </si>
  <si>
    <t>PREMIUM-EP20</t>
  </si>
  <si>
    <t>Premium Wireless Speaker EP-20 Black</t>
  </si>
  <si>
    <t>PREMIUM-EPTINNY</t>
  </si>
  <si>
    <t>Premium Wireless Home bluetooth Speaker Tinny</t>
  </si>
  <si>
    <t>SM17011</t>
  </si>
  <si>
    <t>Premium SAMSUNG Phoenix Backpack</t>
  </si>
  <si>
    <t>PM4710343474777</t>
  </si>
  <si>
    <t>[PM]Adam Element Gravity 30W Fast Charging 10K with built in cable-Gray</t>
  </si>
  <si>
    <t>2BTHPPMADTC1</t>
  </si>
  <si>
    <t>Premium (Samsung) Adapter 25W_WO Cable</t>
  </si>
  <si>
    <t>Projector</t>
  </si>
  <si>
    <t>P1200130010170</t>
  </si>
  <si>
    <t>[PM]JBL CLIP 5 - Black</t>
  </si>
  <si>
    <t>P6975061531425</t>
  </si>
  <si>
    <t>[PM]Jisulife FA55 Handheld Fan Ultra1 - Brown</t>
  </si>
  <si>
    <t>Smartphone 30,000 up</t>
  </si>
  <si>
    <t>P6975061531432</t>
  </si>
  <si>
    <t>[PM]Jisulife FA55 Handheld Fan Ultra1 - Grey</t>
  </si>
  <si>
    <t>Z-B4BOYYPB</t>
  </si>
  <si>
    <t>Premium (Samsung) BOYY Bag</t>
  </si>
  <si>
    <t>PMXMI-TEJ4018GL</t>
  </si>
  <si>
    <t>[PM] Portable Photo Printer (26152)</t>
  </si>
  <si>
    <t>PREMIUM-EPLITTLE</t>
  </si>
  <si>
    <t>Premium Wireless Home bluetooth Speaker Little</t>
  </si>
  <si>
    <t>P840741115591</t>
  </si>
  <si>
    <t>[PM]Adam Element GRAVITY F5C Pocket Power Bank 5K-Black</t>
  </si>
  <si>
    <t>P840741115607</t>
  </si>
  <si>
    <t>[PM]Adam Element GRAVITY F5C Pocket Power Bank 5K-White</t>
  </si>
  <si>
    <t>P840741115614</t>
  </si>
  <si>
    <t>[PM]Adam Element GRAVITY F5C Pocket Power Bank 5K-Blue</t>
  </si>
  <si>
    <t>P840741115638</t>
  </si>
  <si>
    <t>[PM]Adam Element GRAVITY F5C Pocket Power Bank 5K-Pink</t>
  </si>
  <si>
    <t>PREMIUM-OT-1062</t>
  </si>
  <si>
    <t>[PM] Luggage 20 inch Phoenix</t>
  </si>
  <si>
    <t>6938075664299</t>
  </si>
  <si>
    <t>[PM]Torras Guardian Magnetic Series Black - S24U</t>
  </si>
  <si>
    <t>[PM] D-Power Powerbank GC106 10000 mAh - SAMSUNG</t>
  </si>
  <si>
    <t>PM8859616002685</t>
  </si>
  <si>
    <t>[PM] EZHome Mini Portable Handheld Fan EF02 - Pink</t>
  </si>
  <si>
    <t>PM8859616002692</t>
  </si>
  <si>
    <t>[PM] EZHome Mini Portable Handheld Fan EF02 - White</t>
  </si>
  <si>
    <t>PM8859616002760</t>
  </si>
  <si>
    <t>[PM] EZHome Mini Portable Handheld Fan EF02 - Light Blue</t>
  </si>
  <si>
    <t>PM8859289670420</t>
  </si>
  <si>
    <t>Premium Powerbank GC1005 PD3.0 22.5W (10000 mAh)-SAMSUNG</t>
  </si>
  <si>
    <t>Smartphone S24FE</t>
  </si>
  <si>
    <t>PM8859289682832</t>
  </si>
  <si>
    <t>Premium SAMSUNG TC-05 (Type-C)</t>
  </si>
  <si>
    <t>8859289664531</t>
  </si>
  <si>
    <t>Premium Speaker Bluetooth M-33</t>
  </si>
  <si>
    <t>Smartphone A56</t>
  </si>
  <si>
    <t>PM8859289665415</t>
  </si>
  <si>
    <t xml:space="preserve">Premium SAMSUNG Adapter APP-25 (25W)        </t>
  </si>
  <si>
    <t>Smartphone A06/A16</t>
  </si>
  <si>
    <t>PM8859289665378</t>
  </si>
  <si>
    <t>Premium D-power Selfie Stick-SF03</t>
  </si>
  <si>
    <t>PM8859289670006</t>
  </si>
  <si>
    <t>Premium D-Power HP-33 (Wireless Headphone)</t>
  </si>
  <si>
    <t>Smartphone 13,000 up</t>
  </si>
  <si>
    <t>PM4710343477822</t>
  </si>
  <si>
    <t>[PM]Adam Element iKlips S USB-C Nano Fingerprint SSD 256 GB</t>
  </si>
  <si>
    <t>Smartphone Flip7/Fold7</t>
  </si>
  <si>
    <t>PMEP-P5400BBEGWW</t>
  </si>
  <si>
    <t>Premium SAMSUNG Wireless Charger Duo 15W</t>
  </si>
  <si>
    <t>S30749</t>
  </si>
  <si>
    <t>Adam Element Mag Z Magnetic 3-in-1 Foldable Travel Charging Station-Black</t>
  </si>
  <si>
    <t>Smartphone 30,000+</t>
  </si>
  <si>
    <t>P1200130010194</t>
  </si>
  <si>
    <t>[PM]JBL CLIP 5 - Red</t>
  </si>
  <si>
    <t>P1200130010200</t>
  </si>
  <si>
    <t>[PM]JBL CLIP 5 - Purple</t>
  </si>
  <si>
    <t>P1200130010248</t>
  </si>
  <si>
    <t>[PM]JBL CLIP 5 - Black Orange</t>
  </si>
  <si>
    <t>Smartphone Flip7FE</t>
  </si>
  <si>
    <t>PM7219240229017</t>
  </si>
  <si>
    <t>[PM] Adapter 25W Power Speed PD09C - SAMSUNG</t>
  </si>
  <si>
    <t>PM7219240920013</t>
  </si>
  <si>
    <t>[PM] Adapter 25W Power Speed PD12 - SAMSUNG</t>
  </si>
  <si>
    <t>EP-TINYGLITTER</t>
  </si>
  <si>
    <t>(PM) WIRELESS HOME BLUETOOTH SPEAKER TINNY - SAMSUNG</t>
  </si>
  <si>
    <t>Smartphone S25FE</t>
  </si>
  <si>
    <t>PM8859289658943</t>
  </si>
  <si>
    <t>[PM] D-Power Powerbank S9 Plus (10000 mAh) 22.5W + PD-SAMSUNG</t>
  </si>
  <si>
    <t>PM-T4511NBEGTH</t>
  </si>
  <si>
    <t>Premium Samsung Adapter 45W without cable</t>
  </si>
  <si>
    <t>Premium D-Powe Blackpack</t>
  </si>
  <si>
    <t>Smartphone 8,000 up</t>
  </si>
  <si>
    <t>P4710343476283</t>
  </si>
  <si>
    <t>[PM]Adam Element Vionta P5 Pro5-in-1 Pocket Power Bank 5000mAh-Black</t>
  </si>
  <si>
    <t>P4710343476306</t>
  </si>
  <si>
    <t>[PM]Adam Element Vionta P5 Pro5-in-1 Pocket Power Bank 5000mAh-Blue</t>
  </si>
  <si>
    <t>P4710343476313</t>
  </si>
  <si>
    <t>[PM]Adam Element Vionta P5 Pro5-in-1 Pocket Power Bank 5000mAh-Pink</t>
  </si>
  <si>
    <t>P4710343476368</t>
  </si>
  <si>
    <t>[PM]Adam Element Vionta P5 Pro5-in-1 Pocket Power Bank 5000mAh-Milk Tea</t>
  </si>
  <si>
    <t>Smartphone S26 Ultra CRM</t>
  </si>
  <si>
    <t>Smartphone S26 Series</t>
  </si>
  <si>
    <t>PM6931481286437</t>
  </si>
  <si>
    <t>Premium YOUMI strong luggage 20in, ABS+PC- Mixed colors</t>
  </si>
  <si>
    <t>Smartphone 20,000 up</t>
  </si>
  <si>
    <t>Smartphone S26 Ultra</t>
  </si>
  <si>
    <t>Smartphone 5,000 up</t>
  </si>
  <si>
    <t xml:space="preserve"> Marketing Name</t>
  </si>
  <si>
    <t>RRP
In.vat</t>
  </si>
  <si>
    <t>Incentive</t>
  </si>
  <si>
    <t>[CS]UGREEN UNO RG 65W USB A*1 + USB C*2 GaN Fast Charger THAI PLUG - Gray</t>
  </si>
  <si>
    <t>6941876238958</t>
  </si>
  <si>
    <t>[CS]Focus TG FF Samsung Galaxy A07 Black</t>
  </si>
  <si>
    <t>8859703436409</t>
  </si>
  <si>
    <t>[CS]UGREEN Wall Charer 30W USB Port*1 + PD*2 Fast Charger Thai plug - Grey</t>
  </si>
  <si>
    <t>6941876265732</t>
  </si>
  <si>
    <t>[CS]HISHIELD TemperedGlass FC 2.5D Samsung A07</t>
  </si>
  <si>
    <t>8859216804023</t>
  </si>
  <si>
    <t>[CS]UGREEN Wall Charger 45W USB Port*1 + PD*2 Fast Charger Thai plug - Grey</t>
  </si>
  <si>
    <t>6941876265749</t>
  </si>
  <si>
    <t>[CS]HISHIELD TemperedGlass FC 2.5D Samsung A17</t>
  </si>
  <si>
    <t>8859216803910</t>
  </si>
  <si>
    <t>Samsung Adapter 25W No Cable-Black</t>
  </si>
  <si>
    <t>EP-T2510NBEGTH</t>
  </si>
  <si>
    <t>[CS]Focus TG FF Samsung Galaxy A26 5G/A17 5G Black</t>
  </si>
  <si>
    <t>Samsung Adapter 25W No Cable-White</t>
  </si>
  <si>
    <t>EP-T2510NWEGTH</t>
  </si>
  <si>
    <t>[CS]Focus TG FF Samsung Galaxy A27 5G Black</t>
  </si>
  <si>
    <t>8859703443339</t>
  </si>
  <si>
    <t>Samsung Adapter 45W Fastcharge with Cable - Black</t>
  </si>
  <si>
    <t>[CS]Hishield Tempered Glass FC 2.5D for Samsung A37</t>
  </si>
  <si>
    <t>8859216846719</t>
  </si>
  <si>
    <t>Samsung Adapter 45W Fastcharge with Cable (SIS) - Black</t>
  </si>
  <si>
    <t>[CS]Hishield Tempered Glass FC 2.5D for Samsung A57</t>
  </si>
  <si>
    <t>8859216846726</t>
  </si>
  <si>
    <t>Samsung Adapter 45W without cable - Black</t>
  </si>
  <si>
    <t>EP-T4511NBEGTH</t>
  </si>
  <si>
    <t>[CS]Focus TG FF Samsung Galaxy A36 5G/A56 5G Black</t>
  </si>
  <si>
    <t>Samsung Adapter 60W without cable - Black</t>
  </si>
  <si>
    <t>EP-T6010NBEGTH</t>
  </si>
  <si>
    <t>[CS]Focus TG FF Samsung Galaxy A57 5G Black</t>
  </si>
  <si>
    <t>8859703437345</t>
  </si>
  <si>
    <t>Samsung Galaxy Fold8 Anti-reflecting Film - Transparent</t>
  </si>
  <si>
    <t>EF-UF971CTEGWW</t>
  </si>
  <si>
    <t>[CS]Focus TG FF Samsung Galaxy S25 FE Black</t>
  </si>
  <si>
    <t>8859703436560</t>
  </si>
  <si>
    <t>Copperwired Co.,Ltd.</t>
  </si>
  <si>
    <t>Aging Inventory WareHouse - All</t>
  </si>
  <si>
    <t>Include Cost of Pending Transfer</t>
  </si>
  <si>
    <t>Cat1</t>
  </si>
  <si>
    <t>Cat2</t>
  </si>
  <si>
    <t>Cat3</t>
  </si>
  <si>
    <t>Price 99</t>
  </si>
  <si>
    <t>KOAN SKU</t>
  </si>
  <si>
    <t>Apple Part</t>
  </si>
  <si>
    <t>On Hand</t>
  </si>
  <si>
    <t>On B/R</t>
  </si>
  <si>
    <t>On Alloc</t>
  </si>
  <si>
    <t>On T/F</t>
  </si>
  <si>
    <t>Unit Cost</t>
  </si>
  <si>
    <t>Total Cost</t>
  </si>
  <si>
    <t>0-30</t>
  </si>
  <si>
    <t>31-60</t>
  </si>
  <si>
    <t>61-90</t>
  </si>
  <si>
    <t>91-120</t>
  </si>
  <si>
    <t>121-150</t>
  </si>
  <si>
    <t>150+</t>
  </si>
  <si>
    <t>[CS]HISHIELD TemperedGlass FC 2.5D Samsung S25 FE</t>
  </si>
  <si>
    <t>8859216804030</t>
  </si>
  <si>
    <t>Audio</t>
  </si>
  <si>
    <t>Headphone</t>
  </si>
  <si>
    <t>True Wireless</t>
  </si>
  <si>
    <t>SAMSUNG</t>
  </si>
  <si>
    <t>Samsung Galaxy Buds Core - Black</t>
  </si>
  <si>
    <t>Samsung Galaxy Buds Core - White</t>
  </si>
  <si>
    <t>Samsung Galaxy Buds3 FE - Black</t>
  </si>
  <si>
    <t>Samsung Galaxy Buds4 - Black</t>
  </si>
  <si>
    <t>Samsung Galaxy Buds4 - White</t>
  </si>
  <si>
    <t>Samsung Galaxy Buds4 Pro - Pink Gold</t>
  </si>
  <si>
    <t>Samsung Galaxy Buds4 Pro - Black</t>
  </si>
  <si>
    <t>Samsung Galaxy Buds4 Pro - White</t>
  </si>
  <si>
    <t>Speaker</t>
  </si>
  <si>
    <t>Compact Speaker</t>
  </si>
  <si>
    <t>Soundcore</t>
  </si>
  <si>
    <t>S34244</t>
  </si>
  <si>
    <t>Soundcore Select 4 Go Black</t>
  </si>
  <si>
    <t>194644200176</t>
  </si>
  <si>
    <t>S34246</t>
  </si>
  <si>
    <t>Soundcore Select 4 Go Blue</t>
  </si>
  <si>
    <t>Computer and Tablet</t>
  </si>
  <si>
    <t>Samsung Galaxy Tab</t>
  </si>
  <si>
    <t>Samsung Galaxy Tab A</t>
  </si>
  <si>
    <t>Samsung (TSE) Galaxy Tab A11 LTE 8/128GB - Gray</t>
  </si>
  <si>
    <t>Samsung (TSE) Galaxy Tab A11Plus Wi-Fi 6/128GB - Gray</t>
  </si>
  <si>
    <t>Samsung (TSE) Galaxy Tab A11Plus 5G 6/128GB - Gray</t>
  </si>
  <si>
    <t>Samsung Galaxy Tab S</t>
  </si>
  <si>
    <t>Samsung (TSE) Galaxy Tab S10Lite Wifi 6/128GB BOM Keyboard Cover - Gray</t>
  </si>
  <si>
    <t>Samsung (TSE) Galaxy Tab S10Lite Wifi 6/128GB BOM Keyboard Cover - Coral Red</t>
  </si>
  <si>
    <t>Samsung (TSE) Galaxy Tab S10Lite 5G 6/128GB BOM Keyboard Cover - Gray</t>
  </si>
  <si>
    <t>Samsung (TSE) Galaxy Tab S10 Lite 5G 6/128GB - Gray</t>
  </si>
  <si>
    <t>SM-X520NLBATHL</t>
  </si>
  <si>
    <t>Samsung (TSE) Galaxy Tab S10 FE Wifi 8/128GB - Blue</t>
  </si>
  <si>
    <t>SM-X526BLBATHL</t>
  </si>
  <si>
    <t>Samsung (TSE) Galaxy Tab S10 FE 5G 8/128GB - Blue</t>
  </si>
  <si>
    <t>SM-X620NZAETHL</t>
  </si>
  <si>
    <t>Samsung (TSE) Galaxy Tab S10FE Plus Wi-Fi 12/256GB - Gray</t>
  </si>
  <si>
    <t>Samsung (TSE) Galaxy Tab S11 Wi-Fi 12/128GB - Silver</t>
  </si>
  <si>
    <t>Samsung (TSE) Galaxy Tab S11Ultra 5G 12/256GB - Gray</t>
  </si>
  <si>
    <t>Health, Sport and Fitness</t>
  </si>
  <si>
    <t>Well-being</t>
  </si>
  <si>
    <t>Air and Weather Monitoring System</t>
  </si>
  <si>
    <t>SS-VC-AX32BG3100GBST</t>
  </si>
  <si>
    <t>Samsung Smart Air Purifier AX32BG3100GBST</t>
  </si>
  <si>
    <t>Home and Office</t>
  </si>
  <si>
    <t>Home Appliances</t>
  </si>
  <si>
    <t>Kitchenware</t>
  </si>
  <si>
    <t>SS-MWO-MS20A3010AL/S</t>
  </si>
  <si>
    <t>Samsung Microwave MS20A3010AL/ST With Glass Door 20 Liters</t>
  </si>
  <si>
    <t>Utilities and Supplies</t>
  </si>
  <si>
    <t>Jisulife</t>
  </si>
  <si>
    <t>Jisulife FA53 Handheld Fan (ABS) - Blue</t>
  </si>
  <si>
    <t>Samsung Galaxy S26FE Anti-reflecting Film - Transparency</t>
  </si>
  <si>
    <t>EF-US741CTEGWW</t>
  </si>
  <si>
    <t>Jisulife FA53 Handheld Fan (ABS) - White</t>
  </si>
  <si>
    <t>Jisulife Life 7 Handheld Fan (5,000 mAh) - Pink</t>
  </si>
  <si>
    <t>Jisulife Life 7 Handheld Fan (5,000 mAh) - Grey</t>
  </si>
  <si>
    <t>6975061532590</t>
  </si>
  <si>
    <t>Jisulife Life 7 Handheld Fan (5,000 mAh) - Black</t>
  </si>
  <si>
    <t>Mobile and Computer Accessory</t>
  </si>
  <si>
    <t>Backup Battery</t>
  </si>
  <si>
    <t>Power Bank</t>
  </si>
  <si>
    <t>[CS]UGREEN</t>
  </si>
  <si>
    <t>[CS]UGREEN Power Bank 10000mAh 20W Mini Magnetic Wireless Fast Charging - White</t>
  </si>
  <si>
    <t>[CS]UGREEN Power Bank 10000mAh 20W Mini Magnetic Wireless Fast Charging - Black</t>
  </si>
  <si>
    <t>Momax</t>
  </si>
  <si>
    <t>S33349</t>
  </si>
  <si>
    <t>MOMAX 1-Power Mini 5000mAh Bulit-in foldable USB-C connector Battery pack (Blue)</t>
  </si>
  <si>
    <t>S33353</t>
  </si>
  <si>
    <t>MOMAX 1-Power Mini 5000mAh Bulit-in foldable USB-C connector Battery pack (White)</t>
  </si>
  <si>
    <t>PISEN</t>
  </si>
  <si>
    <t>S34954</t>
  </si>
  <si>
    <t>PISEN QUICK 30W QI2.0 Mag Power 10000mAh (Grey)</t>
  </si>
  <si>
    <t>Cable</t>
  </si>
  <si>
    <t>Data Cable</t>
  </si>
  <si>
    <t>ADAM elements</t>
  </si>
  <si>
    <t>S36946</t>
  </si>
  <si>
    <t>ADAM elements iLinio C to C Cable 100W 2 units 1M- Black</t>
  </si>
  <si>
    <t>S36947</t>
  </si>
  <si>
    <t>ADAM elements iLinio C to C Cable 100W 2 units 1M- Silver</t>
  </si>
  <si>
    <t>BELKIN</t>
  </si>
  <si>
    <t>S21786</t>
  </si>
  <si>
    <t>Belkin BOOST CHARGE Pro Flex Double-Braided Silicone USB-A to C 1M-White</t>
  </si>
  <si>
    <t>SSG-EP-DN975BBEGWW</t>
  </si>
  <si>
    <t>Samsung Cable C to C (SIS) - Black</t>
  </si>
  <si>
    <t>SSG-EP-DN975BWEGWW</t>
  </si>
  <si>
    <t>Samsung Cable C to C (SIS) - White</t>
  </si>
  <si>
    <t>Case for Android Phone and Other</t>
  </si>
  <si>
    <t>Galaxy A37</t>
  </si>
  <si>
    <t>Mercury</t>
  </si>
  <si>
    <t>Mercury Jelly Case for Galaxy A37 - Clear</t>
  </si>
  <si>
    <t>EF-PA376CBEGWW</t>
  </si>
  <si>
    <t>Samsung Galaxy A37 Silicone Case - Black</t>
  </si>
  <si>
    <t>EF-PA376CKEGWW</t>
  </si>
  <si>
    <t>Samsung Galaxy A37 Silicone Case - Dark Green</t>
  </si>
  <si>
    <t>EF-PA376CVEGWW</t>
  </si>
  <si>
    <t>Samsung Galaxy A37 Silicone Case - Light Violet</t>
  </si>
  <si>
    <t>EF-QA376CTEGWW</t>
  </si>
  <si>
    <t>Samsung Galaxy A37 Clear Case - Transparent</t>
  </si>
  <si>
    <t>EF-RA376CBEGWW</t>
  </si>
  <si>
    <t>Samsung Galaxy A37 Rugged Case - Black</t>
  </si>
  <si>
    <t>Galaxy A57</t>
  </si>
  <si>
    <t>EF-PA576CVEGWW</t>
  </si>
  <si>
    <t>Samsung Galaxy A57 Silicone Case - Violet</t>
  </si>
  <si>
    <t>EF-QA576CTEGWW</t>
  </si>
  <si>
    <t>Samsung Galaxy A57 Clear Case - Transparent</t>
  </si>
  <si>
    <t>EF-UA576CTEGWW</t>
  </si>
  <si>
    <t>Samsung Galaxy A57 Screen Protector - Transparent</t>
  </si>
  <si>
    <t>Galaxy Flip8</t>
  </si>
  <si>
    <t>EF-CF776CTEGWW</t>
  </si>
  <si>
    <t>Samsung Galaxy Flip8 Clear Magnet Case - Transparent</t>
  </si>
  <si>
    <t>EF-EF776CBEGWW</t>
  </si>
  <si>
    <t>Samsung Galaxy Flip8 Silicone Ring Magnet Case - Graphite</t>
  </si>
  <si>
    <t>EF-EF776CGEGWW</t>
  </si>
  <si>
    <t>Samsung Galaxy Flip8 Silicone Ring Magnet Case - Mint</t>
  </si>
  <si>
    <t>EF-EF776CVEGWW</t>
  </si>
  <si>
    <t>Samsung Galaxy Flip8 Silicone Ring Magnet Case - Pink</t>
  </si>
  <si>
    <t>EF-EF776CWEGWW</t>
  </si>
  <si>
    <t>Samsung Galaxy Flip8 Silicone Ring Magnet Case - Cream</t>
  </si>
  <si>
    <t>EF-FF776CBEGWW</t>
  </si>
  <si>
    <t>Samsung Galaxy Flip8 Flipsuit Magnet Case - Black</t>
  </si>
  <si>
    <t>EF-FF776CJEGWW</t>
  </si>
  <si>
    <t>Samsung Galaxy Flip8 Flipsuit Magnet Case - Silver</t>
  </si>
  <si>
    <t>EF-UF776CTEGWW</t>
  </si>
  <si>
    <t>Samsung Galaxy Flip8 Anti-reflecting Film Case - Transparent</t>
  </si>
  <si>
    <t>Galaxy Fold8</t>
  </si>
  <si>
    <t>EF-CF971CTEGWW</t>
  </si>
  <si>
    <t>Samsung Galaxy Fold8 Clear Magnet Case - Transparent</t>
  </si>
  <si>
    <t>EF-EF971CBEGWW</t>
  </si>
  <si>
    <t>Samsung Galaxy Fold8 Silicone Magnet Case - Graphite</t>
  </si>
  <si>
    <t>EF-EF971CGEGWW</t>
  </si>
  <si>
    <t>Samsung Galaxy Fold8 Silicone Magnet Case - Pistachio</t>
  </si>
  <si>
    <t>EF-EF971CVEGWW</t>
  </si>
  <si>
    <t>Samsung Galaxy Fold8 Silicone Magnet Case - Lavender</t>
  </si>
  <si>
    <t>EF-EF971CWEGWW</t>
  </si>
  <si>
    <t>Samsung Galaxy Fold8 Silicone Magnet Case - Cream</t>
  </si>
  <si>
    <t>EF-KF971SBEGWW</t>
  </si>
  <si>
    <t>Samsung Galaxy Fold8 Carbon Magnet Case - Black</t>
  </si>
  <si>
    <t>EF-KF971SNEGWW</t>
  </si>
  <si>
    <t>Samsung Galaxy Fold8 Carbon Magnet Case - Blue</t>
  </si>
  <si>
    <t>EF-KF971SREGWW</t>
  </si>
  <si>
    <t>Samsung Galaxy Fold8 Carbon Magnet Case - Violet</t>
  </si>
  <si>
    <t>EF-QF971CTEGWW</t>
  </si>
  <si>
    <t>Samsung Galaxy Fold8 Clear Case - Transparent</t>
  </si>
  <si>
    <t>EF-XF971SBEGWW</t>
  </si>
  <si>
    <t>Samsung Galaxy Fold8 Carbon Standing Case - Black</t>
  </si>
  <si>
    <t>GP-FFF971YCATW</t>
  </si>
  <si>
    <t>Samsung Galaxy Fold8 Hinge Protection Magnet Case - Transparent</t>
  </si>
  <si>
    <t>Galaxy Fold8 Ultra</t>
  </si>
  <si>
    <t>EF-CF976CTEGWW</t>
  </si>
  <si>
    <t>Samsung Galaxy Fold8 Ultra Clear Magnet Case - Transparent</t>
  </si>
  <si>
    <t>EF-EF976CBEGWW</t>
  </si>
  <si>
    <t>Samsung Galaxy Fold8 Ultra Silicone Magnet Case - Graphite</t>
  </si>
  <si>
    <t>EF-EF976CVEGWW</t>
  </si>
  <si>
    <t>Samsung Galaxy Fold8 Ultra Silicone Magnet Case - Violet Shadow</t>
  </si>
  <si>
    <t>EF-KF976SBEGWW</t>
  </si>
  <si>
    <t>Samsung Galaxy Fold8 Ultra Carbon Magnet Case - Black</t>
  </si>
  <si>
    <t>EF-KF976SNEGWW</t>
  </si>
  <si>
    <t>Samsung Galaxy Fold8 Ultra Carbon Magnet Case - Blue</t>
  </si>
  <si>
    <t>EF-KF976SREGWW</t>
  </si>
  <si>
    <t>Samsung Galaxy Fold8 Ultra Carbon Magnet Case - Violet</t>
  </si>
  <si>
    <t>EF-QF976CTEGWW</t>
  </si>
  <si>
    <t>Samsung Galaxt Fold8 Ultra Clear Case - Transparent</t>
  </si>
  <si>
    <t>EF-UF976CTEGWW</t>
  </si>
  <si>
    <t>Samsung Galaxy Fold8 Ultra Anti-reflecting Film - Transparent</t>
  </si>
  <si>
    <t>EF-XF976SBEGWW</t>
  </si>
  <si>
    <t>Samsung Galaxy Fold8 Ultra Carbon Standing case - Black</t>
  </si>
  <si>
    <t>GP-FFF976YCATW</t>
  </si>
  <si>
    <t>Samsung Galaxy Fold8 Ultra Hinge Protection Magnet Case - Transparent</t>
  </si>
  <si>
    <t>Galaxy S26FE</t>
  </si>
  <si>
    <t>EF-CS741CTEGWW</t>
  </si>
  <si>
    <t>Samsung Galaxy S26FE Clear Magnet Case - Transparency</t>
  </si>
  <si>
    <t>EF-ES741CBEGWW</t>
  </si>
  <si>
    <t>Samsung Galaxy S26FE Silicone Magnet Case - Black</t>
  </si>
  <si>
    <t>EF-ES741CLEGWW</t>
  </si>
  <si>
    <t>Samsung Galaxy S26FE Silicone Magnet Case - Blue Violet</t>
  </si>
  <si>
    <t>EF-ES741CMEGWW</t>
  </si>
  <si>
    <t>Samsung Galaxy S26FE Silicone Magnet Case - Mint</t>
  </si>
  <si>
    <t>EF-ES741CPEGWW</t>
  </si>
  <si>
    <t>Samsung Galaxy S26FE Silicone Magnet Case - Pink</t>
  </si>
  <si>
    <t>EF-QS741CTEGWW</t>
  </si>
  <si>
    <t>Samsung Galaxy S26FE Clear Case - Transparency</t>
  </si>
  <si>
    <t>EF-SS741CBEGWW</t>
  </si>
  <si>
    <t>Samsung Galaxy S26FE Slim Magnet Case - Black</t>
  </si>
  <si>
    <t>EF-SS741CLEGWW</t>
  </si>
  <si>
    <t>Samsung Galaxy S26FE Slim Magnet Case - Blue Violet</t>
  </si>
  <si>
    <t>EF-SS741CMEGWW</t>
  </si>
  <si>
    <t>Samsung Galaxy S26FE Slim Magnet Case - Mint</t>
  </si>
  <si>
    <t>Samsung A Series</t>
  </si>
  <si>
    <t>EF-QA366CTEGWW</t>
  </si>
  <si>
    <t>Samsung Galaxy A36 Clear Case - Transparancy</t>
  </si>
  <si>
    <t>Samsung Galaxy Flip7</t>
  </si>
  <si>
    <t>Mercury Hard Case for Samsung Galaxy Flip7 - Clear</t>
  </si>
  <si>
    <t>EF-PF766TBEGWW</t>
  </si>
  <si>
    <t>Samsung Galaxy Flip7 Silicone Case with Ring - Black</t>
  </si>
  <si>
    <t>EF-PF766TNEGWW</t>
  </si>
  <si>
    <t>Samsung Galaxy Flip7 Silicone Case with Ring - Blue</t>
  </si>
  <si>
    <t>GP-FPF966PGBTW</t>
  </si>
  <si>
    <t>Samsung Galaxy Fold7 Capella Case - Frost Black</t>
  </si>
  <si>
    <t>Samsung Galaxy Fold7</t>
  </si>
  <si>
    <t>Mercury Hard Case for Samsung Galaxy Fold7 - Clear</t>
  </si>
  <si>
    <t>EF-MF966CMEGWW</t>
  </si>
  <si>
    <t>Samsung Galaxy Fold7 Silicone Case - Mint</t>
  </si>
  <si>
    <t>EF-XF966SBEGWW</t>
  </si>
  <si>
    <t>Samsung Galaxy Fold7 Carbon Shield Case - Black</t>
  </si>
  <si>
    <t>Samsung Galaxy S26 Series</t>
  </si>
  <si>
    <t>FOCUS</t>
  </si>
  <si>
    <t>[CS]Focus Premium Set Samsung Galaxy S26 Ultra (FF-SL)</t>
  </si>
  <si>
    <t>8859216828746</t>
  </si>
  <si>
    <t>[CS]Hishield Mobile case for S26 Ultra Clear</t>
  </si>
  <si>
    <t>[CS]Focus TG FF SL Samsung S25 Black</t>
  </si>
  <si>
    <t>8859216828753</t>
  </si>
  <si>
    <t>[CS]Hishield Mobile case for S26 Ultra Black</t>
  </si>
  <si>
    <t>8859216829415</t>
  </si>
  <si>
    <t>[CS]Hishield Impact shield Mobile case for S26 Ultra</t>
  </si>
  <si>
    <t>8859216834631</t>
  </si>
  <si>
    <t>[CS]Hishield Boxset for Samsung S26 Ultra</t>
  </si>
  <si>
    <t>8800299702874</t>
  </si>
  <si>
    <t>Mercury Jelly Hard Case Magsafe Galaxy S26 - Clear</t>
  </si>
  <si>
    <t>8800299702935</t>
  </si>
  <si>
    <t>Mercury Jelly Hard Case Magsafe Galaxy S26 Plus - Clear</t>
  </si>
  <si>
    <t>8800299703239</t>
  </si>
  <si>
    <t>Mercury Silicone Case Magsafe Galaxy S26 Ultra - Black</t>
  </si>
  <si>
    <t>EF-CS948CTEGWW</t>
  </si>
  <si>
    <t>Samsung Galaxy S26Ultra Clear Magnet Case - Transparency</t>
  </si>
  <si>
    <t>EF-ES942CBEGWW</t>
  </si>
  <si>
    <t>Samsung Galaxy S26 Silicone Magnet Case - Black</t>
  </si>
  <si>
    <t>EF-ES942CLEGWW</t>
  </si>
  <si>
    <t>Samsung Galaxy S26 Silicone Magnet Case - Lightblue</t>
  </si>
  <si>
    <t>EF-ES942CVEGWW</t>
  </si>
  <si>
    <t>Samsung Galaxy S26 Silicone Magnet Case - Blueviolet</t>
  </si>
  <si>
    <t>EF-ES947CBEGWW</t>
  </si>
  <si>
    <t>Samsung Galaxy S26Plus Silicone Magnet Case - Black</t>
  </si>
  <si>
    <t>EF-ES947CLEGWW</t>
  </si>
  <si>
    <t>Samsung Galaxy S26Plus Silicone Magnet Case - Lightblue</t>
  </si>
  <si>
    <t>EF-ES947CVEGWW</t>
  </si>
  <si>
    <t>Samsung Galaxy S26Plus Silicone Magnet Case - Blueviolet</t>
  </si>
  <si>
    <t>EF-ES947CWEGWW</t>
  </si>
  <si>
    <t>Samsung Galaxy S26Plus Silicone Magnet Case - White</t>
  </si>
  <si>
    <t>EF-KS947SCEGWW</t>
  </si>
  <si>
    <t>Samsung Galaxy S26Plus Carbon Magnet Case - Dark Blue</t>
  </si>
  <si>
    <t>EF-KS947SNEGWW</t>
  </si>
  <si>
    <t>Samsung Galaxy S26Plus Carbon Magnet Case - Black</t>
  </si>
  <si>
    <t>EF-KS947SREGWW</t>
  </si>
  <si>
    <t>Samsung Galaxy S26Plus Carbon Magnet Case - Red</t>
  </si>
  <si>
    <t>EF-KS948SCEGWW</t>
  </si>
  <si>
    <t>Samsung Galaxy S26Ultra Carbon Magnet Case - Dark Blue</t>
  </si>
  <si>
    <t>EF-QS942CTEGWW</t>
  </si>
  <si>
    <t>Samsung Galaxy S26 Clear Case - Transparency</t>
  </si>
  <si>
    <t>EF-QS947CTEGWW</t>
  </si>
  <si>
    <t>Samsung Galaxy S26Plus Clear Case - Transparency</t>
  </si>
  <si>
    <t>EF-QS948CTEGWW</t>
  </si>
  <si>
    <t>Samsung Galaxy S26Ultra Clear Case - Transparency</t>
  </si>
  <si>
    <t>EF-RS947CBEGWW</t>
  </si>
  <si>
    <t>Samsung Galaxy S26Plus Rugged Magnet Case - Black</t>
  </si>
  <si>
    <t>EF-SS942CBEGWW</t>
  </si>
  <si>
    <t>Samsung Galaxy S26 Silm Magnet Case - Black</t>
  </si>
  <si>
    <t>EF-SS942CJEGWW</t>
  </si>
  <si>
    <t>Samsung Galaxy S26 Silm Magnet Case - Gray</t>
  </si>
  <si>
    <t>EF-SS942CLEGWW</t>
  </si>
  <si>
    <t>Samsung Galaxy S26 Silm Magnet Case - Lightblue</t>
  </si>
  <si>
    <t>[CS]Focus TG FF SL Samsung S25 Ultra Black</t>
  </si>
  <si>
    <t>EF-SS942CVEGWW</t>
  </si>
  <si>
    <t>Samsung Galaxy S26 Silm Magnet Case - Lightviolet</t>
  </si>
  <si>
    <t>EF-SS947CBEGWW</t>
  </si>
  <si>
    <t>Samsung Galaxy S26Plus Silm Magnet Case - Black</t>
  </si>
  <si>
    <t>EF-SS947CLEGWW</t>
  </si>
  <si>
    <t>Samsung Galaxy S26Plus Silm Magnet Case - Lightblue</t>
  </si>
  <si>
    <t>EF-SS947CVEGWW</t>
  </si>
  <si>
    <t>Samsung Galaxy S26Plus Silm Magnet Case - Lightviolet</t>
  </si>
  <si>
    <t>EF-SS948CBEGWW</t>
  </si>
  <si>
    <t>Samsung Galaxy S26Ultra Silm Magnet Case - Black</t>
  </si>
  <si>
    <t>EF-SS948CLEGWW</t>
  </si>
  <si>
    <t>Samsung Galaxy S26Ultra Silm Magnet Case - Lightblue</t>
  </si>
  <si>
    <t>EF-SS948CVEGWW</t>
  </si>
  <si>
    <t>Samsung Galaxy S26Ultra Silm Magnet Case - Blueviolet</t>
  </si>
  <si>
    <t>GP-FPS947PGAJW</t>
  </si>
  <si>
    <t>Samsung Galaxy S26Plus Capella Magnet Case - Black</t>
  </si>
  <si>
    <t>GP-FPS948PGAJW</t>
  </si>
  <si>
    <t>Samsung Galaxy S26Ultra Capella Magnet Case - Black</t>
  </si>
  <si>
    <t>Case for Galaxy Tab</t>
  </si>
  <si>
    <t>Galaxy Tab S10lite</t>
  </si>
  <si>
    <t>GP-FCX400RLABH</t>
  </si>
  <si>
    <t>Samsung Galaxy Tab S10Lite Bluetooth Keyboard Cover - Black</t>
  </si>
  <si>
    <t>Galaxy Tab S10Plus</t>
  </si>
  <si>
    <t>Samsung Galaxy Tab S10FE Plus Neos Keyboard Cover (BT) - Black</t>
  </si>
  <si>
    <t>Galaxy Tab S11</t>
  </si>
  <si>
    <t>EF-BX730PBEGWW</t>
  </si>
  <si>
    <t>Samsung Galaxy Tab S11 Book cover Case - Black</t>
  </si>
  <si>
    <t>EF-DX730UBEGTH</t>
  </si>
  <si>
    <t>Samsung Galaxy Tab S11 (AI) Book Cover Keyboard Slim - Black</t>
  </si>
  <si>
    <t>Galaxy Tab S9</t>
  </si>
  <si>
    <t>[CS]Focus TG UC Samsung Galaxy Tab S9 11</t>
  </si>
  <si>
    <t>Charger</t>
  </si>
  <si>
    <t>Wall Charger</t>
  </si>
  <si>
    <t>[CS]Focus TG FF SL PV Samsung S25 Ultra Black</t>
  </si>
  <si>
    <t>Wireless Charger</t>
  </si>
  <si>
    <t>Lens Protector for SmartPhone</t>
  </si>
  <si>
    <t>8859703437536</t>
  </si>
  <si>
    <t>[CS]Focus Iron Ring Samsung Galaxy S26 Ultra Black</t>
  </si>
  <si>
    <t>8859703437543</t>
  </si>
  <si>
    <t>[CS]Iron Ring Samsung Galaxy S26 Ultra Silver</t>
  </si>
  <si>
    <t>8859216829156</t>
  </si>
  <si>
    <t>[CS]Hishield Aluminium lens Samsung S26 Ultra - Black</t>
  </si>
  <si>
    <t>8859216829255</t>
  </si>
  <si>
    <t>[CS]Hishield Aluminium lens Samsung S26 Ultra - Silver</t>
  </si>
  <si>
    <t>Samsung Galaxy Z Flip8</t>
  </si>
  <si>
    <t>8859703443650</t>
  </si>
  <si>
    <t>[CS]Focus Perfect Clear Ring Samsung Galaxy Z Flip 8</t>
  </si>
  <si>
    <t>Samsung Galaxy Z Fold8 Ultra</t>
  </si>
  <si>
    <t>8859703443667</t>
  </si>
  <si>
    <t>[CS]Focus Perfect Clear Ring Samsung Galaxy Z Fold 8 Ultra</t>
  </si>
  <si>
    <t>Screen Protector for Android Phone and Other</t>
  </si>
  <si>
    <t>Galaxy A07</t>
  </si>
  <si>
    <t>Galaxy A17</t>
  </si>
  <si>
    <t>Galaxy A26</t>
  </si>
  <si>
    <t>Galaxy A27</t>
  </si>
  <si>
    <t>Galaxy A56</t>
  </si>
  <si>
    <t>Galaxy S25FE</t>
  </si>
  <si>
    <t>Samsung</t>
  </si>
  <si>
    <t>Samsung Galaxy S25 Series</t>
  </si>
  <si>
    <t>EF-US936CTEGWW</t>
  </si>
  <si>
    <t>Samsung Galaxy S25Plus Screen Protector - Transparent</t>
  </si>
  <si>
    <t>8859703437451</t>
  </si>
  <si>
    <t>[CS]Focus TG FF SL Samsung Galaxy S26</t>
  </si>
  <si>
    <t>8859703437468</t>
  </si>
  <si>
    <t>[CS]Focus TG FF SL Samsung Galaxy S26 Plus</t>
  </si>
  <si>
    <t>8859703437475</t>
  </si>
  <si>
    <t>[CS]Focus TG FF SL Samsung Galaxy S26 Ultra</t>
  </si>
  <si>
    <t>8859703437482</t>
  </si>
  <si>
    <t>[CS]Focus TG FF SL PV Samsung Galaxy S26 Ultra</t>
  </si>
  <si>
    <t>8859703437499</t>
  </si>
  <si>
    <t>[CS]Focus TG FF SL MT Samsung Galaxy S26 Ultra</t>
  </si>
  <si>
    <t>8859703437581</t>
  </si>
  <si>
    <t>[CS]Focus TG FF UG SL Samsung Galaxy S26 Ultra</t>
  </si>
  <si>
    <t>8859703446620</t>
  </si>
  <si>
    <t>[CS]Focus TG FF Samsung Galaxy S26 FE Black</t>
  </si>
  <si>
    <t>8859216829019</t>
  </si>
  <si>
    <t>[CS]Hishield Tempered Glass FC 2.5D Samsung S26</t>
  </si>
  <si>
    <t>8859216829026</t>
  </si>
  <si>
    <t>[CS]Hishield Tempered Glass FC 2.5D Samsung S26 Plus</t>
  </si>
  <si>
    <t>8859216829033</t>
  </si>
  <si>
    <t>[CS]Hishield Tempered Glass FC 2.5D Samsung S26 Ultra</t>
  </si>
  <si>
    <t>8859216829040</t>
  </si>
  <si>
    <t>[CS]Hishield 2.5D Matte Glass Samsung S26</t>
  </si>
  <si>
    <t>8859216829057</t>
  </si>
  <si>
    <t>[CS]Hishield 2.5D Matte Glass Samsung S26 Plus</t>
  </si>
  <si>
    <t>8859216829064</t>
  </si>
  <si>
    <t>[CS]Hishield 2.5D Matte Glass Samsung S26 Ultra</t>
  </si>
  <si>
    <t>EF-US942CTEGWW</t>
  </si>
  <si>
    <t>Samsung Galaxy S26 Anti-reflecting Film - Transparent</t>
  </si>
  <si>
    <t>EF-US947CTEGWW</t>
  </si>
  <si>
    <t>Samsung Galaxy S26Plus Anti-reflecting Film - Transparent</t>
  </si>
  <si>
    <t>Samsung Galaxy Z Flip7</t>
  </si>
  <si>
    <t>[CS]Focus TG UC Samsung Galaxy Z Flip 7 5G</t>
  </si>
  <si>
    <t>8859703443599</t>
  </si>
  <si>
    <t>[CS]Focus TG UC Samsung Galaxy Z Flip 8</t>
  </si>
  <si>
    <t>8859216860241</t>
  </si>
  <si>
    <t>[CS]Hishield Tempered Glass 2.5D Clear Samsung Z Flip8</t>
  </si>
  <si>
    <t>Samsung Galaxy Z Fold8</t>
  </si>
  <si>
    <t>8859703443612</t>
  </si>
  <si>
    <t>[CS]Focus TG UC Samsung Galaxy Z Fold 8</t>
  </si>
  <si>
    <t>8859216860401</t>
  </si>
  <si>
    <t>[CS]Hishield TemperedGlass 2.5D Clear Samsung Z Fold8</t>
  </si>
  <si>
    <t>8859703443605</t>
  </si>
  <si>
    <t>[CS]Focus TG UC Samsung Galaxy Z Fold 8 Ultra</t>
  </si>
  <si>
    <t>8859216860326</t>
  </si>
  <si>
    <t>[CS]Hishield Tempered Glass 2.5D Clear Samsung Z Fold8 Ultra</t>
  </si>
  <si>
    <t>Screen Protector for Galaxy Tab</t>
  </si>
  <si>
    <t>Galaxy Tab A9 Series</t>
  </si>
  <si>
    <t>[CS]Focus TG UC Samsung Galaxy Tab A9 8.7</t>
  </si>
  <si>
    <t>[CS]Focus TG UC Samsung Galaxy Tab A9 Plus 11</t>
  </si>
  <si>
    <t>Galaxy Tab S10 FE Series</t>
  </si>
  <si>
    <t>[CS]Focus TG UC Samsung Galaxy Tab S10 FE Plus 13.1</t>
  </si>
  <si>
    <t>Galaxy Tab S10 Lite</t>
  </si>
  <si>
    <t>8859216804085</t>
  </si>
  <si>
    <t>[CS]HISHIELD TemperedGlass FC 2.5D Samsung Tab S10 Lite</t>
  </si>
  <si>
    <t>8859703436669</t>
  </si>
  <si>
    <t>[CS]Focus TG UC Samsung Galaxy Tab S11</t>
  </si>
  <si>
    <t>8859216804108</t>
  </si>
  <si>
    <t>[CS]HISHIELD TemperedGlass FC 2.5D Samsung Tab S11</t>
  </si>
  <si>
    <t>Galaxy Tab S11 Ultra</t>
  </si>
  <si>
    <t>8859703436690</t>
  </si>
  <si>
    <t>[CS]Focus TG UC Samsung Galaxy Tab S11 Ultra</t>
  </si>
  <si>
    <t>8859216804122</t>
  </si>
  <si>
    <t>[CS]Hishield TemperedGlass 0.33mm Tab S11 Ultra</t>
  </si>
  <si>
    <t>Galaxy Tab S8 Plus</t>
  </si>
  <si>
    <t>[CS]Focus TG UC Samsung Galaxy Tab S8 Plus 12.4</t>
  </si>
  <si>
    <t>Stylus and Cases</t>
  </si>
  <si>
    <t>Samsung S pen</t>
  </si>
  <si>
    <t>EJ-PX730BWEGWW</t>
  </si>
  <si>
    <t>Samsung Galaxy Tab S11 S pen - White</t>
  </si>
  <si>
    <t>Watch Bands</t>
  </si>
  <si>
    <t>Galaxy Watch Ultra2</t>
  </si>
  <si>
    <t>ET-SBL71MAEGWW</t>
  </si>
  <si>
    <t>Samsung Galaxy Watch Ultra 2 Peakform Band - Camel</t>
  </si>
  <si>
    <t>ET-SBL71MBEGWW</t>
  </si>
  <si>
    <t>Samsung Galaxy Watch Ultra 2 Peakform Band - Black</t>
  </si>
  <si>
    <t>ET-SBL71MGEGWW</t>
  </si>
  <si>
    <t>Samsung Galaxy Watch Ultra 2 Peakform Band - Olive</t>
  </si>
  <si>
    <t>ET-SBL71MJEGWW</t>
  </si>
  <si>
    <t>Samsung Galaxy Watch Ultra 2 Peakform Band - Gray</t>
  </si>
  <si>
    <t>ET-SBL71MSEGWW</t>
  </si>
  <si>
    <t>Samsung Galaxy Watch Ultra 2 Peakform Band - Taupe</t>
  </si>
  <si>
    <t>ET-SNL71MDEGWW</t>
  </si>
  <si>
    <t>Samsung Galaxy Watch Ultra 2 Marine Band - Mocha</t>
  </si>
  <si>
    <t>ET-SNL71MGEGWW</t>
  </si>
  <si>
    <t>Samsung Galaxy Watch Ultra 2 Marine Band - Olive</t>
  </si>
  <si>
    <t>ET-SNL71MLEGWW</t>
  </si>
  <si>
    <t>Samsung Galaxy Watch Ultra 2 Marine Band - Blue</t>
  </si>
  <si>
    <t>ET-SNL71MOEGWW</t>
  </si>
  <si>
    <t>Samsung Galaxy Watch Ultra 2 Marine Band - Orange</t>
  </si>
  <si>
    <t>ET-SVL70MFEGWW</t>
  </si>
  <si>
    <t>Samsung Galaxy Watch Ultra 2 Trail Band - Orange</t>
  </si>
  <si>
    <t>ET-SVL70MGEGWW</t>
  </si>
  <si>
    <t>Samsung Galaxy Watch Ultra 2 Trail Band - Olive</t>
  </si>
  <si>
    <t>ET-SVL70MJEGWW</t>
  </si>
  <si>
    <t>Samsung Galaxy Watch Ultra 2 Trail Band - Gray</t>
  </si>
  <si>
    <t>ET-SVL70MKEGWW</t>
  </si>
  <si>
    <t>Samsung Galaxy Watch Ultra 2 Trail Band - Black</t>
  </si>
  <si>
    <t>ET-SVL70MLEGWW</t>
  </si>
  <si>
    <t>Samsung Galaxy Watch Ultra 2 Trail Band - Blue</t>
  </si>
  <si>
    <t>Galaxy Watch8</t>
  </si>
  <si>
    <t>ET-SNL32SMEGWW</t>
  </si>
  <si>
    <t>Samsung Galaxy Watch8 Sport Band (S/M) - Mint</t>
  </si>
  <si>
    <t>ET-SNL32SPEGWW</t>
  </si>
  <si>
    <t>Samsung Galaxy Watch8 Sport Band (S/M) - Pink</t>
  </si>
  <si>
    <t>ET-SVL32SMEGWW</t>
  </si>
  <si>
    <t>Samsung Galaxy Watch8 Fabric Band (S/M) - Mint</t>
  </si>
  <si>
    <t>ET-SVL32SNEGWW</t>
  </si>
  <si>
    <t>Samsung Galaxy Watch8 Fabric Band (S/M) - Blue</t>
  </si>
  <si>
    <t>ET-SVL32SWEGWW</t>
  </si>
  <si>
    <t>Samsung Galaxy Watch8 Fabric Band (S/M) - White</t>
  </si>
  <si>
    <t>Galaxy Watch9</t>
  </si>
  <si>
    <t>ET-SNL34SBEGWW</t>
  </si>
  <si>
    <t>Samsung Galaxy Watch9 Sport Band (S/M) - Black</t>
  </si>
  <si>
    <t>ET-SNL34SYEGWW</t>
  </si>
  <si>
    <t>Samsung Galaxy Watch9 Sport Band (S/M) - Yellow</t>
  </si>
  <si>
    <t>ET-SXL34SBEGWW</t>
  </si>
  <si>
    <t>Samsung Galaxy Watch9 Misty Band (S/M) - Black</t>
  </si>
  <si>
    <t>ET-SXL34SMEGWW</t>
  </si>
  <si>
    <t>Samsung Galaxy Watch9 Misty Band (S/M) - Olive</t>
  </si>
  <si>
    <t>Other</t>
  </si>
  <si>
    <t>Extra Brand</t>
  </si>
  <si>
    <t>Premium for Samsung</t>
  </si>
  <si>
    <t>DIVOOM</t>
  </si>
  <si>
    <t>S35611</t>
  </si>
  <si>
    <t>Premium for Home and Office</t>
  </si>
  <si>
    <t>Free Gift</t>
  </si>
  <si>
    <t>Premium for Mobile and Computer Accessory</t>
  </si>
  <si>
    <t>Premium for Smartphone</t>
  </si>
  <si>
    <t>Service, Insurance and Warranty</t>
  </si>
  <si>
    <t>Carrier Mobile Package</t>
  </si>
  <si>
    <t>AIS Postpaid</t>
  </si>
  <si>
    <t>AIS</t>
  </si>
  <si>
    <t>3IN1PRE2POSTP1XXX</t>
  </si>
  <si>
    <t>(AIS) SIM 3 In 1 Pre 2 Post P1Xxx</t>
  </si>
  <si>
    <t>PRE2POSTINSTANT3IN1</t>
  </si>
  <si>
    <t>(AIS) SIM Pre 2 Post Instant 3 In 1</t>
  </si>
  <si>
    <t>SI87SIM3PO4GH3PI-AWN</t>
  </si>
  <si>
    <t>(AIS) SIM 3PO 4G Half 3in1 Post Instant - X3</t>
  </si>
  <si>
    <t>SIM-3IN1LNW-AWN</t>
  </si>
  <si>
    <t>(AIS) SIM 3 In 1 Pre 2 Post Lucky and Wealt</t>
  </si>
  <si>
    <t>SIM-3IN1MNL-AWN</t>
  </si>
  <si>
    <t>(AIS) SIM 3 In 1 Pre 2 Post Money and Love</t>
  </si>
  <si>
    <t>SIM-3IN1WNL-AWN</t>
  </si>
  <si>
    <t>(AIS) SIM 3 In 1 Pre 2 Post Work and Learn</t>
  </si>
  <si>
    <t>SIM-GNMN-AWN</t>
  </si>
  <si>
    <t>(AIS) SIM Pre2Post Nitikrit Get and Money</t>
  </si>
  <si>
    <t>SIM-GNSC-AWN</t>
  </si>
  <si>
    <t>(AIS) SIM Pre2Post Nitikrit Get and Success</t>
  </si>
  <si>
    <t>SIM-GNWT-AWN</t>
  </si>
  <si>
    <t>(AIS) SIM Pre2Post Nitikrit Get and Wealth</t>
  </si>
  <si>
    <t>SIM-VIPLKNF-AWN</t>
  </si>
  <si>
    <t>(AIS) SIM VIP Lucky Number Lucky and Fish</t>
  </si>
  <si>
    <t>SIM-VIPRNH-AWN</t>
  </si>
  <si>
    <t>(AIS) SIM VIP Lucky Number Rich and Horse</t>
  </si>
  <si>
    <t>Smart Phones</t>
  </si>
  <si>
    <t>Samsung Galaxy A07</t>
  </si>
  <si>
    <t>Samsung (TSE) Galaxy A07 4G 4/64 GB - Light Violet</t>
  </si>
  <si>
    <t>Samsung (TSE) Galaxy A07 4G 6/128 GB - Light Violet</t>
  </si>
  <si>
    <t>Samsung (TSE) Galaxy A07 4G 6/128 GB - Black</t>
  </si>
  <si>
    <t>Samsung (TSE) Galaxy A07 5G 6/128GB - LIGHT VIOLET</t>
  </si>
  <si>
    <t>Samsung (TSE) Galaxy A07 5G 6/128GB - BLACK</t>
  </si>
  <si>
    <t>Samsung Galaxy A17</t>
  </si>
  <si>
    <t>Samsung (TSE) Galaxy A17 5G 8/128 GB - Blue</t>
  </si>
  <si>
    <t>Samsung (TSE) Galaxy A17 5G 8/256 GB - Blue</t>
  </si>
  <si>
    <t>Samsung (TSE) Galaxy A17 5G 8/128 GB - Black</t>
  </si>
  <si>
    <t>Samsung (TSE) Galaxy A17 5G 8/256 GB - Black</t>
  </si>
  <si>
    <t>Samsung Galaxy A27</t>
  </si>
  <si>
    <t>Samsung (TSE) Galaxy A27 5G 8/128GB - LIGHT PINK</t>
  </si>
  <si>
    <t>Samsung (TSE) Galaxy A27 5G 8/128GB - BLACK</t>
  </si>
  <si>
    <t>Samsung Galaxy A37</t>
  </si>
  <si>
    <t>Samsung (TSE) Galaxy A37 5G 8/256GB - Dark Green</t>
  </si>
  <si>
    <t>Samsung (TSE) Galaxy A37 5G 8/256GB - Light Violet</t>
  </si>
  <si>
    <t>Samsung (TSE) Galaxy A37 5G 8/256GB - Gray</t>
  </si>
  <si>
    <t>Samsung Galaxy A57</t>
  </si>
  <si>
    <t>Samsung (TSE) Galaxy A57 5G 8/256GB - Dark Blue</t>
  </si>
  <si>
    <t>Samsung (TSE) Galaxy A57 5G 12/256GB - Dark Blue</t>
  </si>
  <si>
    <t>Samsung (TSE) Galaxy A57 5G 12/512GB - Dark Blue</t>
  </si>
  <si>
    <t>Samsung (TSE) Galaxy A57 5G 8/256GB - Gray</t>
  </si>
  <si>
    <t>Samsung (TSE) Galaxy A57 5G 12/256GB - Gray</t>
  </si>
  <si>
    <t>Samsung (TSE) Galaxy A57 5G 12/512GB - Gray</t>
  </si>
  <si>
    <t>Samsung (TSE) Galaxy A57 5G 12/256GB - Violet</t>
  </si>
  <si>
    <t>Samsung (TSE) Galaxy A57 5G 12/512GB - Violet</t>
  </si>
  <si>
    <t>Samsung Galaxy S25 FE</t>
  </si>
  <si>
    <t>Samsung (TSE) Galaxy S25FE 8/256GB -Navy</t>
  </si>
  <si>
    <t>Samsung Galaxy Buds3 FE - Gray</t>
  </si>
  <si>
    <t>Samsung (TSE) Galaxy S25FE 8/256GB - Icyblue</t>
  </si>
  <si>
    <t>194644055783</t>
  </si>
  <si>
    <t>Samsung (TSE) Galaxy S25FE 8/256GB - Jetblack</t>
  </si>
  <si>
    <t>Samsung (TSE) Galaxy S25FE 8/256GB - White</t>
  </si>
  <si>
    <t>Samsung (TSE) Galaxy S25 Ultra 5G 12/256GB - Titanium Silverblue</t>
  </si>
  <si>
    <t>Samsung (TSE) Galaxy Tab S10 FE Wifi 8/128GB - Gray</t>
  </si>
  <si>
    <t>Samsung (TSE) Galaxy S25 Ultra 5G 12/256GB - Titanium Black</t>
  </si>
  <si>
    <t>Personal Care and Utilities</t>
  </si>
  <si>
    <t>Cool A Styler</t>
  </si>
  <si>
    <t>8859698210176</t>
  </si>
  <si>
    <t>[CS]Cool A Styler High Speed Hair Dryer CA-V11 - Blue</t>
  </si>
  <si>
    <t>Samsung Galaxy S26 FE</t>
  </si>
  <si>
    <t>8859698210183</t>
  </si>
  <si>
    <t>[CS]Cool A Styler High Speed Hair Dryer CA-V11 - Pink</t>
  </si>
  <si>
    <t>Samsung (TSE) Galaxy S26FE 8/256GB - Pistachio</t>
  </si>
  <si>
    <t>6975061532576</t>
  </si>
  <si>
    <t>6975061532583</t>
  </si>
  <si>
    <t>6941876222087</t>
  </si>
  <si>
    <t>6941876258628</t>
  </si>
  <si>
    <t>Samsung (TSE) Galaxy S26FE 8/256GB - Graphite</t>
  </si>
  <si>
    <t>4710343478157</t>
  </si>
  <si>
    <t>4710343478164</t>
  </si>
  <si>
    <t>745883867080</t>
  </si>
  <si>
    <t>Samsung (TSE) Galaxy S26FE 8/256GB - Blueberry</t>
  </si>
  <si>
    <t>Galaxy A36</t>
  </si>
  <si>
    <t>8800299642811</t>
  </si>
  <si>
    <t>Mercury Jelly Case for Galaxy A36 - Clear</t>
  </si>
  <si>
    <t>Samsung (TSE) Galaxy S26FE 8/128GB - Pistachio</t>
  </si>
  <si>
    <t>8800299712668</t>
  </si>
  <si>
    <t>Samsung (TSE) Galaxy S26FE 8/128GB - Graphite</t>
  </si>
  <si>
    <t>EF-RA576CBEGWW</t>
  </si>
  <si>
    <t>Samsung Galaxy A57 Rugged Case - Black</t>
  </si>
  <si>
    <t>Samsung (TSE) Galaxy S26FE 8/128GB - Blueberry</t>
  </si>
  <si>
    <t>Samsung (TSE) Galaxy S26 5G 12/256GB - SKY BLUE</t>
  </si>
  <si>
    <t>Samsung (TSE) Galaxy S26 5G 12/512GB - SKY BLUE</t>
  </si>
  <si>
    <t>EF-QF776CTEGWW</t>
  </si>
  <si>
    <t>Samsung Galaxy Flip8 Clear Case - Transparent</t>
  </si>
  <si>
    <t>Samsung (TSE) Galaxy S26 5G 12/256GB - BLACK</t>
  </si>
  <si>
    <t>Samsung (TSE) Galaxy S26 5G 12/512GB - BLACK</t>
  </si>
  <si>
    <t>Samsung (TSE) Galaxy S26 5G 12/512GB - COBALT VIOLET</t>
  </si>
  <si>
    <t>Samsung (TSE) Galaxy S26 5G 12/512GB - WHITE</t>
  </si>
  <si>
    <t>EF-EF976CWEGWW</t>
  </si>
  <si>
    <t>Samsung Galaxy Fold8 Ultra Silicone Magnet Case - Cream</t>
  </si>
  <si>
    <t>Samsung (TSE) Galaxy S26+ 5G 12/256GB - SKY BLUE</t>
  </si>
  <si>
    <t>Samsung (TSE) Galaxy S26+ 5G 12/512GB - SKY BLUE</t>
  </si>
  <si>
    <t>Samsung (TSE) Galaxy S26+ 5G 12/512GB - BLACK</t>
  </si>
  <si>
    <t>Samsung (TSE) Galaxy S26+ 5G 12/256GB - COBALT VIOLET</t>
  </si>
  <si>
    <t>Samsung (TSE) Galaxy S26+ 5G 12/512GB - COBALT VIOLET</t>
  </si>
  <si>
    <t>EF-PA366CVEGWW</t>
  </si>
  <si>
    <t>Samsung Galaxy A36 Silicone Case - Lavender</t>
  </si>
  <si>
    <t>8800299669900</t>
  </si>
  <si>
    <t>Samsung (TSE) Galaxy S26+ 5G 12/256GB - WHITE</t>
  </si>
  <si>
    <t>EF-PF766TMEGWW</t>
  </si>
  <si>
    <t>Samsung Galaxy Flip7 Silicone Case with Ring - Mint</t>
  </si>
  <si>
    <t>EF-VF766PJEGWW</t>
  </si>
  <si>
    <t>Samsung Galaxy Flip7 Kindsuit Case - Taupe</t>
  </si>
  <si>
    <t>Samsung (TSE) Galaxy S26+ 5G 12/512GB - WHITE</t>
  </si>
  <si>
    <t>EF-ZF766CTEGWW</t>
  </si>
  <si>
    <t>Samsung Galaxy Flip7 Flipsuit Case - Card Pinball</t>
  </si>
  <si>
    <t>8800299669979</t>
  </si>
  <si>
    <t>Samsung (TSE) Galaxy S26 Ultra 5G 12/256GB - SKY BLUE</t>
  </si>
  <si>
    <t>GP-FPF966PGABW</t>
  </si>
  <si>
    <t>Samsung Galaxy Fold7 ThinFit Case - Black</t>
  </si>
  <si>
    <t>GP-TOS938HIAPW</t>
  </si>
  <si>
    <t>Samsung (TSE) Galaxy S26 Ultra 5G 12/512GB - SKY BLUE</t>
  </si>
  <si>
    <t>Samsung Galaxy S25Ultra Joguman Love Lasts Flipsuit Card - Pink</t>
  </si>
  <si>
    <t>8859703437666</t>
  </si>
  <si>
    <t>[CS]Focus Premium Set Samsung Galaxy S26 Ultra (UG-FF)</t>
  </si>
  <si>
    <t>Samsung (TSE) Galaxy S26 Ultra 5G 12/256GB - BLACK</t>
  </si>
  <si>
    <t>Samsung (TSE) Galaxy S26 Ultra 5G 12/512GB - BLACK</t>
  </si>
  <si>
    <t>Samsung (TSE) Galaxy S26 Ultra 5G 12/256GB - COBALT VIOLET</t>
  </si>
  <si>
    <t>EF-ES948CLEGWW</t>
  </si>
  <si>
    <t>Samsung Galaxy S26Ultra Silicone Magnet Case - Lightblue</t>
  </si>
  <si>
    <t>Samsung (TSE) Galaxy S26 Ultra 5G 12/512GB - COBALT VIOLET</t>
  </si>
  <si>
    <t>EF-KS947SSEGWW</t>
  </si>
  <si>
    <t>Samsung Galaxy S26Plus Carbon Magnet Case - Dark Gray</t>
  </si>
  <si>
    <t>Samsung (TSE) Galaxy S26 Ultra 5G 12/256GB - WHITE</t>
  </si>
  <si>
    <t>EF-KS948SNEGWW</t>
  </si>
  <si>
    <t>Samsung Galaxy S26Ultra Carbon Magnet Case - Black</t>
  </si>
  <si>
    <t>EF-KS948SREGWW</t>
  </si>
  <si>
    <t>Samsung Galaxy S26Ultra Carbon Magnet Case - Red</t>
  </si>
  <si>
    <t>EF-KS948SSEGWW</t>
  </si>
  <si>
    <t>Samsung Galaxy S26Ultra Carbon Magnet Case - Dark Gray</t>
  </si>
  <si>
    <t>Samsung (TSE) Galaxy S26 Ultra 5G 12/512GB - WHITE</t>
  </si>
  <si>
    <t>EF-RS942CBEGWW</t>
  </si>
  <si>
    <t>Samsung Galaxy S26 Rugged Magnet Case - Black</t>
  </si>
  <si>
    <t>Samsung (TSE) Galaxy Z Flip 8 12/256GB - Pink</t>
  </si>
  <si>
    <t>Samsung (TSE) Galaxy Z Flip 8 12/256GB - Graphite</t>
  </si>
  <si>
    <t>EF-SS947CJEGWW</t>
  </si>
  <si>
    <t>Samsung Galaxy S26Plus Silm Magnet Case - Gray</t>
  </si>
  <si>
    <t>Samsung (TSE) Galaxy Z Flip 8 12/256GB - Cream</t>
  </si>
  <si>
    <t>EF-SS948CJEGWW</t>
  </si>
  <si>
    <t>Samsung Galaxy S26Ultra Silm Magnet Case - Gray</t>
  </si>
  <si>
    <t>Samsung (TSE) Galaxy Z Fold 8 12/256GB - Lavender</t>
  </si>
  <si>
    <t>Samsung Galaxy Z Fold6</t>
  </si>
  <si>
    <t>EF-UF956CTEGWW</t>
  </si>
  <si>
    <t>Samsung Galaxy Fold6 Front Protection Film - Transparancy</t>
  </si>
  <si>
    <t>EF-BX930PBEGWW</t>
  </si>
  <si>
    <t>Samsung (TSE) Galaxy Z Fold 8 12/256GB - Graphite</t>
  </si>
  <si>
    <t>Samsung Galaxy Tab S11Ultra Book Cover Case - Black</t>
  </si>
  <si>
    <t>Samsung (TSE) Galaxy Z Fold 8 Ultra 12/256GB - Graphite</t>
  </si>
  <si>
    <t>Samsung (TSE) Galaxy Z Fold 8 Ultra 12/256GB - Violet shadow</t>
  </si>
  <si>
    <t>S-33016170</t>
  </si>
  <si>
    <t>Samsung (Shop Ais) Adapter 25W no cable - Black</t>
  </si>
  <si>
    <t>SSG-EP-T2510NBEGTH</t>
  </si>
  <si>
    <t>Samsung Adapter 25W No Cable (SIS) - Black</t>
  </si>
  <si>
    <t>Samsung (TSE) Galaxy Z Fold 8 Ultra 12/512GB - Violet shadow</t>
  </si>
  <si>
    <t>SSG-EP-T2510NWEGTH</t>
  </si>
  <si>
    <t>Samsung Adapter 25W No Cable (SIS) - White</t>
  </si>
  <si>
    <t>EP-P2900BBEGWW</t>
  </si>
  <si>
    <t>Samsung Galaxy Magnet Wireless Charger 25W - Black</t>
  </si>
  <si>
    <t>Samsung (TSE) Galaxy Z Fold 8 Ultra 12/256GB - Cream</t>
  </si>
  <si>
    <t>GP-PWU025WIABW</t>
  </si>
  <si>
    <t>Samsung Galaxy Single Pad Wireless Charger 15W</t>
  </si>
  <si>
    <t>Smart Watch</t>
  </si>
  <si>
    <t>[CS]Focus Perfect Clear Ring Samsung S25 Ultra</t>
  </si>
  <si>
    <t>Galaxy Watch</t>
  </si>
  <si>
    <t>Samsung Galaxy Watch9 40mm - Cream</t>
  </si>
  <si>
    <t>Samsung Galaxy Watch9 40mm - Graphite</t>
  </si>
  <si>
    <t>Samsung Galaxy Watch9 44mm - Graphite</t>
  </si>
  <si>
    <t>Samsung Galaxy Watch9 44mm - Silver</t>
  </si>
  <si>
    <t>Samsung Galaxy Watch</t>
  </si>
  <si>
    <t>Galaxy Fit3</t>
  </si>
  <si>
    <t>Samsung Galaxy Fit3 - Pink Gold</t>
  </si>
  <si>
    <t>Samsung Galaxy Z Fold7</t>
  </si>
  <si>
    <t>Samsung Galaxy Fit3 - Gray</t>
  </si>
  <si>
    <t>Samsung Galaxy Fit3 - Silver</t>
  </si>
  <si>
    <t>Galaxy Watch Ultra</t>
  </si>
  <si>
    <t>Samsung Galaxy Watch Ultra2025 LTE - Titanium Gray</t>
  </si>
  <si>
    <t>Galaxy A16</t>
  </si>
  <si>
    <t>[CS]Focus TG FF Samsung Galaxy A16 5G - Black</t>
  </si>
  <si>
    <t>Samsung Galaxy Watch Ultra2025 LTE - Titanium Blue</t>
  </si>
  <si>
    <t>Samsung Galaxy Watch Ultra - Titanium White</t>
  </si>
  <si>
    <t>Samsung Galaxy Watch Ultra2 - Titanium Gray</t>
  </si>
  <si>
    <t>Samsung Galaxy Watch Ultra2 - Titanium Silver</t>
  </si>
  <si>
    <t>Samsung Galaxy Watch8 40mm BT - Silver</t>
  </si>
  <si>
    <t>SM-L500NZKAASA</t>
  </si>
  <si>
    <t>Samsung Galaxy Watch8 Classic BT - Black</t>
  </si>
  <si>
    <t>Samsung Galaxy Watch8 Classic BT - White</t>
  </si>
  <si>
    <t>Samsung Galaxy Watch8 Classic LTE - Black</t>
  </si>
  <si>
    <t>[CS]Focus Hydroplus Film - Ultra Clear</t>
  </si>
  <si>
    <t>[CS]Focus Hydroplus Film - Antifinger Print</t>
  </si>
  <si>
    <t>Samsung Galaxy A Series</t>
  </si>
  <si>
    <t>EF-UA566CTEGWW</t>
  </si>
  <si>
    <t>Samsung Galaxy A56 Screen Protector - Transparancy</t>
  </si>
  <si>
    <t>Samsung Galaxy S24 Series</t>
  </si>
  <si>
    <t>[CS]Focus TG FF SL Samsung Galaxy S24 Ultra - Black</t>
  </si>
  <si>
    <t>[CS]Focus TG FF SL Samsung S25 Plus Black</t>
  </si>
  <si>
    <t>ET-SNL71MBEGWW</t>
  </si>
  <si>
    <t>Samsung Galaxy Watch Ultra 2 Marine Band - Black</t>
  </si>
  <si>
    <t>ET-SVL32SBEGWW</t>
  </si>
  <si>
    <t>Samsung Galaxy Watch8 Fabric Band (S/M) - Graphite</t>
  </si>
  <si>
    <t>ET-SVL32SREGWW</t>
  </si>
  <si>
    <t>Samsung Galaxy Watch8 Fabric Band (S/M) - Red</t>
  </si>
  <si>
    <t>ET-SNL34SLEGWW</t>
  </si>
  <si>
    <t>Samsung Galaxy Watch9 Sport Band (S/M) - Blue</t>
  </si>
  <si>
    <t>PM4897121007607</t>
  </si>
  <si>
    <t>Premium �����ا���� Gaabor RC20M-YE01A</t>
  </si>
  <si>
    <t>PM6931481299710</t>
  </si>
  <si>
    <t>Premium MINI High speed handheld fan</t>
  </si>
  <si>
    <t>SIM-VIPMNNKR-AWN</t>
  </si>
  <si>
    <t>(AIS) SIM VIP Lucky Number Money and Kirin</t>
  </si>
  <si>
    <t>Samsung (TSE) Galaxy A07 4G 4/128 GB - Light Violet</t>
  </si>
  <si>
    <t>Samsung (TSE) Galaxy A07 4G 4/128 GB - Black</t>
  </si>
  <si>
    <t>Samsung (TSE) Galaxy A17 LTE 8/128 GB - Light Blue</t>
  </si>
  <si>
    <t>Samsung (TSE) Galaxy A57 5G 8/256GB - Violet</t>
  </si>
  <si>
    <t>Samsung (TSE) Galaxy S26 5G 12/256GB - WHITE</t>
  </si>
  <si>
    <t>Samsung (TSE) Galaxy Z Fold 8 12/512GB - Graphite</t>
  </si>
  <si>
    <t>Samsung Galaxy Watch Ultra2025 LTE - Titanium Silver</t>
  </si>
  <si>
    <t>Samsung Galaxy Watch8 40mm BT - Graphite</t>
  </si>
  <si>
    <t>Supplier Demo and Display</t>
  </si>
  <si>
    <t>Product Demo</t>
  </si>
  <si>
    <t>SM-L310NZGAASA-D</t>
  </si>
  <si>
    <t>[DM] Samsung Galaxy Watch7 44mm - Green</t>
  </si>
  <si>
    <t>SM-L320NZSAASA-D</t>
  </si>
  <si>
    <t>[DM] Samsung Galaxy Watch8 40mm BT - Silver</t>
  </si>
  <si>
    <t>Stock ขาย</t>
  </si>
  <si>
    <t>Stock เคลม</t>
  </si>
  <si>
    <t>Total หน้าร้าน</t>
  </si>
  <si>
    <t>Stock ระบบ</t>
  </si>
  <si>
    <t>2101 TR 3040100</t>
  </si>
  <si>
    <t>Total ระบบ</t>
  </si>
  <si>
    <t>Diff</t>
  </si>
  <si>
    <t>A07</t>
  </si>
  <si>
    <t>A17</t>
  </si>
  <si>
    <t>S25FE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</si>
</sst>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_-;\-* #,##0_-;_-* &quot;-&quot;??_-;_-@"/>
    <numFmt numFmtId="165" formatCode="[$฿-41E]#,##0.00"/>
    <numFmt numFmtId="166" formatCode="d/m/yyyy h:mm:ss"/>
    <numFmt numFmtId="167" formatCode="dd/mm/yyyy"/>
    <numFmt numFmtId="168" formatCode="d/m/yyyy"/>
    <numFmt numFmtId="169" formatCode="dd/mm/yyyy h:mm:ss"/>
  </numFmts>
  <fonts count="69">
    <font>
      <sz val="10.0"/>
      <color rgb="FF000000"/>
      <name val="Arial"/>
      <scheme val="minor"/>
    </font>
    <font>
      <color rgb="FF000000"/>
      <name val="Tahoma"/>
    </font>
    <font>
      <sz val="14.0"/>
      <color rgb="FFFF0000"/>
      <name val="&quot;Samsung Sharp Sans Bold&quot;"/>
    </font>
    <font>
      <color theme="1"/>
      <name val="Tahoma"/>
    </font>
    <font>
      <b/>
      <sz val="11.0"/>
      <color theme="1"/>
      <name val="Tahoma"/>
    </font>
    <font>
      <sz val="11.0"/>
      <color rgb="FF000000"/>
      <name val="Calibri"/>
    </font>
    <font>
      <sz val="8.0"/>
      <color rgb="FFA6A6A6"/>
      <name val="Calibri"/>
    </font>
    <font>
      <sz val="36.0"/>
      <color theme="1"/>
      <name val="Tahoma"/>
    </font>
    <font/>
    <font>
      <sz val="14.0"/>
      <color rgb="FF000000"/>
      <name val="&quot;Samsung Sharp Sans Bold&quot;"/>
    </font>
    <font>
      <sz val="11.0"/>
      <color theme="1"/>
      <name val="Calibri"/>
    </font>
    <font>
      <sz val="11.0"/>
      <color rgb="FF000000"/>
      <name val="&quot;Samsung Sharp Sans Bold&quot;"/>
    </font>
    <font>
      <b/>
      <sz val="11.0"/>
      <color rgb="FFFFFFFF"/>
      <name val="Tahoma"/>
    </font>
    <font>
      <b/>
      <sz val="11.0"/>
      <color rgb="FFFF0000"/>
      <name val="Calibri"/>
    </font>
    <font>
      <b/>
      <sz val="12.0"/>
      <color rgb="FFFFFFFF"/>
      <name val="&quot;Samsung Sharp Sans Bold&quot;"/>
    </font>
    <font>
      <b/>
      <sz val="12.0"/>
      <color rgb="FFFFFFFF"/>
      <name val="Calibri"/>
    </font>
    <font>
      <b/>
      <sz val="17.0"/>
      <color rgb="FFFFFFFF"/>
      <name val="Calibri"/>
    </font>
    <font>
      <b/>
      <sz val="11.0"/>
      <color rgb="FF000000"/>
      <name val="Tahoma"/>
    </font>
    <font>
      <sz val="11.0"/>
      <color rgb="FF000000"/>
      <name val="&quot;Samsung Sharp Sans Regular&quot;"/>
    </font>
    <font>
      <color rgb="FF000000"/>
      <name val="Calibri"/>
    </font>
    <font>
      <u/>
      <sz val="11.0"/>
      <color rgb="FF0000FF"/>
      <name val="Calibri"/>
    </font>
    <font>
      <sz val="17.0"/>
      <color rgb="FF000000"/>
      <name val="Calibri"/>
    </font>
    <font>
      <sz val="11.0"/>
      <color rgb="FFFFFFFF"/>
      <name val="Tahoma"/>
    </font>
    <font>
      <sz val="11.0"/>
      <color rgb="FFFF0000"/>
      <name val="&quot;Samsung Sharp Sans Regular&quot;"/>
    </font>
    <font>
      <sz val="11.0"/>
      <color theme="1"/>
      <name val="Tahoma"/>
    </font>
    <font>
      <b/>
      <sz val="11.0"/>
      <color rgb="FFFF0000"/>
      <name val="Tahoma"/>
    </font>
    <font>
      <sz val="9.0"/>
      <color rgb="FF000000"/>
      <name val="&quot;Google Sans Mono&quot;"/>
    </font>
    <font>
      <sz val="11.0"/>
      <color theme="1"/>
      <name val="&quot;Samsung Sharp Sans Regular&quot;"/>
    </font>
    <font>
      <i/>
      <color rgb="FFFF0000"/>
      <name val="Calibri"/>
    </font>
    <font>
      <b/>
      <sz val="11.0"/>
      <color rgb="FF0C0C0C"/>
      <name val="Tahoma"/>
    </font>
    <font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b/>
      <sz val="17.0"/>
      <color rgb="FF000000"/>
      <name val="Calibri"/>
    </font>
    <font>
      <b/>
      <sz val="11.0"/>
      <color rgb="FF4285F4"/>
      <name val="Tahoma"/>
    </font>
    <font>
      <b/>
      <sz val="13.0"/>
      <color rgb="FFFF0000"/>
      <name val="Tahoma"/>
    </font>
    <font>
      <b/>
      <sz val="14.0"/>
      <color rgb="FFFF0000"/>
      <name val="Calibri"/>
    </font>
    <font>
      <b/>
      <sz val="11.0"/>
      <color rgb="FFFF0000"/>
      <name val="Comic Sans MS"/>
    </font>
    <font>
      <color rgb="FFFF0000"/>
      <name val="Arial"/>
      <scheme val="minor"/>
    </font>
    <font>
      <color theme="1"/>
      <name val="Calibri"/>
    </font>
    <font>
      <sz val="12.0"/>
      <color rgb="FF000000"/>
      <name val="&quot;Aptos Narrow&quot;"/>
    </font>
    <font>
      <b/>
      <sz val="12.0"/>
      <color rgb="FF000000"/>
      <name val="&quot;Aptos Narrow&quot;"/>
    </font>
    <font>
      <b/>
      <sz val="12.0"/>
      <color rgb="FF000000"/>
      <name val="Arial"/>
    </font>
    <font>
      <sz val="12.0"/>
      <color rgb="FF000000"/>
      <name val="Arial"/>
    </font>
    <font>
      <sz val="11.0"/>
      <color theme="1"/>
      <name val="Comic Sans MS"/>
    </font>
    <font>
      <b/>
      <sz val="11.0"/>
      <color rgb="FF4285F4"/>
      <name val="Comic Sans MS"/>
    </font>
    <font>
      <b/>
      <sz val="11.0"/>
      <color theme="1"/>
      <name val="Calibri"/>
    </font>
    <font>
      <b/>
      <sz val="32.0"/>
      <color rgb="FFFFFFFF"/>
      <name val="&quot;Bai Jamjuree&quot;"/>
    </font>
    <font>
      <b/>
      <sz val="32.0"/>
      <color rgb="FFFFFFFF"/>
      <name val="Bai Jamjuree"/>
    </font>
    <font>
      <color theme="1"/>
      <name val="Arial"/>
    </font>
    <font>
      <b/>
      <sz val="32.0"/>
      <color theme="1"/>
      <name val="Bai Jamjuree"/>
    </font>
    <font>
      <b/>
      <sz val="23.0"/>
      <color theme="1"/>
      <name val="Arial"/>
    </font>
    <font>
      <color theme="1"/>
      <name val="Bai Jamjuree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b/>
      <sz val="11.0"/>
      <color rgb="FFFFFFFF"/>
      <name val="Arial"/>
      <scheme val="minor"/>
    </font>
    <font>
      <sz val="12.0"/>
      <color rgb="FF000000"/>
      <name val="Tahoma"/>
    </font>
    <font>
      <b/>
      <sz val="12.0"/>
      <color theme="1"/>
      <name val="&quot;Ms Sans Serif&quot;"/>
    </font>
    <font>
      <sz val="6.0"/>
      <color rgb="FF000000"/>
      <name val="Tahoma"/>
    </font>
    <font>
      <color theme="1"/>
      <name val="&quot;Ms Sans Serif&quot;"/>
    </font>
    <font>
      <b/>
      <sz val="8.0"/>
      <color rgb="FF191970"/>
      <name val="&quot;MS Sans Serif&quot;"/>
    </font>
    <font>
      <sz val="6.0"/>
      <color rgb="FF000000"/>
      <name val="&quot;ms sans serif&quot;"/>
    </font>
    <font>
      <b/>
      <sz val="7.0"/>
      <color rgb="FF000000"/>
      <name val="Tahoma"/>
    </font>
    <font>
      <sz val="8.0"/>
      <color rgb="FF000000"/>
      <name val="&quot;MS Sans Serif&quot;"/>
    </font>
    <font>
      <b/>
      <sz val="6.0"/>
      <color rgb="FFFFFFFF"/>
      <name val="Tahoma"/>
    </font>
    <font>
      <b/>
      <color rgb="FF191970"/>
      <name val="Tahoma"/>
    </font>
    <font>
      <b/>
      <sz val="8.0"/>
      <color rgb="FF191970"/>
      <name val="Tahoma"/>
    </font>
    <font>
      <b/>
      <color theme="1"/>
      <name val="Tahoma"/>
    </font>
  </fonts>
  <fills count="19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305496"/>
        <bgColor rgb="FF305496"/>
      </patternFill>
    </fill>
    <fill>
      <patternFill patternType="solid">
        <fgColor rgb="FF0070C0"/>
        <bgColor rgb="FF0070C0"/>
      </patternFill>
    </fill>
    <fill>
      <patternFill patternType="solid">
        <fgColor rgb="FFFEF8E3"/>
        <bgColor rgb="FFFEF8E3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E598"/>
        <bgColor rgb="FFFFE598"/>
      </patternFill>
    </fill>
    <fill>
      <patternFill patternType="solid">
        <fgColor rgb="FF0000FF"/>
        <bgColor rgb="FF0000FF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6699CC"/>
        <bgColor rgb="FF6699CC"/>
      </patternFill>
    </fill>
    <fill>
      <patternFill patternType="solid">
        <fgColor rgb="FFBBBBBB"/>
        <bgColor rgb="FFBBBBBB"/>
      </patternFill>
    </fill>
  </fills>
  <borders count="67">
    <border/>
    <border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thin">
        <color rgb="FFA2BE96"/>
      </right>
      <top style="thin">
        <color rgb="FF000000"/>
      </top>
      <bottom style="thin">
        <color rgb="FFA2BE96"/>
      </bottom>
    </border>
    <border>
      <left style="thin">
        <color rgb="FFA2BE96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right style="thin">
        <color rgb="FF000000"/>
      </right>
      <top style="thin">
        <color rgb="FF0000FF"/>
      </top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right style="thin">
        <color rgb="FFA2BE96"/>
      </right>
      <top style="thin">
        <color rgb="FFA2BE96"/>
      </top>
    </border>
    <border>
      <left style="thin">
        <color rgb="FF0000FF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93C47D"/>
      </left>
      <right style="thin">
        <color rgb="FF93C47D"/>
      </right>
    </border>
    <border>
      <left style="thin">
        <color rgb="FF93C47D"/>
      </left>
      <right style="thin">
        <color rgb="FF93C47D"/>
      </right>
      <bottom style="thin">
        <color rgb="FF93C47D"/>
      </bottom>
    </border>
    <border>
      <left style="thin">
        <color rgb="FF93C47D"/>
      </left>
      <bottom style="thin">
        <color rgb="FF93C47D"/>
      </bottom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top style="thin">
        <color rgb="FF93C47D"/>
      </top>
      <bottom style="thin">
        <color rgb="FF93C47D"/>
      </bottom>
    </border>
    <border>
      <left style="thin">
        <color rgb="FF93C47D"/>
      </left>
      <right style="thin">
        <color rgb="FF93C47D"/>
      </right>
      <top style="thin">
        <color rgb="FF93C47D"/>
      </top>
    </border>
    <border>
      <left style="thin">
        <color rgb="FF003399"/>
      </left>
      <top style="thin">
        <color rgb="FF003399"/>
      </top>
      <bottom style="thin">
        <color rgb="FF003399"/>
      </bottom>
    </border>
    <border>
      <left style="thin">
        <color rgb="FF003399"/>
      </left>
      <bottom style="thin">
        <color rgb="FF003399"/>
      </bottom>
    </border>
    <border>
      <left style="thin">
        <color rgb="FF003399"/>
      </left>
      <right style="thin">
        <color rgb="FF003399"/>
      </right>
      <bottom style="thin">
        <color rgb="FF003399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7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3" xfId="0" applyAlignment="1" applyBorder="1" applyFont="1" applyNumberFormat="1">
      <alignment horizontal="left" shrinkToFit="0" vertical="bottom" wrapText="0"/>
    </xf>
    <xf borderId="0" fillId="0" fontId="3" numFmtId="0" xfId="0" applyAlignment="1" applyFont="1">
      <alignment horizontal="center" readingOrder="0"/>
    </xf>
    <xf borderId="2" fillId="2" fontId="4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horizontal="left" shrinkToFit="0" vertical="bottom" wrapText="0"/>
    </xf>
    <xf borderId="0" fillId="0" fontId="6" numFmtId="0" xfId="0" applyAlignment="1" applyFont="1">
      <alignment horizontal="center" shrinkToFit="0" vertical="bottom" wrapText="0"/>
    </xf>
    <xf borderId="3" fillId="2" fontId="7" numFmtId="49" xfId="0" applyAlignment="1" applyBorder="1" applyFill="1" applyFont="1" applyNumberFormat="1">
      <alignment horizontal="center" readingOrder="0"/>
    </xf>
    <xf borderId="0" fillId="0" fontId="5" numFmtId="0" xfId="0" applyAlignment="1" applyFont="1">
      <alignment horizontal="left" shrinkToFit="0" vertical="bottom" wrapText="0"/>
    </xf>
    <xf borderId="4" fillId="2" fontId="8" numFmtId="0" xfId="0" applyBorder="1" applyFill="1" applyFont="1"/>
    <xf borderId="0" fillId="0" fontId="5" numFmtId="0" xfId="0" applyAlignment="1" applyFont="1">
      <alignment horizontal="left" shrinkToFit="0" vertical="bottom" wrapText="0"/>
    </xf>
    <xf borderId="5" fillId="2" fontId="8" numFmtId="0" xfId="0" applyBorder="1" applyFill="1" applyFont="1"/>
    <xf borderId="6" fillId="0" fontId="9" numFmtId="3" xfId="0" applyAlignment="1" applyBorder="1" applyFont="1" applyNumberFormat="1">
      <alignment readingOrder="0" shrinkToFit="0" vertical="bottom" wrapText="0"/>
    </xf>
    <xf borderId="2" fillId="2" fontId="10" numFmtId="0" xfId="0" applyBorder="1" applyFill="1" applyFont="1"/>
    <xf borderId="7" fillId="0" fontId="8" numFmtId="0" xfId="0" applyBorder="1" applyFont="1"/>
    <xf borderId="6" fillId="0" fontId="9" numFmtId="3" xfId="0" applyAlignment="1" applyBorder="1" applyFont="1" applyNumberFormat="1">
      <alignment horizontal="left" readingOrder="0" shrinkToFit="0" vertical="bottom" wrapText="0"/>
    </xf>
    <xf borderId="7" fillId="0" fontId="11" numFmtId="3" xfId="0" applyAlignment="1" applyBorder="1" applyFont="1" applyNumberFormat="1">
      <alignment shrinkToFit="0" vertical="bottom" wrapText="0"/>
    </xf>
    <xf borderId="8" fillId="0" fontId="4" numFmtId="0" xfId="0" applyAlignment="1" applyBorder="1" applyFont="1">
      <alignment readingOrder="0"/>
    </xf>
    <xf borderId="7" fillId="0" fontId="11" numFmtId="0" xfId="0" applyAlignment="1" applyBorder="1" applyFont="1">
      <alignment horizontal="left" shrinkToFit="0" vertical="bottom" wrapText="0"/>
    </xf>
    <xf borderId="1" fillId="0" fontId="7" numFmtId="49" xfId="0" applyAlignment="1" applyBorder="1" applyFont="1" applyNumberFormat="1">
      <alignment horizontal="center" readingOrder="0"/>
    </xf>
    <xf borderId="7" fillId="0" fontId="11" numFmtId="3" xfId="0" applyAlignment="1" applyBorder="1" applyFont="1" applyNumberFormat="1">
      <alignment horizontal="left" shrinkToFit="0" vertical="bottom" wrapText="0"/>
    </xf>
    <xf borderId="1" fillId="0" fontId="8" numFmtId="0" xfId="0" applyBorder="1" applyFont="1"/>
    <xf borderId="9" fillId="0" fontId="11" numFmtId="3" xfId="0" applyAlignment="1" applyBorder="1" applyFont="1" applyNumberFormat="1">
      <alignment horizontal="center" shrinkToFit="0" vertical="bottom" wrapText="0"/>
    </xf>
    <xf borderId="2" fillId="3" fontId="12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horizontal="left" shrinkToFit="0" vertical="bottom" wrapText="0"/>
    </xf>
    <xf borderId="10" fillId="0" fontId="11" numFmtId="3" xfId="0" applyAlignment="1" applyBorder="1" applyFont="1" applyNumberFormat="1">
      <alignment horizontal="center" readingOrder="0" shrinkToFit="0" wrapText="0"/>
    </xf>
    <xf borderId="2" fillId="3" fontId="12" numFmtId="49" xfId="0" applyAlignment="1" applyBorder="1" applyFill="1" applyFont="1" applyNumberFormat="1">
      <alignment horizontal="center" shrinkToFit="0" wrapText="1"/>
    </xf>
    <xf borderId="10" fillId="0" fontId="11" numFmtId="0" xfId="0" applyAlignment="1" applyBorder="1" applyFont="1">
      <alignment horizontal="center" readingOrder="0" shrinkToFit="0" wrapText="0"/>
    </xf>
    <xf borderId="2" fillId="3" fontId="12" numFmtId="164" xfId="0" applyAlignment="1" applyBorder="1" applyFill="1" applyFont="1" applyNumberFormat="1">
      <alignment horizontal="center" shrinkToFit="0" wrapText="1"/>
    </xf>
    <xf borderId="6" fillId="4" fontId="14" numFmtId="0" xfId="0" applyAlignment="1" applyBorder="1" applyFill="1" applyFont="1">
      <alignment horizontal="left" readingOrder="0" shrinkToFit="0" wrapText="0"/>
    </xf>
    <xf borderId="2" fillId="3" fontId="4" numFmtId="164" xfId="0" applyAlignment="1" applyBorder="1" applyFill="1" applyFont="1" applyNumberFormat="1">
      <alignment horizontal="center" readingOrder="0" shrinkToFit="0" wrapText="1"/>
    </xf>
    <xf borderId="7" fillId="4" fontId="15" numFmtId="0" xfId="0" applyAlignment="1" applyBorder="1" applyFill="1" applyFont="1">
      <alignment horizontal="left" shrinkToFit="0" wrapText="0"/>
    </xf>
    <xf borderId="9" fillId="4" fontId="15" numFmtId="0" xfId="0" applyAlignment="1" applyBorder="1" applyFill="1" applyFont="1">
      <alignment horizontal="left" shrinkToFit="0" wrapText="0"/>
    </xf>
    <xf borderId="0" fillId="0" fontId="16" numFmtId="0" xfId="0" applyAlignment="1" applyFont="1">
      <alignment horizontal="center" readingOrder="0" shrinkToFit="0" vertical="bottom" wrapText="0"/>
    </xf>
    <xf borderId="2" fillId="3" fontId="17" numFmtId="3" xfId="0" applyAlignment="1" applyBorder="1" applyFill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wrapText="0"/>
    </xf>
    <xf borderId="10" fillId="0" fontId="18" numFmtId="3" xfId="0" applyAlignment="1" applyBorder="1" applyFont="1" applyNumberFormat="1">
      <alignment horizontal="left" readingOrder="0" shrinkToFit="0" wrapText="0"/>
    </xf>
    <xf borderId="2" fillId="3" fontId="17" numFmtId="3" xfId="0" applyAlignment="1" applyBorder="1" applyFill="1" applyFont="1" applyNumberFormat="1">
      <alignment horizontal="center" readingOrder="0" shrinkToFit="0" wrapText="1"/>
    </xf>
    <xf borderId="10" fillId="0" fontId="18" numFmtId="3" xfId="0" applyAlignment="1" applyBorder="1" applyFont="1" applyNumberFormat="1">
      <alignment horizontal="right" readingOrder="0" shrinkToFit="0" wrapText="0"/>
    </xf>
    <xf borderId="10" fillId="0" fontId="18" numFmtId="9" xfId="0" applyAlignment="1" applyBorder="1" applyFont="1" applyNumberFormat="1">
      <alignment horizontal="right" readingOrder="0" shrinkToFit="0" wrapText="0"/>
    </xf>
    <xf borderId="11" fillId="3" fontId="17" numFmtId="3" xfId="0" applyAlignment="1" applyBorder="1" applyFill="1" applyFont="1" applyNumberFormat="1">
      <alignment horizontal="center" readingOrder="0" shrinkToFit="0" vertical="center" wrapText="1"/>
    </xf>
    <xf borderId="6" fillId="0" fontId="18" numFmtId="3" xfId="0" applyAlignment="1" applyBorder="1" applyFont="1" applyNumberFormat="1">
      <alignment horizontal="right" readingOrder="0" shrinkToFit="0" wrapText="0"/>
    </xf>
    <xf borderId="10" fillId="0" fontId="18" numFmtId="3" xfId="0" applyAlignment="1" applyBorder="1" applyFont="1" applyNumberFormat="1">
      <alignment horizontal="center" shrinkToFit="0" wrapText="0"/>
    </xf>
    <xf borderId="0" fillId="0" fontId="16" numFmtId="3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19" numFmtId="0" xfId="0" applyAlignment="1" applyFont="1">
      <alignment horizontal="left" shrinkToFit="0" vertical="bottom" wrapText="0"/>
    </xf>
    <xf borderId="0" fillId="0" fontId="20" numFmtId="0" xfId="0" applyAlignment="1" applyFont="1">
      <alignment readingOrder="0" vertical="bottom"/>
    </xf>
    <xf borderId="6" fillId="0" fontId="18" numFmtId="0" xfId="0" applyAlignment="1" applyBorder="1" applyFont="1">
      <alignment horizontal="right" readingOrder="0" shrinkToFit="0" wrapText="0"/>
    </xf>
    <xf borderId="2" fillId="3" fontId="4" numFmtId="2" xfId="0" applyAlignment="1" applyBorder="1" applyFill="1" applyFont="1" applyNumberFormat="1">
      <alignment horizontal="center" shrinkToFit="0" vertical="center" wrapText="1"/>
    </xf>
    <xf borderId="0" fillId="0" fontId="21" numFmtId="3" xfId="0" applyAlignment="1" applyFont="1" applyNumberFormat="1">
      <alignment horizontal="right" readingOrder="0" shrinkToFit="0" vertical="bottom" wrapText="0"/>
    </xf>
    <xf borderId="0" fillId="0" fontId="10" numFmtId="0" xfId="0" applyFont="1"/>
    <xf borderId="2" fillId="3" fontId="10" numFmtId="0" xfId="0" applyAlignment="1" applyBorder="1" applyFill="1" applyFont="1">
      <alignment vertical="bottom"/>
    </xf>
    <xf borderId="10" fillId="5" fontId="17" numFmtId="0" xfId="0" applyAlignment="1" applyBorder="1" applyFill="1" applyFont="1">
      <alignment horizontal="center" readingOrder="0" shrinkToFit="0" wrapText="1"/>
    </xf>
    <xf borderId="0" fillId="0" fontId="21" numFmtId="0" xfId="0" applyAlignment="1" applyFont="1">
      <alignment horizontal="right" readingOrder="0" shrinkToFit="0" vertical="bottom" wrapText="0"/>
    </xf>
    <xf borderId="10" fillId="5" fontId="12" numFmtId="0" xfId="0" applyAlignment="1" applyBorder="1" applyFill="1" applyFont="1">
      <alignment horizontal="center" shrinkToFit="0" wrapText="1"/>
    </xf>
    <xf borderId="2" fillId="6" fontId="22" numFmtId="0" xfId="0" applyAlignment="1" applyBorder="1" applyFill="1" applyFont="1">
      <alignment readingOrder="0"/>
    </xf>
    <xf borderId="10" fillId="5" fontId="17" numFmtId="0" xfId="0" applyAlignment="1" applyBorder="1" applyFill="1" applyFont="1">
      <alignment horizontal="center" shrinkToFit="0" wrapText="1"/>
    </xf>
    <xf borderId="10" fillId="0" fontId="23" numFmtId="3" xfId="0" applyAlignment="1" applyBorder="1" applyFont="1" applyNumberFormat="1">
      <alignment horizontal="center" readingOrder="0" shrinkToFit="0" wrapText="0"/>
    </xf>
    <xf borderId="10" fillId="5" fontId="12" numFmtId="49" xfId="0" applyAlignment="1" applyBorder="1" applyFill="1" applyFont="1" applyNumberFormat="1">
      <alignment horizontal="center" shrinkToFit="0" wrapText="1"/>
    </xf>
    <xf borderId="10" fillId="5" fontId="17" numFmtId="49" xfId="0" applyAlignment="1" applyBorder="1" applyFill="1" applyFont="1" applyNumberFormat="1">
      <alignment horizontal="center" shrinkToFit="0" wrapText="1"/>
    </xf>
    <xf borderId="2" fillId="6" fontId="24" numFmtId="49" xfId="0" applyBorder="1" applyFill="1" applyFont="1" applyNumberFormat="1"/>
    <xf borderId="10" fillId="5" fontId="12" numFmtId="164" xfId="0" applyAlignment="1" applyBorder="1" applyFill="1" applyFont="1" applyNumberFormat="1">
      <alignment horizontal="center" shrinkToFit="0" wrapText="1"/>
    </xf>
    <xf borderId="10" fillId="5" fontId="17" numFmtId="49" xfId="0" applyAlignment="1" applyBorder="1" applyFill="1" applyFont="1" applyNumberFormat="1">
      <alignment horizontal="center" readingOrder="0" shrinkToFit="0" wrapText="1"/>
    </xf>
    <xf borderId="2" fillId="6" fontId="24" numFmtId="0" xfId="0" applyBorder="1" applyFill="1" applyFont="1"/>
    <xf borderId="10" fillId="7" fontId="4" numFmtId="164" xfId="0" applyAlignment="1" applyBorder="1" applyFill="1" applyFont="1" applyNumberFormat="1">
      <alignment horizontal="center" readingOrder="0" shrinkToFit="0" wrapText="1"/>
    </xf>
    <xf borderId="10" fillId="7" fontId="17" numFmtId="164" xfId="0" applyAlignment="1" applyBorder="1" applyFill="1" applyFont="1" applyNumberFormat="1">
      <alignment horizontal="center" readingOrder="0" shrinkToFit="0" wrapText="1"/>
    </xf>
    <xf borderId="2" fillId="6" fontId="24" numFmtId="164" xfId="0" applyBorder="1" applyFill="1" applyFont="1" applyNumberFormat="1"/>
    <xf borderId="0" fillId="7" fontId="17" numFmtId="164" xfId="0" applyAlignment="1" applyFill="1" applyFont="1" applyNumberFormat="1">
      <alignment horizontal="center" readingOrder="0" shrinkToFit="0" wrapText="1"/>
    </xf>
    <xf borderId="10" fillId="8" fontId="17" numFmtId="3" xfId="0" applyAlignment="1" applyBorder="1" applyFill="1" applyFont="1" applyNumberFormat="1">
      <alignment horizontal="center" readingOrder="0" shrinkToFit="0" vertical="center" wrapText="1"/>
    </xf>
    <xf borderId="2" fillId="6" fontId="25" numFmtId="164" xfId="0" applyAlignment="1" applyBorder="1" applyFill="1" applyFont="1" applyNumberFormat="1">
      <alignment horizontal="center" shrinkToFit="0" wrapText="1"/>
    </xf>
    <xf borderId="10" fillId="8" fontId="17" numFmtId="3" xfId="0" applyAlignment="1" applyBorder="1" applyFill="1" applyFont="1" applyNumberFormat="1">
      <alignment horizontal="center" readingOrder="0" shrinkToFit="0" wrapText="1"/>
    </xf>
    <xf borderId="12" fillId="0" fontId="18" numFmtId="3" xfId="0" applyAlignment="1" applyBorder="1" applyFont="1" applyNumberFormat="1">
      <alignment horizontal="center" readingOrder="0" shrinkToFit="0" wrapText="0"/>
    </xf>
    <xf borderId="2" fillId="6" fontId="25" numFmtId="164" xfId="0" applyAlignment="1" applyBorder="1" applyFill="1" applyFont="1" applyNumberFormat="1">
      <alignment horizontal="center" readingOrder="0" shrinkToFit="0" wrapText="1"/>
    </xf>
    <xf borderId="12" fillId="8" fontId="17" numFmtId="3" xfId="0" applyAlignment="1" applyBorder="1" applyFill="1" applyFont="1" applyNumberFormat="1">
      <alignment horizontal="center" readingOrder="0" shrinkToFit="0" vertical="center" wrapText="1"/>
    </xf>
    <xf borderId="13" fillId="0" fontId="8" numFmtId="0" xfId="0" applyBorder="1" applyFont="1"/>
    <xf borderId="3" fillId="6" fontId="25" numFmtId="3" xfId="0" applyAlignment="1" applyBorder="1" applyFill="1" applyFont="1" applyNumberFormat="1">
      <alignment horizontal="center" readingOrder="0" shrinkToFit="0" wrapText="1"/>
    </xf>
    <xf borderId="5" fillId="6" fontId="8" numFmtId="0" xfId="0" applyBorder="1" applyFill="1" applyFont="1"/>
    <xf borderId="10" fillId="0" fontId="18" numFmtId="0" xfId="0" applyAlignment="1" applyBorder="1" applyFont="1">
      <alignment horizontal="right" readingOrder="0" shrinkToFit="0" wrapText="0"/>
    </xf>
    <xf borderId="14" fillId="6" fontId="8" numFmtId="0" xfId="0" applyBorder="1" applyFill="1" applyFont="1"/>
    <xf borderId="6" fillId="4" fontId="14" numFmtId="3" xfId="0" applyAlignment="1" applyBorder="1" applyFill="1" applyFont="1" applyNumberFormat="1">
      <alignment horizontal="left" readingOrder="0" shrinkToFit="0" wrapText="0"/>
    </xf>
    <xf borderId="2" fillId="6" fontId="24" numFmtId="2" xfId="0" applyAlignment="1" applyBorder="1" applyFill="1" applyFont="1" applyNumberFormat="1">
      <alignment vertical="center"/>
    </xf>
    <xf borderId="7" fillId="4" fontId="15" numFmtId="3" xfId="0" applyAlignment="1" applyBorder="1" applyFill="1" applyFont="1" applyNumberFormat="1">
      <alignment horizontal="left" shrinkToFit="0" wrapText="0"/>
    </xf>
    <xf borderId="2" fillId="6" fontId="10" numFmtId="0" xfId="0" applyAlignment="1" applyBorder="1" applyFill="1" applyFont="1">
      <alignment vertical="bottom"/>
    </xf>
    <xf borderId="7" fillId="4" fontId="15" numFmtId="9" xfId="0" applyAlignment="1" applyBorder="1" applyFill="1" applyFont="1" applyNumberFormat="1">
      <alignment horizontal="left" shrinkToFit="0" wrapText="0"/>
    </xf>
    <xf borderId="10" fillId="9" fontId="17" numFmtId="3" xfId="0" applyAlignment="1" applyBorder="1" applyFill="1" applyFont="1" applyNumberFormat="1">
      <alignment horizontal="center" readingOrder="0" shrinkToFit="0" vertical="center" wrapText="1"/>
    </xf>
    <xf borderId="9" fillId="4" fontId="15" numFmtId="3" xfId="0" applyAlignment="1" applyBorder="1" applyFill="1" applyFont="1" applyNumberFormat="1">
      <alignment horizontal="left" shrinkToFit="0" wrapText="0"/>
    </xf>
    <xf borderId="0" fillId="3" fontId="26" numFmtId="0" xfId="0" applyFill="1" applyFont="1"/>
    <xf borderId="10" fillId="9" fontId="17" numFmtId="3" xfId="0" applyAlignment="1" applyBorder="1" applyFill="1" applyFont="1" applyNumberFormat="1">
      <alignment horizontal="center" readingOrder="0" shrinkToFit="0" wrapText="1"/>
    </xf>
    <xf borderId="12" fillId="0" fontId="27" numFmtId="3" xfId="0" applyAlignment="1" applyBorder="1" applyFont="1" applyNumberFormat="1">
      <alignment horizontal="center" readingOrder="0"/>
    </xf>
    <xf borderId="12" fillId="9" fontId="17" numFmtId="3" xfId="0" applyAlignment="1" applyBorder="1" applyFill="1" applyFont="1" applyNumberFormat="1">
      <alignment horizontal="center" readingOrder="0" shrinkToFit="0" vertical="center" wrapText="1"/>
    </xf>
    <xf borderId="0" fillId="0" fontId="28" numFmtId="0" xfId="0" applyAlignment="1" applyFont="1">
      <alignment horizontal="left" shrinkToFit="0" vertical="bottom" wrapText="0"/>
    </xf>
    <xf borderId="11" fillId="3" fontId="29" numFmtId="0" xfId="0" applyAlignment="1" applyBorder="1" applyFill="1" applyFont="1">
      <alignment horizontal="left" readingOrder="0" shrinkToFit="0" vertical="center" wrapText="1"/>
    </xf>
    <xf borderId="10" fillId="10" fontId="4" numFmtId="2" xfId="0" applyAlignment="1" applyBorder="1" applyFill="1" applyFont="1" applyNumberFormat="1">
      <alignment horizontal="center" shrinkToFit="0" vertical="center" wrapText="1"/>
    </xf>
    <xf borderId="0" fillId="0" fontId="30" numFmtId="0" xfId="0" applyFont="1"/>
    <xf borderId="2" fillId="3" fontId="29" numFmtId="49" xfId="0" applyAlignment="1" applyBorder="1" applyFill="1" applyFont="1" applyNumberFormat="1">
      <alignment readingOrder="0"/>
    </xf>
    <xf borderId="2" fillId="3" fontId="29" numFmtId="0" xfId="0" applyAlignment="1" applyBorder="1" applyFill="1" applyFont="1">
      <alignment readingOrder="0"/>
    </xf>
    <xf borderId="2" fillId="3" fontId="29" numFmtId="164" xfId="0" applyAlignment="1" applyBorder="1" applyFill="1" applyFont="1" applyNumberFormat="1">
      <alignment horizontal="right" readingOrder="0"/>
    </xf>
    <xf borderId="10" fillId="11" fontId="12" numFmtId="0" xfId="0" applyAlignment="1" applyBorder="1" applyFill="1" applyFont="1">
      <alignment horizontal="center" shrinkToFit="0" vertical="center" wrapText="1"/>
    </xf>
    <xf borderId="10" fillId="4" fontId="15" numFmtId="3" xfId="0" applyAlignment="1" applyBorder="1" applyFill="1" applyFont="1" applyNumberFormat="1">
      <alignment horizontal="left" shrinkToFit="0" wrapText="0"/>
    </xf>
    <xf borderId="0" fillId="0" fontId="10" numFmtId="0" xfId="0" applyAlignment="1" applyFont="1">
      <alignment vertical="bottom"/>
    </xf>
    <xf borderId="0" fillId="0" fontId="31" numFmtId="0" xfId="0" applyFont="1"/>
    <xf borderId="12" fillId="0" fontId="23" numFmtId="3" xfId="0" applyAlignment="1" applyBorder="1" applyFont="1" applyNumberFormat="1">
      <alignment horizontal="center" readingOrder="0"/>
    </xf>
    <xf borderId="12" fillId="5" fontId="22" numFmtId="0" xfId="0" applyAlignment="1" applyBorder="1" applyFill="1" applyFont="1">
      <alignment readingOrder="0"/>
    </xf>
    <xf borderId="2" fillId="3" fontId="4" numFmtId="164" xfId="0" applyAlignment="1" applyBorder="1" applyFill="1" applyFont="1" applyNumberFormat="1">
      <alignment horizontal="center" vertical="center"/>
    </xf>
    <xf borderId="12" fillId="5" fontId="24" numFmtId="49" xfId="0" applyBorder="1" applyFill="1" applyFont="1" applyNumberFormat="1"/>
    <xf borderId="10" fillId="0" fontId="32" numFmtId="0" xfId="0" applyBorder="1" applyFont="1"/>
    <xf borderId="12" fillId="5" fontId="24" numFmtId="0" xfId="0" applyBorder="1" applyFill="1" applyFont="1"/>
    <xf borderId="10" fillId="0" fontId="18" numFmtId="0" xfId="0" applyAlignment="1" applyBorder="1" applyFont="1">
      <alignment horizontal="left" readingOrder="0" shrinkToFit="0" wrapText="0"/>
    </xf>
    <xf borderId="12" fillId="5" fontId="24" numFmtId="164" xfId="0" applyBorder="1" applyFill="1" applyFont="1" applyNumberFormat="1"/>
    <xf borderId="10" fillId="0" fontId="32" numFmtId="0" xfId="0" applyAlignment="1" applyBorder="1" applyFont="1">
      <alignment horizontal="center"/>
    </xf>
    <xf borderId="10" fillId="7" fontId="25" numFmtId="164" xfId="0" applyAlignment="1" applyBorder="1" applyFill="1" applyFont="1" applyNumberFormat="1">
      <alignment horizontal="center" shrinkToFit="0" wrapText="1"/>
    </xf>
    <xf borderId="12" fillId="0" fontId="18" numFmtId="3" xfId="0" applyAlignment="1" applyBorder="1" applyFont="1" applyNumberFormat="1">
      <alignment horizontal="center" readingOrder="0"/>
    </xf>
    <xf borderId="10" fillId="0" fontId="32" numFmtId="49" xfId="0" applyAlignment="1" applyBorder="1" applyFont="1" applyNumberFormat="1">
      <alignment horizontal="center"/>
    </xf>
    <xf borderId="10" fillId="7" fontId="25" numFmtId="164" xfId="0" applyAlignment="1" applyBorder="1" applyFill="1" applyFont="1" applyNumberFormat="1">
      <alignment horizontal="center" readingOrder="0" shrinkToFit="0" wrapText="1"/>
    </xf>
    <xf borderId="0" fillId="0" fontId="32" numFmtId="0" xfId="0" applyFont="1"/>
    <xf borderId="6" fillId="8" fontId="25" numFmtId="3" xfId="0" applyAlignment="1" applyBorder="1" applyFill="1" applyFont="1" applyNumberFormat="1">
      <alignment horizontal="center" readingOrder="0" shrinkToFit="0" vertical="center" wrapText="1"/>
    </xf>
    <xf borderId="9" fillId="0" fontId="8" numFmtId="0" xfId="0" applyBorder="1" applyFont="1"/>
    <xf borderId="15" fillId="0" fontId="8" numFmtId="0" xfId="0" applyBorder="1" applyFont="1"/>
    <xf borderId="0" fillId="0" fontId="26" numFmtId="0" xfId="0" applyFont="1"/>
    <xf borderId="2" fillId="3" fontId="4" numFmtId="164" xfId="0" applyAlignment="1" applyBorder="1" applyFill="1" applyFont="1" applyNumberFormat="1">
      <alignment readingOrder="0"/>
    </xf>
    <xf borderId="2" fillId="3" fontId="25" numFmtId="3" xfId="0" applyAlignment="1" applyBorder="1" applyFill="1" applyFont="1" applyNumberFormat="1">
      <alignment readingOrder="0"/>
    </xf>
    <xf borderId="2" fillId="3" fontId="25" numFmtId="3" xfId="0" applyBorder="1" applyFill="1" applyFont="1" applyNumberFormat="1"/>
    <xf borderId="10" fillId="8" fontId="25" numFmtId="3" xfId="0" applyAlignment="1" applyBorder="1" applyFill="1" applyFont="1" applyNumberFormat="1">
      <alignment horizontal="center" readingOrder="0" shrinkToFit="0" vertical="center" wrapText="1"/>
    </xf>
    <xf quotePrefix="1" borderId="2" fillId="3" fontId="25" numFmtId="0" xfId="0" applyAlignment="1" applyBorder="1" applyFill="1" applyFont="1">
      <alignment horizontal="center" readingOrder="0" vertical="center"/>
    </xf>
    <xf borderId="0" fillId="0" fontId="5" numFmtId="9" xfId="0" applyAlignment="1" applyFont="1" applyNumberFormat="1">
      <alignment horizontal="left" shrinkToFit="0" vertical="bottom" wrapText="0"/>
    </xf>
    <xf borderId="6" fillId="9" fontId="25" numFmtId="3" xfId="0" applyAlignment="1" applyBorder="1" applyFill="1" applyFont="1" applyNumberFormat="1">
      <alignment horizontal="center" readingOrder="0" shrinkToFit="0" wrapText="1"/>
    </xf>
    <xf borderId="11" fillId="3" fontId="10" numFmtId="2" xfId="0" applyBorder="1" applyFill="1" applyFont="1" applyNumberFormat="1"/>
    <xf borderId="12" fillId="10" fontId="24" numFmtId="2" xfId="0" applyAlignment="1" applyBorder="1" applyFill="1" applyFont="1" applyNumberFormat="1">
      <alignment vertical="center"/>
    </xf>
    <xf borderId="10" fillId="12" fontId="24" numFmtId="0" xfId="0" applyAlignment="1" applyBorder="1" applyFill="1" applyFont="1">
      <alignment vertical="center"/>
    </xf>
    <xf borderId="0" fillId="0" fontId="10" numFmtId="0" xfId="0" applyAlignment="1" applyFont="1">
      <alignment horizontal="left" vertical="bottom"/>
    </xf>
    <xf borderId="10" fillId="0" fontId="33" numFmtId="0" xfId="0" applyBorder="1" applyFont="1"/>
    <xf borderId="2" fillId="6" fontId="29" numFmtId="49" xfId="0" applyAlignment="1" applyBorder="1" applyFill="1" applyFont="1" applyNumberFormat="1">
      <alignment readingOrder="0"/>
    </xf>
    <xf borderId="16" fillId="3" fontId="29" numFmtId="0" xfId="0" applyAlignment="1" applyBorder="1" applyFill="1" applyFont="1">
      <alignment horizontal="left" readingOrder="0" shrinkToFit="0" vertical="center" wrapText="1"/>
    </xf>
    <xf borderId="10" fillId="0" fontId="33" numFmtId="49" xfId="0" applyBorder="1" applyFont="1" applyNumberFormat="1"/>
    <xf borderId="2" fillId="6" fontId="29" numFmtId="0" xfId="0" applyBorder="1" applyFill="1" applyFont="1"/>
    <xf borderId="2" fillId="6" fontId="29" numFmtId="164" xfId="0" applyAlignment="1" applyBorder="1" applyFill="1" applyFont="1" applyNumberFormat="1">
      <alignment horizontal="right" readingOrder="0"/>
    </xf>
    <xf borderId="0" fillId="0" fontId="28" numFmtId="0" xfId="0" applyAlignment="1" applyFont="1">
      <alignment horizontal="left" shrinkToFit="0" vertical="bottom" wrapText="0"/>
    </xf>
    <xf borderId="2" fillId="6" fontId="4" numFmtId="164" xfId="0" applyAlignment="1" applyBorder="1" applyFill="1" applyFont="1" applyNumberFormat="1">
      <alignment horizontal="center" vertical="center"/>
    </xf>
    <xf borderId="2" fillId="6" fontId="4" numFmtId="164" xfId="0" applyAlignment="1" applyBorder="1" applyFill="1" applyFont="1" applyNumberFormat="1">
      <alignment readingOrder="0"/>
    </xf>
    <xf borderId="2" fillId="6" fontId="25" numFmtId="3" xfId="0" applyAlignment="1" applyBorder="1" applyFill="1" applyFont="1" applyNumberFormat="1">
      <alignment readingOrder="0"/>
    </xf>
    <xf borderId="2" fillId="6" fontId="25" numFmtId="3" xfId="0" applyBorder="1" applyFill="1" applyFont="1" applyNumberFormat="1"/>
    <xf borderId="10" fillId="0" fontId="33" numFmtId="3" xfId="0" applyBorder="1" applyFont="1" applyNumberFormat="1"/>
    <xf borderId="2" fillId="6" fontId="25" numFmtId="0" xfId="0" applyAlignment="1" applyBorder="1" applyFill="1" applyFont="1">
      <alignment horizontal="center" readingOrder="0" vertical="center"/>
    </xf>
    <xf borderId="17" fillId="6" fontId="8" numFmtId="0" xfId="0" applyBorder="1" applyFill="1" applyFont="1"/>
    <xf borderId="0" fillId="0" fontId="21" numFmtId="3" xfId="0" applyAlignment="1" applyFont="1" applyNumberFormat="1">
      <alignment horizontal="left" readingOrder="0" shrinkToFit="0" vertical="bottom" wrapText="0"/>
    </xf>
    <xf borderId="0" fillId="0" fontId="34" numFmtId="9" xfId="0" applyAlignment="1" applyFont="1" applyNumberFormat="1">
      <alignment horizontal="center" readingOrder="0" shrinkToFit="0" vertical="bottom" wrapText="0"/>
    </xf>
    <xf borderId="0" fillId="0" fontId="21" numFmtId="3" xfId="0" applyAlignment="1" applyFont="1" applyNumberFormat="1">
      <alignment horizontal="center" readingOrder="0" shrinkToFit="0" vertical="bottom" wrapText="0"/>
    </xf>
    <xf borderId="0" fillId="0" fontId="19" numFmtId="3" xfId="0" applyAlignment="1" applyFont="1" applyNumberFormat="1">
      <alignment horizontal="left" shrinkToFit="0" vertical="bottom" wrapText="0"/>
    </xf>
    <xf borderId="10" fillId="0" fontId="33" numFmtId="0" xfId="0" applyAlignment="1" applyBorder="1" applyFont="1">
      <alignment readingOrder="0"/>
    </xf>
    <xf borderId="0" fillId="0" fontId="19" numFmtId="0" xfId="0" applyAlignment="1" applyFont="1">
      <alignment horizontal="left" shrinkToFit="0" vertical="bottom" wrapText="0"/>
    </xf>
    <xf borderId="0" fillId="0" fontId="33" numFmtId="0" xfId="0" applyAlignment="1" applyFont="1">
      <alignment readingOrder="0"/>
    </xf>
    <xf borderId="9" fillId="13" fontId="4" numFmtId="164" xfId="0" applyAlignment="1" applyBorder="1" applyFill="1" applyFont="1" applyNumberFormat="1">
      <alignment horizontal="center" vertical="center"/>
    </xf>
    <xf borderId="10" fillId="13" fontId="4" numFmtId="164" xfId="0" applyAlignment="1" applyBorder="1" applyFill="1" applyFont="1" applyNumberFormat="1">
      <alignment readingOrder="0"/>
    </xf>
    <xf borderId="0" fillId="0" fontId="19" numFmtId="9" xfId="0" applyAlignment="1" applyFont="1" applyNumberFormat="1">
      <alignment horizontal="left" shrinkToFit="0" vertical="bottom" wrapText="0"/>
    </xf>
    <xf borderId="18" fillId="8" fontId="25" numFmtId="3" xfId="0" applyAlignment="1" applyBorder="1" applyFill="1" applyFont="1" applyNumberFormat="1">
      <alignment horizontal="center" readingOrder="0" vertical="center"/>
    </xf>
    <xf borderId="2" fillId="3" fontId="25" numFmtId="0" xfId="0" applyAlignment="1" applyBorder="1" applyFill="1" applyFont="1">
      <alignment horizontal="center" readingOrder="0" vertical="center"/>
    </xf>
    <xf borderId="0" fillId="8" fontId="25" numFmtId="3" xfId="0" applyAlignment="1" applyFill="1" applyFont="1" applyNumberFormat="1">
      <alignment horizontal="center" readingOrder="0" vertical="center"/>
    </xf>
    <xf borderId="17" fillId="3" fontId="8" numFmtId="0" xfId="0" applyBorder="1" applyFill="1" applyFont="1"/>
    <xf quotePrefix="1" borderId="19" fillId="8" fontId="35" numFmtId="0" xfId="0" applyAlignment="1" applyBorder="1" applyFill="1" applyFont="1">
      <alignment horizontal="center" readingOrder="0" shrinkToFit="0" vertical="center" wrapText="1"/>
    </xf>
    <xf borderId="20" fillId="8" fontId="25" numFmtId="3" xfId="0" applyAlignment="1" applyBorder="1" applyFill="1" applyFont="1" applyNumberFormat="1">
      <alignment horizontal="center" readingOrder="0" vertical="center"/>
    </xf>
    <xf borderId="21" fillId="8" fontId="25" numFmtId="3" xfId="0" applyAlignment="1" applyBorder="1" applyFill="1" applyFont="1" applyNumberFormat="1">
      <alignment horizontal="center" readingOrder="0" vertical="center"/>
    </xf>
    <xf borderId="0" fillId="8" fontId="25" numFmtId="9" xfId="0" applyAlignment="1" applyFill="1" applyFont="1" applyNumberFormat="1">
      <alignment horizontal="center" readingOrder="0" vertical="center"/>
    </xf>
    <xf borderId="22" fillId="8" fontId="25" numFmtId="3" xfId="0" applyAlignment="1" applyBorder="1" applyFill="1" applyFont="1" applyNumberFormat="1">
      <alignment horizontal="center" readingOrder="0" vertical="center"/>
    </xf>
    <xf borderId="23" fillId="9" fontId="25" numFmtId="3" xfId="0" applyAlignment="1" applyBorder="1" applyFill="1" applyFont="1" applyNumberFormat="1">
      <alignment readingOrder="0"/>
    </xf>
    <xf borderId="23" fillId="9" fontId="25" numFmtId="3" xfId="0" applyBorder="1" applyFill="1" applyFont="1" applyNumberFormat="1"/>
    <xf borderId="1" fillId="9" fontId="25" numFmtId="3" xfId="0" applyBorder="1" applyFill="1" applyFont="1" applyNumberFormat="1"/>
    <xf borderId="24" fillId="0" fontId="10" numFmtId="2" xfId="0" applyBorder="1" applyFont="1" applyNumberFormat="1"/>
    <xf borderId="12" fillId="3" fontId="36" numFmtId="0" xfId="0" applyAlignment="1" applyBorder="1" applyFill="1" applyFont="1">
      <alignment horizontal="center" readingOrder="0" vertical="center"/>
    </xf>
    <xf borderId="12" fillId="0" fontId="37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readingOrder="0" vertical="center"/>
    </xf>
    <xf borderId="25" fillId="0" fontId="8" numFmtId="0" xfId="0" applyBorder="1" applyFont="1"/>
    <xf borderId="2" fillId="3" fontId="29" numFmtId="0" xfId="0" applyBorder="1" applyFill="1" applyFont="1"/>
    <xf borderId="26" fillId="8" fontId="25" numFmtId="3" xfId="0" applyAlignment="1" applyBorder="1" applyFill="1" applyFont="1" applyNumberFormat="1">
      <alignment horizontal="center" readingOrder="0" vertical="center"/>
    </xf>
    <xf borderId="19" fillId="0" fontId="8" numFmtId="0" xfId="0" applyBorder="1" applyFont="1"/>
    <xf borderId="27" fillId="0" fontId="10" numFmtId="2" xfId="0" applyBorder="1" applyFont="1" applyNumberFormat="1"/>
    <xf borderId="13" fillId="0" fontId="10" numFmtId="0" xfId="0" applyAlignment="1" applyBorder="1" applyFont="1">
      <alignment readingOrder="0" vertical="center"/>
    </xf>
    <xf borderId="28" fillId="8" fontId="25" numFmtId="3" xfId="0" applyAlignment="1" applyBorder="1" applyFill="1" applyFont="1" applyNumberFormat="1">
      <alignment horizontal="center" readingOrder="0" vertical="center"/>
    </xf>
    <xf borderId="29" fillId="0" fontId="8" numFmtId="0" xfId="0" applyBorder="1" applyFont="1"/>
    <xf borderId="11" fillId="3" fontId="29" numFmtId="49" xfId="0" applyAlignment="1" applyBorder="1" applyFill="1" applyFont="1" applyNumberFormat="1">
      <alignment readingOrder="0"/>
    </xf>
    <xf borderId="17" fillId="3" fontId="29" numFmtId="0" xfId="0" applyAlignment="1" applyBorder="1" applyFill="1" applyFont="1">
      <alignment readingOrder="0"/>
    </xf>
    <xf borderId="30" fillId="3" fontId="29" numFmtId="164" xfId="0" applyAlignment="1" applyBorder="1" applyFill="1" applyFont="1" applyNumberFormat="1">
      <alignment horizontal="right" readingOrder="0"/>
    </xf>
    <xf borderId="31" fillId="3" fontId="29" numFmtId="49" xfId="0" applyAlignment="1" applyBorder="1" applyFill="1" applyFont="1" applyNumberFormat="1">
      <alignment readingOrder="0"/>
    </xf>
    <xf borderId="31" fillId="3" fontId="29" numFmtId="0" xfId="0" applyAlignment="1" applyBorder="1" applyFill="1" applyFont="1">
      <alignment readingOrder="0"/>
    </xf>
    <xf borderId="32" fillId="3" fontId="29" numFmtId="164" xfId="0" applyAlignment="1" applyBorder="1" applyFill="1" applyFont="1" applyNumberFormat="1">
      <alignment horizontal="right" readingOrder="0"/>
    </xf>
    <xf borderId="2" fillId="3" fontId="4" numFmtId="164" xfId="0" applyBorder="1" applyFill="1" applyFont="1" applyNumberFormat="1"/>
    <xf borderId="11" fillId="3" fontId="25" numFmtId="2" xfId="0" applyAlignment="1" applyBorder="1" applyFill="1" applyFont="1" applyNumberFormat="1">
      <alignment horizontal="center" readingOrder="0" vertical="center"/>
    </xf>
    <xf borderId="33" fillId="3" fontId="29" numFmtId="49" xfId="0" applyAlignment="1" applyBorder="1" applyFill="1" applyFont="1" applyNumberFormat="1">
      <alignment readingOrder="0"/>
    </xf>
    <xf borderId="33" fillId="3" fontId="29" numFmtId="0" xfId="0" applyBorder="1" applyFill="1" applyFont="1"/>
    <xf borderId="2" fillId="6" fontId="29" numFmtId="0" xfId="0" applyAlignment="1" applyBorder="1" applyFill="1" applyFont="1">
      <alignment readingOrder="0"/>
    </xf>
    <xf borderId="34" fillId="3" fontId="29" numFmtId="164" xfId="0" applyAlignment="1" applyBorder="1" applyFill="1" applyFont="1" applyNumberFormat="1">
      <alignment horizontal="right" readingOrder="0"/>
    </xf>
    <xf borderId="2" fillId="6" fontId="4" numFmtId="164" xfId="0" applyBorder="1" applyFill="1" applyFont="1" applyNumberFormat="1"/>
    <xf borderId="14" fillId="3" fontId="29" numFmtId="49" xfId="0" applyAlignment="1" applyBorder="1" applyFill="1" applyFont="1" applyNumberFormat="1">
      <alignment readingOrder="0"/>
    </xf>
    <xf borderId="14" fillId="3" fontId="29" numFmtId="0" xfId="0" applyAlignment="1" applyBorder="1" applyFill="1" applyFont="1">
      <alignment readingOrder="0"/>
    </xf>
    <xf borderId="35" fillId="3" fontId="29" numFmtId="164" xfId="0" applyAlignment="1" applyBorder="1" applyFill="1" applyFont="1" applyNumberFormat="1">
      <alignment horizontal="right" readingOrder="0"/>
    </xf>
    <xf borderId="0" fillId="0" fontId="31" numFmtId="0" xfId="0" applyAlignment="1" applyFont="1">
      <alignment readingOrder="0"/>
    </xf>
    <xf borderId="11" fillId="3" fontId="4" numFmtId="0" xfId="0" applyAlignment="1" applyBorder="1" applyFill="1" applyFont="1">
      <alignment horizontal="left" readingOrder="0" vertical="center"/>
    </xf>
    <xf borderId="2" fillId="3" fontId="4" numFmtId="49" xfId="0" applyAlignment="1" applyBorder="1" applyFill="1" applyFont="1" applyNumberFormat="1">
      <alignment horizontal="left" readingOrder="0" vertical="bottom"/>
    </xf>
    <xf borderId="2" fillId="3" fontId="4" numFmtId="3" xfId="0" applyAlignment="1" applyBorder="1" applyFill="1" applyFont="1" applyNumberFormat="1">
      <alignment horizontal="right" readingOrder="0" vertical="bottom"/>
    </xf>
    <xf borderId="2" fillId="3" fontId="25" numFmtId="3" xfId="0" applyAlignment="1" applyBorder="1" applyFill="1" applyFont="1" applyNumberFormat="1">
      <alignment horizontal="right" readingOrder="0" vertical="bottom"/>
    </xf>
    <xf borderId="2" fillId="6" fontId="4" numFmtId="49" xfId="0" applyAlignment="1" applyBorder="1" applyFill="1" applyFont="1" applyNumberFormat="1">
      <alignment horizontal="left" readingOrder="0" vertical="bottom"/>
    </xf>
    <xf borderId="2" fillId="6" fontId="4" numFmtId="3" xfId="0" applyAlignment="1" applyBorder="1" applyFill="1" applyFont="1" applyNumberFormat="1">
      <alignment horizontal="right" readingOrder="0" vertical="bottom"/>
    </xf>
    <xf borderId="2" fillId="6" fontId="25" numFmtId="3" xfId="0" applyAlignment="1" applyBorder="1" applyFill="1" applyFont="1" applyNumberFormat="1">
      <alignment horizontal="right" readingOrder="0" vertical="bottom"/>
    </xf>
    <xf borderId="2" fillId="3" fontId="4" numFmtId="0" xfId="0" applyAlignment="1" applyBorder="1" applyFill="1" applyFont="1">
      <alignment horizontal="left" readingOrder="0" vertical="center"/>
    </xf>
    <xf borderId="36" fillId="3" fontId="29" numFmtId="164" xfId="0" applyAlignment="1" applyBorder="1" applyFill="1" applyFont="1" applyNumberFormat="1">
      <alignment horizontal="right" readingOrder="0"/>
    </xf>
    <xf borderId="11" fillId="6" fontId="4" numFmtId="0" xfId="0" applyAlignment="1" applyBorder="1" applyFill="1" applyFont="1">
      <alignment horizontal="left" readingOrder="0" vertical="center"/>
    </xf>
    <xf borderId="16" fillId="0" fontId="29" numFmtId="0" xfId="0" applyAlignment="1" applyBorder="1" applyFont="1">
      <alignment horizontal="left" readingOrder="0" shrinkToFit="0" vertical="center" wrapText="1"/>
    </xf>
    <xf borderId="31" fillId="0" fontId="29" numFmtId="49" xfId="0" applyAlignment="1" applyBorder="1" applyFont="1" applyNumberFormat="1">
      <alignment readingOrder="0"/>
    </xf>
    <xf borderId="32" fillId="0" fontId="29" numFmtId="164" xfId="0" applyAlignment="1" applyBorder="1" applyFont="1" applyNumberFormat="1">
      <alignment horizontal="right" readingOrder="0"/>
    </xf>
    <xf borderId="2" fillId="6" fontId="25" numFmtId="0" xfId="0" applyAlignment="1" applyBorder="1" applyFill="1" applyFont="1">
      <alignment horizontal="center" readingOrder="0" shrinkToFit="0" wrapText="1"/>
    </xf>
    <xf borderId="19" fillId="8" fontId="35" numFmtId="0" xfId="0" applyAlignment="1" applyBorder="1" applyFill="1" applyFont="1">
      <alignment horizontal="center" readingOrder="0" shrinkToFit="0" vertical="center" wrapText="1"/>
    </xf>
    <xf borderId="14" fillId="3" fontId="8" numFmtId="0" xfId="0" applyBorder="1" applyFill="1" applyFont="1"/>
    <xf quotePrefix="1" borderId="19" fillId="8" fontId="25" numFmtId="0" xfId="0" applyAlignment="1" applyBorder="1" applyFill="1" applyFont="1">
      <alignment horizontal="center" readingOrder="0" shrinkToFit="0" vertical="center" wrapText="1"/>
    </xf>
    <xf borderId="2" fillId="3" fontId="25" numFmtId="0" xfId="0" applyAlignment="1" applyBorder="1" applyFill="1" applyFont="1">
      <alignment horizontal="center" readingOrder="0" shrinkToFit="0" wrapText="1"/>
    </xf>
    <xf borderId="10" fillId="9" fontId="25" numFmtId="3" xfId="0" applyAlignment="1" applyBorder="1" applyFill="1" applyFont="1" applyNumberFormat="1">
      <alignment readingOrder="0"/>
    </xf>
    <xf borderId="10" fillId="9" fontId="25" numFmtId="3" xfId="0" applyBorder="1" applyFill="1" applyFont="1" applyNumberFormat="1"/>
    <xf borderId="6" fillId="9" fontId="25" numFmtId="0" xfId="0" applyAlignment="1" applyBorder="1" applyFill="1" applyFont="1">
      <alignment horizontal="center" readingOrder="0" vertical="center"/>
    </xf>
    <xf borderId="12" fillId="0" fontId="38" numFmtId="0" xfId="0" applyAlignment="1" applyBorder="1" applyFont="1">
      <alignment horizontal="center" readingOrder="0" shrinkToFit="0" vertical="center" wrapText="1"/>
    </xf>
    <xf borderId="33" fillId="0" fontId="29" numFmtId="49" xfId="0" applyAlignment="1" applyBorder="1" applyFont="1" applyNumberFormat="1">
      <alignment readingOrder="0"/>
    </xf>
    <xf borderId="33" fillId="3" fontId="29" numFmtId="0" xfId="0" applyAlignment="1" applyBorder="1" applyFill="1" applyFont="1">
      <alignment readingOrder="0"/>
    </xf>
    <xf borderId="34" fillId="0" fontId="29" numFmtId="164" xfId="0" applyAlignment="1" applyBorder="1" applyFont="1" applyNumberFormat="1">
      <alignment horizontal="right" readingOrder="0"/>
    </xf>
    <xf borderId="10" fillId="13" fontId="4" numFmtId="164" xfId="0" applyBorder="1" applyFill="1" applyFont="1" applyNumberFormat="1"/>
    <xf borderId="16" fillId="0" fontId="4" numFmtId="0" xfId="0" applyAlignment="1" applyBorder="1" applyFont="1">
      <alignment horizontal="left" readingOrder="0" vertical="center"/>
    </xf>
    <xf borderId="10" fillId="0" fontId="31" numFmtId="0" xfId="0" applyAlignment="1" applyBorder="1" applyFont="1">
      <alignment readingOrder="0"/>
    </xf>
    <xf borderId="31" fillId="0" fontId="4" numFmtId="49" xfId="0" applyAlignment="1" applyBorder="1" applyFont="1" applyNumberFormat="1">
      <alignment horizontal="left" readingOrder="0" vertical="bottom"/>
    </xf>
    <xf borderId="32" fillId="0" fontId="4" numFmtId="3" xfId="0" applyAlignment="1" applyBorder="1" applyFont="1" applyNumberFormat="1">
      <alignment horizontal="right" readingOrder="0" vertical="bottom"/>
    </xf>
    <xf borderId="10" fillId="9" fontId="25" numFmtId="3" xfId="0" applyAlignment="1" applyBorder="1" applyFill="1" applyFont="1" applyNumberFormat="1">
      <alignment horizontal="right" readingOrder="0" vertical="bottom"/>
    </xf>
    <xf borderId="37" fillId="9" fontId="25" numFmtId="0" xfId="0" applyAlignment="1" applyBorder="1" applyFill="1" applyFont="1">
      <alignment horizontal="center" readingOrder="0" vertical="center"/>
    </xf>
    <xf borderId="10" fillId="3" fontId="36" numFmtId="0" xfId="0" applyAlignment="1" applyBorder="1" applyFill="1" applyFont="1">
      <alignment horizontal="center" readingOrder="0" vertical="center"/>
    </xf>
    <xf borderId="10" fillId="0" fontId="37" numFmtId="0" xfId="0" applyAlignment="1" applyBorder="1" applyFont="1">
      <alignment horizontal="center" readingOrder="0" vertical="center"/>
    </xf>
    <xf borderId="2" fillId="0" fontId="4" numFmtId="49" xfId="0" applyAlignment="1" applyBorder="1" applyFont="1" applyNumberFormat="1">
      <alignment horizontal="left" readingOrder="0" vertical="bottom"/>
    </xf>
    <xf borderId="2" fillId="0" fontId="29" numFmtId="0" xfId="0" applyAlignment="1" applyBorder="1" applyFont="1">
      <alignment readingOrder="0"/>
    </xf>
    <xf borderId="36" fillId="0" fontId="4" numFmtId="3" xfId="0" applyAlignment="1" applyBorder="1" applyFont="1" applyNumberFormat="1">
      <alignment horizontal="right" readingOrder="0" vertical="bottom"/>
    </xf>
    <xf borderId="11" fillId="0" fontId="4" numFmtId="49" xfId="0" applyAlignment="1" applyBorder="1" applyFont="1" applyNumberFormat="1">
      <alignment horizontal="left" readingOrder="0" vertical="bottom"/>
    </xf>
    <xf borderId="10" fillId="0" fontId="30" numFmtId="0" xfId="0" applyAlignment="1" applyBorder="1" applyFont="1">
      <alignment readingOrder="0"/>
    </xf>
    <xf borderId="0" fillId="0" fontId="30" numFmtId="0" xfId="0" applyAlignment="1" applyFont="1">
      <alignment readingOrder="0"/>
    </xf>
    <xf borderId="0" fillId="0" fontId="39" numFmtId="0" xfId="0" applyAlignment="1" applyFont="1">
      <alignment readingOrder="0"/>
    </xf>
    <xf borderId="31" fillId="0" fontId="29" numFmtId="0" xfId="0" applyAlignment="1" applyBorder="1" applyFont="1">
      <alignment readingOrder="0"/>
    </xf>
    <xf borderId="11" fillId="0" fontId="29" numFmtId="0" xfId="0" applyBorder="1" applyFont="1"/>
    <xf borderId="30" fillId="0" fontId="4" numFmtId="3" xfId="0" applyAlignment="1" applyBorder="1" applyFont="1" applyNumberFormat="1">
      <alignment horizontal="right" readingOrder="0" vertical="bottom"/>
    </xf>
    <xf borderId="11" fillId="3" fontId="17" numFmtId="0" xfId="0" applyAlignment="1" applyBorder="1" applyFill="1" applyFont="1">
      <alignment horizontal="left" readingOrder="0" vertical="center"/>
    </xf>
    <xf borderId="2" fillId="3" fontId="4" numFmtId="49" xfId="0" applyAlignment="1" applyBorder="1" applyFill="1" applyFont="1" applyNumberFormat="1">
      <alignment readingOrder="0"/>
    </xf>
    <xf borderId="2" fillId="3" fontId="4" numFmtId="0" xfId="0" applyAlignment="1" applyBorder="1" applyFill="1" applyFont="1">
      <alignment readingOrder="0" shrinkToFit="0" wrapText="1"/>
    </xf>
    <xf borderId="2" fillId="3" fontId="4" numFmtId="3" xfId="0" applyAlignment="1" applyBorder="1" applyFill="1" applyFont="1" applyNumberFormat="1">
      <alignment horizontal="right" readingOrder="0"/>
    </xf>
    <xf borderId="2" fillId="3" fontId="4" numFmtId="0" xfId="0" applyAlignment="1" applyBorder="1" applyFill="1" applyFont="1">
      <alignment horizontal="right"/>
    </xf>
    <xf borderId="2" fillId="3" fontId="25" numFmtId="3" xfId="0" applyAlignment="1" applyBorder="1" applyFill="1" applyFont="1" applyNumberFormat="1">
      <alignment horizontal="right" readingOrder="0"/>
    </xf>
    <xf borderId="2" fillId="3" fontId="25" numFmtId="3" xfId="0" applyAlignment="1" applyBorder="1" applyFill="1" applyFont="1" applyNumberFormat="1">
      <alignment horizontal="right"/>
    </xf>
    <xf borderId="2" fillId="3" fontId="10" numFmtId="2" xfId="0" applyBorder="1" applyFill="1" applyFont="1" applyNumberFormat="1"/>
    <xf borderId="0" fillId="0" fontId="40" numFmtId="0" xfId="0" applyAlignment="1" applyFont="1">
      <alignment horizontal="left" shrinkToFit="0" vertical="bottom" wrapText="0"/>
    </xf>
    <xf borderId="2" fillId="6" fontId="4" numFmtId="49" xfId="0" applyAlignment="1" applyBorder="1" applyFill="1" applyFont="1" applyNumberFormat="1">
      <alignment readingOrder="0"/>
    </xf>
    <xf borderId="33" fillId="0" fontId="4" numFmtId="49" xfId="0" applyAlignment="1" applyBorder="1" applyFont="1" applyNumberFormat="1">
      <alignment horizontal="left" readingOrder="0" vertical="bottom"/>
    </xf>
    <xf borderId="2" fillId="6" fontId="4" numFmtId="0" xfId="0" applyAlignment="1" applyBorder="1" applyFill="1" applyFont="1">
      <alignment readingOrder="0" shrinkToFit="0" wrapText="1"/>
    </xf>
    <xf borderId="33" fillId="0" fontId="29" numFmtId="0" xfId="0" applyBorder="1" applyFont="1"/>
    <xf borderId="2" fillId="6" fontId="4" numFmtId="3" xfId="0" applyAlignment="1" applyBorder="1" applyFill="1" applyFont="1" applyNumberFormat="1">
      <alignment horizontal="right" readingOrder="0"/>
    </xf>
    <xf borderId="34" fillId="0" fontId="4" numFmtId="3" xfId="0" applyAlignment="1" applyBorder="1" applyFont="1" applyNumberFormat="1">
      <alignment horizontal="right" readingOrder="0" vertical="bottom"/>
    </xf>
    <xf borderId="2" fillId="6" fontId="4" numFmtId="0" xfId="0" applyAlignment="1" applyBorder="1" applyFill="1" applyFont="1">
      <alignment horizontal="right"/>
    </xf>
    <xf borderId="2" fillId="6" fontId="25" numFmtId="3" xfId="0" applyAlignment="1" applyBorder="1" applyFill="1" applyFont="1" applyNumberFormat="1">
      <alignment horizontal="right" readingOrder="0"/>
    </xf>
    <xf borderId="2" fillId="6" fontId="25" numFmtId="3" xfId="0" applyAlignment="1" applyBorder="1" applyFill="1" applyFont="1" applyNumberFormat="1">
      <alignment horizontal="right"/>
    </xf>
    <xf borderId="2" fillId="6" fontId="10" numFmtId="2" xfId="0" applyBorder="1" applyFill="1" applyFont="1" applyNumberFormat="1"/>
    <xf borderId="25" fillId="0" fontId="17" numFmtId="0" xfId="0" applyAlignment="1" applyBorder="1" applyFont="1">
      <alignment horizontal="left" readingOrder="0" vertical="center"/>
    </xf>
    <xf borderId="14" fillId="0" fontId="4" numFmtId="49" xfId="0" applyAlignment="1" applyBorder="1" applyFont="1" applyNumberFormat="1">
      <alignment readingOrder="0"/>
    </xf>
    <xf borderId="0" fillId="0" fontId="31" numFmtId="0" xfId="0" applyAlignment="1" applyFont="1">
      <alignment horizontal="center"/>
    </xf>
    <xf borderId="2" fillId="3" fontId="4" numFmtId="164" xfId="0" applyAlignment="1" applyBorder="1" applyFill="1" applyFont="1" applyNumberFormat="1">
      <alignment horizontal="right" readingOrder="0"/>
    </xf>
    <xf borderId="14" fillId="0" fontId="4" numFmtId="0" xfId="0" applyAlignment="1" applyBorder="1" applyFont="1">
      <alignment readingOrder="0" shrinkToFit="0" wrapText="1"/>
    </xf>
    <xf borderId="35" fillId="0" fontId="4" numFmtId="3" xfId="0" applyAlignment="1" applyBorder="1" applyFont="1" applyNumberFormat="1">
      <alignment horizontal="right" readingOrder="0"/>
    </xf>
    <xf borderId="10" fillId="13" fontId="4" numFmtId="0" xfId="0" applyAlignment="1" applyBorder="1" applyFill="1" applyFont="1">
      <alignment horizontal="right"/>
    </xf>
    <xf borderId="11" fillId="3" fontId="13" numFmtId="2" xfId="0" applyAlignment="1" applyBorder="1" applyFill="1" applyFont="1" applyNumberFormat="1">
      <alignment horizontal="center" readingOrder="0" vertical="center"/>
    </xf>
    <xf borderId="0" fillId="8" fontId="25" numFmtId="3" xfId="0" applyAlignment="1" applyFill="1" applyFont="1" applyNumberFormat="1">
      <alignment horizontal="center" readingOrder="0" shrinkToFit="0" vertical="center" wrapText="1"/>
    </xf>
    <xf borderId="2" fillId="6" fontId="4" numFmtId="164" xfId="0" applyAlignment="1" applyBorder="1" applyFill="1" applyFont="1" applyNumberFormat="1">
      <alignment horizontal="right" readingOrder="0"/>
    </xf>
    <xf borderId="10" fillId="9" fontId="25" numFmtId="3" xfId="0" applyAlignment="1" applyBorder="1" applyFill="1" applyFont="1" applyNumberFormat="1">
      <alignment horizontal="right" readingOrder="0"/>
    </xf>
    <xf borderId="10" fillId="9" fontId="25" numFmtId="3" xfId="0" applyAlignment="1" applyBorder="1" applyFill="1" applyFont="1" applyNumberFormat="1">
      <alignment horizontal="right"/>
    </xf>
    <xf borderId="1" fillId="9" fontId="25" numFmtId="3" xfId="0" applyAlignment="1" applyBorder="1" applyFill="1" applyFont="1" applyNumberFormat="1">
      <alignment horizontal="right" readingOrder="0" vertical="center"/>
    </xf>
    <xf borderId="12" fillId="0" fontId="36" numFmtId="0" xfId="0" applyAlignment="1" applyBorder="1" applyFont="1">
      <alignment horizontal="center" readingOrder="0" vertical="center"/>
    </xf>
    <xf borderId="33" fillId="0" fontId="4" numFmtId="49" xfId="0" applyAlignment="1" applyBorder="1" applyFont="1" applyNumberFormat="1">
      <alignment readingOrder="0"/>
    </xf>
    <xf borderId="30" fillId="0" fontId="4" numFmtId="3" xfId="0" applyAlignment="1" applyBorder="1" applyFont="1" applyNumberFormat="1">
      <alignment horizontal="right" readingOrder="0"/>
    </xf>
    <xf borderId="16" fillId="0" fontId="17" numFmtId="0" xfId="0" applyAlignment="1" applyBorder="1" applyFont="1">
      <alignment horizontal="left" readingOrder="0" vertical="center"/>
    </xf>
    <xf borderId="17" fillId="0" fontId="4" numFmtId="49" xfId="0" applyAlignment="1" applyBorder="1" applyFont="1" applyNumberFormat="1">
      <alignment readingOrder="0"/>
    </xf>
    <xf borderId="32" fillId="0" fontId="4" numFmtId="164" xfId="0" applyAlignment="1" applyBorder="1" applyFont="1" applyNumberFormat="1">
      <alignment horizontal="right" readingOrder="0"/>
    </xf>
    <xf borderId="11" fillId="6" fontId="17" numFmtId="0" xfId="0" applyAlignment="1" applyBorder="1" applyFill="1" applyFont="1">
      <alignment horizontal="left" readingOrder="0" vertical="center"/>
    </xf>
    <xf borderId="22" fillId="8" fontId="25" numFmtId="3" xfId="0" applyAlignment="1" applyBorder="1" applyFill="1" applyFont="1" applyNumberFormat="1">
      <alignment horizontal="center" readingOrder="0" shrinkToFit="0" vertical="center" wrapText="1"/>
    </xf>
    <xf borderId="1" fillId="9" fontId="25" numFmtId="3" xfId="0" applyAlignment="1" applyBorder="1" applyFill="1" applyFont="1" applyNumberFormat="1">
      <alignment horizontal="right"/>
    </xf>
    <xf borderId="10" fillId="0" fontId="36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readingOrder="0" shrinkToFit="0" wrapText="1"/>
    </xf>
    <xf borderId="36" fillId="0" fontId="4" numFmtId="164" xfId="0" applyAlignment="1" applyBorder="1" applyFont="1" applyNumberFormat="1">
      <alignment horizontal="right" readingOrder="0"/>
    </xf>
    <xf borderId="2" fillId="6" fontId="4" numFmtId="0" xfId="0" applyAlignment="1" applyBorder="1" applyFill="1" applyFont="1">
      <alignment shrinkToFit="0" wrapText="1"/>
    </xf>
    <xf borderId="22" fillId="0" fontId="8" numFmtId="0" xfId="0" applyBorder="1" applyFont="1"/>
    <xf borderId="33" fillId="0" fontId="4" numFmtId="0" xfId="0" applyAlignment="1" applyBorder="1" applyFont="1">
      <alignment readingOrder="0" shrinkToFit="0" wrapText="1"/>
    </xf>
    <xf borderId="34" fillId="0" fontId="4" numFmtId="164" xfId="0" applyAlignment="1" applyBorder="1" applyFont="1" applyNumberFormat="1">
      <alignment horizontal="right" readingOrder="0"/>
    </xf>
    <xf borderId="0" fillId="0" fontId="33" numFmtId="0" xfId="0" applyFont="1"/>
    <xf borderId="31" fillId="0" fontId="4" numFmtId="49" xfId="0" applyAlignment="1" applyBorder="1" applyFont="1" applyNumberFormat="1">
      <alignment readingOrder="0"/>
    </xf>
    <xf borderId="35" fillId="0" fontId="4" numFmtId="164" xfId="0" applyAlignment="1" applyBorder="1" applyFont="1" applyNumberFormat="1">
      <alignment horizontal="right" readingOrder="0"/>
    </xf>
    <xf borderId="2" fillId="3" fontId="25" numFmtId="3" xfId="0" applyAlignment="1" applyBorder="1" applyFill="1" applyFont="1" applyNumberFormat="1">
      <alignment horizontal="right" readingOrder="0" vertical="center"/>
    </xf>
    <xf borderId="2" fillId="6" fontId="25" numFmtId="3" xfId="0" applyAlignment="1" applyBorder="1" applyFill="1" applyFont="1" applyNumberFormat="1">
      <alignment horizontal="right" readingOrder="0" vertical="center"/>
    </xf>
    <xf borderId="2" fillId="3" fontId="4" numFmtId="0" xfId="0" applyAlignment="1" applyBorder="1" applyFill="1" applyFont="1">
      <alignment shrinkToFit="0" wrapText="1"/>
    </xf>
    <xf borderId="6" fillId="9" fontId="25" numFmtId="3" xfId="0" applyAlignment="1" applyBorder="1" applyFill="1" applyFont="1" applyNumberFormat="1">
      <alignment horizontal="right"/>
    </xf>
    <xf borderId="23" fillId="0" fontId="36" numFmtId="0" xfId="0" applyAlignment="1" applyBorder="1" applyFont="1">
      <alignment horizontal="center" readingOrder="0" vertical="center"/>
    </xf>
    <xf borderId="11" fillId="6" fontId="29" numFmtId="0" xfId="0" applyAlignment="1" applyBorder="1" applyFill="1" applyFont="1">
      <alignment horizontal="left" readingOrder="0" vertical="center"/>
    </xf>
    <xf borderId="2" fillId="0" fontId="4" numFmtId="49" xfId="0" applyAlignment="1" applyBorder="1" applyFont="1" applyNumberFormat="1">
      <alignment readingOrder="0"/>
    </xf>
    <xf borderId="2" fillId="6" fontId="4" numFmtId="49" xfId="0" applyAlignment="1" applyBorder="1" applyFill="1" applyFont="1" applyNumberFormat="1">
      <alignment vertical="bottom"/>
    </xf>
    <xf borderId="0" fillId="0" fontId="41" numFmtId="0" xfId="0" applyAlignment="1" applyFont="1">
      <alignment horizontal="left" shrinkToFit="0" vertical="bottom" wrapText="0"/>
    </xf>
    <xf borderId="2" fillId="6" fontId="4" numFmtId="0" xfId="0" applyAlignment="1" applyBorder="1" applyFill="1" applyFont="1">
      <alignment horizontal="left" readingOrder="0" shrinkToFit="0" wrapText="0"/>
    </xf>
    <xf borderId="0" fillId="0" fontId="41" numFmtId="49" xfId="0" applyAlignment="1" applyFont="1" applyNumberFormat="1">
      <alignment horizontal="left" shrinkToFit="0" vertical="bottom" wrapText="0"/>
    </xf>
    <xf borderId="0" fillId="0" fontId="41" numFmtId="0" xfId="0" applyAlignment="1" applyFont="1">
      <alignment horizontal="center" shrinkToFit="0" vertical="center" wrapText="0"/>
    </xf>
    <xf borderId="10" fillId="7" fontId="42" numFmtId="0" xfId="0" applyAlignment="1" applyBorder="1" applyFill="1" applyFont="1">
      <alignment horizontal="center" readingOrder="0" shrinkToFit="0" vertical="bottom" wrapText="0"/>
    </xf>
    <xf quotePrefix="1" borderId="2" fillId="6" fontId="25" numFmtId="0" xfId="0" applyAlignment="1" applyBorder="1" applyFill="1" applyFont="1">
      <alignment horizontal="center" readingOrder="0" vertical="center"/>
    </xf>
    <xf borderId="10" fillId="7" fontId="42" numFmtId="49" xfId="0" applyAlignment="1" applyBorder="1" applyFill="1" applyFont="1" applyNumberFormat="1">
      <alignment horizontal="left" readingOrder="0" shrinkToFit="0" vertical="bottom" wrapText="0"/>
    </xf>
    <xf borderId="10" fillId="7" fontId="43" numFmtId="0" xfId="0" applyAlignment="1" applyBorder="1" applyFill="1" applyFont="1">
      <alignment horizontal="center" readingOrder="0" shrinkToFit="0" vertical="center" wrapText="0"/>
    </xf>
    <xf borderId="10" fillId="7" fontId="43" numFmtId="0" xfId="0" applyAlignment="1" applyBorder="1" applyFill="1" applyFont="1">
      <alignment horizontal="center" readingOrder="0" shrinkToFit="0" vertical="bottom" wrapText="0"/>
    </xf>
    <xf borderId="11" fillId="6" fontId="25" numFmtId="2" xfId="0" applyAlignment="1" applyBorder="1" applyFill="1" applyFont="1" applyNumberFormat="1">
      <alignment readingOrder="0" vertical="center"/>
    </xf>
    <xf borderId="10" fillId="0" fontId="41" numFmtId="0" xfId="0" applyAlignment="1" applyBorder="1" applyFont="1">
      <alignment horizontal="left" readingOrder="0" shrinkToFit="0" vertical="bottom" wrapText="0"/>
    </xf>
    <xf borderId="2" fillId="6" fontId="10" numFmtId="0" xfId="0" applyAlignment="1" applyBorder="1" applyFill="1" applyFont="1">
      <alignment readingOrder="0" vertical="bottom"/>
    </xf>
    <xf borderId="10" fillId="0" fontId="41" numFmtId="49" xfId="0" applyAlignment="1" applyBorder="1" applyFont="1" applyNumberFormat="1">
      <alignment horizontal="left" readingOrder="0" shrinkToFit="0" vertical="bottom" wrapText="0"/>
    </xf>
    <xf borderId="10" fillId="0" fontId="41" numFmtId="3" xfId="0" applyAlignment="1" applyBorder="1" applyFont="1" applyNumberFormat="1">
      <alignment horizontal="right" readingOrder="0" shrinkToFit="0" vertical="bottom" wrapText="0"/>
    </xf>
    <xf borderId="10" fillId="0" fontId="41" numFmtId="0" xfId="0" applyAlignment="1" applyBorder="1" applyFont="1">
      <alignment horizontal="right" readingOrder="0" shrinkToFit="0" vertical="bottom" wrapText="0"/>
    </xf>
    <xf borderId="2" fillId="3" fontId="4" numFmtId="49" xfId="0" applyAlignment="1" applyBorder="1" applyFill="1" applyFont="1" applyNumberFormat="1">
      <alignment vertical="bottom"/>
    </xf>
    <xf borderId="2" fillId="3" fontId="4" numFmtId="0" xfId="0" applyAlignment="1" applyBorder="1" applyFill="1" applyFont="1">
      <alignment horizontal="left" readingOrder="0" shrinkToFit="0" wrapText="0"/>
    </xf>
    <xf borderId="10" fillId="0" fontId="41" numFmtId="0" xfId="0" applyAlignment="1" applyBorder="1" applyFont="1">
      <alignment horizontal="center" shrinkToFit="0" vertical="center" wrapText="0"/>
    </xf>
    <xf borderId="10" fillId="0" fontId="41" numFmtId="0" xfId="0" applyAlignment="1" applyBorder="1" applyFont="1">
      <alignment horizontal="center" readingOrder="0" shrinkToFit="0" vertical="center" wrapText="0"/>
    </xf>
    <xf borderId="11" fillId="3" fontId="29" numFmtId="0" xfId="0" applyAlignment="1" applyBorder="1" applyFill="1" applyFont="1">
      <alignment horizontal="left" readingOrder="0" vertical="center"/>
    </xf>
    <xf borderId="2" fillId="3" fontId="4" numFmtId="49" xfId="0" applyAlignment="1" applyBorder="1" applyFill="1" applyFont="1" applyNumberFormat="1">
      <alignment horizontal="left" readingOrder="0" shrinkToFit="0" vertical="bottom" wrapText="0"/>
    </xf>
    <xf borderId="10" fillId="0" fontId="41" numFmtId="0" xfId="0" applyAlignment="1" applyBorder="1" applyFont="1">
      <alignment horizontal="left" shrinkToFit="0" vertical="bottom" wrapText="0"/>
    </xf>
    <xf borderId="10" fillId="0" fontId="41" numFmtId="49" xfId="0" applyAlignment="1" applyBorder="1" applyFont="1" applyNumberFormat="1">
      <alignment horizontal="left" shrinkToFit="0" vertical="bottom" wrapText="0"/>
    </xf>
    <xf borderId="2" fillId="6" fontId="4" numFmtId="49" xfId="0" applyAlignment="1" applyBorder="1" applyFill="1" applyFont="1" applyNumberFormat="1">
      <alignment horizontal="left" readingOrder="0" shrinkToFit="0" vertical="bottom" wrapText="0"/>
    </xf>
    <xf borderId="19" fillId="8" fontId="25" numFmtId="0" xfId="0" applyAlignment="1" applyBorder="1" applyFill="1" applyFont="1">
      <alignment horizontal="center" readingOrder="0" shrinkToFit="0" vertical="center" wrapText="1"/>
    </xf>
    <xf borderId="11" fillId="0" fontId="4" numFmtId="49" xfId="0" applyAlignment="1" applyBorder="1" applyFont="1" applyNumberFormat="1">
      <alignment readingOrder="0"/>
    </xf>
    <xf borderId="16" fillId="0" fontId="29" numFmtId="0" xfId="0" applyAlignment="1" applyBorder="1" applyFont="1">
      <alignment horizontal="left" readingOrder="0" vertical="center"/>
    </xf>
    <xf borderId="31" fillId="3" fontId="4" numFmtId="49" xfId="0" applyAlignment="1" applyBorder="1" applyFill="1" applyFont="1" applyNumberFormat="1">
      <alignment horizontal="left" readingOrder="0" shrinkToFit="0" vertical="bottom" wrapText="0"/>
    </xf>
    <xf borderId="31" fillId="0" fontId="4" numFmtId="0" xfId="0" applyAlignment="1" applyBorder="1" applyFont="1">
      <alignment horizontal="left" readingOrder="0" shrinkToFit="0" wrapText="0"/>
    </xf>
    <xf borderId="6" fillId="9" fontId="25" numFmtId="0" xfId="0" applyAlignment="1" applyBorder="1" applyFill="1" applyFont="1">
      <alignment horizontal="center" readingOrder="0" shrinkToFit="0" vertical="center" wrapText="1"/>
    </xf>
    <xf borderId="23" fillId="3" fontId="36" numFmtId="0" xfId="0" applyAlignment="1" applyBorder="1" applyFill="1" applyFont="1">
      <alignment horizontal="center" readingOrder="0" shrinkToFit="0" vertical="center" wrapText="1"/>
    </xf>
    <xf borderId="0" fillId="3" fontId="10" numFmtId="0" xfId="0" applyAlignment="1" applyFill="1" applyFont="1">
      <alignment vertical="bottom"/>
    </xf>
    <xf borderId="2" fillId="0" fontId="4" numFmtId="0" xfId="0" applyAlignment="1" applyBorder="1" applyFont="1">
      <alignment horizontal="left" readingOrder="0" shrinkToFit="0" wrapText="0"/>
    </xf>
    <xf borderId="36" fillId="0" fontId="29" numFmtId="164" xfId="0" applyAlignment="1" applyBorder="1" applyFont="1" applyNumberFormat="1">
      <alignment horizontal="right" readingOrder="0"/>
    </xf>
    <xf borderId="33" fillId="3" fontId="4" numFmtId="49" xfId="0" applyAlignment="1" applyBorder="1" applyFill="1" applyFont="1" applyNumberFormat="1">
      <alignment horizontal="left" readingOrder="0" shrinkToFit="0" vertical="bottom" wrapText="0"/>
    </xf>
    <xf borderId="33" fillId="0" fontId="4" numFmtId="0" xfId="0" applyAlignment="1" applyBorder="1" applyFont="1">
      <alignment horizontal="left" readingOrder="0" shrinkToFit="0" wrapText="0"/>
    </xf>
    <xf borderId="31" fillId="0" fontId="4" numFmtId="0" xfId="0" applyAlignment="1" applyBorder="1" applyFont="1">
      <alignment readingOrder="0"/>
    </xf>
    <xf borderId="23" fillId="9" fontId="25" numFmtId="3" xfId="0" applyAlignment="1" applyBorder="1" applyFill="1" applyFont="1" applyNumberFormat="1">
      <alignment horizontal="right" readingOrder="0" vertical="bottom"/>
    </xf>
    <xf borderId="38" fillId="9" fontId="25" numFmtId="0" xfId="0" applyAlignment="1" applyBorder="1" applyFill="1" applyFont="1">
      <alignment horizontal="center" readingOrder="0" vertical="center"/>
    </xf>
    <xf borderId="13" fillId="0" fontId="38" numFmtId="0" xfId="0" applyAlignment="1" applyBorder="1" applyFont="1">
      <alignment horizontal="center" readingOrder="0" shrinkToFit="0" vertical="center" wrapText="1"/>
    </xf>
    <xf borderId="14" fillId="0" fontId="4" numFmtId="0" xfId="0" applyAlignment="1" applyBorder="1" applyFont="1">
      <alignment readingOrder="0"/>
    </xf>
    <xf borderId="35" fillId="0" fontId="29" numFmtId="164" xfId="0" applyAlignment="1" applyBorder="1" applyFont="1" applyNumberFormat="1">
      <alignment horizontal="right" readingOrder="0"/>
    </xf>
    <xf borderId="28" fillId="0" fontId="8" numFmtId="0" xfId="0" applyBorder="1" applyFont="1"/>
    <xf borderId="2" fillId="0" fontId="4" numFmtId="0" xfId="0" applyAlignment="1" applyBorder="1" applyFont="1">
      <alignment readingOrder="0"/>
    </xf>
    <xf borderId="2" fillId="6" fontId="4" numFmtId="0" xfId="0" applyAlignment="1" applyBorder="1" applyFill="1" applyFont="1">
      <alignment readingOrder="0"/>
    </xf>
    <xf quotePrefix="1" borderId="2" fillId="6" fontId="25" numFmtId="0" xfId="0" applyAlignment="1" applyBorder="1" applyFill="1" applyFont="1">
      <alignment horizontal="center" readingOrder="0" shrinkToFit="0" vertical="center" wrapText="1"/>
    </xf>
    <xf borderId="11" fillId="6" fontId="25" numFmtId="3" xfId="0" applyAlignment="1" applyBorder="1" applyFill="1" applyFont="1" applyNumberForma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/>
    </xf>
    <xf borderId="37" fillId="0" fontId="8" numFmtId="0" xfId="0" applyBorder="1" applyFont="1"/>
    <xf borderId="33" fillId="0" fontId="4" numFmtId="0" xfId="0" applyAlignment="1" applyBorder="1" applyFont="1">
      <alignment readingOrder="0"/>
    </xf>
    <xf borderId="2" fillId="3" fontId="25" numFmtId="0" xfId="0" applyAlignment="1" applyBorder="1" applyFill="1" applyFont="1">
      <alignment horizontal="center" readingOrder="0" shrinkToFit="0" vertical="center" wrapText="1"/>
    </xf>
    <xf borderId="23" fillId="9" fontId="25" numFmtId="3" xfId="0" applyAlignment="1" applyBorder="1" applyFill="1" applyFont="1" applyNumberFormat="1">
      <alignment horizontal="right"/>
    </xf>
    <xf borderId="22" fillId="0" fontId="10" numFmtId="2" xfId="0" applyBorder="1" applyFont="1" applyNumberFormat="1"/>
    <xf borderId="38" fillId="0" fontId="29" numFmtId="0" xfId="0" applyAlignment="1" applyBorder="1" applyFont="1">
      <alignment horizontal="left" readingOrder="0" vertical="center"/>
    </xf>
    <xf borderId="2" fillId="6" fontId="25" numFmtId="0" xfId="0" applyAlignment="1" applyBorder="1" applyFill="1" applyFont="1">
      <alignment horizontal="center" readingOrder="0" shrinkToFit="0" vertical="center" wrapText="1"/>
    </xf>
    <xf borderId="0" fillId="8" fontId="35" numFmtId="0" xfId="0" applyAlignment="1" applyFill="1" applyFont="1">
      <alignment horizontal="center" readingOrder="0" shrinkToFit="0" vertical="center" wrapText="1"/>
    </xf>
    <xf borderId="22" fillId="0" fontId="25" numFmtId="3" xfId="0" applyAlignment="1" applyBorder="1" applyFont="1" applyNumberFormat="1">
      <alignment horizontal="center" readingOrder="0" shrinkToFit="0" vertical="center" wrapText="1"/>
    </xf>
    <xf borderId="11" fillId="0" fontId="4" numFmtId="0" xfId="0" applyAlignment="1" applyBorder="1" applyFont="1">
      <alignment readingOrder="0"/>
    </xf>
    <xf borderId="30" fillId="0" fontId="29" numFmtId="164" xfId="0" applyAlignment="1" applyBorder="1" applyFont="1" applyNumberFormat="1">
      <alignment horizontal="right" readingOrder="0"/>
    </xf>
    <xf borderId="12" fillId="0" fontId="25" numFmtId="3" xfId="0" applyAlignment="1" applyBorder="1" applyFont="1" applyNumberFormat="1">
      <alignment horizontal="center" readingOrder="0" shrinkToFit="0" vertical="center" wrapText="1"/>
    </xf>
    <xf quotePrefix="1" borderId="2" fillId="3" fontId="25" numFmtId="0" xfId="0" applyAlignment="1" applyBorder="1" applyFill="1" applyFont="1">
      <alignment horizontal="center" readingOrder="0" shrinkToFit="0" vertical="center" wrapText="1"/>
    </xf>
    <xf borderId="11" fillId="3" fontId="25" numFmtId="3" xfId="0" applyAlignment="1" applyBorder="1" applyFill="1" applyFont="1" applyNumberFormat="1">
      <alignment horizontal="center" readingOrder="0" shrinkToFit="0" vertical="center" wrapText="1"/>
    </xf>
    <xf borderId="15" fillId="9" fontId="25" numFmtId="3" xfId="0" applyAlignment="1" applyBorder="1" applyFill="1" applyFont="1" applyNumberFormat="1">
      <alignment horizontal="right" readingOrder="0" vertical="bottom"/>
    </xf>
    <xf borderId="10" fillId="9" fontId="25" numFmtId="0" xfId="0" applyAlignment="1" applyBorder="1" applyFill="1" applyFont="1">
      <alignment horizontal="center" readingOrder="0" vertical="center"/>
    </xf>
    <xf borderId="22" fillId="3" fontId="36" numFmtId="0" xfId="0" applyAlignment="1" applyBorder="1" applyFill="1" applyFont="1">
      <alignment horizontal="center" readingOrder="0" shrinkToFit="0" vertical="center" wrapText="1"/>
    </xf>
    <xf borderId="23" fillId="0" fontId="8" numFmtId="0" xfId="0" applyBorder="1" applyFont="1"/>
    <xf borderId="23" fillId="9" fontId="25" numFmtId="0" xfId="0" applyAlignment="1" applyBorder="1" applyFill="1" applyFont="1">
      <alignment horizontal="center" readingOrder="0" vertical="center"/>
    </xf>
    <xf borderId="3" fillId="6" fontId="4" numFmtId="0" xfId="0" applyAlignment="1" applyBorder="1" applyFill="1" applyFont="1">
      <alignment horizontal="center" shrinkToFit="0" wrapText="1"/>
    </xf>
    <xf borderId="4" fillId="6" fontId="8" numFmtId="0" xfId="0" applyBorder="1" applyFill="1" applyFont="1"/>
    <xf borderId="22" fillId="0" fontId="37" numFmtId="0" xfId="0" applyAlignment="1" applyBorder="1" applyFont="1">
      <alignment horizontal="center" readingOrder="0" vertical="center"/>
    </xf>
    <xf borderId="2" fillId="3" fontId="4" numFmtId="49" xfId="0" applyAlignment="1" applyBorder="1" applyFill="1" applyFont="1" applyNumberFormat="1">
      <alignment readingOrder="0" vertical="center"/>
    </xf>
    <xf borderId="2" fillId="3" fontId="4" numFmtId="0" xfId="0" applyAlignment="1" applyBorder="1" applyFill="1" applyFont="1">
      <alignment readingOrder="0" vertical="center"/>
    </xf>
    <xf borderId="2" fillId="3" fontId="29" numFmtId="164" xfId="0" applyAlignment="1" applyBorder="1" applyFill="1" applyFont="1" applyNumberFormat="1">
      <alignment horizontal="right" readingOrder="0" vertical="center"/>
    </xf>
    <xf borderId="2" fillId="3" fontId="4" numFmtId="164" xfId="0" applyAlignment="1" applyBorder="1" applyFill="1" applyFont="1" applyNumberFormat="1">
      <alignment vertical="center"/>
    </xf>
    <xf borderId="2" fillId="3" fontId="25" numFmtId="3" xfId="0" applyAlignment="1" applyBorder="1" applyFill="1" applyFont="1" applyNumberFormat="1">
      <alignment vertical="center"/>
    </xf>
    <xf borderId="2" fillId="3" fontId="25" numFmtId="49" xfId="0" applyAlignment="1" applyBorder="1" applyFill="1" applyFont="1" applyNumberFormat="1">
      <alignment horizontal="center" readingOrder="0" vertical="center"/>
    </xf>
    <xf borderId="2" fillId="3" fontId="25" numFmtId="3" xfId="0" applyAlignment="1" applyBorder="1" applyFill="1" applyFont="1" applyNumberFormat="1">
      <alignment horizontal="center" readingOrder="0" vertical="center"/>
    </xf>
    <xf borderId="11" fillId="3" fontId="38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left" readingOrder="0" vertical="center"/>
    </xf>
    <xf borderId="2" fillId="6" fontId="4" numFmtId="49" xfId="0" applyAlignment="1" applyBorder="1" applyFill="1" applyFont="1" applyNumberFormat="1">
      <alignment readingOrder="0" vertical="center"/>
    </xf>
    <xf borderId="2" fillId="6" fontId="4" numFmtId="0" xfId="0" applyAlignment="1" applyBorder="1" applyFill="1" applyFont="1">
      <alignment readingOrder="0" vertical="center"/>
    </xf>
    <xf borderId="2" fillId="6" fontId="29" numFmtId="164" xfId="0" applyAlignment="1" applyBorder="1" applyFill="1" applyFont="1" applyNumberFormat="1">
      <alignment horizontal="right" readingOrder="0" vertical="center"/>
    </xf>
    <xf borderId="2" fillId="6" fontId="4" numFmtId="164" xfId="0" applyAlignment="1" applyBorder="1" applyFill="1" applyFont="1" applyNumberFormat="1">
      <alignment vertical="center"/>
    </xf>
    <xf borderId="2" fillId="6" fontId="25" numFmtId="3" xfId="0" applyAlignment="1" applyBorder="1" applyFill="1" applyFont="1" applyNumberFormat="1">
      <alignment vertical="center"/>
    </xf>
    <xf borderId="2" fillId="6" fontId="25" numFmtId="49" xfId="0" applyAlignment="1" applyBorder="1" applyFill="1" applyFont="1" applyNumberFormat="1">
      <alignment horizontal="center" readingOrder="0" vertical="center"/>
    </xf>
    <xf borderId="2" fillId="6" fontId="25" numFmtId="3" xfId="0" applyAlignment="1" applyBorder="1" applyFill="1" applyFont="1" applyNumberFormat="1">
      <alignment horizontal="center" readingOrder="0" vertical="center"/>
    </xf>
    <xf borderId="10" fillId="0" fontId="25" numFmtId="3" xfId="0" applyAlignment="1" applyBorder="1" applyFont="1" applyNumberFormat="1">
      <alignment horizontal="center" readingOrder="0" shrinkToFit="0" vertical="center" wrapText="1"/>
    </xf>
    <xf borderId="2" fillId="3" fontId="4" numFmtId="164" xfId="0" applyAlignment="1" applyBorder="1" applyFill="1" applyFont="1" applyNumberFormat="1">
      <alignment horizontal="center" readingOrder="0"/>
    </xf>
    <xf borderId="2" fillId="6" fontId="4" numFmtId="164" xfId="0" applyAlignment="1" applyBorder="1" applyFill="1" applyFont="1" applyNumberFormat="1">
      <alignment horizontal="center" readingOrder="0"/>
    </xf>
    <xf borderId="2" fillId="3" fontId="4" numFmtId="164" xfId="0" applyAlignment="1" applyBorder="1" applyFill="1" applyFont="1" applyNumberFormat="1">
      <alignment horizontal="center" readingOrder="0" vertical="center"/>
    </xf>
    <xf borderId="2" fillId="6" fontId="4" numFmtId="164" xfId="0" applyAlignment="1" applyBorder="1" applyFill="1" applyFont="1" applyNumberFormat="1">
      <alignment horizontal="center" readingOrder="0" vertical="center"/>
    </xf>
    <xf borderId="2" fillId="6" fontId="10" numFmtId="0" xfId="0" applyAlignment="1" applyBorder="1" applyFill="1" applyFont="1">
      <alignment vertical="center"/>
    </xf>
    <xf borderId="39" fillId="0" fontId="4" numFmtId="49" xfId="0" applyAlignment="1" applyBorder="1" applyFont="1" applyNumberFormat="1">
      <alignment readingOrder="0"/>
    </xf>
    <xf borderId="40" fillId="0" fontId="29" numFmtId="164" xfId="0" applyAlignment="1" applyBorder="1" applyFont="1" applyNumberFormat="1">
      <alignment horizontal="right" readingOrder="0"/>
    </xf>
    <xf borderId="1" fillId="9" fontId="25" numFmtId="3" xfId="0" applyAlignment="1" applyBorder="1" applyFill="1" applyFont="1" applyNumberFormat="1">
      <alignment horizontal="right" readingOrder="0" vertical="bottom"/>
    </xf>
    <xf borderId="1" fillId="9" fontId="25" numFmtId="0" xfId="0" applyAlignment="1" applyBorder="1" applyFill="1" applyFont="1">
      <alignment horizontal="center" readingOrder="0" vertical="center"/>
    </xf>
    <xf borderId="1" fillId="3" fontId="36" numFmtId="0" xfId="0" applyAlignment="1" applyBorder="1" applyFill="1" applyFont="1">
      <alignment horizontal="center" readingOrder="0" shrinkToFit="0" vertical="center" wrapText="1"/>
    </xf>
    <xf borderId="5" fillId="0" fontId="4" numFmtId="49" xfId="0" applyAlignment="1" applyBorder="1" applyFont="1" applyNumberFormat="1">
      <alignment readingOrder="0"/>
    </xf>
    <xf borderId="3" fillId="0" fontId="29" numFmtId="164" xfId="0" applyAlignment="1" applyBorder="1" applyFont="1" applyNumberFormat="1">
      <alignment horizontal="right" readingOrder="0"/>
    </xf>
    <xf borderId="41" fillId="0" fontId="4" numFmtId="49" xfId="0" applyAlignment="1" applyBorder="1" applyFont="1" applyNumberFormat="1">
      <alignment readingOrder="0"/>
    </xf>
    <xf borderId="2" fillId="3" fontId="4" numFmtId="0" xfId="0" applyBorder="1" applyFill="1" applyFont="1"/>
    <xf borderId="42" fillId="0" fontId="29" numFmtId="164" xfId="0" applyAlignment="1" applyBorder="1" applyFont="1" applyNumberFormat="1">
      <alignment horizontal="right" readingOrder="0"/>
    </xf>
    <xf borderId="2" fillId="3" fontId="4" numFmtId="164" xfId="0" applyAlignment="1" applyBorder="1" applyFill="1" applyFont="1" applyNumberFormat="1">
      <alignment horizontal="center"/>
    </xf>
    <xf borderId="2" fillId="6" fontId="4" numFmtId="0" xfId="0" applyBorder="1" applyFill="1" applyFont="1"/>
    <xf borderId="2" fillId="6" fontId="4" numFmtId="164" xfId="0" applyAlignment="1" applyBorder="1" applyFill="1" applyFont="1" applyNumberFormat="1">
      <alignment horizontal="center"/>
    </xf>
    <xf borderId="2" fillId="3" fontId="25" numFmtId="3" xfId="0" applyAlignment="1" applyBorder="1" applyFill="1" applyFont="1" applyNumberFormat="1">
      <alignment horizontal="right" readingOrder="0" shrinkToFit="0" wrapText="1"/>
    </xf>
    <xf borderId="10" fillId="0" fontId="44" numFmtId="49" xfId="0" applyAlignment="1" applyBorder="1" applyFont="1" applyNumberFormat="1">
      <alignment horizontal="left" readingOrder="0" shrinkToFit="0" vertical="bottom" wrapText="0"/>
    </xf>
    <xf borderId="2" fillId="6" fontId="25" numFmtId="3" xfId="0" applyAlignment="1" applyBorder="1" applyFill="1" applyFont="1" applyNumberFormat="1">
      <alignment horizontal="right" readingOrder="0" shrinkToFit="0" wrapText="1"/>
    </xf>
    <xf borderId="2" fillId="3" fontId="38" numFmtId="0" xfId="0" applyAlignment="1" applyBorder="1" applyFill="1" applyFont="1">
      <alignment horizontal="center" readingOrder="0" shrinkToFit="0" vertical="center" wrapText="1"/>
    </xf>
    <xf borderId="11" fillId="6" fontId="45" numFmtId="0" xfId="0" applyAlignment="1" applyBorder="1" applyFill="1" applyFont="1">
      <alignment readingOrder="0" shrinkToFit="0" vertical="center" wrapText="1"/>
    </xf>
    <xf borderId="11" fillId="6" fontId="38" numFmtId="1" xfId="0" applyAlignment="1" applyBorder="1" applyFill="1" applyFont="1" applyNumberFormat="1">
      <alignment readingOrder="0" shrinkToFit="0" vertical="center" wrapText="1"/>
    </xf>
    <xf borderId="2" fillId="6" fontId="4" numFmtId="49" xfId="0" applyAlignment="1" applyBorder="1" applyFill="1" applyFont="1" applyNumberFormat="1">
      <alignment horizontal="left" readingOrder="0" vertical="center"/>
    </xf>
    <xf borderId="2" fillId="6" fontId="4" numFmtId="164" xfId="0" applyAlignment="1" applyBorder="1" applyFill="1" applyFont="1" applyNumberFormat="1">
      <alignment horizontal="left" readingOrder="0" vertical="center"/>
    </xf>
    <xf borderId="2" fillId="3" fontId="4" numFmtId="49" xfId="0" applyAlignment="1" applyBorder="1" applyFill="1" applyFont="1" applyNumberFormat="1">
      <alignment horizontal="left" readingOrder="0" vertical="center"/>
    </xf>
    <xf borderId="2" fillId="3" fontId="4" numFmtId="164" xfId="0" applyAlignment="1" applyBorder="1" applyFill="1" applyFont="1" applyNumberFormat="1">
      <alignment horizontal="left" readingOrder="0" vertical="center"/>
    </xf>
    <xf borderId="2" fillId="6" fontId="4" numFmtId="49" xfId="0" applyAlignment="1" applyBorder="1" applyFill="1" applyFont="1" applyNumberFormat="1">
      <alignment horizontal="left" vertical="center"/>
    </xf>
    <xf borderId="2" fillId="6" fontId="4" numFmtId="0" xfId="0" applyAlignment="1" applyBorder="1" applyFill="1" applyFont="1">
      <alignment horizontal="left" vertical="center"/>
    </xf>
    <xf borderId="0" fillId="8" fontId="25" numFmtId="0" xfId="0" applyAlignment="1" applyFill="1" applyFont="1">
      <alignment horizontal="center" readingOrder="0" shrinkToFit="0" vertical="center" wrapText="1"/>
    </xf>
    <xf borderId="2" fillId="6" fontId="4" numFmtId="164" xfId="0" applyAlignment="1" applyBorder="1" applyFill="1" applyFont="1" applyNumberFormat="1">
      <alignment horizontal="left" vertical="center"/>
    </xf>
    <xf borderId="3" fillId="3" fontId="4" numFmtId="0" xfId="0" applyAlignment="1" applyBorder="1" applyFill="1" applyFont="1">
      <alignment horizontal="center" readingOrder="0"/>
    </xf>
    <xf borderId="4" fillId="3" fontId="8" numFmtId="0" xfId="0" applyBorder="1" applyFill="1" applyFont="1"/>
    <xf borderId="5" fillId="3" fontId="8" numFmtId="0" xfId="0" applyBorder="1" applyFill="1" applyFont="1"/>
    <xf borderId="11" fillId="6" fontId="4" numFmtId="0" xfId="0" applyAlignment="1" applyBorder="1" applyFill="1" applyFont="1">
      <alignment readingOrder="0" vertical="center"/>
    </xf>
    <xf borderId="2" fillId="6" fontId="4" numFmtId="49" xfId="0" applyAlignment="1" applyBorder="1" applyFill="1" applyFont="1" applyNumberFormat="1">
      <alignment horizontal="left" readingOrder="0"/>
    </xf>
    <xf borderId="2" fillId="6" fontId="25" numFmtId="3" xfId="0" applyAlignment="1" applyBorder="1" applyFill="1" applyFont="1" applyNumberFormat="1">
      <alignment vertical="bottom"/>
    </xf>
    <xf borderId="11" fillId="6" fontId="33" numFmtId="165" xfId="0" applyAlignment="1" applyBorder="1" applyFill="1" applyFont="1" applyNumberFormat="1">
      <alignment readingOrder="0" shrinkToFit="0" vertical="center" wrapText="1"/>
    </xf>
    <xf borderId="2" fillId="3" fontId="4" numFmtId="49" xfId="0" applyAlignment="1" applyBorder="1" applyFill="1" applyFont="1" applyNumberFormat="1">
      <alignment horizontal="left" readingOrder="0"/>
    </xf>
    <xf borderId="2" fillId="3" fontId="25" numFmtId="3" xfId="0" applyAlignment="1" applyBorder="1" applyFill="1" applyFont="1" applyNumberFormat="1">
      <alignment vertical="bottom"/>
    </xf>
    <xf borderId="2" fillId="6" fontId="25" numFmtId="9" xfId="0" applyAlignment="1" applyBorder="1" applyFill="1" applyFont="1" applyNumberFormat="1">
      <alignment horizontal="center"/>
    </xf>
    <xf borderId="0" fillId="0" fontId="31" numFmtId="49" xfId="0" applyFont="1" applyNumberFormat="1"/>
    <xf borderId="2" fillId="3" fontId="25" numFmtId="9" xfId="0" applyAlignment="1" applyBorder="1" applyFill="1" applyFont="1" applyNumberFormat="1">
      <alignment horizontal="center"/>
    </xf>
    <xf borderId="43" fillId="14" fontId="4" numFmtId="0" xfId="0" applyAlignment="1" applyBorder="1" applyFill="1" applyFont="1">
      <alignment horizontal="center" shrinkToFit="0" wrapText="1"/>
    </xf>
    <xf borderId="1" fillId="14" fontId="4" numFmtId="0" xfId="0" applyAlignment="1" applyBorder="1" applyFill="1" applyFont="1">
      <alignment horizontal="center" shrinkToFit="0" wrapText="1"/>
    </xf>
    <xf borderId="1" fillId="14" fontId="4" numFmtId="3" xfId="0" applyAlignment="1" applyBorder="1" applyFill="1" applyFont="1" applyNumberFormat="1">
      <alignment horizontal="center" shrinkToFit="0" wrapText="1"/>
    </xf>
    <xf borderId="23" fillId="14" fontId="4" numFmtId="0" xfId="0" applyAlignment="1" applyBorder="1" applyFill="1" applyFont="1">
      <alignment horizontal="center" shrinkToFit="0" wrapText="1"/>
    </xf>
    <xf borderId="15" fillId="0" fontId="10" numFmtId="0" xfId="0" applyAlignment="1" applyBorder="1" applyFont="1">
      <alignment readingOrder="0" vertical="center"/>
    </xf>
    <xf borderId="44" fillId="0" fontId="4" numFmtId="0" xfId="0" applyAlignment="1" applyBorder="1" applyFont="1">
      <alignment horizontal="left" readingOrder="0" vertical="center"/>
    </xf>
    <xf borderId="45" fillId="0" fontId="4" numFmtId="49" xfId="0" applyAlignment="1" applyBorder="1" applyFont="1" applyNumberFormat="1">
      <alignment readingOrder="0" vertical="center"/>
    </xf>
    <xf borderId="45" fillId="0" fontId="4" numFmtId="0" xfId="0" applyAlignment="1" applyBorder="1" applyFont="1">
      <alignment readingOrder="0" vertical="center"/>
    </xf>
    <xf borderId="46" fillId="0" fontId="29" numFmtId="164" xfId="0" applyAlignment="1" applyBorder="1" applyFont="1" applyNumberFormat="1">
      <alignment horizontal="right" readingOrder="0" vertical="center"/>
    </xf>
    <xf borderId="10" fillId="13" fontId="4" numFmtId="164" xfId="0" applyAlignment="1" applyBorder="1" applyFill="1" applyFont="1" applyNumberFormat="1">
      <alignment vertical="center"/>
    </xf>
    <xf borderId="2" fillId="6" fontId="25" numFmtId="164" xfId="0" applyAlignment="1" applyBorder="1" applyFill="1" applyFont="1" applyNumberFormat="1">
      <alignment horizontal="center" readingOrder="0" vertical="center"/>
    </xf>
    <xf borderId="23" fillId="9" fontId="25" numFmtId="3" xfId="0" applyAlignment="1" applyBorder="1" applyFill="1" applyFont="1" applyNumberFormat="1">
      <alignment horizontal="right" readingOrder="0" vertical="center"/>
    </xf>
    <xf borderId="23" fillId="9" fontId="25" numFmtId="3" xfId="0" applyAlignment="1" applyBorder="1" applyFill="1" applyFont="1" applyNumberFormat="1">
      <alignment vertical="center"/>
    </xf>
    <xf borderId="23" fillId="0" fontId="25" numFmtId="0" xfId="0" applyAlignment="1" applyBorder="1" applyFont="1">
      <alignment horizontal="center" readingOrder="0" vertical="center"/>
    </xf>
    <xf borderId="23" fillId="0" fontId="37" numFmtId="0" xfId="0" applyAlignment="1" applyBorder="1" applyFont="1">
      <alignment horizontal="center" readingOrder="0" vertical="center"/>
    </xf>
    <xf borderId="45" fillId="0" fontId="4" numFmtId="0" xfId="0" applyAlignment="1" applyBorder="1" applyFont="1">
      <alignment readingOrder="0"/>
    </xf>
    <xf borderId="46" fillId="0" fontId="4" numFmtId="164" xfId="0" applyAlignment="1" applyBorder="1" applyFont="1" applyNumberFormat="1">
      <alignment horizontal="right" readingOrder="0"/>
    </xf>
    <xf borderId="2" fillId="3" fontId="25" numFmtId="164" xfId="0" applyAlignment="1" applyBorder="1" applyFill="1" applyFont="1" applyNumberFormat="1">
      <alignment horizontal="center" readingOrder="0" vertical="center"/>
    </xf>
    <xf borderId="10" fillId="9" fontId="25" numFmtId="3" xfId="0" applyAlignment="1" applyBorder="1" applyFill="1" applyFont="1" applyNumberFormat="1">
      <alignment vertical="center"/>
    </xf>
    <xf borderId="12" fillId="9" fontId="25" numFmtId="0" xfId="0" applyAlignment="1" applyBorder="1" applyFill="1" applyFont="1">
      <alignment horizontal="center" readingOrder="0" vertical="center"/>
    </xf>
    <xf borderId="12" fillId="0" fontId="25" numFmtId="0" xfId="0" applyAlignment="1" applyBorder="1" applyFont="1">
      <alignment horizontal="center" readingOrder="0" vertical="center"/>
    </xf>
    <xf borderId="32" fillId="0" fontId="4" numFmtId="164" xfId="0" applyAlignment="1" applyBorder="1" applyFont="1" applyNumberFormat="1">
      <alignment horizontal="center" readingOrder="0"/>
    </xf>
    <xf borderId="13" fillId="9" fontId="25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34" fillId="0" fontId="4" numFmtId="164" xfId="0" applyAlignment="1" applyBorder="1" applyFont="1" applyNumberFormat="1">
      <alignment horizontal="center" readingOrder="0"/>
    </xf>
    <xf borderId="46" fillId="0" fontId="4" numFmtId="164" xfId="0" applyAlignment="1" applyBorder="1" applyFont="1" applyNumberFormat="1">
      <alignment horizontal="center" readingOrder="0" vertical="center"/>
    </xf>
    <xf borderId="10" fillId="9" fontId="25" numFmtId="3" xfId="0" applyAlignment="1" applyBorder="1" applyFill="1" applyFont="1" applyNumberFormat="1">
      <alignment horizontal="right" readingOrder="0" vertical="center"/>
    </xf>
    <xf borderId="0" fillId="0" fontId="4" numFmtId="0" xfId="0" applyAlignment="1" applyFont="1">
      <alignment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10" numFmtId="0" xfId="0" applyAlignment="1" applyFont="1">
      <alignment vertical="center"/>
    </xf>
    <xf borderId="10" fillId="9" fontId="25" numFmtId="3" xfId="0" applyAlignment="1" applyBorder="1" applyFill="1" applyFont="1" applyNumberFormat="1">
      <alignment horizontal="right" readingOrder="0" shrinkToFit="0" vertical="center" wrapText="1"/>
    </xf>
    <xf borderId="15" fillId="9" fontId="25" numFmtId="3" xfId="0" applyBorder="1" applyFill="1" applyFont="1" applyNumberFormat="1"/>
    <xf borderId="0" fillId="0" fontId="4" numFmtId="0" xfId="0" applyFont="1"/>
    <xf borderId="0" fillId="0" fontId="4" numFmtId="164" xfId="0" applyAlignment="1" applyFont="1" applyNumberFormat="1">
      <alignment horizontal="center"/>
    </xf>
    <xf borderId="38" fillId="0" fontId="4" numFmtId="0" xfId="0" applyAlignment="1" applyBorder="1" applyFont="1">
      <alignment horizontal="left" readingOrder="0" vertical="center"/>
    </xf>
    <xf borderId="2" fillId="3" fontId="25" numFmtId="9" xfId="0" applyAlignment="1" applyBorder="1" applyFill="1" applyFont="1" applyNumberFormat="1">
      <alignment horizontal="center" readingOrder="0" vertical="center"/>
    </xf>
    <xf borderId="0" fillId="0" fontId="30" numFmtId="49" xfId="0" applyFont="1" applyNumberFormat="1"/>
    <xf borderId="10" fillId="9" fontId="25" numFmtId="3" xfId="0" applyAlignment="1" applyBorder="1" applyFill="1" applyFont="1" applyNumberFormat="1">
      <alignment horizontal="right" readingOrder="0" shrinkToFit="0" wrapText="1"/>
    </xf>
    <xf borderId="2" fillId="6" fontId="25" numFmtId="9" xfId="0" applyAlignment="1" applyBorder="1" applyFill="1" applyFont="1" applyNumberFormat="1">
      <alignment horizontal="center" readingOrder="0" vertical="center"/>
    </xf>
    <xf borderId="35" fillId="0" fontId="4" numFmtId="164" xfId="0" applyAlignment="1" applyBorder="1" applyFont="1" applyNumberFormat="1">
      <alignment horizontal="center" readingOrder="0"/>
    </xf>
    <xf borderId="2" fillId="3" fontId="4" numFmtId="0" xfId="0" applyAlignment="1" applyBorder="1" applyFill="1" applyFont="1">
      <alignment horizontal="right" readingOrder="0"/>
    </xf>
    <xf borderId="30" fillId="0" fontId="4" numFmtId="164" xfId="0" applyAlignment="1" applyBorder="1" applyFont="1" applyNumberFormat="1">
      <alignment horizontal="center" readingOrder="0"/>
    </xf>
    <xf borderId="47" fillId="3" fontId="25" numFmtId="0" xfId="0" applyAlignment="1" applyBorder="1" applyFill="1" applyFont="1">
      <alignment horizontal="center" readingOrder="0" vertical="center"/>
    </xf>
    <xf borderId="48" fillId="3" fontId="8" numFmtId="0" xfId="0" applyBorder="1" applyFill="1" applyFont="1"/>
    <xf borderId="2" fillId="6" fontId="4" numFmtId="0" xfId="0" applyAlignment="1" applyBorder="1" applyFill="1" applyFont="1">
      <alignment horizontal="right" readingOrder="0"/>
    </xf>
    <xf borderId="6" fillId="0" fontId="4" numFmtId="0" xfId="0" applyAlignment="1" applyBorder="1" applyFont="1">
      <alignment horizontal="left" readingOrder="0" vertical="center"/>
    </xf>
    <xf borderId="45" fillId="0" fontId="4" numFmtId="49" xfId="0" applyAlignment="1" applyBorder="1" applyFont="1" applyNumberFormat="1">
      <alignment readingOrder="0"/>
    </xf>
    <xf borderId="46" fillId="0" fontId="4" numFmtId="164" xfId="0" applyAlignment="1" applyBorder="1" applyFont="1" applyNumberFormat="1">
      <alignment horizontal="center" readingOrder="0"/>
    </xf>
    <xf borderId="40" fillId="6" fontId="8" numFmtId="0" xfId="0" applyBorder="1" applyFill="1" applyFont="1"/>
    <xf borderId="39" fillId="6" fontId="8" numFmtId="0" xfId="0" applyBorder="1" applyFill="1" applyFont="1"/>
    <xf borderId="9" fillId="13" fontId="4" numFmtId="164" xfId="0" applyAlignment="1" applyBorder="1" applyFill="1" applyFont="1" applyNumberFormat="1">
      <alignment vertical="center"/>
    </xf>
    <xf borderId="2" fillId="3" fontId="33" numFmtId="165" xfId="0" applyAlignment="1" applyBorder="1" applyFill="1" applyFont="1" applyNumberFormat="1">
      <alignment readingOrder="0" shrinkToFit="0" vertical="center" wrapText="1"/>
    </xf>
    <xf borderId="12" fillId="0" fontId="46" numFmtId="1" xfId="0" applyAlignment="1" applyBorder="1" applyFont="1" applyNumberFormat="1">
      <alignment readingOrder="0" shrinkToFit="0" vertical="center" wrapText="1"/>
    </xf>
    <xf borderId="2" fillId="6" fontId="33" numFmtId="165" xfId="0" applyAlignment="1" applyBorder="1" applyFill="1" applyFont="1" applyNumberFormat="1">
      <alignment readingOrder="0" shrinkToFit="0" vertical="center" wrapText="1"/>
    </xf>
    <xf borderId="45" fillId="0" fontId="4" numFmtId="49" xfId="0" applyAlignment="1" applyBorder="1" applyFont="1" applyNumberFormat="1">
      <alignment horizontal="left" readingOrder="0" vertical="center"/>
    </xf>
    <xf borderId="45" fillId="0" fontId="4" numFmtId="0" xfId="0" applyAlignment="1" applyBorder="1" applyFont="1">
      <alignment horizontal="left" readingOrder="0" vertical="center"/>
    </xf>
    <xf borderId="46" fillId="0" fontId="4" numFmtId="164" xfId="0" applyAlignment="1" applyBorder="1" applyFont="1" applyNumberFormat="1">
      <alignment horizontal="left" readingOrder="0" vertical="center"/>
    </xf>
    <xf borderId="12" fillId="9" fontId="25" numFmtId="3" xfId="0" applyBorder="1" applyFill="1" applyFont="1" applyNumberFormat="1"/>
    <xf borderId="15" fillId="0" fontId="46" numFmtId="1" xfId="0" applyAlignment="1" applyBorder="1" applyFont="1" applyNumberFormat="1">
      <alignment readingOrder="0" shrinkToFit="0" vertical="center" wrapText="1"/>
    </xf>
    <xf borderId="0" fillId="15" fontId="4" numFmtId="0" xfId="0" applyAlignment="1" applyFill="1" applyFont="1">
      <alignment horizontal="center" readingOrder="0"/>
    </xf>
    <xf borderId="0" fillId="0" fontId="10" numFmtId="0" xfId="0" applyAlignment="1" applyFont="1">
      <alignment horizontal="left" readingOrder="0" vertical="bottom"/>
    </xf>
    <xf borderId="12" fillId="0" fontId="24" numFmtId="2" xfId="0" applyAlignment="1" applyBorder="1" applyFont="1" applyNumberFormat="1">
      <alignment vertical="center"/>
    </xf>
    <xf borderId="16" fillId="0" fontId="4" numFmtId="0" xfId="0" applyAlignment="1" applyBorder="1" applyFont="1">
      <alignment readingOrder="0" vertical="center"/>
    </xf>
    <xf borderId="31" fillId="0" fontId="4" numFmtId="49" xfId="0" applyAlignment="1" applyBorder="1" applyFont="1" applyNumberFormat="1">
      <alignment horizontal="left" readingOrder="0"/>
    </xf>
    <xf borderId="32" fillId="0" fontId="4" numFmtId="164" xfId="0" applyAlignment="1" applyBorder="1" applyFont="1" applyNumberFormat="1">
      <alignment readingOrder="0"/>
    </xf>
    <xf borderId="10" fillId="8" fontId="25" numFmtId="3" xfId="0" applyAlignment="1" applyBorder="1" applyFill="1" applyFont="1" applyNumberFormat="1">
      <alignment horizontal="right" readingOrder="0" vertical="center"/>
    </xf>
    <xf borderId="10" fillId="8" fontId="25" numFmtId="3" xfId="0" applyAlignment="1" applyBorder="1" applyFill="1" applyFont="1" applyNumberFormat="1">
      <alignment vertical="bottom"/>
    </xf>
    <xf quotePrefix="1" borderId="12" fillId="8" fontId="25" numFmtId="0" xfId="0" applyAlignment="1" applyBorder="1" applyFill="1" applyFont="1">
      <alignment horizontal="center" readingOrder="0" vertical="center"/>
    </xf>
    <xf borderId="38" fillId="8" fontId="25" numFmtId="3" xfId="0" applyAlignment="1" applyBorder="1" applyFill="1" applyFont="1" applyNumberFormat="1">
      <alignment horizontal="right" readingOrder="0" vertical="center"/>
    </xf>
    <xf borderId="20" fillId="8" fontId="25" numFmtId="3" xfId="0" applyAlignment="1" applyBorder="1" applyFill="1" applyFont="1" applyNumberFormat="1">
      <alignment horizontal="right" readingOrder="0" vertical="center"/>
    </xf>
    <xf borderId="21" fillId="8" fontId="25" numFmtId="3" xfId="0" applyAlignment="1" applyBorder="1" applyFill="1" applyFont="1" applyNumberFormat="1">
      <alignment horizontal="right" readingOrder="0" vertical="center"/>
    </xf>
    <xf borderId="10" fillId="9" fontId="25" numFmtId="9" xfId="0" applyAlignment="1" applyBorder="1" applyFill="1" applyFont="1" applyNumberFormat="1">
      <alignment horizontal="right" readingOrder="0"/>
    </xf>
    <xf borderId="10" fillId="9" fontId="25" numFmtId="3" xfId="0" applyAlignment="1" applyBorder="1" applyFill="1" applyFont="1" applyNumberFormat="1">
      <alignment vertical="bottom"/>
    </xf>
    <xf borderId="0" fillId="0" fontId="33" numFmtId="165" xfId="0" applyAlignment="1" applyFont="1" applyNumberFormat="1">
      <alignment readingOrder="0" shrinkToFit="0" vertical="center" wrapText="1"/>
    </xf>
    <xf borderId="12" fillId="0" fontId="24" numFmtId="0" xfId="0" applyAlignment="1" applyBorder="1" applyFont="1">
      <alignment readingOrder="0" vertical="center"/>
    </xf>
    <xf borderId="0" fillId="0" fontId="10" numFmtId="0" xfId="0" applyAlignment="1" applyFont="1">
      <alignment readingOrder="0" vertical="bottom"/>
    </xf>
    <xf borderId="33" fillId="0" fontId="4" numFmtId="49" xfId="0" applyAlignment="1" applyBorder="1" applyFont="1" applyNumberFormat="1">
      <alignment horizontal="left" readingOrder="0"/>
    </xf>
    <xf borderId="34" fillId="0" fontId="4" numFmtId="164" xfId="0" applyAlignment="1" applyBorder="1" applyFont="1" applyNumberFormat="1">
      <alignment readingOrder="0"/>
    </xf>
    <xf borderId="28" fillId="8" fontId="25" numFmtId="3" xfId="0" applyAlignment="1" applyBorder="1" applyFill="1" applyFont="1" applyNumberFormat="1">
      <alignment horizontal="right" readingOrder="0" vertical="center"/>
    </xf>
    <xf borderId="0" fillId="8" fontId="25" numFmtId="3" xfId="0" applyAlignment="1" applyFill="1" applyFont="1" applyNumberFormat="1">
      <alignment horizontal="right" readingOrder="0" vertical="center"/>
    </xf>
    <xf borderId="22" fillId="8" fontId="25" numFmtId="3" xfId="0" applyAlignment="1" applyBorder="1" applyFill="1" applyFont="1" applyNumberFormat="1">
      <alignment horizontal="right" readingOrder="0" vertical="center"/>
    </xf>
    <xf borderId="10" fillId="8" fontId="25" numFmtId="9" xfId="0" applyAlignment="1" applyBorder="1" applyFill="1" applyFont="1" applyNumberFormat="1">
      <alignment horizontal="right" readingOrder="0" vertical="center"/>
    </xf>
    <xf borderId="28" fillId="8" fontId="25" numFmtId="9" xfId="0" applyAlignment="1" applyBorder="1" applyFill="1" applyFont="1" applyNumberFormat="1">
      <alignment horizontal="right" readingOrder="0" vertical="center"/>
    </xf>
    <xf borderId="22" fillId="8" fontId="25" numFmtId="0" xfId="0" applyAlignment="1" applyBorder="1" applyFill="1" applyFont="1">
      <alignment horizontal="center" readingOrder="0" shrinkToFit="0" vertical="center" wrapText="1"/>
    </xf>
    <xf borderId="0" fillId="8" fontId="25" numFmtId="9" xfId="0" applyAlignment="1" applyFill="1" applyFont="1" applyNumberFormat="1">
      <alignment horizontal="right" readingOrder="0" vertical="center"/>
    </xf>
    <xf borderId="0" fillId="0" fontId="10" numFmtId="0" xfId="0" applyAlignment="1" applyFont="1">
      <alignment readingOrder="0" shrinkToFit="0" vertical="bottom" wrapText="1"/>
    </xf>
    <xf borderId="14" fillId="0" fontId="4" numFmtId="49" xfId="0" applyAlignment="1" applyBorder="1" applyFont="1" applyNumberFormat="1">
      <alignment horizontal="left" readingOrder="0"/>
    </xf>
    <xf borderId="35" fillId="0" fontId="4" numFmtId="164" xfId="0" applyAlignment="1" applyBorder="1" applyFont="1" applyNumberFormat="1">
      <alignment readingOrder="0"/>
    </xf>
    <xf borderId="2" fillId="0" fontId="4" numFmtId="49" xfId="0" applyAlignment="1" applyBorder="1" applyFont="1" applyNumberFormat="1">
      <alignment horizontal="left" readingOrder="0"/>
    </xf>
    <xf borderId="36" fillId="0" fontId="4" numFmtId="164" xfId="0" applyAlignment="1" applyBorder="1" applyFont="1" applyNumberFormat="1">
      <alignment readingOrder="0"/>
    </xf>
    <xf borderId="11" fillId="0" fontId="4" numFmtId="49" xfId="0" applyAlignment="1" applyBorder="1" applyFont="1" applyNumberFormat="1">
      <alignment horizontal="left" readingOrder="0"/>
    </xf>
    <xf borderId="30" fillId="0" fontId="4" numFmtId="164" xfId="0" applyAlignment="1" applyBorder="1" applyFont="1" applyNumberFormat="1">
      <alignment readingOrder="0"/>
    </xf>
    <xf borderId="10" fillId="8" fontId="25" numFmtId="164" xfId="0" applyAlignment="1" applyBorder="1" applyFill="1" applyFont="1" applyNumberFormat="1">
      <alignment horizontal="center" readingOrder="0" vertical="center"/>
    </xf>
    <xf borderId="10" fillId="9" fontId="25" numFmtId="0" xfId="0" applyAlignment="1" applyBorder="1" applyFill="1" applyFont="1">
      <alignment horizontal="right" readingOrder="0"/>
    </xf>
    <xf borderId="2" fillId="6" fontId="25" numFmtId="4" xfId="0" applyAlignment="1" applyBorder="1" applyFill="1" applyFont="1" applyNumberFormat="1">
      <alignment horizontal="center" readingOrder="0" vertical="center"/>
    </xf>
    <xf borderId="32" fillId="0" fontId="4" numFmtId="3" xfId="0" applyAlignment="1" applyBorder="1" applyFont="1" applyNumberFormat="1">
      <alignment horizontal="right" readingOrder="0"/>
    </xf>
    <xf borderId="34" fillId="0" fontId="4" numFmtId="3" xfId="0" applyAlignment="1" applyBorder="1" applyFont="1" applyNumberFormat="1">
      <alignment horizontal="right" readingOrder="0"/>
    </xf>
    <xf borderId="3" fillId="3" fontId="47" numFmtId="0" xfId="0" applyAlignment="1" applyBorder="1" applyFill="1" applyFont="1">
      <alignment horizontal="center" readingOrder="0"/>
    </xf>
    <xf borderId="2" fillId="6" fontId="10" numFmtId="0" xfId="0" applyBorder="1" applyFill="1" applyFont="1"/>
    <xf borderId="2" fillId="6" fontId="10" numFmtId="49" xfId="0" applyBorder="1" applyFill="1" applyFont="1" applyNumberFormat="1"/>
    <xf borderId="2" fillId="6" fontId="10" numFmtId="164" xfId="0" applyBorder="1" applyFill="1" applyFont="1" applyNumberFormat="1"/>
    <xf borderId="2" fillId="6" fontId="47" numFmtId="164" xfId="0" applyBorder="1" applyFill="1" applyFont="1" applyNumberFormat="1"/>
    <xf borderId="2" fillId="6" fontId="10" numFmtId="164" xfId="0" applyAlignment="1" applyBorder="1" applyFill="1" applyFont="1" applyNumberFormat="1">
      <alignment vertical="bottom"/>
    </xf>
    <xf borderId="2" fillId="6" fontId="10" numFmtId="3" xfId="0" applyAlignment="1" applyBorder="1" applyFill="1" applyFont="1" applyNumberFormat="1">
      <alignment vertical="bottom"/>
    </xf>
    <xf borderId="2" fillId="6" fontId="10" numFmtId="2" xfId="0" applyAlignment="1" applyBorder="1" applyFill="1" applyFont="1" applyNumberFormat="1">
      <alignment vertical="center"/>
    </xf>
    <xf borderId="45" fillId="0" fontId="4" numFmtId="49" xfId="0" applyAlignment="1" applyBorder="1" applyFont="1" applyNumberFormat="1">
      <alignment horizontal="left" readingOrder="0"/>
    </xf>
    <xf borderId="46" fillId="0" fontId="4" numFmtId="3" xfId="0" applyAlignment="1" applyBorder="1" applyFont="1" applyNumberFormat="1">
      <alignment horizontal="right" readingOrder="0"/>
    </xf>
    <xf borderId="3" fillId="3" fontId="10" numFmtId="0" xfId="0" applyAlignment="1" applyBorder="1" applyFill="1" applyFont="1">
      <alignment readingOrder="0"/>
    </xf>
    <xf borderId="2" fillId="6" fontId="10" numFmtId="0" xfId="0" applyAlignment="1" applyBorder="1" applyFill="1" applyFont="1">
      <alignment readingOrder="0"/>
    </xf>
    <xf borderId="2" fillId="3" fontId="10" numFmtId="0" xfId="0" applyAlignment="1" applyBorder="1" applyFill="1" applyFont="1">
      <alignment readingOrder="0"/>
    </xf>
    <xf borderId="2" fillId="3" fontId="10" numFmtId="49" xfId="0" applyBorder="1" applyFill="1" applyFont="1" applyNumberFormat="1"/>
    <xf borderId="2" fillId="3" fontId="10" numFmtId="0" xfId="0" applyBorder="1" applyFill="1" applyFont="1"/>
    <xf borderId="2" fillId="3" fontId="10" numFmtId="164" xfId="0" applyBorder="1" applyFill="1" applyFont="1" applyNumberFormat="1"/>
    <xf borderId="2" fillId="3" fontId="47" numFmtId="164" xfId="0" applyBorder="1" applyFill="1" applyFont="1" applyNumberFormat="1"/>
    <xf borderId="2" fillId="3" fontId="10" numFmtId="164" xfId="0" applyAlignment="1" applyBorder="1" applyFill="1" applyFont="1" applyNumberFormat="1">
      <alignment vertical="bottom"/>
    </xf>
    <xf borderId="2" fillId="3" fontId="10" numFmtId="3" xfId="0" applyAlignment="1" applyBorder="1" applyFill="1" applyFont="1" applyNumberFormat="1">
      <alignment vertical="bottom"/>
    </xf>
    <xf borderId="2" fillId="3" fontId="10" numFmtId="2" xfId="0" applyAlignment="1" applyBorder="1" applyFill="1" applyFont="1" applyNumberFormat="1">
      <alignment vertical="center"/>
    </xf>
    <xf borderId="22" fillId="8" fontId="25" numFmtId="9" xfId="0" applyAlignment="1" applyBorder="1" applyFill="1" applyFont="1" applyNumberFormat="1">
      <alignment horizontal="right" readingOrder="0" vertical="center"/>
    </xf>
    <xf borderId="2" fillId="6" fontId="47" numFmtId="0" xfId="0" applyBorder="1" applyFill="1" applyFont="1"/>
    <xf borderId="2" fillId="3" fontId="4" numFmtId="164" xfId="0" applyAlignment="1" applyBorder="1" applyFill="1" applyFont="1" applyNumberFormat="1">
      <alignment vertical="bottom"/>
    </xf>
    <xf borderId="47" fillId="6" fontId="48" numFmtId="165" xfId="0" applyAlignment="1" applyBorder="1" applyFill="1" applyFont="1" applyNumberFormat="1">
      <alignment horizontal="center" readingOrder="0" vertical="center"/>
    </xf>
    <xf borderId="49" fillId="6" fontId="8" numFmtId="0" xfId="0" applyBorder="1" applyFill="1" applyFont="1"/>
    <xf borderId="48" fillId="6" fontId="8" numFmtId="0" xfId="0" applyBorder="1" applyFill="1" applyFont="1"/>
    <xf borderId="2" fillId="6" fontId="4" numFmtId="164" xfId="0" applyAlignment="1" applyBorder="1" applyFill="1" applyFont="1" applyNumberFormat="1">
      <alignment vertical="bottom"/>
    </xf>
    <xf borderId="50" fillId="3" fontId="8" numFmtId="0" xfId="0" applyBorder="1" applyFill="1" applyFont="1"/>
    <xf borderId="51" fillId="3" fontId="8" numFmtId="0" xfId="0" applyBorder="1" applyFill="1" applyFont="1"/>
    <xf borderId="50" fillId="6" fontId="8" numFmtId="0" xfId="0" applyBorder="1" applyFill="1" applyFont="1"/>
    <xf borderId="51" fillId="6" fontId="8" numFmtId="0" xfId="0" applyBorder="1" applyFill="1" applyFont="1"/>
    <xf borderId="40" fillId="3" fontId="8" numFmtId="0" xfId="0" applyBorder="1" applyFill="1" applyFont="1"/>
    <xf borderId="52" fillId="3" fontId="8" numFmtId="0" xfId="0" applyBorder="1" applyFill="1" applyFont="1"/>
    <xf borderId="39" fillId="3" fontId="8" numFmtId="0" xfId="0" applyBorder="1" applyFill="1" applyFont="1"/>
    <xf borderId="11" fillId="6" fontId="49" numFmtId="0" xfId="0" applyAlignment="1" applyBorder="1" applyFill="1" applyFont="1">
      <alignment readingOrder="0" vertical="bottom"/>
    </xf>
    <xf borderId="2" fillId="6" fontId="50" numFmtId="49" xfId="0" applyAlignment="1" applyBorder="1" applyFill="1" applyFont="1" applyNumberFormat="1">
      <alignment vertical="bottom"/>
    </xf>
    <xf borderId="11" fillId="6" fontId="51" numFmtId="164" xfId="0" applyAlignment="1" applyBorder="1" applyFill="1" applyFont="1" applyNumberFormat="1">
      <alignment horizontal="center" vertical="bottom"/>
    </xf>
    <xf borderId="2" fillId="6" fontId="50" numFmtId="164" xfId="0" applyAlignment="1" applyBorder="1" applyFill="1" applyFont="1" applyNumberFormat="1">
      <alignment vertical="bottom"/>
    </xf>
    <xf borderId="2" fillId="3" fontId="52" numFmtId="49" xfId="0" applyAlignment="1" applyBorder="1" applyFill="1" applyFont="1" applyNumberFormat="1">
      <alignment vertical="bottom"/>
    </xf>
    <xf borderId="2" fillId="3" fontId="50" numFmtId="164" xfId="0" applyAlignment="1" applyBorder="1" applyFill="1" applyFont="1" applyNumberFormat="1">
      <alignment vertical="bottom"/>
    </xf>
    <xf borderId="2" fillId="6" fontId="52" numFmtId="49" xfId="0" applyAlignment="1" applyBorder="1" applyFill="1" applyFont="1" applyNumberFormat="1">
      <alignment vertical="bottom"/>
    </xf>
    <xf borderId="53" fillId="0" fontId="4" numFmtId="49" xfId="0" applyAlignment="1" applyBorder="1" applyFont="1" applyNumberFormat="1">
      <alignment horizontal="left" readingOrder="0"/>
    </xf>
    <xf borderId="53" fillId="0" fontId="4" numFmtId="0" xfId="0" applyAlignment="1" applyBorder="1" applyFont="1">
      <alignment readingOrder="0"/>
    </xf>
    <xf borderId="54" fillId="0" fontId="4" numFmtId="3" xfId="0" applyAlignment="1" applyBorder="1" applyFont="1" applyNumberFormat="1">
      <alignment horizontal="right" readingOrder="0"/>
    </xf>
    <xf borderId="2" fillId="3" fontId="53" numFmtId="0" xfId="0" applyAlignment="1" applyBorder="1" applyFill="1" applyFont="1">
      <alignment vertical="bottom"/>
    </xf>
    <xf borderId="2" fillId="3" fontId="50" numFmtId="49" xfId="0" applyAlignment="1" applyBorder="1" applyFill="1" applyFont="1" applyNumberFormat="1">
      <alignment vertical="bottom"/>
    </xf>
    <xf borderId="2" fillId="3" fontId="50" numFmtId="0" xfId="0" applyAlignment="1" applyBorder="1" applyFill="1" applyFont="1">
      <alignment vertical="bottom"/>
    </xf>
    <xf borderId="13" fillId="8" fontId="25" numFmtId="0" xfId="0" applyAlignment="1" applyBorder="1" applyFill="1" applyFont="1">
      <alignment horizontal="center" readingOrder="0" vertical="center"/>
    </xf>
    <xf borderId="2" fillId="6" fontId="52" numFmtId="0" xfId="0" applyAlignment="1" applyBorder="1" applyFill="1" applyFont="1">
      <alignment vertical="bottom"/>
    </xf>
    <xf borderId="2" fillId="6" fontId="50" numFmtId="0" xfId="0" applyAlignment="1" applyBorder="1" applyFill="1" applyFont="1">
      <alignment vertical="bottom"/>
    </xf>
    <xf borderId="11" fillId="3" fontId="49" numFmtId="0" xfId="0" applyAlignment="1" applyBorder="1" applyFill="1" applyFont="1">
      <alignment readingOrder="0" vertical="bottom"/>
    </xf>
    <xf borderId="11" fillId="3" fontId="51" numFmtId="164" xfId="0" applyAlignment="1" applyBorder="1" applyFill="1" applyFont="1" applyNumberFormat="1">
      <alignment horizontal="center" vertical="bottom"/>
    </xf>
    <xf quotePrefix="1" borderId="13" fillId="8" fontId="25" numFmtId="0" xfId="0" applyAlignment="1" applyBorder="1" applyFill="1" applyFont="1">
      <alignment horizontal="center" readingOrder="0" vertical="center"/>
    </xf>
    <xf borderId="36" fillId="0" fontId="4" numFmtId="3" xfId="0" applyAlignment="1" applyBorder="1" applyFont="1" applyNumberFormat="1">
      <alignment horizontal="right" readingOrder="0"/>
    </xf>
    <xf borderId="11" fillId="3" fontId="51" numFmtId="0" xfId="0" applyAlignment="1" applyBorder="1" applyFill="1" applyFont="1">
      <alignment horizontal="right" vertical="bottom"/>
    </xf>
    <xf borderId="0" fillId="0" fontId="24" numFmtId="2" xfId="0" applyAlignment="1" applyFont="1" applyNumberFormat="1">
      <alignment vertical="center"/>
    </xf>
    <xf borderId="11" fillId="6" fontId="51" numFmtId="0" xfId="0" applyAlignment="1" applyBorder="1" applyFill="1" applyFont="1">
      <alignment horizontal="right" vertical="bottom"/>
    </xf>
    <xf borderId="32" fillId="0" fontId="4" numFmtId="0" xfId="0" applyAlignment="1" applyBorder="1" applyFont="1">
      <alignment horizontal="right" readingOrder="0"/>
    </xf>
    <xf borderId="38" fillId="8" fontId="25" numFmtId="0" xfId="0" applyAlignment="1" applyBorder="1" applyFill="1" applyFont="1">
      <alignment horizontal="center" readingOrder="0" vertical="center"/>
    </xf>
    <xf borderId="21" fillId="0" fontId="8" numFmtId="0" xfId="0" applyBorder="1" applyFont="1"/>
    <xf borderId="34" fillId="0" fontId="4" numFmtId="0" xfId="0" applyAlignment="1" applyBorder="1" applyFont="1">
      <alignment horizontal="right" readingOrder="0"/>
    </xf>
    <xf borderId="10" fillId="0" fontId="24" numFmtId="0" xfId="0" applyAlignment="1" applyBorder="1" applyFont="1">
      <alignment readingOrder="0" vertical="center"/>
    </xf>
    <xf borderId="46" fillId="0" fontId="4" numFmtId="0" xfId="0" applyAlignment="1" applyBorder="1" applyFont="1">
      <alignment horizontal="right" readingOrder="0"/>
    </xf>
    <xf borderId="10" fillId="8" fontId="25" numFmtId="9" xfId="0" applyAlignment="1" applyBorder="1" applyFill="1" applyFont="1" applyNumberFormat="1">
      <alignment horizontal="center" readingOrder="0" vertical="center"/>
    </xf>
    <xf borderId="10" fillId="8" fontId="25" numFmtId="0" xfId="0" applyAlignment="1" applyBorder="1" applyFill="1" applyFont="1">
      <alignment horizontal="center" readingOrder="0" vertical="center"/>
    </xf>
    <xf borderId="10" fillId="9" fontId="25" numFmtId="9" xfId="0" applyAlignment="1" applyBorder="1" applyFill="1" applyFont="1" applyNumberFormat="1">
      <alignment horizontal="center" readingOrder="0" vertical="center"/>
    </xf>
    <xf borderId="10" fillId="9" fontId="25" numFmtId="9" xfId="0" applyAlignment="1" applyBorder="1" applyFill="1" applyFont="1" applyNumberFormat="1">
      <alignment horizontal="right" readingOrder="0" vertical="center"/>
    </xf>
    <xf borderId="37" fillId="8" fontId="25" numFmtId="3" xfId="0" applyAlignment="1" applyBorder="1" applyFill="1" applyFont="1" applyNumberFormat="1">
      <alignment horizontal="right" readingOrder="0" vertical="center"/>
    </xf>
    <xf borderId="1" fillId="8" fontId="25" numFmtId="3" xfId="0" applyAlignment="1" applyBorder="1" applyFill="1" applyFont="1" applyNumberFormat="1">
      <alignment horizontal="right" readingOrder="0" vertical="center"/>
    </xf>
    <xf borderId="23" fillId="8" fontId="25" numFmtId="3" xfId="0" applyAlignment="1" applyBorder="1" applyFill="1" applyFont="1" applyNumberFormat="1">
      <alignment horizontal="right" readingOrder="0" vertical="center"/>
    </xf>
    <xf borderId="6" fillId="14" fontId="47" numFmtId="0" xfId="0" applyAlignment="1" applyBorder="1" applyFill="1" applyFont="1">
      <alignment horizontal="center" readingOrder="0"/>
    </xf>
    <xf borderId="7" fillId="14" fontId="47" numFmtId="0" xfId="0" applyAlignment="1" applyBorder="1" applyFill="1" applyFont="1">
      <alignment horizontal="center" readingOrder="0"/>
    </xf>
    <xf borderId="9" fillId="14" fontId="47" numFmtId="0" xfId="0" applyAlignment="1" applyBorder="1" applyFill="1" applyFont="1">
      <alignment horizontal="center" readingOrder="0"/>
    </xf>
    <xf borderId="0" fillId="0" fontId="10" numFmtId="49" xfId="0" applyFont="1" applyNumberFormat="1"/>
    <xf borderId="0" fillId="0" fontId="10" numFmtId="164" xfId="0" applyFont="1" applyNumberFormat="1"/>
    <xf borderId="0" fillId="0" fontId="47" numFmtId="164" xfId="0" applyFont="1" applyNumberFormat="1"/>
    <xf borderId="0" fillId="0" fontId="10" numFmtId="164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10" numFmtId="2" xfId="0" applyAlignment="1" applyFont="1" applyNumberFormat="1">
      <alignment vertical="center"/>
    </xf>
    <xf borderId="0" fillId="0" fontId="10" numFmtId="0" xfId="0" applyAlignment="1" applyFont="1">
      <alignment readingOrder="0"/>
    </xf>
    <xf borderId="0" fillId="0" fontId="47" numFmtId="0" xfId="0" applyFont="1"/>
    <xf borderId="0" fillId="3" fontId="4" numFmtId="164" xfId="0" applyAlignment="1" applyFill="1" applyFont="1" applyNumberFormat="1">
      <alignment vertical="bottom"/>
    </xf>
    <xf borderId="38" fillId="16" fontId="48" numFmtId="165" xfId="0" applyAlignment="1" applyBorder="1" applyFill="1" applyFont="1" applyNumberFormat="1">
      <alignment horizontal="center" readingOrder="0" vertical="center"/>
    </xf>
    <xf borderId="20" fillId="16" fontId="48" numFmtId="165" xfId="0" applyAlignment="1" applyBorder="1" applyFill="1" applyFont="1" applyNumberFormat="1">
      <alignment horizontal="center" readingOrder="0" vertical="center"/>
    </xf>
    <xf borderId="20" fillId="0" fontId="8" numFmtId="0" xfId="0" applyBorder="1" applyFont="1"/>
    <xf borderId="55" fillId="16" fontId="49" numFmtId="0" xfId="0" applyAlignment="1" applyBorder="1" applyFill="1" applyFont="1">
      <alignment readingOrder="0" vertical="bottom"/>
    </xf>
    <xf borderId="56" fillId="16" fontId="50" numFmtId="49" xfId="0" applyAlignment="1" applyBorder="1" applyFill="1" applyFont="1" applyNumberFormat="1">
      <alignment vertical="bottom"/>
    </xf>
    <xf borderId="55" fillId="3" fontId="51" numFmtId="164" xfId="0" applyAlignment="1" applyBorder="1" applyFill="1" applyFont="1" applyNumberFormat="1">
      <alignment horizontal="center" vertical="bottom"/>
    </xf>
    <xf borderId="56" fillId="16" fontId="50" numFmtId="164" xfId="0" applyAlignment="1" applyBorder="1" applyFill="1" applyFont="1" applyNumberFormat="1">
      <alignment vertical="bottom"/>
    </xf>
    <xf borderId="55" fillId="16" fontId="50" numFmtId="164" xfId="0" applyAlignment="1" applyBorder="1" applyFill="1" applyFont="1" applyNumberFormat="1">
      <alignment vertical="bottom"/>
    </xf>
    <xf borderId="57" fillId="16" fontId="50" numFmtId="164" xfId="0" applyAlignment="1" applyBorder="1" applyFill="1" applyFont="1" applyNumberFormat="1">
      <alignment vertical="bottom"/>
    </xf>
    <xf borderId="55" fillId="0" fontId="8" numFmtId="0" xfId="0" applyBorder="1" applyFont="1"/>
    <xf borderId="58" fillId="16" fontId="52" numFmtId="49" xfId="0" applyAlignment="1" applyBorder="1" applyFill="1" applyFont="1" applyNumberFormat="1">
      <alignment vertical="bottom"/>
    </xf>
    <xf borderId="58" fillId="16" fontId="50" numFmtId="164" xfId="0" applyAlignment="1" applyBorder="1" applyFill="1" applyFont="1" applyNumberFormat="1">
      <alignment vertical="bottom"/>
    </xf>
    <xf borderId="59" fillId="16" fontId="50" numFmtId="164" xfId="0" applyAlignment="1" applyBorder="1" applyFill="1" applyFont="1" applyNumberFormat="1">
      <alignment vertical="bottom"/>
    </xf>
    <xf borderId="56" fillId="0" fontId="8" numFmtId="0" xfId="0" applyBorder="1" applyFont="1"/>
    <xf borderId="58" fillId="16" fontId="53" numFmtId="0" xfId="0" applyAlignment="1" applyBorder="1" applyFill="1" applyFont="1">
      <alignment vertical="bottom"/>
    </xf>
    <xf borderId="58" fillId="16" fontId="50" numFmtId="49" xfId="0" applyAlignment="1" applyBorder="1" applyFill="1" applyFont="1" applyNumberFormat="1">
      <alignment vertical="bottom"/>
    </xf>
    <xf borderId="58" fillId="16" fontId="50" numFmtId="0" xfId="0" applyAlignment="1" applyBorder="1" applyFill="1" applyFont="1">
      <alignment vertical="bottom"/>
    </xf>
    <xf borderId="58" fillId="16" fontId="52" numFmtId="0" xfId="0" applyAlignment="1" applyBorder="1" applyFill="1" applyFont="1">
      <alignment vertical="bottom"/>
    </xf>
    <xf borderId="60" fillId="16" fontId="49" numFmtId="0" xfId="0" applyAlignment="1" applyBorder="1" applyFill="1" applyFont="1">
      <alignment readingOrder="0" vertical="bottom"/>
    </xf>
    <xf borderId="60" fillId="3" fontId="51" numFmtId="164" xfId="0" applyAlignment="1" applyBorder="1" applyFill="1" applyFont="1" applyNumberFormat="1">
      <alignment horizontal="center" vertical="bottom"/>
    </xf>
    <xf borderId="58" fillId="16" fontId="10" numFmtId="0" xfId="0" applyBorder="1" applyFill="1" applyFont="1"/>
    <xf borderId="58" fillId="16" fontId="10" numFmtId="49" xfId="0" applyBorder="1" applyFill="1" applyFont="1" applyNumberFormat="1"/>
    <xf borderId="58" fillId="16" fontId="10" numFmtId="164" xfId="0" applyBorder="1" applyFill="1" applyFont="1" applyNumberFormat="1"/>
    <xf borderId="58" fillId="16" fontId="47" numFmtId="164" xfId="0" applyBorder="1" applyFill="1" applyFont="1" applyNumberFormat="1"/>
    <xf borderId="58" fillId="16" fontId="10" numFmtId="164" xfId="0" applyAlignment="1" applyBorder="1" applyFill="1" applyFont="1" applyNumberFormat="1">
      <alignment vertical="bottom"/>
    </xf>
    <xf borderId="59" fillId="16" fontId="10" numFmtId="164" xfId="0" applyAlignment="1" applyBorder="1" applyFill="1" applyFont="1" applyNumberFormat="1">
      <alignment vertical="bottom"/>
    </xf>
    <xf borderId="60" fillId="3" fontId="51" numFmtId="164" xfId="0" applyAlignment="1" applyBorder="1" applyFill="1" applyFont="1" applyNumberFormat="1">
      <alignment horizontal="right" vertical="bottom"/>
    </xf>
    <xf borderId="60" fillId="3" fontId="51" numFmtId="0" xfId="0" applyAlignment="1" applyBorder="1" applyFill="1" applyFont="1">
      <alignment horizontal="right" vertical="bottom"/>
    </xf>
    <xf borderId="2" fillId="6" fontId="10" numFmtId="49" xfId="0" applyAlignment="1" applyBorder="1" applyFill="1" applyFont="1" applyNumberFormat="1">
      <alignment vertical="bottom"/>
    </xf>
    <xf borderId="2" fillId="6" fontId="47" numFmtId="0" xfId="0" applyAlignment="1" applyBorder="1" applyFill="1" applyFont="1">
      <alignment vertical="bottom"/>
    </xf>
    <xf borderId="2" fillId="3" fontId="10" numFmtId="49" xfId="0" applyAlignment="1" applyBorder="1" applyFill="1" applyFont="1" applyNumberFormat="1">
      <alignment vertical="bottom"/>
    </xf>
    <xf borderId="2" fillId="3" fontId="47" numFmtId="0" xfId="0" applyAlignment="1" applyBorder="1" applyFill="1" applyFont="1">
      <alignment vertical="bottom"/>
    </xf>
    <xf borderId="2" fillId="3" fontId="10" numFmtId="0" xfId="0" applyAlignment="1" applyBorder="1" applyFill="1" applyFont="1">
      <alignment vertical="center"/>
    </xf>
    <xf borderId="0" fillId="0" fontId="10" numFmtId="49" xfId="0" applyAlignment="1" applyFont="1" applyNumberFormat="1">
      <alignment vertical="bottom"/>
    </xf>
    <xf borderId="0" fillId="0" fontId="47" numFmtId="0" xfId="0" applyAlignment="1" applyFont="1">
      <alignment vertical="bottom"/>
    </xf>
    <xf borderId="0" fillId="0" fontId="54" numFmtId="49" xfId="0" applyFont="1" applyNumberFormat="1"/>
    <xf borderId="0" fillId="0" fontId="54" numFmtId="0" xfId="0" applyFont="1"/>
    <xf borderId="0" fillId="0" fontId="55" numFmtId="49" xfId="0" applyAlignment="1" applyFont="1" applyNumberFormat="1">
      <alignment horizontal="center" readingOrder="0" vertical="top"/>
    </xf>
    <xf borderId="0" fillId="3" fontId="55" numFmtId="49" xfId="0" applyAlignment="1" applyFill="1" applyFont="1" applyNumberFormat="1">
      <alignment horizontal="center" readingOrder="0" vertical="top"/>
    </xf>
    <xf borderId="61" fillId="17" fontId="56" numFmtId="49" xfId="0" applyAlignment="1" applyBorder="1" applyFill="1" applyFont="1" applyNumberFormat="1">
      <alignment horizontal="center" readingOrder="0" vertical="top"/>
    </xf>
    <xf borderId="61" fillId="17" fontId="56" numFmtId="0" xfId="0" applyAlignment="1" applyBorder="1" applyFill="1" applyFont="1">
      <alignment horizontal="center" readingOrder="0" vertical="top"/>
    </xf>
    <xf borderId="0" fillId="0" fontId="54" numFmtId="0" xfId="0" applyAlignment="1" applyFont="1">
      <alignment readingOrder="0"/>
    </xf>
    <xf borderId="62" fillId="3" fontId="55" numFmtId="49" xfId="0" applyAlignment="1" applyBorder="1" applyFill="1" applyFont="1" applyNumberFormat="1">
      <alignment horizontal="left" readingOrder="0" vertical="top"/>
    </xf>
    <xf borderId="62" fillId="3" fontId="55" numFmtId="0" xfId="0" applyAlignment="1" applyBorder="1" applyFill="1" applyFont="1">
      <alignment horizontal="left" readingOrder="0" vertical="top"/>
    </xf>
    <xf borderId="0" fillId="0" fontId="54" numFmtId="49" xfId="0" applyAlignment="1" applyFont="1" applyNumberFormat="1">
      <alignment readingOrder="0"/>
    </xf>
    <xf borderId="10" fillId="5" fontId="12" numFmtId="164" xfId="0" applyAlignment="1" applyBorder="1" applyFill="1" applyFont="1" applyNumberFormat="1">
      <alignment horizontal="center" readingOrder="0" shrinkToFit="0" vertical="center" wrapText="1"/>
    </xf>
    <xf borderId="10" fillId="0" fontId="4" numFmtId="0" xfId="0" applyAlignment="1" applyBorder="1" applyFont="1">
      <alignment horizontal="left" readingOrder="0"/>
    </xf>
    <xf borderId="10" fillId="0" fontId="4" numFmtId="3" xfId="0" applyAlignment="1" applyBorder="1" applyFont="1" applyNumberFormat="1">
      <alignment readingOrder="0"/>
    </xf>
    <xf borderId="10" fillId="0" fontId="4" numFmtId="0" xfId="0" applyBorder="1" applyFont="1"/>
    <xf borderId="10" fillId="0" fontId="4" numFmtId="0" xfId="0" applyAlignment="1" applyBorder="1" applyFont="1">
      <alignment readingOrder="0"/>
    </xf>
    <xf borderId="10" fillId="0" fontId="31" numFmtId="0" xfId="0" applyBorder="1" applyFont="1"/>
    <xf borderId="10" fillId="0" fontId="4" numFmtId="49" xfId="0" applyAlignment="1" applyBorder="1" applyFont="1" applyNumberFormat="1">
      <alignment horizontal="left" readingOrder="0"/>
    </xf>
    <xf borderId="10" fillId="0" fontId="4" numFmtId="49" xfId="0" applyAlignment="1" applyBorder="1" applyFont="1" applyNumberFormat="1">
      <alignment readingOrder="0"/>
    </xf>
    <xf borderId="0" fillId="0" fontId="57" numFmtId="0" xfId="0" applyFont="1"/>
    <xf borderId="0" fillId="0" fontId="58" numFmtId="0" xfId="0" applyAlignment="1" applyFont="1">
      <alignment readingOrder="0"/>
    </xf>
    <xf borderId="1" fillId="0" fontId="50" numFmtId="0" xfId="0" applyAlignment="1" applyBorder="1" applyFont="1">
      <alignment vertical="bottom"/>
    </xf>
    <xf borderId="0" fillId="0" fontId="50" numFmtId="0" xfId="0" applyAlignment="1" applyFont="1">
      <alignment vertical="bottom"/>
    </xf>
    <xf borderId="0" fillId="0" fontId="59" numFmtId="0" xfId="0" applyAlignment="1" applyFont="1">
      <alignment horizontal="center" vertical="top"/>
    </xf>
    <xf borderId="1" fillId="0" fontId="59" numFmtId="0" xfId="0" applyAlignment="1" applyBorder="1" applyFont="1">
      <alignment horizontal="center" readingOrder="0" vertical="top"/>
    </xf>
    <xf borderId="1" fillId="0" fontId="59" numFmtId="0" xfId="0" applyAlignment="1" applyBorder="1" applyFont="1">
      <alignment horizontal="right" vertical="top"/>
    </xf>
    <xf borderId="23" fillId="0" fontId="60" numFmtId="0" xfId="0" applyAlignment="1" applyBorder="1" applyFont="1">
      <alignment readingOrder="0"/>
    </xf>
    <xf borderId="10" fillId="18" fontId="61" numFmtId="0" xfId="0" applyAlignment="1" applyBorder="1" applyFill="1" applyFont="1">
      <alignment horizontal="center" readingOrder="0"/>
    </xf>
    <xf borderId="0" fillId="3" fontId="62" numFmtId="0" xfId="0" applyAlignment="1" applyFill="1" applyFont="1">
      <alignment horizontal="center" readingOrder="0" vertical="top"/>
    </xf>
    <xf borderId="0" fillId="3" fontId="63" numFmtId="0" xfId="0" applyAlignment="1" applyFill="1" applyFont="1">
      <alignment horizontal="right" readingOrder="0" vertical="top"/>
    </xf>
    <xf borderId="0" fillId="3" fontId="64" numFmtId="4" xfId="0" applyAlignment="1" applyFill="1" applyFont="1" applyNumberFormat="1">
      <alignment horizontal="right" readingOrder="0"/>
    </xf>
    <xf borderId="0" fillId="3" fontId="64" numFmtId="0" xfId="0" applyAlignment="1" applyFill="1" applyFont="1">
      <alignment horizontal="right" readingOrder="0"/>
    </xf>
    <xf borderId="0" fillId="3" fontId="64" numFmtId="166" xfId="0" applyAlignment="1" applyFill="1" applyFont="1" applyNumberFormat="1">
      <alignment horizontal="right" readingOrder="0"/>
    </xf>
    <xf borderId="0" fillId="3" fontId="64" numFmtId="0" xfId="0" applyAlignment="1" applyFill="1" applyFont="1">
      <alignment horizontal="center" readingOrder="0"/>
    </xf>
    <xf borderId="0" fillId="3" fontId="64" numFmtId="0" xfId="0" applyAlignment="1" applyFill="1" applyFont="1">
      <alignment horizontal="left"/>
    </xf>
    <xf borderId="0" fillId="3" fontId="64" numFmtId="0" xfId="0" applyAlignment="1" applyFill="1" applyFont="1">
      <alignment horizontal="left" readingOrder="0"/>
    </xf>
    <xf borderId="0" fillId="3" fontId="64" numFmtId="0" xfId="0" applyAlignment="1" applyFill="1" applyFont="1">
      <alignment horizontal="left"/>
    </xf>
    <xf borderId="61" fillId="17" fontId="65" numFmtId="0" xfId="0" applyAlignment="1" applyBorder="1" applyFill="1" applyFont="1">
      <alignment horizontal="center" readingOrder="0" vertical="top"/>
    </xf>
    <xf borderId="61" fillId="17" fontId="65" numFmtId="4" xfId="0" applyAlignment="1" applyBorder="1" applyFill="1" applyFont="1" applyNumberFormat="1">
      <alignment horizontal="center" readingOrder="0" vertical="top"/>
    </xf>
    <xf borderId="0" fillId="17" fontId="65" numFmtId="0" xfId="0" applyAlignment="1" applyFill="1" applyFont="1">
      <alignment horizontal="center" readingOrder="0" vertical="top"/>
    </xf>
    <xf borderId="62" fillId="3" fontId="59" numFmtId="0" xfId="0" applyAlignment="1" applyBorder="1" applyFill="1" applyFont="1">
      <alignment horizontal="left" readingOrder="0" vertical="top"/>
    </xf>
    <xf borderId="62" fillId="3" fontId="59" numFmtId="4" xfId="0" applyAlignment="1" applyBorder="1" applyFill="1" applyFont="1" applyNumberFormat="1">
      <alignment horizontal="right" readingOrder="0" vertical="top"/>
    </xf>
    <xf borderId="62" fillId="3" fontId="59" numFmtId="0" xfId="0" applyAlignment="1" applyBorder="1" applyFill="1" applyFont="1">
      <alignment horizontal="left" vertical="top"/>
    </xf>
    <xf borderId="62" fillId="3" fontId="59" numFmtId="167" xfId="0" applyAlignment="1" applyBorder="1" applyFill="1" applyFont="1" applyNumberFormat="1">
      <alignment horizontal="left" vertical="top"/>
    </xf>
    <xf borderId="62" fillId="3" fontId="59" numFmtId="0" xfId="0" applyAlignment="1" applyBorder="1" applyFill="1" applyFont="1">
      <alignment horizontal="right" readingOrder="0" vertical="top"/>
    </xf>
    <xf borderId="63" fillId="3" fontId="59" numFmtId="4" xfId="0" applyAlignment="1" applyBorder="1" applyFill="1" applyFont="1" applyNumberFormat="1">
      <alignment horizontal="right" readingOrder="0" vertical="top"/>
    </xf>
    <xf borderId="62" fillId="3" fontId="59" numFmtId="4" xfId="0" applyAlignment="1" applyBorder="1" applyFill="1" applyFont="1" applyNumberFormat="1">
      <alignment horizontal="left" readingOrder="0" vertical="top"/>
    </xf>
    <xf borderId="62" fillId="3" fontId="59" numFmtId="49" xfId="0" applyAlignment="1" applyBorder="1" applyFill="1" applyFont="1" applyNumberFormat="1">
      <alignment horizontal="left" readingOrder="0" vertical="top"/>
    </xf>
    <xf borderId="62" fillId="3" fontId="59" numFmtId="4" xfId="0" applyAlignment="1" applyBorder="1" applyFill="1" applyFont="1" applyNumberFormat="1">
      <alignment horizontal="left" vertical="top"/>
    </xf>
    <xf borderId="0" fillId="3" fontId="64" numFmtId="4" xfId="0" applyAlignment="1" applyFill="1" applyFont="1" applyNumberFormat="1">
      <alignment horizontal="center" readingOrder="0"/>
    </xf>
    <xf borderId="0" fillId="0" fontId="57" numFmtId="0" xfId="0" applyFont="1"/>
    <xf borderId="64" fillId="18" fontId="66" numFmtId="0" xfId="0" applyAlignment="1" applyBorder="1" applyFill="1" applyFont="1">
      <alignment horizontal="center" readingOrder="0"/>
    </xf>
    <xf borderId="64" fillId="18" fontId="67" numFmtId="0" xfId="0" applyAlignment="1" applyBorder="1" applyFill="1" applyFont="1">
      <alignment horizontal="center" readingOrder="0"/>
    </xf>
    <xf borderId="64" fillId="18" fontId="66" numFmtId="49" xfId="0" applyAlignment="1" applyBorder="1" applyFill="1" applyFont="1" applyNumberFormat="1">
      <alignment horizontal="right" readingOrder="0"/>
    </xf>
    <xf borderId="64" fillId="18" fontId="66" numFmtId="0" xfId="0" applyAlignment="1" applyBorder="1" applyFill="1" applyFont="1">
      <alignment horizontal="right" readingOrder="0"/>
    </xf>
    <xf borderId="64" fillId="18" fontId="66" numFmtId="0" xfId="0" applyAlignment="1" applyBorder="1" applyFill="1" applyFont="1">
      <alignment horizontal="center"/>
    </xf>
    <xf borderId="65" fillId="0" fontId="59" numFmtId="0" xfId="0" applyAlignment="1" applyBorder="1" applyFont="1">
      <alignment horizontal="center" readingOrder="0" vertical="top"/>
    </xf>
    <xf borderId="65" fillId="0" fontId="8" numFmtId="0" xfId="0" applyBorder="1" applyFont="1"/>
    <xf borderId="66" fillId="0" fontId="8" numFmtId="0" xfId="0" applyBorder="1" applyFont="1"/>
    <xf borderId="0" fillId="0" fontId="59" numFmtId="0" xfId="0" applyAlignment="1" applyFont="1">
      <alignment horizontal="right" vertical="top"/>
    </xf>
    <xf borderId="65" fillId="3" fontId="62" numFmtId="0" xfId="0" applyAlignment="1" applyBorder="1" applyFill="1" applyFont="1">
      <alignment horizontal="center" readingOrder="0" vertical="top"/>
    </xf>
    <xf borderId="10" fillId="0" fontId="68" numFmtId="0" xfId="0" applyBorder="1" applyFont="1"/>
    <xf borderId="10" fillId="0" fontId="68" numFmtId="49" xfId="0" applyBorder="1" applyFont="1" applyNumberFormat="1"/>
    <xf borderId="0" fillId="0" fontId="59" numFmtId="0" xfId="0" applyFont="1"/>
    <xf borderId="0" fillId="3" fontId="64" numFmtId="4" xfId="0" applyAlignment="1" applyFill="1" applyFont="1" applyNumberFormat="1">
      <alignment horizontal="left" readingOrder="0"/>
    </xf>
    <xf borderId="0" fillId="3" fontId="64" numFmtId="49" xfId="0" applyAlignment="1" applyFill="1" applyFont="1" applyNumberFormat="1">
      <alignment horizontal="left" readingOrder="0"/>
    </xf>
    <xf borderId="0" fillId="3" fontId="64" numFmtId="167" xfId="0" applyAlignment="1" applyFill="1" applyFont="1" applyNumberFormat="1">
      <alignment horizontal="left" readingOrder="0"/>
    </xf>
    <xf borderId="0" fillId="3" fontId="64" numFmtId="167" xfId="0" applyAlignment="1" applyFill="1" applyFont="1" applyNumberFormat="1">
      <alignment horizontal="right" readingOrder="0"/>
    </xf>
    <xf borderId="0" fillId="3" fontId="64" numFmtId="168" xfId="0" applyAlignment="1" applyFill="1" applyFont="1" applyNumberFormat="1">
      <alignment horizontal="right" readingOrder="0"/>
    </xf>
    <xf borderId="0" fillId="3" fontId="64" numFmtId="169" xfId="0" applyAlignment="1" applyFill="1" applyFont="1" applyNumberFormat="1">
      <alignment horizontal="right" readingOrder="0"/>
    </xf>
    <xf borderId="62" fillId="3" fontId="59" numFmtId="0" xfId="0" applyAlignment="1" applyBorder="1" applyFill="1" applyFont="1">
      <alignment horizontal="left" vertical="top"/>
    </xf>
    <xf borderId="0" fillId="0" fontId="31" numFmtId="0" xfId="0" applyAlignment="1" applyFont="1">
      <alignment horizontal="left"/>
    </xf>
    <xf borderId="63" fillId="3" fontId="59" numFmtId="0" xfId="0" applyAlignment="1" applyBorder="1" applyFill="1" applyFont="1">
      <alignment horizontal="right" readingOrder="0" vertical="top"/>
    </xf>
    <xf borderId="0" fillId="0" fontId="59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imbus.copperwired.co.th/ofs/query/InventoryControl.as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9.13"/>
    <col customWidth="1" hidden="1" min="2" max="2" width="24.25"/>
    <col customWidth="1" min="3" max="3" width="16.88"/>
    <col customWidth="1" min="5" max="5" width="8.25"/>
    <col customWidth="1" min="6" max="6" width="8.13"/>
    <col customWidth="1" min="7" max="7" width="16.75"/>
    <col customWidth="1" min="8" max="8" width="13.5"/>
    <col customWidth="1" min="9" max="9" width="10.25"/>
    <col customWidth="1" min="10" max="10" width="16.63"/>
    <col customWidth="1" min="11" max="11" width="13.5"/>
    <col customWidth="1" min="12" max="12" width="9.75"/>
    <col customWidth="1" hidden="1" min="13" max="14" width="13.38"/>
    <col customWidth="1" hidden="1" min="15" max="15" width="9.75"/>
    <col customWidth="1" min="16" max="18" width="13.38"/>
    <col customWidth="1" hidden="1" min="19" max="19" width="16.13"/>
    <col customWidth="1" hidden="1" min="20" max="20" width="13.5"/>
    <col customWidth="1" hidden="1" min="21" max="21" width="8.5"/>
    <col customWidth="1" min="22" max="22" width="30.0"/>
    <col customWidth="1" hidden="1" min="23" max="23" width="29.5"/>
    <col customWidth="1" hidden="1" min="24" max="24" width="50.5"/>
    <col customWidth="1" min="25" max="25" width="37.38"/>
  </cols>
  <sheetData>
    <row r="1">
      <c r="A1" s="19" t="s">
        <v>4</v>
      </c>
      <c r="B1" s="21" t="s">
        <v>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48" t="s">
        <v>11</v>
      </c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</row>
    <row r="2">
      <c r="A2" s="56"/>
      <c r="B2" s="60"/>
      <c r="C2" s="56"/>
      <c r="D2" s="63"/>
      <c r="E2" s="66" t="s">
        <v>14</v>
      </c>
      <c r="F2" s="66" t="s">
        <v>15</v>
      </c>
      <c r="G2" s="70" t="s">
        <v>16</v>
      </c>
      <c r="H2" s="72" t="s">
        <v>18</v>
      </c>
      <c r="I2" s="75" t="s">
        <v>19</v>
      </c>
      <c r="J2" s="70" t="s">
        <v>16</v>
      </c>
      <c r="K2" s="72" t="s">
        <v>18</v>
      </c>
      <c r="L2" s="75" t="s">
        <v>19</v>
      </c>
      <c r="M2" s="70" t="s">
        <v>16</v>
      </c>
      <c r="N2" s="72" t="s">
        <v>18</v>
      </c>
      <c r="O2" s="75" t="s">
        <v>19</v>
      </c>
      <c r="P2" s="70" t="s">
        <v>40</v>
      </c>
      <c r="Q2" s="72" t="s">
        <v>18</v>
      </c>
      <c r="R2" s="70"/>
      <c r="S2" s="86" t="s">
        <v>16</v>
      </c>
      <c r="T2" s="89" t="s">
        <v>18</v>
      </c>
      <c r="U2" s="91" t="s">
        <v>19</v>
      </c>
      <c r="V2" s="94" t="s">
        <v>21</v>
      </c>
      <c r="W2" s="99" t="s">
        <v>48</v>
      </c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</row>
    <row r="3" ht="44.25" customHeight="1">
      <c r="A3" s="104" t="s">
        <v>58</v>
      </c>
      <c r="B3" s="106"/>
      <c r="C3" s="108"/>
      <c r="D3" s="110"/>
      <c r="E3" s="112"/>
      <c r="F3" s="115"/>
      <c r="G3" s="117" t="s">
        <v>65</v>
      </c>
      <c r="H3" s="118"/>
      <c r="I3" s="119"/>
      <c r="J3" s="117"/>
      <c r="K3" s="118"/>
      <c r="L3" s="119"/>
      <c r="M3" s="117"/>
      <c r="N3" s="118"/>
      <c r="O3" s="119"/>
      <c r="P3" s="117" t="s">
        <v>73</v>
      </c>
      <c r="Q3" s="118"/>
      <c r="R3" s="124"/>
      <c r="S3" s="127"/>
      <c r="T3" s="118"/>
      <c r="U3" s="119"/>
      <c r="V3" s="129"/>
      <c r="W3" s="130"/>
      <c r="X3" s="13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</row>
    <row r="4" ht="21.75" customHeight="1">
      <c r="A4" s="134" t="s">
        <v>79</v>
      </c>
      <c r="B4" s="96" t="s">
        <v>83</v>
      </c>
      <c r="C4" s="97" t="s">
        <v>84</v>
      </c>
      <c r="D4" s="98">
        <v>4599.0</v>
      </c>
      <c r="E4" s="153">
        <f t="array" ref="E4">_xlfn.XLOOKUP(B4,Stock1!F:F,Stock1!J:J,"")</f>
        <v>2</v>
      </c>
      <c r="F4" s="154">
        <f t="array" ref="F4">_xlfn.XLOOKUP(B4,Stock2!F:F,Stock2!J:J,"")</f>
        <v>5</v>
      </c>
      <c r="G4" s="156">
        <v>800.0</v>
      </c>
      <c r="H4" s="158">
        <f t="shared" ref="H4:H15" si="1">D4-G4</f>
        <v>3799</v>
      </c>
      <c r="I4" s="160" t="s">
        <v>89</v>
      </c>
      <c r="J4" s="161"/>
      <c r="K4" s="161"/>
      <c r="L4" s="162"/>
      <c r="M4" s="158"/>
      <c r="N4" s="158"/>
      <c r="O4" s="158"/>
      <c r="P4" s="163"/>
      <c r="Q4" s="164"/>
      <c r="R4" s="164"/>
      <c r="S4" s="165"/>
      <c r="T4" s="166"/>
      <c r="U4" s="167"/>
      <c r="V4" s="168"/>
      <c r="W4" s="169"/>
      <c r="X4" s="170"/>
      <c r="Y4" s="17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</row>
    <row r="5" ht="19.5" customHeight="1">
      <c r="A5" s="172"/>
      <c r="B5" s="96" t="s">
        <v>92</v>
      </c>
      <c r="C5" s="173" t="s">
        <v>82</v>
      </c>
      <c r="D5" s="98">
        <v>4599.0</v>
      </c>
      <c r="E5" s="153" t="str">
        <f t="array" ref="E5">_xlfn.XLOOKUP(B5,Stock1!F:F,Stock1!J:J,"")</f>
        <v/>
      </c>
      <c r="F5" s="154" t="str">
        <f t="array" ref="F5">_xlfn.XLOOKUP(B5,Stock2!F:F,Stock2!J:J,"")</f>
        <v/>
      </c>
      <c r="G5" s="174">
        <v>800.0</v>
      </c>
      <c r="H5" s="158">
        <f t="shared" si="1"/>
        <v>3799</v>
      </c>
      <c r="I5" s="175"/>
      <c r="J5" s="158"/>
      <c r="K5" s="158"/>
      <c r="L5" s="164"/>
      <c r="M5" s="158"/>
      <c r="N5" s="158"/>
      <c r="O5" s="158"/>
      <c r="P5" s="163"/>
      <c r="Q5" s="164"/>
      <c r="R5" s="164"/>
      <c r="S5" s="165"/>
      <c r="T5" s="166"/>
      <c r="U5" s="167"/>
      <c r="V5" s="176"/>
      <c r="W5" s="76"/>
      <c r="X5" s="76"/>
      <c r="Y5" s="177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</row>
    <row r="6">
      <c r="A6" s="172"/>
      <c r="B6" s="96" t="s">
        <v>97</v>
      </c>
      <c r="C6" s="97" t="s">
        <v>84</v>
      </c>
      <c r="D6" s="98">
        <v>4599.0</v>
      </c>
      <c r="E6" s="153" t="str">
        <f t="array" ref="E6">_xlfn.XLOOKUP(B6,Stock1!F:F,Stock1!J:J,"")</f>
        <v/>
      </c>
      <c r="F6" s="154" t="str">
        <f t="array" ref="F6">_xlfn.XLOOKUP(B6,Stock2!F:F,Stock2!J:J,"")</f>
        <v/>
      </c>
      <c r="G6" s="178">
        <v>800.0</v>
      </c>
      <c r="H6" s="158">
        <f t="shared" si="1"/>
        <v>3799</v>
      </c>
      <c r="I6" s="175"/>
      <c r="J6" s="158"/>
      <c r="K6" s="158"/>
      <c r="L6" s="164"/>
      <c r="M6" s="158"/>
      <c r="N6" s="158"/>
      <c r="O6" s="158"/>
      <c r="P6" s="163"/>
      <c r="Q6" s="164"/>
      <c r="R6" s="164"/>
      <c r="S6" s="165"/>
      <c r="T6" s="166"/>
      <c r="U6" s="167"/>
      <c r="V6" s="176"/>
      <c r="W6" s="76"/>
      <c r="X6" s="76"/>
      <c r="Y6" s="177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</row>
    <row r="7">
      <c r="A7" s="179"/>
      <c r="B7" s="180" t="s">
        <v>102</v>
      </c>
      <c r="C7" s="181" t="s">
        <v>82</v>
      </c>
      <c r="D7" s="182">
        <v>4599.0</v>
      </c>
      <c r="E7" s="153" t="str">
        <f t="array" ref="E7">_xlfn.XLOOKUP(B7,Stock1!F:F,Stock1!J:J,"")</f>
        <v/>
      </c>
      <c r="F7" s="154" t="str">
        <f t="array" ref="F7">_xlfn.XLOOKUP(B7,Stock2!F:F,Stock2!J:J,"")</f>
        <v/>
      </c>
      <c r="G7" s="178">
        <v>800.0</v>
      </c>
      <c r="H7" s="158">
        <f t="shared" si="1"/>
        <v>3799</v>
      </c>
      <c r="I7" s="175"/>
      <c r="J7" s="158"/>
      <c r="K7" s="158"/>
      <c r="L7" s="164"/>
      <c r="M7" s="158"/>
      <c r="N7" s="158"/>
      <c r="O7" s="158"/>
      <c r="P7" s="163"/>
      <c r="Q7" s="164"/>
      <c r="R7" s="164"/>
      <c r="S7" s="165"/>
      <c r="T7" s="166"/>
      <c r="U7" s="167"/>
      <c r="V7" s="176"/>
      <c r="W7" s="76"/>
      <c r="X7" s="76"/>
      <c r="Y7" s="177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</row>
    <row r="8">
      <c r="A8" s="134" t="s">
        <v>91</v>
      </c>
      <c r="B8" s="183" t="s">
        <v>93</v>
      </c>
      <c r="C8" s="184" t="s">
        <v>84</v>
      </c>
      <c r="D8" s="185">
        <v>4599.0</v>
      </c>
      <c r="E8" s="153" t="str">
        <f t="array" ref="E8">_xlfn.XLOOKUP(B8,Stock1!F:F,Stock1!J:J,"")</f>
        <v/>
      </c>
      <c r="F8" s="154" t="str">
        <f t="array" ref="F8">_xlfn.XLOOKUP(B8,Stock2!F:F,Stock2!J:J,"")</f>
        <v/>
      </c>
      <c r="G8" s="178">
        <v>800.0</v>
      </c>
      <c r="H8" s="158">
        <f t="shared" si="1"/>
        <v>3799</v>
      </c>
      <c r="I8" s="175"/>
      <c r="J8" s="158"/>
      <c r="K8" s="158"/>
      <c r="L8" s="164"/>
      <c r="M8" s="164"/>
      <c r="N8" s="164"/>
      <c r="O8" s="164"/>
      <c r="P8" s="164"/>
      <c r="Q8" s="164"/>
      <c r="R8" s="164"/>
      <c r="S8" s="165"/>
      <c r="T8" s="166"/>
      <c r="U8" s="167"/>
      <c r="V8" s="176"/>
      <c r="W8" s="76"/>
      <c r="X8" s="76"/>
      <c r="Y8" s="177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</row>
    <row r="9">
      <c r="A9" s="179"/>
      <c r="B9" s="188" t="s">
        <v>96</v>
      </c>
      <c r="C9" s="189" t="s">
        <v>82</v>
      </c>
      <c r="D9" s="191">
        <v>4599.0</v>
      </c>
      <c r="E9" s="153" t="str">
        <f t="array" ref="E9">_xlfn.XLOOKUP(B9,Stock1!F:F,Stock1!J:J,"")</f>
        <v/>
      </c>
      <c r="F9" s="154" t="str">
        <f t="array" ref="F9">_xlfn.XLOOKUP(B9,Stock2!F:F,Stock2!J:J,"")</f>
        <v/>
      </c>
      <c r="G9" s="178">
        <v>800.0</v>
      </c>
      <c r="H9" s="158">
        <f t="shared" si="1"/>
        <v>3799</v>
      </c>
      <c r="I9" s="175"/>
      <c r="J9" s="158"/>
      <c r="K9" s="158"/>
      <c r="L9" s="164"/>
      <c r="M9" s="164"/>
      <c r="N9" s="164"/>
      <c r="O9" s="164"/>
      <c r="P9" s="164"/>
      <c r="Q9" s="164"/>
      <c r="R9" s="164"/>
      <c r="S9" s="165"/>
      <c r="T9" s="166"/>
      <c r="U9" s="167"/>
      <c r="V9" s="176"/>
      <c r="W9" s="76"/>
      <c r="X9" s="76"/>
      <c r="Y9" s="177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>
      <c r="A10" s="134" t="s">
        <v>100</v>
      </c>
      <c r="B10" s="183" t="s">
        <v>101</v>
      </c>
      <c r="C10" s="184" t="s">
        <v>84</v>
      </c>
      <c r="D10" s="185">
        <v>5299.0</v>
      </c>
      <c r="E10" s="153" t="str">
        <f t="array" ref="E10">_xlfn.XLOOKUP(B10,Stock1!F:F,Stock1!J:J,"")</f>
        <v/>
      </c>
      <c r="F10" s="154" t="str">
        <f t="array" ref="F10">_xlfn.XLOOKUP(B10,Stock2!F:F,Stock2!J:J,"")</f>
        <v/>
      </c>
      <c r="G10" s="178">
        <v>1000.0</v>
      </c>
      <c r="H10" s="158">
        <f t="shared" si="1"/>
        <v>4299</v>
      </c>
      <c r="I10" s="175"/>
      <c r="J10" s="158"/>
      <c r="K10" s="158"/>
      <c r="L10" s="164"/>
      <c r="M10" s="164"/>
      <c r="N10" s="164"/>
      <c r="O10" s="164"/>
      <c r="P10" s="164"/>
      <c r="Q10" s="164"/>
      <c r="R10" s="164"/>
      <c r="S10" s="165"/>
      <c r="T10" s="166"/>
      <c r="U10" s="167"/>
      <c r="V10" s="176"/>
      <c r="W10" s="76"/>
      <c r="X10" s="76"/>
      <c r="Y10" s="177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</row>
    <row r="11">
      <c r="A11" s="172"/>
      <c r="B11" s="188" t="s">
        <v>103</v>
      </c>
      <c r="C11" s="189" t="s">
        <v>82</v>
      </c>
      <c r="D11" s="191">
        <v>5299.0</v>
      </c>
      <c r="E11" s="153" t="str">
        <f t="array" ref="E11">_xlfn.XLOOKUP(B11,Stock1!F:F,Stock1!J:J,"")</f>
        <v/>
      </c>
      <c r="F11" s="154" t="str">
        <f t="array" ref="F11">_xlfn.XLOOKUP(B11,Stock2!F:F,Stock2!J:J,"")</f>
        <v/>
      </c>
      <c r="G11" s="178">
        <v>1000.0</v>
      </c>
      <c r="H11" s="158">
        <f t="shared" si="1"/>
        <v>4299</v>
      </c>
      <c r="I11" s="175"/>
      <c r="J11" s="158"/>
      <c r="K11" s="158"/>
      <c r="L11" s="164"/>
      <c r="M11" s="164"/>
      <c r="N11" s="164"/>
      <c r="O11" s="164"/>
      <c r="P11" s="164"/>
      <c r="Q11" s="164"/>
      <c r="R11" s="164"/>
      <c r="S11" s="165"/>
      <c r="T11" s="166"/>
      <c r="U11" s="167"/>
      <c r="V11" s="176"/>
      <c r="W11" s="76"/>
      <c r="X11" s="76"/>
      <c r="Y11" s="177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</row>
    <row r="12">
      <c r="A12" s="134" t="s">
        <v>118</v>
      </c>
      <c r="B12" s="193" t="s">
        <v>120</v>
      </c>
      <c r="C12" s="194" t="s">
        <v>84</v>
      </c>
      <c r="D12" s="195">
        <v>5299.0</v>
      </c>
      <c r="E12" s="153" t="str">
        <f t="array" ref="E12">_xlfn.XLOOKUP(B12,Stock1!F:F,Stock1!J:J,"")</f>
        <v/>
      </c>
      <c r="F12" s="154">
        <f t="array" ref="F12">_xlfn.XLOOKUP(B12,Stock2!F:F,Stock2!J:J,"")</f>
        <v>1</v>
      </c>
      <c r="G12" s="178">
        <v>1000.0</v>
      </c>
      <c r="H12" s="158">
        <f t="shared" si="1"/>
        <v>4299</v>
      </c>
      <c r="I12" s="175"/>
      <c r="J12" s="158"/>
      <c r="K12" s="158"/>
      <c r="L12" s="164"/>
      <c r="M12" s="164"/>
      <c r="N12" s="164"/>
      <c r="O12" s="164"/>
      <c r="P12" s="163"/>
      <c r="Q12" s="164"/>
      <c r="R12" s="164"/>
      <c r="S12" s="165"/>
      <c r="T12" s="166"/>
      <c r="U12" s="167"/>
      <c r="V12" s="176"/>
      <c r="W12" s="76"/>
      <c r="X12" s="76"/>
      <c r="Y12" s="177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</row>
    <row r="13">
      <c r="A13" s="172"/>
      <c r="B13" s="188" t="s">
        <v>124</v>
      </c>
      <c r="C13" s="189" t="s">
        <v>82</v>
      </c>
      <c r="D13" s="191">
        <v>5299.0</v>
      </c>
      <c r="E13" s="153" t="str">
        <f t="array" ref="E13">_xlfn.XLOOKUP(B13,Stock1!F:F,Stock1!J:J,"")</f>
        <v/>
      </c>
      <c r="F13" s="154">
        <f t="array" ref="F13">_xlfn.XLOOKUP(B13,Stock2!F:F,Stock2!J:J,"")</f>
        <v>12</v>
      </c>
      <c r="G13" s="178">
        <v>1000.0</v>
      </c>
      <c r="H13" s="158">
        <f t="shared" si="1"/>
        <v>4299</v>
      </c>
      <c r="I13" s="175"/>
      <c r="J13" s="158"/>
      <c r="K13" s="158"/>
      <c r="L13" s="164"/>
      <c r="M13" s="164"/>
      <c r="N13" s="164"/>
      <c r="O13" s="164"/>
      <c r="P13" s="163"/>
      <c r="Q13" s="164"/>
      <c r="R13" s="164"/>
      <c r="S13" s="165"/>
      <c r="T13" s="166"/>
      <c r="U13" s="167"/>
      <c r="V13" s="176"/>
      <c r="W13" s="76"/>
      <c r="X13" s="76"/>
      <c r="Y13" s="177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</row>
    <row r="14">
      <c r="A14" s="134" t="s">
        <v>127</v>
      </c>
      <c r="B14" s="193" t="s">
        <v>128</v>
      </c>
      <c r="C14" s="194" t="s">
        <v>84</v>
      </c>
      <c r="D14" s="195">
        <v>5999.0</v>
      </c>
      <c r="E14" s="153">
        <f t="array" ref="E14">_xlfn.XLOOKUP(B14,Stock1!F:F,Stock1!J:J,"")</f>
        <v>4</v>
      </c>
      <c r="F14" s="154">
        <f t="array" ref="F14">_xlfn.XLOOKUP(B14,Stock2!F:F,Stock2!J:J,"")</f>
        <v>3</v>
      </c>
      <c r="G14" s="178">
        <v>1000.0</v>
      </c>
      <c r="H14" s="158">
        <f t="shared" si="1"/>
        <v>4999</v>
      </c>
      <c r="I14" s="175"/>
      <c r="J14" s="158"/>
      <c r="K14" s="158"/>
      <c r="L14" s="164"/>
      <c r="M14" s="164"/>
      <c r="N14" s="164"/>
      <c r="O14" s="164"/>
      <c r="P14" s="163"/>
      <c r="Q14" s="164"/>
      <c r="R14" s="164"/>
      <c r="S14" s="165"/>
      <c r="T14" s="166"/>
      <c r="U14" s="167"/>
      <c r="V14" s="176"/>
      <c r="W14" s="76"/>
      <c r="X14" s="76"/>
      <c r="Y14" s="177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</row>
    <row r="15">
      <c r="A15" s="172"/>
      <c r="B15" s="180" t="s">
        <v>132</v>
      </c>
      <c r="C15" s="173" t="s">
        <v>82</v>
      </c>
      <c r="D15" s="205">
        <v>5999.0</v>
      </c>
      <c r="E15" s="153">
        <f t="array" ref="E15">_xlfn.XLOOKUP(B15,Stock1!F:F,Stock1!J:J,"")</f>
        <v>5</v>
      </c>
      <c r="F15" s="154">
        <f t="array" ref="F15">_xlfn.XLOOKUP(B15,Stock2!F:F,Stock2!J:J,"")</f>
        <v>2</v>
      </c>
      <c r="G15" s="178">
        <v>1000.0</v>
      </c>
      <c r="H15" s="158">
        <f t="shared" si="1"/>
        <v>4999</v>
      </c>
      <c r="I15" s="175"/>
      <c r="J15" s="158"/>
      <c r="K15" s="158"/>
      <c r="L15" s="164"/>
      <c r="M15" s="164"/>
      <c r="N15" s="164"/>
      <c r="O15" s="164"/>
      <c r="P15" s="163"/>
      <c r="Q15" s="164"/>
      <c r="R15" s="164"/>
      <c r="S15" s="165"/>
      <c r="T15" s="166"/>
      <c r="U15" s="167"/>
      <c r="V15" s="176"/>
      <c r="W15" s="76"/>
      <c r="X15" s="76"/>
      <c r="Y15" s="177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</row>
    <row r="16" ht="24.75" customHeight="1">
      <c r="A16" s="207" t="s">
        <v>138</v>
      </c>
      <c r="B16" s="208" t="s">
        <v>140</v>
      </c>
      <c r="C16" s="184" t="s">
        <v>84</v>
      </c>
      <c r="D16" s="209">
        <v>6999.0</v>
      </c>
      <c r="E16" s="153">
        <f t="array" ref="E16">_xlfn.XLOOKUP(B16,Stock1!F:F,Stock1!J:J,"")</f>
        <v>6</v>
      </c>
      <c r="F16" s="154">
        <f t="array" ref="F16">_xlfn.XLOOKUP(B16,Stock2!F:F,Stock2!J:J,"")</f>
        <v>5</v>
      </c>
      <c r="G16" s="178"/>
      <c r="H16" s="158"/>
      <c r="I16" s="211" t="s">
        <v>141</v>
      </c>
      <c r="J16" s="158">
        <v>500.0</v>
      </c>
      <c r="K16" s="158">
        <f t="shared" ref="K16:K17" si="2">D16-J16</f>
        <v>6499</v>
      </c>
      <c r="L16" s="213" t="s">
        <v>145</v>
      </c>
      <c r="M16" s="164"/>
      <c r="N16" s="164"/>
      <c r="O16" s="164"/>
      <c r="P16" s="163">
        <v>0.1</v>
      </c>
      <c r="Q16" s="164">
        <f t="shared" ref="Q16:Q17" si="3">ROUNDUP(D16-(D16*0.1),0)</f>
        <v>6300</v>
      </c>
      <c r="R16" s="164"/>
      <c r="S16" s="215"/>
      <c r="T16" s="216"/>
      <c r="U16" s="217"/>
      <c r="V16" s="176"/>
      <c r="W16" s="76"/>
      <c r="X16" s="76"/>
      <c r="Y16" s="218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</row>
    <row r="17" ht="22.5" customHeight="1">
      <c r="A17" s="179"/>
      <c r="B17" s="219" t="s">
        <v>150</v>
      </c>
      <c r="C17" s="220" t="s">
        <v>82</v>
      </c>
      <c r="D17" s="221">
        <v>6999.0</v>
      </c>
      <c r="E17" s="153">
        <f t="array" ref="E17">_xlfn.XLOOKUP(B17,Stock1!F:F,Stock1!J:J,"")</f>
        <v>5</v>
      </c>
      <c r="F17" s="222">
        <f t="array" ref="F17">_xlfn.XLOOKUP(B17,Stock2!F:F,Stock2!J:J,"")</f>
        <v>7</v>
      </c>
      <c r="G17" s="178"/>
      <c r="H17" s="158"/>
      <c r="I17" s="175"/>
      <c r="J17" s="158">
        <v>500.0</v>
      </c>
      <c r="K17" s="158">
        <f t="shared" si="2"/>
        <v>6499</v>
      </c>
      <c r="L17" s="175"/>
      <c r="M17" s="164"/>
      <c r="N17" s="164"/>
      <c r="O17" s="164"/>
      <c r="P17" s="163">
        <v>0.1</v>
      </c>
      <c r="Q17" s="164">
        <f t="shared" si="3"/>
        <v>6300</v>
      </c>
      <c r="R17" s="164"/>
      <c r="S17" s="215"/>
      <c r="T17" s="216"/>
      <c r="U17" s="217"/>
      <c r="V17" s="176"/>
      <c r="W17" s="119"/>
      <c r="X17" s="119"/>
      <c r="Y17" s="76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>
      <c r="A18" s="223" t="s">
        <v>156</v>
      </c>
      <c r="B18" s="225" t="s">
        <v>157</v>
      </c>
      <c r="C18" s="184" t="s">
        <v>158</v>
      </c>
      <c r="D18" s="226">
        <v>7999.0</v>
      </c>
      <c r="E18" s="153" t="str">
        <f t="array" ref="E18">_xlfn.XLOOKUP(B18,Stock1!F:F,Stock1!J:J,"")</f>
        <v/>
      </c>
      <c r="F18" s="222" t="str">
        <f t="array" ref="F18">_xlfn.XLOOKUP(B18,Stock2!F:F,Stock2!J:J,"")</f>
        <v/>
      </c>
      <c r="G18" s="178">
        <v>1000.0</v>
      </c>
      <c r="H18" s="158">
        <f t="shared" ref="H18:H29" si="4">D18-G18</f>
        <v>6999</v>
      </c>
      <c r="I18" s="160" t="s">
        <v>89</v>
      </c>
      <c r="J18" s="158"/>
      <c r="K18" s="158"/>
      <c r="L18" s="164"/>
      <c r="M18" s="164"/>
      <c r="N18" s="164"/>
      <c r="O18" s="164"/>
      <c r="P18" s="164"/>
      <c r="Q18" s="164"/>
      <c r="R18" s="164"/>
      <c r="S18" s="227"/>
      <c r="T18" s="216"/>
      <c r="U18" s="228"/>
      <c r="V18" s="176"/>
      <c r="W18" s="229"/>
      <c r="X18" s="230"/>
      <c r="Y18" s="76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>
      <c r="A19" s="172"/>
      <c r="B19" s="231" t="s">
        <v>162</v>
      </c>
      <c r="C19" s="232" t="s">
        <v>82</v>
      </c>
      <c r="D19" s="233">
        <v>7999.0</v>
      </c>
      <c r="E19" s="153" t="str">
        <f t="array" ref="E19">_xlfn.XLOOKUP(B19,Stock1!F:F,Stock1!J:J,"")</f>
        <v/>
      </c>
      <c r="F19" s="222" t="str">
        <f t="array" ref="F19">_xlfn.XLOOKUP(B19,Stock2!F:F,Stock2!J:J,"")</f>
        <v/>
      </c>
      <c r="G19" s="178">
        <v>1000.0</v>
      </c>
      <c r="H19" s="158">
        <f t="shared" si="4"/>
        <v>6999</v>
      </c>
      <c r="I19" s="175"/>
      <c r="J19" s="158"/>
      <c r="K19" s="158"/>
      <c r="L19" s="164"/>
      <c r="M19" s="164"/>
      <c r="N19" s="164"/>
      <c r="O19" s="164"/>
      <c r="P19" s="164"/>
      <c r="Q19" s="164"/>
      <c r="R19" s="164"/>
      <c r="S19" s="227"/>
      <c r="T19" s="216"/>
      <c r="U19" s="228"/>
      <c r="V19" s="176"/>
      <c r="W19" s="229"/>
      <c r="X19" s="230"/>
      <c r="Y19" s="76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</row>
    <row r="20">
      <c r="A20" s="172"/>
      <c r="B20" s="231" t="s">
        <v>165</v>
      </c>
      <c r="C20" s="97" t="s">
        <v>158</v>
      </c>
      <c r="D20" s="233">
        <v>7999.0</v>
      </c>
      <c r="E20" s="153" t="str">
        <f t="array" ref="E20">_xlfn.XLOOKUP(B20,Stock1!F:F,Stock1!J:J,"")</f>
        <v/>
      </c>
      <c r="F20" s="222">
        <f t="array" ref="F20">_xlfn.XLOOKUP(B20,Stock2!F:F,Stock2!J:J,"")</f>
        <v>4</v>
      </c>
      <c r="G20" s="178">
        <v>1000.0</v>
      </c>
      <c r="H20" s="158">
        <f t="shared" si="4"/>
        <v>6999</v>
      </c>
      <c r="I20" s="175"/>
      <c r="J20" s="158"/>
      <c r="K20" s="158"/>
      <c r="L20" s="164"/>
      <c r="M20" s="164"/>
      <c r="N20" s="164"/>
      <c r="O20" s="164"/>
      <c r="P20" s="164"/>
      <c r="Q20" s="164"/>
      <c r="R20" s="164"/>
      <c r="S20" s="227"/>
      <c r="T20" s="216"/>
      <c r="U20" s="228"/>
      <c r="V20" s="176"/>
      <c r="W20" s="229"/>
      <c r="X20" s="230"/>
      <c r="Y20" s="76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</row>
    <row r="21">
      <c r="A21" s="179"/>
      <c r="B21" s="234" t="s">
        <v>168</v>
      </c>
      <c r="C21" s="232" t="s">
        <v>82</v>
      </c>
      <c r="D21" s="233">
        <v>7999.0</v>
      </c>
      <c r="E21" s="153" t="str">
        <f t="array" ref="E21">_xlfn.XLOOKUP(B21,Stock1!F:F,Stock1!J:J,"")</f>
        <v/>
      </c>
      <c r="F21" s="222" t="str">
        <f t="array" ref="F21">_xlfn.XLOOKUP(B21,Stock2!F:F,Stock2!J:J,"")</f>
        <v/>
      </c>
      <c r="G21" s="178">
        <v>1000.0</v>
      </c>
      <c r="H21" s="158">
        <f t="shared" si="4"/>
        <v>6999</v>
      </c>
      <c r="I21" s="175"/>
      <c r="J21" s="158"/>
      <c r="K21" s="158"/>
      <c r="L21" s="164"/>
      <c r="M21" s="164"/>
      <c r="N21" s="164"/>
      <c r="O21" s="164"/>
      <c r="P21" s="164"/>
      <c r="Q21" s="164"/>
      <c r="R21" s="164"/>
      <c r="S21" s="227"/>
      <c r="T21" s="216"/>
      <c r="U21" s="228"/>
      <c r="V21" s="176"/>
      <c r="W21" s="229"/>
      <c r="X21" s="230"/>
      <c r="Y21" s="76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</row>
    <row r="22">
      <c r="A22" s="223" t="s">
        <v>169</v>
      </c>
      <c r="B22" s="225" t="s">
        <v>170</v>
      </c>
      <c r="C22" s="238" t="s">
        <v>171</v>
      </c>
      <c r="D22" s="226">
        <v>8999.0</v>
      </c>
      <c r="E22" s="153">
        <f t="array" ref="E22">_xlfn.XLOOKUP(B22,Stock1!F:F,Stock1!J:J,"")</f>
        <v>3</v>
      </c>
      <c r="F22" s="222">
        <f t="array" ref="F22">_xlfn.XLOOKUP(B22,Stock2!F:F,Stock2!J:J,"")</f>
        <v>6</v>
      </c>
      <c r="G22" s="178">
        <v>1500.0</v>
      </c>
      <c r="H22" s="158">
        <f t="shared" si="4"/>
        <v>7499</v>
      </c>
      <c r="I22" s="175"/>
      <c r="J22" s="158"/>
      <c r="K22" s="158"/>
      <c r="L22" s="164"/>
      <c r="M22" s="158"/>
      <c r="N22" s="158"/>
      <c r="O22" s="158"/>
      <c r="P22" s="163"/>
      <c r="Q22" s="164"/>
      <c r="R22" s="164"/>
      <c r="S22" s="227"/>
      <c r="T22" s="216"/>
      <c r="U22" s="228"/>
      <c r="V22" s="176"/>
      <c r="W22" s="229"/>
      <c r="X22" s="230"/>
      <c r="Y22" s="76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</row>
    <row r="23">
      <c r="A23" s="172"/>
      <c r="B23" s="231" t="s">
        <v>172</v>
      </c>
      <c r="C23" s="232" t="s">
        <v>82</v>
      </c>
      <c r="D23" s="233">
        <v>8999.0</v>
      </c>
      <c r="E23" s="153">
        <f t="array" ref="E23">_xlfn.XLOOKUP(B23,Stock1!F:F,Stock1!J:J,"")</f>
        <v>7</v>
      </c>
      <c r="F23" s="222">
        <f t="array" ref="F23">_xlfn.XLOOKUP(B23,Stock2!F:F,Stock2!J:J,"")</f>
        <v>7</v>
      </c>
      <c r="G23" s="178">
        <v>1500.0</v>
      </c>
      <c r="H23" s="158">
        <f t="shared" si="4"/>
        <v>7499</v>
      </c>
      <c r="I23" s="175"/>
      <c r="J23" s="158"/>
      <c r="K23" s="158"/>
      <c r="L23" s="164"/>
      <c r="M23" s="158"/>
      <c r="N23" s="158"/>
      <c r="O23" s="158"/>
      <c r="P23" s="163"/>
      <c r="Q23" s="164"/>
      <c r="R23" s="164"/>
      <c r="S23" s="227"/>
      <c r="T23" s="216"/>
      <c r="U23" s="228"/>
      <c r="V23" s="176"/>
      <c r="W23" s="229"/>
      <c r="X23" s="230"/>
      <c r="Y23" s="76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</row>
    <row r="24">
      <c r="A24" s="172"/>
      <c r="B24" s="231" t="s">
        <v>175</v>
      </c>
      <c r="C24" s="232" t="s">
        <v>171</v>
      </c>
      <c r="D24" s="233">
        <v>8999.0</v>
      </c>
      <c r="E24" s="153" t="str">
        <f t="array" ref="E24">_xlfn.XLOOKUP(B24,Stock1!F:F,Stock1!J:J,"")</f>
        <v/>
      </c>
      <c r="F24" s="222" t="str">
        <f t="array" ref="F24">_xlfn.XLOOKUP(B24,Stock2!F:F,Stock2!J:J,"")</f>
        <v/>
      </c>
      <c r="G24" s="178">
        <v>1500.0</v>
      </c>
      <c r="H24" s="158">
        <f t="shared" si="4"/>
        <v>7499</v>
      </c>
      <c r="I24" s="175"/>
      <c r="J24" s="158"/>
      <c r="K24" s="158"/>
      <c r="L24" s="164"/>
      <c r="M24" s="158"/>
      <c r="N24" s="158"/>
      <c r="O24" s="158"/>
      <c r="P24" s="163"/>
      <c r="Q24" s="164"/>
      <c r="R24" s="164"/>
      <c r="S24" s="227"/>
      <c r="T24" s="216"/>
      <c r="U24" s="228"/>
      <c r="V24" s="176"/>
      <c r="W24" s="229"/>
      <c r="X24" s="230"/>
      <c r="Y24" s="76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</row>
    <row r="25">
      <c r="A25" s="179"/>
      <c r="B25" s="234" t="s">
        <v>178</v>
      </c>
      <c r="C25" s="239" t="s">
        <v>82</v>
      </c>
      <c r="D25" s="240">
        <v>8999.0</v>
      </c>
      <c r="E25" s="153" t="str">
        <f t="array" ref="E25">_xlfn.XLOOKUP(B25,Stock1!F:F,Stock1!J:J,"")</f>
        <v/>
      </c>
      <c r="F25" s="222" t="str">
        <f t="array" ref="F25">_xlfn.XLOOKUP(B25,Stock2!F:F,Stock2!J:J,"")</f>
        <v/>
      </c>
      <c r="G25" s="178">
        <v>1500.0</v>
      </c>
      <c r="H25" s="158">
        <f t="shared" si="4"/>
        <v>7499</v>
      </c>
      <c r="I25" s="175"/>
      <c r="J25" s="158"/>
      <c r="K25" s="158"/>
      <c r="L25" s="164"/>
      <c r="M25" s="158"/>
      <c r="N25" s="158"/>
      <c r="O25" s="158"/>
      <c r="P25" s="163"/>
      <c r="Q25" s="164"/>
      <c r="R25" s="164"/>
      <c r="S25" s="227"/>
      <c r="T25" s="216"/>
      <c r="U25" s="228"/>
      <c r="V25" s="176"/>
      <c r="W25" s="229"/>
      <c r="X25" s="230"/>
      <c r="Y25" s="76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</row>
    <row r="26">
      <c r="A26" s="223" t="s">
        <v>181</v>
      </c>
      <c r="B26" s="225" t="s">
        <v>186</v>
      </c>
      <c r="C26" s="238" t="s">
        <v>171</v>
      </c>
      <c r="D26" s="226">
        <v>10599.0</v>
      </c>
      <c r="E26" s="153">
        <f t="array" ref="E26">_xlfn.XLOOKUP(B26,Stock1!F:F,Stock1!J:J,"")</f>
        <v>3</v>
      </c>
      <c r="F26" s="222">
        <f t="array" ref="F26">_xlfn.XLOOKUP(B26,Stock2!F:F,Stock2!J:J,"")</f>
        <v>5</v>
      </c>
      <c r="G26" s="178">
        <v>1600.0</v>
      </c>
      <c r="H26" s="158">
        <f t="shared" si="4"/>
        <v>8999</v>
      </c>
      <c r="I26" s="175"/>
      <c r="J26" s="158"/>
      <c r="K26" s="158"/>
      <c r="L26" s="164"/>
      <c r="M26" s="158"/>
      <c r="N26" s="158"/>
      <c r="O26" s="211"/>
      <c r="P26" s="163">
        <v>0.1</v>
      </c>
      <c r="Q26" s="164">
        <f t="shared" ref="Q26:Q29" si="5">ROUNDUP(D26-(D26*0.1),0)</f>
        <v>9540</v>
      </c>
      <c r="R26" s="164"/>
      <c r="S26" s="227"/>
      <c r="T26" s="216"/>
      <c r="U26" s="228"/>
      <c r="V26" s="176"/>
      <c r="W26" s="229"/>
      <c r="X26" s="230"/>
      <c r="Y26" s="76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</row>
    <row r="27">
      <c r="A27" s="172"/>
      <c r="B27" s="231" t="s">
        <v>182</v>
      </c>
      <c r="C27" s="232" t="s">
        <v>82</v>
      </c>
      <c r="D27" s="233">
        <v>10599.0</v>
      </c>
      <c r="E27" s="153">
        <f t="array" ref="E27">_xlfn.XLOOKUP(B27,Stock1!F:F,Stock1!J:J,"")</f>
        <v>2</v>
      </c>
      <c r="F27" s="222">
        <f t="array" ref="F27">_xlfn.XLOOKUP(B27,Stock2!F:F,Stock2!J:J,"")</f>
        <v>4</v>
      </c>
      <c r="G27" s="178">
        <v>1600.0</v>
      </c>
      <c r="H27" s="158">
        <f t="shared" si="4"/>
        <v>8999</v>
      </c>
      <c r="I27" s="175"/>
      <c r="J27" s="158"/>
      <c r="K27" s="158"/>
      <c r="L27" s="164"/>
      <c r="M27" s="158"/>
      <c r="N27" s="158"/>
      <c r="O27" s="175"/>
      <c r="P27" s="163">
        <v>0.1</v>
      </c>
      <c r="Q27" s="164">
        <f t="shared" si="5"/>
        <v>9540</v>
      </c>
      <c r="R27" s="164"/>
      <c r="S27" s="227"/>
      <c r="T27" s="216"/>
      <c r="U27" s="228"/>
      <c r="V27" s="176"/>
      <c r="W27" s="229"/>
      <c r="X27" s="230"/>
      <c r="Y27" s="76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</row>
    <row r="28">
      <c r="A28" s="172"/>
      <c r="B28" s="231" t="s">
        <v>183</v>
      </c>
      <c r="C28" s="232" t="s">
        <v>171</v>
      </c>
      <c r="D28" s="233">
        <v>10599.0</v>
      </c>
      <c r="E28" s="153" t="str">
        <f t="array" ref="E28">_xlfn.XLOOKUP(B28,Stock1!F:F,Stock1!J:J,"")</f>
        <v/>
      </c>
      <c r="F28" s="222" t="str">
        <f t="array" ref="F28">_xlfn.XLOOKUP(B28,Stock2!F:F,Stock2!J:J,"")</f>
        <v/>
      </c>
      <c r="G28" s="178">
        <v>1600.0</v>
      </c>
      <c r="H28" s="158">
        <f t="shared" si="4"/>
        <v>8999</v>
      </c>
      <c r="I28" s="175"/>
      <c r="J28" s="158"/>
      <c r="K28" s="158"/>
      <c r="L28" s="164"/>
      <c r="M28" s="158"/>
      <c r="N28" s="158"/>
      <c r="O28" s="175"/>
      <c r="P28" s="163">
        <v>0.1</v>
      </c>
      <c r="Q28" s="164">
        <f t="shared" si="5"/>
        <v>9540</v>
      </c>
      <c r="R28" s="164"/>
      <c r="S28" s="227"/>
      <c r="T28" s="216"/>
      <c r="U28" s="228"/>
      <c r="V28" s="176"/>
      <c r="W28" s="229"/>
      <c r="X28" s="230"/>
      <c r="Y28" s="76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</row>
    <row r="29">
      <c r="A29" s="179"/>
      <c r="B29" s="251" t="s">
        <v>187</v>
      </c>
      <c r="C29" s="253" t="s">
        <v>82</v>
      </c>
      <c r="D29" s="255">
        <v>10599.0</v>
      </c>
      <c r="E29" s="153" t="str">
        <f t="array" ref="E29">_xlfn.XLOOKUP(B29,Stock1!F:F,Stock1!J:J,"")</f>
        <v/>
      </c>
      <c r="F29" s="222" t="str">
        <f t="array" ref="F29">_xlfn.XLOOKUP(B29,Stock2!F:F,Stock2!J:J,"")</f>
        <v/>
      </c>
      <c r="G29" s="178">
        <v>1600.0</v>
      </c>
      <c r="H29" s="158">
        <f t="shared" si="4"/>
        <v>8999</v>
      </c>
      <c r="I29" s="175"/>
      <c r="J29" s="158"/>
      <c r="K29" s="158"/>
      <c r="L29" s="164"/>
      <c r="M29" s="158"/>
      <c r="N29" s="158"/>
      <c r="O29" s="175"/>
      <c r="P29" s="163">
        <v>0.1</v>
      </c>
      <c r="Q29" s="164">
        <f t="shared" si="5"/>
        <v>9540</v>
      </c>
      <c r="R29" s="164"/>
      <c r="S29" s="227"/>
      <c r="T29" s="216"/>
      <c r="U29" s="228"/>
      <c r="V29" s="176"/>
      <c r="W29" s="229"/>
      <c r="X29" s="230"/>
      <c r="Y29" s="76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</row>
    <row r="30" ht="30.75" customHeight="1">
      <c r="A30" s="260" t="s">
        <v>197</v>
      </c>
      <c r="B30" s="261" t="s">
        <v>200</v>
      </c>
      <c r="C30" s="264" t="s">
        <v>201</v>
      </c>
      <c r="D30" s="265">
        <v>10999.0</v>
      </c>
      <c r="E30" s="153">
        <f t="array" ref="E30">_xlfn.XLOOKUP(B30,Stock1!F:F,Stock1!J:J,"")</f>
        <v>5</v>
      </c>
      <c r="F30" s="266">
        <f t="array" ref="F30">_xlfn.XLOOKUP(B30,Stock2!F:F,Stock2!J:J,"")</f>
        <v>2</v>
      </c>
      <c r="G30" s="178"/>
      <c r="H30" s="158"/>
      <c r="I30" s="268" t="s">
        <v>205</v>
      </c>
      <c r="J30" s="158">
        <v>1000.0</v>
      </c>
      <c r="K30" s="158">
        <f t="shared" ref="K30:K31" si="6">D30-J30</f>
        <v>9999</v>
      </c>
      <c r="L30" s="160" t="s">
        <v>89</v>
      </c>
      <c r="M30" s="158"/>
      <c r="N30" s="158"/>
      <c r="O30" s="158"/>
      <c r="P30" s="158"/>
      <c r="Q30" s="164"/>
      <c r="R30" s="158"/>
      <c r="S30" s="270"/>
      <c r="T30" s="271"/>
      <c r="U30" s="272"/>
      <c r="V30" s="176"/>
      <c r="W30" s="273"/>
      <c r="X30" s="170"/>
      <c r="Y30" s="218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</row>
    <row r="31" ht="31.5" customHeight="1">
      <c r="A31" s="179"/>
      <c r="B31" s="274" t="s">
        <v>208</v>
      </c>
      <c r="C31" s="253" t="s">
        <v>82</v>
      </c>
      <c r="D31" s="275">
        <v>10999.0</v>
      </c>
      <c r="E31" s="153">
        <f t="array" ref="E31">_xlfn.XLOOKUP(B31,Stock1!F:F,Stock1!J:J,"")</f>
        <v>4</v>
      </c>
      <c r="F31" s="266">
        <f t="array" ref="F31">_xlfn.XLOOKUP(B31,Stock2!F:F,Stock2!J:J,"")</f>
        <v>8</v>
      </c>
      <c r="G31" s="178"/>
      <c r="H31" s="158"/>
      <c r="J31" s="158">
        <v>1000.0</v>
      </c>
      <c r="K31" s="158">
        <f t="shared" si="6"/>
        <v>9999</v>
      </c>
      <c r="L31" s="175"/>
      <c r="M31" s="158"/>
      <c r="N31" s="158"/>
      <c r="O31" s="158"/>
      <c r="P31" s="158"/>
      <c r="Q31" s="164"/>
      <c r="R31" s="158"/>
      <c r="S31" s="270"/>
      <c r="T31" s="271"/>
      <c r="U31" s="272"/>
      <c r="V31" s="176"/>
      <c r="W31" s="119"/>
      <c r="X31" s="119"/>
      <c r="Y31" s="218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</row>
    <row r="32">
      <c r="A32" s="276" t="s">
        <v>210</v>
      </c>
      <c r="B32" s="277" t="s">
        <v>211</v>
      </c>
      <c r="C32" s="264" t="s">
        <v>212</v>
      </c>
      <c r="D32" s="278">
        <v>13999.0</v>
      </c>
      <c r="E32" s="153">
        <f t="array" ref="E32">_xlfn.XLOOKUP(B32,Stock1!F:F,Stock1!J:J,"")</f>
        <v>3</v>
      </c>
      <c r="F32" s="266">
        <f t="array" ref="F32">_xlfn.XLOOKUP(B32,Stock2!F:F,Stock2!J:J,"")</f>
        <v>3</v>
      </c>
      <c r="G32" s="178"/>
      <c r="H32" s="158"/>
      <c r="I32" s="211" t="s">
        <v>216</v>
      </c>
      <c r="J32" s="158"/>
      <c r="K32" s="158"/>
      <c r="L32" s="164"/>
      <c r="M32" s="158"/>
      <c r="N32" s="158"/>
      <c r="O32" s="158"/>
      <c r="P32" s="163">
        <v>0.04</v>
      </c>
      <c r="Q32" s="164">
        <f t="shared" ref="Q32:Q34" si="7">ROUNDUP(D32-(D32*0.04),0)</f>
        <v>13440</v>
      </c>
      <c r="R32" s="280" t="s">
        <v>217</v>
      </c>
      <c r="S32" s="270"/>
      <c r="T32" s="271"/>
      <c r="U32" s="281"/>
      <c r="V32" s="176"/>
      <c r="W32" s="282"/>
      <c r="X32" s="230"/>
      <c r="Y32" s="218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</row>
    <row r="33">
      <c r="A33" s="172"/>
      <c r="B33" s="277" t="s">
        <v>220</v>
      </c>
      <c r="C33" s="283" t="s">
        <v>84</v>
      </c>
      <c r="D33" s="284">
        <v>13999.0</v>
      </c>
      <c r="E33" s="153">
        <f t="array" ref="E33">_xlfn.XLOOKUP(B33,Stock1!F:F,Stock1!J:J,"")</f>
        <v>3</v>
      </c>
      <c r="F33" s="266">
        <f t="array" ref="F33">_xlfn.XLOOKUP(B33,Stock2!F:F,Stock2!J:J,"")</f>
        <v>3</v>
      </c>
      <c r="G33" s="178"/>
      <c r="H33" s="158"/>
      <c r="I33" s="175"/>
      <c r="J33" s="158"/>
      <c r="K33" s="158"/>
      <c r="L33" s="164"/>
      <c r="M33" s="158"/>
      <c r="N33" s="158"/>
      <c r="O33" s="158"/>
      <c r="P33" s="163">
        <v>0.04</v>
      </c>
      <c r="Q33" s="164">
        <f t="shared" si="7"/>
        <v>13440</v>
      </c>
      <c r="R33" s="286"/>
      <c r="S33" s="270"/>
      <c r="T33" s="271"/>
      <c r="U33" s="281"/>
      <c r="V33" s="176"/>
      <c r="W33" s="282"/>
      <c r="X33" s="230"/>
      <c r="Y33" s="76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</row>
    <row r="34">
      <c r="A34" s="179"/>
      <c r="B34" s="277" t="s">
        <v>222</v>
      </c>
      <c r="C34" s="287" t="s">
        <v>223</v>
      </c>
      <c r="D34" s="288">
        <v>13999.0</v>
      </c>
      <c r="E34" s="153">
        <f t="array" ref="E34">_xlfn.XLOOKUP(B34,Stock1!F:F,Stock1!J:J,"")</f>
        <v>4</v>
      </c>
      <c r="F34" s="266">
        <f t="array" ref="F34">_xlfn.XLOOKUP(B34,Stock2!F:F,Stock2!J:J,"")</f>
        <v>4</v>
      </c>
      <c r="G34" s="178"/>
      <c r="H34" s="158"/>
      <c r="I34" s="175"/>
      <c r="J34" s="158"/>
      <c r="K34" s="158"/>
      <c r="L34" s="164"/>
      <c r="M34" s="158"/>
      <c r="N34" s="158"/>
      <c r="O34" s="158"/>
      <c r="P34" s="163">
        <v>0.04</v>
      </c>
      <c r="Q34" s="164">
        <f t="shared" si="7"/>
        <v>13440</v>
      </c>
      <c r="R34" s="286"/>
      <c r="S34" s="270"/>
      <c r="T34" s="271"/>
      <c r="U34" s="281"/>
      <c r="V34" s="176"/>
      <c r="W34" s="282"/>
      <c r="X34" s="230"/>
      <c r="Y34" s="76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</row>
    <row r="35" ht="21.75" customHeight="1">
      <c r="A35" s="276" t="s">
        <v>226</v>
      </c>
      <c r="B35" s="290" t="s">
        <v>227</v>
      </c>
      <c r="C35" s="264" t="s">
        <v>228</v>
      </c>
      <c r="D35" s="291">
        <v>16999.0</v>
      </c>
      <c r="E35" s="153">
        <f t="array" ref="E35">_xlfn.XLOOKUP(B35,Stock1!F:F,Stock1!J:J,"")</f>
        <v>3</v>
      </c>
      <c r="F35" s="266">
        <f t="array" ref="F35">_xlfn.XLOOKUP(B35,Stock2!F:F,Stock2!J:J,"")</f>
        <v>2</v>
      </c>
      <c r="G35" s="158"/>
      <c r="H35" s="158"/>
      <c r="I35" s="211" t="s">
        <v>216</v>
      </c>
      <c r="J35" s="158">
        <v>2000.0</v>
      </c>
      <c r="K35" s="158">
        <f t="shared" ref="K35:K51" si="8">D35-J35</f>
        <v>14999</v>
      </c>
      <c r="L35" s="213" t="s">
        <v>145</v>
      </c>
      <c r="M35" s="158"/>
      <c r="N35" s="158"/>
      <c r="O35" s="158"/>
      <c r="P35" s="163">
        <v>0.15</v>
      </c>
      <c r="Q35" s="164">
        <f t="shared" ref="Q35:Q37" si="9">ROUNDUP(D35-(D35*0.15),0)</f>
        <v>14450</v>
      </c>
      <c r="R35" s="286"/>
      <c r="S35" s="270"/>
      <c r="T35" s="271"/>
      <c r="U35" s="295"/>
      <c r="V35" s="176"/>
      <c r="W35" s="296"/>
      <c r="X35" s="230"/>
      <c r="Y35" s="218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</row>
    <row r="36" ht="21.75" customHeight="1">
      <c r="A36" s="172"/>
      <c r="B36" s="298" t="s">
        <v>232</v>
      </c>
      <c r="C36" s="283" t="s">
        <v>234</v>
      </c>
      <c r="D36" s="284">
        <v>16999.0</v>
      </c>
      <c r="E36" s="153" t="str">
        <f t="array" ref="E36">_xlfn.XLOOKUP(B36,Stock1!F:F,Stock1!J:J,"")</f>
        <v/>
      </c>
      <c r="F36" s="266">
        <f t="array" ref="F36">_xlfn.XLOOKUP(B36,Stock2!F:F,Stock2!J:J,"")</f>
        <v>3</v>
      </c>
      <c r="G36" s="158"/>
      <c r="H36" s="158"/>
      <c r="I36" s="175"/>
      <c r="J36" s="158">
        <v>2000.0</v>
      </c>
      <c r="K36" s="158">
        <f t="shared" si="8"/>
        <v>14999</v>
      </c>
      <c r="L36" s="175"/>
      <c r="M36" s="158"/>
      <c r="N36" s="158"/>
      <c r="O36" s="158"/>
      <c r="P36" s="163">
        <v>0.15</v>
      </c>
      <c r="Q36" s="164">
        <f t="shared" si="9"/>
        <v>14450</v>
      </c>
      <c r="R36" s="286"/>
      <c r="S36" s="270"/>
      <c r="T36" s="271"/>
      <c r="U36" s="295"/>
      <c r="V36" s="176"/>
      <c r="W36" s="296"/>
      <c r="X36" s="230"/>
      <c r="Y36" s="76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</row>
    <row r="37" ht="21.75" customHeight="1">
      <c r="A37" s="179"/>
      <c r="B37" s="274" t="s">
        <v>244</v>
      </c>
      <c r="C37" s="287" t="s">
        <v>223</v>
      </c>
      <c r="D37" s="288">
        <v>16999.0</v>
      </c>
      <c r="E37" s="153">
        <f t="array" ref="E37">_xlfn.XLOOKUP(B37,Stock1!F:F,Stock1!J:J,"")</f>
        <v>2</v>
      </c>
      <c r="F37" s="266">
        <f t="array" ref="F37">_xlfn.XLOOKUP(B37,Stock2!F:F,Stock2!J:J,"")</f>
        <v>1</v>
      </c>
      <c r="G37" s="158"/>
      <c r="H37" s="158"/>
      <c r="I37" s="175"/>
      <c r="J37" s="158">
        <v>2000.0</v>
      </c>
      <c r="K37" s="158">
        <f t="shared" si="8"/>
        <v>14999</v>
      </c>
      <c r="L37" s="175"/>
      <c r="M37" s="158"/>
      <c r="N37" s="158"/>
      <c r="O37" s="158"/>
      <c r="P37" s="163">
        <v>0.15</v>
      </c>
      <c r="Q37" s="164">
        <f t="shared" si="9"/>
        <v>14450</v>
      </c>
      <c r="R37" s="286"/>
      <c r="S37" s="270"/>
      <c r="T37" s="271"/>
      <c r="U37" s="295"/>
      <c r="V37" s="176"/>
      <c r="W37" s="296"/>
      <c r="X37" s="230"/>
      <c r="Y37" s="76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</row>
    <row r="38" ht="27.75" customHeight="1">
      <c r="A38" s="276" t="s">
        <v>248</v>
      </c>
      <c r="B38" s="261" t="s">
        <v>249</v>
      </c>
      <c r="C38" s="264" t="s">
        <v>228</v>
      </c>
      <c r="D38" s="291">
        <v>17999.0</v>
      </c>
      <c r="E38" s="153">
        <f t="array" ref="E38">_xlfn.XLOOKUP(B38,Stock1!F:F,Stock1!J:J,"")</f>
        <v>5</v>
      </c>
      <c r="F38" s="266">
        <f t="array" ref="F38">_xlfn.XLOOKUP(B38,Stock2!F:F,Stock2!J:J,"")</f>
        <v>5</v>
      </c>
      <c r="G38" s="158"/>
      <c r="H38" s="158"/>
      <c r="I38" s="211" t="s">
        <v>252</v>
      </c>
      <c r="J38" s="158">
        <v>2000.0</v>
      </c>
      <c r="K38" s="158">
        <f t="shared" si="8"/>
        <v>15999</v>
      </c>
      <c r="L38" s="175"/>
      <c r="M38" s="158"/>
      <c r="N38" s="158"/>
      <c r="O38" s="158"/>
      <c r="P38" s="163">
        <v>0.14</v>
      </c>
      <c r="Q38" s="164">
        <f t="shared" ref="Q38:Q40" si="10">ROUNDUP(D38-(D38*0.14),0)</f>
        <v>15480</v>
      </c>
      <c r="R38" s="286"/>
      <c r="S38" s="270"/>
      <c r="T38" s="271"/>
      <c r="U38" s="295"/>
      <c r="V38" s="176"/>
      <c r="W38" s="296"/>
      <c r="X38" s="230"/>
      <c r="Y38" s="76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</row>
    <row r="39" ht="27.0" customHeight="1">
      <c r="A39" s="172"/>
      <c r="B39" s="298" t="s">
        <v>256</v>
      </c>
      <c r="C39" s="283" t="s">
        <v>234</v>
      </c>
      <c r="D39" s="284">
        <v>17999.0</v>
      </c>
      <c r="E39" s="153">
        <f t="array" ref="E39">_xlfn.XLOOKUP(B39,Stock1!F:F,Stock1!J:J,"")</f>
        <v>7</v>
      </c>
      <c r="F39" s="266">
        <f t="array" ref="F39">_xlfn.XLOOKUP(B39,Stock2!F:F,Stock2!J:J,"")</f>
        <v>11</v>
      </c>
      <c r="G39" s="158"/>
      <c r="H39" s="158"/>
      <c r="I39" s="175"/>
      <c r="J39" s="158">
        <v>2000.0</v>
      </c>
      <c r="K39" s="158">
        <f t="shared" si="8"/>
        <v>15999</v>
      </c>
      <c r="L39" s="175"/>
      <c r="M39" s="158"/>
      <c r="N39" s="158"/>
      <c r="O39" s="158"/>
      <c r="P39" s="163">
        <v>0.14</v>
      </c>
      <c r="Q39" s="164">
        <f t="shared" si="10"/>
        <v>15480</v>
      </c>
      <c r="R39" s="286"/>
      <c r="S39" s="270"/>
      <c r="T39" s="271"/>
      <c r="U39" s="295"/>
      <c r="V39" s="176"/>
      <c r="W39" s="296"/>
      <c r="X39" s="230"/>
      <c r="Y39" s="76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</row>
    <row r="40" ht="27.75" customHeight="1">
      <c r="A40" s="179"/>
      <c r="B40" s="274" t="s">
        <v>261</v>
      </c>
      <c r="C40" s="287" t="s">
        <v>223</v>
      </c>
      <c r="D40" s="288">
        <v>17999.0</v>
      </c>
      <c r="E40" s="153">
        <f t="array" ref="E40">_xlfn.XLOOKUP(B40,Stock1!F:F,Stock1!J:J,"")</f>
        <v>9</v>
      </c>
      <c r="F40" s="266">
        <f t="array" ref="F40">_xlfn.XLOOKUP(B40,Stock2!F:F,Stock2!J:J,"")</f>
        <v>15</v>
      </c>
      <c r="G40" s="158"/>
      <c r="H40" s="158"/>
      <c r="I40" s="175"/>
      <c r="J40" s="158">
        <v>2000.0</v>
      </c>
      <c r="K40" s="158">
        <f t="shared" si="8"/>
        <v>15999</v>
      </c>
      <c r="L40" s="175"/>
      <c r="M40" s="158"/>
      <c r="N40" s="158"/>
      <c r="O40" s="158"/>
      <c r="P40" s="163">
        <v>0.14</v>
      </c>
      <c r="Q40" s="164">
        <f t="shared" si="10"/>
        <v>15480</v>
      </c>
      <c r="R40" s="286"/>
      <c r="S40" s="270"/>
      <c r="T40" s="271"/>
      <c r="U40" s="295"/>
      <c r="V40" s="176"/>
      <c r="W40" s="296"/>
      <c r="X40" s="230"/>
      <c r="Y40" s="76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</row>
    <row r="41" ht="26.25" customHeight="1">
      <c r="A41" s="276" t="s">
        <v>267</v>
      </c>
      <c r="B41" s="261" t="s">
        <v>270</v>
      </c>
      <c r="C41" s="264" t="s">
        <v>228</v>
      </c>
      <c r="D41" s="291">
        <v>20999.0</v>
      </c>
      <c r="E41" s="153">
        <f t="array" ref="E41">_xlfn.XLOOKUP(B41,Stock1!F:F,Stock1!J:J,"")</f>
        <v>9</v>
      </c>
      <c r="F41" s="266">
        <f t="array" ref="F41">_xlfn.XLOOKUP(B41,Stock2!F:F,Stock2!J:J,"")</f>
        <v>5</v>
      </c>
      <c r="G41" s="158"/>
      <c r="H41" s="158"/>
      <c r="I41" s="211" t="s">
        <v>273</v>
      </c>
      <c r="J41" s="158">
        <v>2000.0</v>
      </c>
      <c r="K41" s="158">
        <f t="shared" si="8"/>
        <v>18999</v>
      </c>
      <c r="L41" s="213" t="s">
        <v>274</v>
      </c>
      <c r="M41" s="158"/>
      <c r="N41" s="158"/>
      <c r="O41" s="324"/>
      <c r="P41" s="163">
        <v>0.12</v>
      </c>
      <c r="Q41" s="164">
        <f t="shared" ref="Q41:Q43" si="11">ROUNDUP(D41-(D41*0.12),0)</f>
        <v>18480</v>
      </c>
      <c r="R41" s="286"/>
      <c r="S41" s="270"/>
      <c r="T41" s="271"/>
      <c r="U41" s="295"/>
      <c r="V41" s="176"/>
      <c r="W41" s="296"/>
      <c r="X41" s="230"/>
      <c r="Y41" s="76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</row>
    <row r="42" ht="25.5" customHeight="1">
      <c r="A42" s="172"/>
      <c r="B42" s="298" t="s">
        <v>278</v>
      </c>
      <c r="C42" s="283" t="s">
        <v>234</v>
      </c>
      <c r="D42" s="284">
        <v>20999.0</v>
      </c>
      <c r="E42" s="153">
        <f t="array" ref="E42">_xlfn.XLOOKUP(B42,Stock1!F:F,Stock1!J:J,"")</f>
        <v>8</v>
      </c>
      <c r="F42" s="266">
        <f t="array" ref="F42">_xlfn.XLOOKUP(B42,Stock2!F:F,Stock2!J:J,"")</f>
        <v>5</v>
      </c>
      <c r="G42" s="158"/>
      <c r="H42" s="158"/>
      <c r="I42" s="175"/>
      <c r="J42" s="158">
        <v>2000.0</v>
      </c>
      <c r="K42" s="158">
        <f t="shared" si="8"/>
        <v>18999</v>
      </c>
      <c r="L42" s="175"/>
      <c r="M42" s="158"/>
      <c r="N42" s="158"/>
      <c r="O42" s="175"/>
      <c r="P42" s="163">
        <v>0.12</v>
      </c>
      <c r="Q42" s="164">
        <f t="shared" si="11"/>
        <v>18480</v>
      </c>
      <c r="R42" s="286"/>
      <c r="S42" s="270"/>
      <c r="T42" s="271"/>
      <c r="U42" s="295"/>
      <c r="V42" s="176"/>
      <c r="W42" s="296"/>
      <c r="X42" s="230"/>
      <c r="Y42" s="76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</row>
    <row r="43" ht="27.0" customHeight="1">
      <c r="A43" s="179"/>
      <c r="B43" s="325" t="s">
        <v>286</v>
      </c>
      <c r="C43" s="287" t="s">
        <v>223</v>
      </c>
      <c r="D43" s="288">
        <v>20999.0</v>
      </c>
      <c r="E43" s="153">
        <f t="array" ref="E43">_xlfn.XLOOKUP(B43,Stock1!F:F,Stock1!J:J,"")</f>
        <v>9</v>
      </c>
      <c r="F43" s="266">
        <f t="array" ref="F43">_xlfn.XLOOKUP(B43,Stock2!F:F,Stock2!J:J,"")</f>
        <v>5</v>
      </c>
      <c r="G43" s="158"/>
      <c r="H43" s="158"/>
      <c r="I43" s="175"/>
      <c r="J43" s="158">
        <v>2000.0</v>
      </c>
      <c r="K43" s="158">
        <f t="shared" si="8"/>
        <v>18999</v>
      </c>
      <c r="L43" s="175"/>
      <c r="M43" s="158"/>
      <c r="N43" s="158"/>
      <c r="O43" s="175"/>
      <c r="P43" s="163">
        <v>0.12</v>
      </c>
      <c r="Q43" s="164">
        <f t="shared" si="11"/>
        <v>18480</v>
      </c>
      <c r="R43" s="286"/>
      <c r="S43" s="270"/>
      <c r="T43" s="271"/>
      <c r="U43" s="295"/>
      <c r="V43" s="176"/>
      <c r="W43" s="296"/>
      <c r="X43" s="230"/>
      <c r="Y43" s="76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</row>
    <row r="44" ht="27.75" customHeight="1">
      <c r="A44" s="326" t="s">
        <v>281</v>
      </c>
      <c r="B44" s="327" t="s">
        <v>282</v>
      </c>
      <c r="C44" s="328" t="s">
        <v>283</v>
      </c>
      <c r="D44" s="209">
        <v>22900.0</v>
      </c>
      <c r="E44" s="153" t="str">
        <f t="array" ref="E44">_xlfn.XLOOKUP(B44,Stock1!F:F,Stock1!J:J,"")</f>
        <v/>
      </c>
      <c r="F44" s="266" t="str">
        <f t="array" ref="F44">_xlfn.XLOOKUP(B44,Stock2!F:F,Stock2!J:J,"")</f>
        <v/>
      </c>
      <c r="G44" s="178">
        <v>3000.0</v>
      </c>
      <c r="H44" s="158">
        <f t="shared" ref="H44:H57" si="12">D44-G44</f>
        <v>19900</v>
      </c>
      <c r="I44" s="160" t="s">
        <v>298</v>
      </c>
      <c r="J44" s="158">
        <v>5000.0</v>
      </c>
      <c r="K44" s="158">
        <f t="shared" si="8"/>
        <v>17900</v>
      </c>
      <c r="L44" s="213" t="s">
        <v>299</v>
      </c>
      <c r="M44" s="158"/>
      <c r="N44" s="158"/>
      <c r="O44" s="158"/>
      <c r="P44" s="163">
        <v>0.15</v>
      </c>
      <c r="Q44" s="164">
        <f t="shared" ref="Q44:Q51" si="13">ROUNDUP(D44-(D44*0.15),0)</f>
        <v>19465</v>
      </c>
      <c r="R44" s="211" t="s">
        <v>302</v>
      </c>
      <c r="S44" s="270"/>
      <c r="T44" s="271"/>
      <c r="U44" s="329"/>
      <c r="V44" s="176"/>
      <c r="W44" s="330"/>
      <c r="X44" s="230"/>
      <c r="Y44" s="76"/>
      <c r="Z44" s="331"/>
      <c r="AA44" s="331"/>
      <c r="AB44" s="331"/>
      <c r="AC44" s="331"/>
      <c r="AD44" s="331"/>
      <c r="AE44" s="331"/>
      <c r="AF44" s="331"/>
      <c r="AG44" s="331"/>
      <c r="AH44" s="331"/>
      <c r="AI44" s="331"/>
      <c r="AJ44" s="331"/>
      <c r="AK44" s="331"/>
      <c r="AL44" s="331"/>
    </row>
    <row r="45" ht="26.25" customHeight="1">
      <c r="A45" s="172"/>
      <c r="B45" s="320" t="s">
        <v>289</v>
      </c>
      <c r="C45" s="332" t="s">
        <v>290</v>
      </c>
      <c r="D45" s="333">
        <v>22900.0</v>
      </c>
      <c r="E45" s="153" t="str">
        <f t="array" ref="E45">_xlfn.XLOOKUP(B45,Stock1!F:F,Stock1!J:J,"")</f>
        <v/>
      </c>
      <c r="F45" s="266" t="str">
        <f t="array" ref="F45">_xlfn.XLOOKUP(B45,Stock2!F:F,Stock2!J:J,"")</f>
        <v/>
      </c>
      <c r="G45" s="178">
        <v>3000.0</v>
      </c>
      <c r="H45" s="158">
        <f t="shared" si="12"/>
        <v>19900</v>
      </c>
      <c r="I45" s="175"/>
      <c r="J45" s="158">
        <v>5000.0</v>
      </c>
      <c r="K45" s="158">
        <f t="shared" si="8"/>
        <v>17900</v>
      </c>
      <c r="L45" s="175"/>
      <c r="M45" s="158"/>
      <c r="N45" s="158"/>
      <c r="O45" s="158"/>
      <c r="P45" s="163">
        <v>0.15</v>
      </c>
      <c r="Q45" s="164">
        <f t="shared" si="13"/>
        <v>19465</v>
      </c>
      <c r="R45" s="175"/>
      <c r="S45" s="270"/>
      <c r="T45" s="271"/>
      <c r="U45" s="329"/>
      <c r="V45" s="176"/>
      <c r="W45" s="330"/>
      <c r="X45" s="230"/>
      <c r="Y45" s="76"/>
      <c r="Z45" s="331"/>
      <c r="AA45" s="331"/>
      <c r="AB45" s="331"/>
      <c r="AC45" s="331"/>
      <c r="AD45" s="331"/>
      <c r="AE45" s="331"/>
      <c r="AF45" s="331"/>
      <c r="AG45" s="331"/>
      <c r="AH45" s="331"/>
      <c r="AI45" s="331"/>
      <c r="AJ45" s="331"/>
      <c r="AK45" s="331"/>
      <c r="AL45" s="331"/>
    </row>
    <row r="46" ht="24.75" customHeight="1">
      <c r="A46" s="172"/>
      <c r="B46" s="320" t="s">
        <v>293</v>
      </c>
      <c r="C46" s="332" t="s">
        <v>294</v>
      </c>
      <c r="D46" s="333">
        <v>22900.0</v>
      </c>
      <c r="E46" s="153" t="str">
        <f t="array" ref="E46">_xlfn.XLOOKUP(B46,Stock1!F:F,Stock1!J:J,"")</f>
        <v/>
      </c>
      <c r="F46" s="266" t="str">
        <f t="array" ref="F46">_xlfn.XLOOKUP(B46,Stock2!F:F,Stock2!J:J,"")</f>
        <v/>
      </c>
      <c r="G46" s="178">
        <v>3000.0</v>
      </c>
      <c r="H46" s="158">
        <f t="shared" si="12"/>
        <v>19900</v>
      </c>
      <c r="I46" s="175"/>
      <c r="J46" s="158">
        <v>5000.0</v>
      </c>
      <c r="K46" s="158">
        <f t="shared" si="8"/>
        <v>17900</v>
      </c>
      <c r="L46" s="175"/>
      <c r="M46" s="158"/>
      <c r="N46" s="158"/>
      <c r="O46" s="158"/>
      <c r="P46" s="163">
        <v>0.15</v>
      </c>
      <c r="Q46" s="164">
        <f t="shared" si="13"/>
        <v>19465</v>
      </c>
      <c r="R46" s="175"/>
      <c r="S46" s="270"/>
      <c r="T46" s="271"/>
      <c r="U46" s="329"/>
      <c r="V46" s="176"/>
      <c r="W46" s="330"/>
      <c r="X46" s="230"/>
      <c r="Y46" s="76"/>
      <c r="Z46" s="331"/>
      <c r="AA46" s="331"/>
      <c r="AB46" s="331"/>
      <c r="AC46" s="331"/>
      <c r="AD46" s="331"/>
      <c r="AE46" s="331"/>
      <c r="AF46" s="331"/>
      <c r="AG46" s="331"/>
      <c r="AH46" s="331"/>
      <c r="AI46" s="331"/>
      <c r="AJ46" s="331"/>
      <c r="AK46" s="331"/>
      <c r="AL46" s="331"/>
    </row>
    <row r="47" ht="25.5" customHeight="1">
      <c r="A47" s="179"/>
      <c r="B47" s="334" t="s">
        <v>300</v>
      </c>
      <c r="C47" s="335" t="s">
        <v>301</v>
      </c>
      <c r="D47" s="221">
        <v>22900.0</v>
      </c>
      <c r="E47" s="153" t="str">
        <f t="array" ref="E47">_xlfn.XLOOKUP(B47,Stock1!F:F,Stock1!J:J,"")</f>
        <v/>
      </c>
      <c r="F47" s="266" t="str">
        <f t="array" ref="F47">_xlfn.XLOOKUP(B47,Stock2!F:F,Stock2!J:J,"")</f>
        <v/>
      </c>
      <c r="G47" s="178">
        <v>3000.0</v>
      </c>
      <c r="H47" s="158">
        <f t="shared" si="12"/>
        <v>19900</v>
      </c>
      <c r="I47" s="175"/>
      <c r="J47" s="158">
        <v>5000.0</v>
      </c>
      <c r="K47" s="158">
        <f t="shared" si="8"/>
        <v>17900</v>
      </c>
      <c r="L47" s="175"/>
      <c r="M47" s="158"/>
      <c r="N47" s="158"/>
      <c r="O47" s="158"/>
      <c r="P47" s="163">
        <v>0.15</v>
      </c>
      <c r="Q47" s="164">
        <f t="shared" si="13"/>
        <v>19465</v>
      </c>
      <c r="R47" s="175"/>
      <c r="S47" s="270"/>
      <c r="T47" s="271"/>
      <c r="U47" s="329"/>
      <c r="V47" s="176"/>
      <c r="W47" s="330"/>
      <c r="X47" s="230"/>
      <c r="Y47" s="76"/>
      <c r="Z47" s="331"/>
      <c r="AA47" s="331"/>
      <c r="AB47" s="331"/>
      <c r="AC47" s="331"/>
      <c r="AD47" s="331"/>
      <c r="AE47" s="331"/>
      <c r="AF47" s="331"/>
      <c r="AG47" s="331"/>
      <c r="AH47" s="331"/>
      <c r="AI47" s="331"/>
      <c r="AJ47" s="331"/>
      <c r="AK47" s="331"/>
      <c r="AL47" s="331"/>
    </row>
    <row r="48" ht="26.25" customHeight="1">
      <c r="A48" s="326" t="s">
        <v>306</v>
      </c>
      <c r="B48" s="327" t="s">
        <v>327</v>
      </c>
      <c r="C48" s="328" t="s">
        <v>283</v>
      </c>
      <c r="D48" s="209">
        <v>26900.0</v>
      </c>
      <c r="E48" s="153">
        <f t="array" ref="E48">_xlfn.XLOOKUP(B48,Stock1!F:F,Stock1!J:J,"")</f>
        <v>3</v>
      </c>
      <c r="F48" s="266">
        <f t="array" ref="F48">_xlfn.XLOOKUP(B48,Stock2!F:F,Stock2!J:J,"")</f>
        <v>6</v>
      </c>
      <c r="G48" s="178">
        <v>3000.0</v>
      </c>
      <c r="H48" s="158">
        <f t="shared" si="12"/>
        <v>23900</v>
      </c>
      <c r="I48" s="175"/>
      <c r="J48" s="158">
        <v>6000.0</v>
      </c>
      <c r="K48" s="158">
        <f t="shared" si="8"/>
        <v>20900</v>
      </c>
      <c r="L48" s="175"/>
      <c r="M48" s="158"/>
      <c r="N48" s="158"/>
      <c r="O48" s="158"/>
      <c r="P48" s="163">
        <v>0.15</v>
      </c>
      <c r="Q48" s="164">
        <f t="shared" si="13"/>
        <v>22865</v>
      </c>
      <c r="R48" s="175"/>
      <c r="S48" s="270"/>
      <c r="T48" s="271"/>
      <c r="U48" s="329"/>
      <c r="V48" s="176"/>
      <c r="W48" s="330"/>
      <c r="X48" s="230"/>
      <c r="Y48" s="76"/>
      <c r="Z48" s="331"/>
      <c r="AA48" s="331"/>
      <c r="AB48" s="331"/>
      <c r="AC48" s="331"/>
      <c r="AD48" s="331"/>
      <c r="AE48" s="331"/>
      <c r="AF48" s="331"/>
      <c r="AG48" s="331"/>
      <c r="AH48" s="331"/>
      <c r="AI48" s="331"/>
      <c r="AJ48" s="331"/>
      <c r="AK48" s="331"/>
      <c r="AL48" s="331"/>
    </row>
    <row r="49" ht="26.25" customHeight="1">
      <c r="A49" s="172"/>
      <c r="B49" s="320" t="s">
        <v>333</v>
      </c>
      <c r="C49" s="332" t="s">
        <v>290</v>
      </c>
      <c r="D49" s="333">
        <v>26900.0</v>
      </c>
      <c r="E49" s="153">
        <f t="array" ref="E49">_xlfn.XLOOKUP(B49,Stock1!F:F,Stock1!J:J,"")</f>
        <v>3</v>
      </c>
      <c r="F49" s="266">
        <f t="array" ref="F49">_xlfn.XLOOKUP(B49,Stock2!F:F,Stock2!J:J,"")</f>
        <v>3</v>
      </c>
      <c r="G49" s="178">
        <v>3000.0</v>
      </c>
      <c r="H49" s="158">
        <f t="shared" si="12"/>
        <v>23900</v>
      </c>
      <c r="I49" s="175"/>
      <c r="J49" s="158">
        <v>6000.0</v>
      </c>
      <c r="K49" s="158">
        <f t="shared" si="8"/>
        <v>20900</v>
      </c>
      <c r="L49" s="175"/>
      <c r="M49" s="158"/>
      <c r="N49" s="158"/>
      <c r="O49" s="158"/>
      <c r="P49" s="163">
        <v>0.15</v>
      </c>
      <c r="Q49" s="164">
        <f t="shared" si="13"/>
        <v>22865</v>
      </c>
      <c r="R49" s="175"/>
      <c r="S49" s="270"/>
      <c r="T49" s="271"/>
      <c r="U49" s="329"/>
      <c r="V49" s="176"/>
      <c r="W49" s="330"/>
      <c r="X49" s="230"/>
      <c r="Y49" s="76"/>
      <c r="Z49" s="331"/>
      <c r="AA49" s="331"/>
      <c r="AB49" s="331"/>
      <c r="AC49" s="331"/>
      <c r="AD49" s="331"/>
      <c r="AE49" s="331"/>
      <c r="AF49" s="331"/>
      <c r="AG49" s="331"/>
      <c r="AH49" s="331"/>
      <c r="AI49" s="331"/>
      <c r="AJ49" s="331"/>
      <c r="AK49" s="331"/>
      <c r="AL49" s="331"/>
    </row>
    <row r="50" ht="26.25" customHeight="1">
      <c r="A50" s="172"/>
      <c r="B50" s="320" t="s">
        <v>339</v>
      </c>
      <c r="C50" s="332" t="s">
        <v>294</v>
      </c>
      <c r="D50" s="333">
        <v>26900.0</v>
      </c>
      <c r="E50" s="153">
        <f t="array" ref="E50">_xlfn.XLOOKUP(B50,Stock1!F:F,Stock1!J:J,"")</f>
        <v>4</v>
      </c>
      <c r="F50" s="266">
        <f t="array" ref="F50">_xlfn.XLOOKUP(B50,Stock2!F:F,Stock2!J:J,"")</f>
        <v>4</v>
      </c>
      <c r="G50" s="178">
        <v>3000.0</v>
      </c>
      <c r="H50" s="158">
        <f t="shared" si="12"/>
        <v>23900</v>
      </c>
      <c r="I50" s="175"/>
      <c r="J50" s="158">
        <v>6000.0</v>
      </c>
      <c r="K50" s="158">
        <f t="shared" si="8"/>
        <v>20900</v>
      </c>
      <c r="L50" s="175"/>
      <c r="M50" s="158"/>
      <c r="N50" s="158"/>
      <c r="O50" s="158"/>
      <c r="P50" s="163">
        <v>0.15</v>
      </c>
      <c r="Q50" s="164">
        <f t="shared" si="13"/>
        <v>22865</v>
      </c>
      <c r="R50" s="175"/>
      <c r="S50" s="270"/>
      <c r="T50" s="271"/>
      <c r="U50" s="329"/>
      <c r="V50" s="176"/>
      <c r="W50" s="330"/>
      <c r="X50" s="230"/>
      <c r="Y50" s="76"/>
      <c r="Z50" s="331"/>
      <c r="AA50" s="331"/>
      <c r="AB50" s="331"/>
      <c r="AC50" s="331"/>
      <c r="AD50" s="331"/>
      <c r="AE50" s="331"/>
      <c r="AF50" s="331"/>
      <c r="AG50" s="331"/>
      <c r="AH50" s="331"/>
      <c r="AI50" s="331"/>
      <c r="AJ50" s="331"/>
      <c r="AK50" s="331"/>
      <c r="AL50" s="331"/>
    </row>
    <row r="51" ht="23.25" customHeight="1">
      <c r="A51" s="179"/>
      <c r="B51" s="334" t="s">
        <v>347</v>
      </c>
      <c r="C51" s="335" t="s">
        <v>301</v>
      </c>
      <c r="D51" s="221">
        <v>26900.0</v>
      </c>
      <c r="E51" s="153">
        <f t="array" ref="E51">_xlfn.XLOOKUP(B51,Stock1!F:F,Stock1!J:J,"")</f>
        <v>2</v>
      </c>
      <c r="F51" s="266" t="str">
        <f t="array" ref="F51">_xlfn.XLOOKUP(B51,Stock2!F:F,Stock2!J:J,"")</f>
        <v/>
      </c>
      <c r="G51" s="178">
        <v>3000.0</v>
      </c>
      <c r="H51" s="158">
        <f t="shared" si="12"/>
        <v>23900</v>
      </c>
      <c r="I51" s="175"/>
      <c r="J51" s="158">
        <v>6000.0</v>
      </c>
      <c r="K51" s="158">
        <f t="shared" si="8"/>
        <v>20900</v>
      </c>
      <c r="L51" s="175"/>
      <c r="M51" s="158"/>
      <c r="N51" s="158"/>
      <c r="O51" s="158"/>
      <c r="P51" s="163">
        <v>0.15</v>
      </c>
      <c r="Q51" s="164">
        <f t="shared" si="13"/>
        <v>22865</v>
      </c>
      <c r="R51" s="175"/>
      <c r="S51" s="270"/>
      <c r="T51" s="271"/>
      <c r="U51" s="329"/>
      <c r="V51" s="176"/>
      <c r="W51" s="330"/>
      <c r="X51" s="230"/>
      <c r="Y51" s="76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</row>
    <row r="52">
      <c r="A52" s="326" t="s">
        <v>353</v>
      </c>
      <c r="B52" s="261" t="s">
        <v>355</v>
      </c>
      <c r="C52" s="336" t="s">
        <v>356</v>
      </c>
      <c r="D52" s="209">
        <v>42900.0</v>
      </c>
      <c r="E52" s="153">
        <f t="array" ref="E52">_xlfn.XLOOKUP(B52,Stock1!F:F,Stock1!J:J,"")</f>
        <v>11</v>
      </c>
      <c r="F52" s="222">
        <f t="array" ref="F52">_xlfn.XLOOKUP(B52,Stock2!F:F,Stock2!J:J,"")</f>
        <v>9</v>
      </c>
      <c r="G52" s="178">
        <v>12000.0</v>
      </c>
      <c r="H52" s="158">
        <f t="shared" si="12"/>
        <v>30900</v>
      </c>
      <c r="I52" s="160" t="s">
        <v>89</v>
      </c>
      <c r="J52" s="158"/>
      <c r="K52" s="158"/>
      <c r="L52" s="211"/>
      <c r="M52" s="164"/>
      <c r="N52" s="164"/>
      <c r="O52" s="164"/>
      <c r="P52" s="164"/>
      <c r="Q52" s="164"/>
      <c r="R52" s="164"/>
      <c r="S52" s="337"/>
      <c r="T52" s="271"/>
      <c r="U52" s="338"/>
      <c r="V52" s="176"/>
      <c r="W52" s="330"/>
      <c r="X52" s="170"/>
      <c r="Y52" s="339"/>
      <c r="Z52" s="331"/>
      <c r="AA52" s="331"/>
      <c r="AB52" s="331"/>
      <c r="AC52" s="331"/>
      <c r="AD52" s="331"/>
      <c r="AE52" s="331"/>
      <c r="AF52" s="331"/>
      <c r="AG52" s="331"/>
      <c r="AH52" s="331"/>
      <c r="AI52" s="331"/>
      <c r="AJ52" s="331"/>
      <c r="AK52" s="331"/>
      <c r="AL52" s="331"/>
    </row>
    <row r="53">
      <c r="A53" s="172"/>
      <c r="B53" s="261" t="s">
        <v>371</v>
      </c>
      <c r="C53" s="340" t="s">
        <v>356</v>
      </c>
      <c r="D53" s="341">
        <v>42900.0</v>
      </c>
      <c r="E53" s="153" t="str">
        <f t="array" ref="E53">_xlfn.XLOOKUP(B53,Stock1!F:F,Stock1!J:J,"")</f>
        <v/>
      </c>
      <c r="F53" s="222" t="str">
        <f t="array" ref="F53">_xlfn.XLOOKUP(B53,Stock2!F:F,Stock2!J:J,"")</f>
        <v/>
      </c>
      <c r="G53" s="178">
        <v>12000.0</v>
      </c>
      <c r="H53" s="158">
        <f t="shared" si="12"/>
        <v>30900</v>
      </c>
      <c r="I53" s="175"/>
      <c r="J53" s="158"/>
      <c r="K53" s="158"/>
      <c r="L53" s="175"/>
      <c r="M53" s="164"/>
      <c r="N53" s="164"/>
      <c r="O53" s="164"/>
      <c r="P53" s="164"/>
      <c r="Q53" s="164"/>
      <c r="R53" s="164"/>
      <c r="S53" s="337"/>
      <c r="T53" s="271"/>
      <c r="U53" s="342"/>
      <c r="V53" s="176"/>
      <c r="W53" s="330"/>
      <c r="X53" s="170"/>
      <c r="Y53" s="218"/>
      <c r="Z53" s="331"/>
      <c r="AA53" s="331"/>
      <c r="AB53" s="331"/>
      <c r="AC53" s="331"/>
      <c r="AD53" s="331"/>
      <c r="AE53" s="331"/>
      <c r="AF53" s="331"/>
      <c r="AG53" s="331"/>
      <c r="AH53" s="331"/>
      <c r="AI53" s="331"/>
      <c r="AJ53" s="331"/>
      <c r="AK53" s="331"/>
      <c r="AL53" s="331"/>
    </row>
    <row r="54">
      <c r="A54" s="172"/>
      <c r="B54" s="298" t="s">
        <v>381</v>
      </c>
      <c r="C54" s="343" t="s">
        <v>383</v>
      </c>
      <c r="D54" s="333">
        <v>42900.0</v>
      </c>
      <c r="E54" s="153" t="str">
        <f t="array" ref="E54">_xlfn.XLOOKUP(B54,Stock1!F:F,Stock1!J:J,"")</f>
        <v/>
      </c>
      <c r="F54" s="222" t="str">
        <f t="array" ref="F54">_xlfn.XLOOKUP(B54,Stock2!F:F,Stock2!J:J,"")</f>
        <v/>
      </c>
      <c r="G54" s="178">
        <v>12000.0</v>
      </c>
      <c r="H54" s="158">
        <f t="shared" si="12"/>
        <v>30900</v>
      </c>
      <c r="I54" s="175"/>
      <c r="J54" s="158"/>
      <c r="K54" s="158"/>
      <c r="L54" s="175"/>
      <c r="M54" s="164"/>
      <c r="N54" s="164"/>
      <c r="O54" s="164"/>
      <c r="P54" s="164"/>
      <c r="Q54" s="164"/>
      <c r="R54" s="164"/>
      <c r="S54" s="337"/>
      <c r="T54" s="271"/>
      <c r="U54" s="342"/>
      <c r="V54" s="176"/>
      <c r="W54" s="330"/>
      <c r="X54" s="170"/>
      <c r="Y54" s="76"/>
      <c r="Z54" s="331"/>
      <c r="AA54" s="331"/>
      <c r="AB54" s="331"/>
      <c r="AC54" s="331"/>
      <c r="AD54" s="331"/>
      <c r="AE54" s="331"/>
      <c r="AF54" s="331"/>
      <c r="AG54" s="331"/>
      <c r="AH54" s="331"/>
      <c r="AI54" s="331"/>
      <c r="AJ54" s="331"/>
      <c r="AK54" s="331"/>
      <c r="AL54" s="331"/>
    </row>
    <row r="55">
      <c r="A55" s="172"/>
      <c r="B55" s="298" t="s">
        <v>390</v>
      </c>
      <c r="C55" s="343" t="s">
        <v>391</v>
      </c>
      <c r="D55" s="333">
        <v>42900.0</v>
      </c>
      <c r="E55" s="153" t="str">
        <f t="array" ref="E55">_xlfn.XLOOKUP(B55,Stock1!F:F,Stock1!J:J,"")</f>
        <v/>
      </c>
      <c r="F55" s="222" t="str">
        <f t="array" ref="F55">_xlfn.XLOOKUP(B55,Stock2!F:F,Stock2!J:J,"")</f>
        <v/>
      </c>
      <c r="G55" s="178">
        <v>12000.0</v>
      </c>
      <c r="H55" s="158">
        <f t="shared" si="12"/>
        <v>30900</v>
      </c>
      <c r="I55" s="175"/>
      <c r="J55" s="158"/>
      <c r="K55" s="158"/>
      <c r="L55" s="175"/>
      <c r="M55" s="164"/>
      <c r="N55" s="164"/>
      <c r="O55" s="164"/>
      <c r="P55" s="164"/>
      <c r="Q55" s="164"/>
      <c r="R55" s="164"/>
      <c r="S55" s="337"/>
      <c r="T55" s="271"/>
      <c r="U55" s="342"/>
      <c r="V55" s="176"/>
      <c r="W55" s="330"/>
      <c r="X55" s="170"/>
      <c r="Y55" s="76"/>
      <c r="Z55" s="331"/>
      <c r="AA55" s="331"/>
      <c r="AB55" s="331"/>
      <c r="AC55" s="331"/>
      <c r="AD55" s="331"/>
      <c r="AE55" s="331"/>
      <c r="AF55" s="331"/>
      <c r="AG55" s="331"/>
      <c r="AH55" s="331"/>
      <c r="AI55" s="331"/>
      <c r="AJ55" s="331"/>
      <c r="AK55" s="331"/>
      <c r="AL55" s="331"/>
    </row>
    <row r="56">
      <c r="A56" s="172"/>
      <c r="B56" s="298" t="s">
        <v>395</v>
      </c>
      <c r="C56" s="343" t="s">
        <v>396</v>
      </c>
      <c r="D56" s="333">
        <v>42900.0</v>
      </c>
      <c r="E56" s="153" t="str">
        <f t="array" ref="E56">_xlfn.XLOOKUP(B56,Stock1!F:F,Stock1!J:J,"")</f>
        <v/>
      </c>
      <c r="F56" s="222" t="str">
        <f t="array" ref="F56">_xlfn.XLOOKUP(B56,Stock2!F:F,Stock2!J:J,"")</f>
        <v/>
      </c>
      <c r="G56" s="178">
        <v>12000.0</v>
      </c>
      <c r="H56" s="158">
        <f t="shared" si="12"/>
        <v>30900</v>
      </c>
      <c r="I56" s="175"/>
      <c r="J56" s="158"/>
      <c r="K56" s="158"/>
      <c r="L56" s="175"/>
      <c r="M56" s="164"/>
      <c r="N56" s="164"/>
      <c r="O56" s="164"/>
      <c r="P56" s="164"/>
      <c r="Q56" s="164"/>
      <c r="R56" s="164"/>
      <c r="S56" s="337"/>
      <c r="T56" s="271"/>
      <c r="U56" s="348"/>
      <c r="V56" s="176"/>
      <c r="W56" s="330"/>
      <c r="X56" s="170"/>
      <c r="Y56" s="76"/>
      <c r="Z56" s="331"/>
      <c r="AA56" s="331"/>
      <c r="AB56" s="331"/>
      <c r="AC56" s="331"/>
      <c r="AD56" s="331"/>
      <c r="AE56" s="331"/>
      <c r="AF56" s="331"/>
      <c r="AG56" s="331"/>
      <c r="AH56" s="331"/>
      <c r="AI56" s="331"/>
      <c r="AJ56" s="331"/>
      <c r="AK56" s="331"/>
      <c r="AL56" s="331"/>
    </row>
    <row r="57">
      <c r="A57" s="179"/>
      <c r="B57" s="274" t="s">
        <v>400</v>
      </c>
      <c r="C57" s="349" t="s">
        <v>396</v>
      </c>
      <c r="D57" s="221">
        <v>42900.0</v>
      </c>
      <c r="E57" s="153">
        <f t="array" ref="E57">_xlfn.XLOOKUP(B57,Stock1!F:F,Stock1!J:J,"")</f>
        <v>13</v>
      </c>
      <c r="F57" s="222">
        <f t="array" ref="F57">_xlfn.XLOOKUP(B57,Stock2!F:F,Stock2!J:J,"")</f>
        <v>8</v>
      </c>
      <c r="G57" s="178">
        <v>12000.0</v>
      </c>
      <c r="H57" s="158">
        <f t="shared" si="12"/>
        <v>30900</v>
      </c>
      <c r="I57" s="175"/>
      <c r="J57" s="158"/>
      <c r="K57" s="158"/>
      <c r="L57" s="175"/>
      <c r="M57" s="164"/>
      <c r="N57" s="164"/>
      <c r="O57" s="164"/>
      <c r="P57" s="164"/>
      <c r="Q57" s="164"/>
      <c r="R57" s="164"/>
      <c r="S57" s="337"/>
      <c r="T57" s="351"/>
      <c r="U57" s="217"/>
      <c r="V57" s="352"/>
      <c r="W57" s="330"/>
      <c r="X57" s="170"/>
      <c r="Y57" s="76"/>
      <c r="Z57" s="331"/>
      <c r="AA57" s="331"/>
      <c r="AB57" s="331"/>
      <c r="AC57" s="331"/>
      <c r="AD57" s="331"/>
      <c r="AE57" s="331"/>
      <c r="AF57" s="331"/>
      <c r="AG57" s="331"/>
      <c r="AH57" s="331"/>
      <c r="AI57" s="331"/>
      <c r="AJ57" s="331"/>
      <c r="AK57" s="331"/>
      <c r="AL57" s="331"/>
    </row>
    <row r="58">
      <c r="A58" s="353" t="s">
        <v>402</v>
      </c>
      <c r="B58" s="261" t="s">
        <v>403</v>
      </c>
      <c r="C58" s="340" t="s">
        <v>404</v>
      </c>
      <c r="D58" s="341">
        <v>24900.0</v>
      </c>
      <c r="E58" s="153">
        <f t="array" ref="E58">_xlfn.XLOOKUP(B58,Stock1!F:F,Stock1!J:J,"")</f>
        <v>3</v>
      </c>
      <c r="F58" s="222">
        <f t="array" ref="F58">_xlfn.XLOOKUP(B58,Stock2!F:F,Stock2!J:J,"")</f>
        <v>3</v>
      </c>
      <c r="G58" s="178"/>
      <c r="H58" s="158"/>
      <c r="I58" s="211" t="s">
        <v>407</v>
      </c>
      <c r="J58" s="158"/>
      <c r="K58" s="158"/>
      <c r="L58" s="211"/>
      <c r="M58" s="158"/>
      <c r="N58" s="158"/>
      <c r="O58" s="355"/>
      <c r="P58" s="163"/>
      <c r="Q58" s="164"/>
      <c r="R58" s="164"/>
      <c r="S58" s="337"/>
      <c r="T58" s="351"/>
      <c r="U58" s="217"/>
      <c r="V58" s="356"/>
      <c r="W58" s="330"/>
      <c r="X58" s="170"/>
      <c r="Y58" s="218"/>
      <c r="Z58" s="331"/>
      <c r="AA58" s="331"/>
      <c r="AB58" s="331"/>
      <c r="AC58" s="331"/>
      <c r="AD58" s="331"/>
      <c r="AE58" s="331"/>
      <c r="AF58" s="331"/>
      <c r="AG58" s="331"/>
      <c r="AH58" s="331"/>
      <c r="AI58" s="331"/>
      <c r="AJ58" s="331"/>
      <c r="AK58" s="331"/>
      <c r="AL58" s="331"/>
    </row>
    <row r="59">
      <c r="A59" s="342"/>
      <c r="B59" s="298" t="s">
        <v>408</v>
      </c>
      <c r="C59" s="343" t="s">
        <v>251</v>
      </c>
      <c r="D59" s="333">
        <v>24900.0</v>
      </c>
      <c r="E59" s="153">
        <f t="array" ref="E59">_xlfn.XLOOKUP(B59,Stock1!F:F,Stock1!J:J,"")</f>
        <v>4</v>
      </c>
      <c r="F59" s="222">
        <f t="array" ref="F59">_xlfn.XLOOKUP(B59,Stock2!F:F,Stock2!J:J,"")</f>
        <v>4</v>
      </c>
      <c r="G59" s="178"/>
      <c r="H59" s="158"/>
      <c r="I59" s="175"/>
      <c r="J59" s="158"/>
      <c r="K59" s="158"/>
      <c r="L59" s="211"/>
      <c r="M59" s="158"/>
      <c r="N59" s="158"/>
      <c r="O59" s="355"/>
      <c r="P59" s="163"/>
      <c r="Q59" s="164"/>
      <c r="R59" s="164"/>
      <c r="S59" s="337"/>
      <c r="T59" s="351"/>
      <c r="U59" s="217"/>
      <c r="V59" s="356"/>
      <c r="W59" s="330"/>
      <c r="X59" s="170"/>
      <c r="Y59" s="218"/>
      <c r="Z59" s="331"/>
      <c r="AA59" s="331"/>
      <c r="AB59" s="331"/>
      <c r="AC59" s="331"/>
      <c r="AD59" s="331"/>
      <c r="AE59" s="331"/>
      <c r="AF59" s="331"/>
      <c r="AG59" s="331"/>
      <c r="AH59" s="331"/>
      <c r="AI59" s="331"/>
      <c r="AJ59" s="331"/>
      <c r="AK59" s="331"/>
      <c r="AL59" s="331"/>
    </row>
    <row r="60">
      <c r="A60" s="348"/>
      <c r="B60" s="274" t="s">
        <v>411</v>
      </c>
      <c r="C60" s="349" t="s">
        <v>412</v>
      </c>
      <c r="D60" s="221">
        <v>24900.0</v>
      </c>
      <c r="E60" s="153">
        <f t="array" ref="E60">_xlfn.XLOOKUP(B60,Stock1!F:F,Stock1!J:J,"")</f>
        <v>2</v>
      </c>
      <c r="F60" s="222">
        <f t="array" ref="F60">_xlfn.XLOOKUP(B60,Stock2!F:F,Stock2!J:J,"")</f>
        <v>1</v>
      </c>
      <c r="G60" s="178"/>
      <c r="H60" s="158"/>
      <c r="I60" s="175"/>
      <c r="J60" s="158"/>
      <c r="K60" s="158"/>
      <c r="L60" s="211"/>
      <c r="M60" s="158"/>
      <c r="N60" s="158"/>
      <c r="O60" s="355"/>
      <c r="P60" s="163"/>
      <c r="Q60" s="164"/>
      <c r="R60" s="164"/>
      <c r="S60" s="337"/>
      <c r="T60" s="351"/>
      <c r="U60" s="217"/>
      <c r="V60" s="356"/>
      <c r="W60" s="330"/>
      <c r="X60" s="170"/>
      <c r="Y60" s="218"/>
      <c r="Z60" s="331"/>
      <c r="AA60" s="331"/>
      <c r="AB60" s="331"/>
      <c r="AC60" s="331"/>
      <c r="AD60" s="331"/>
      <c r="AE60" s="331"/>
      <c r="AF60" s="331"/>
      <c r="AG60" s="331"/>
      <c r="AH60" s="331"/>
      <c r="AI60" s="331"/>
      <c r="AJ60" s="331"/>
      <c r="AK60" s="331"/>
      <c r="AL60" s="331"/>
    </row>
    <row r="61">
      <c r="A61" s="353" t="s">
        <v>414</v>
      </c>
      <c r="B61" s="261" t="s">
        <v>415</v>
      </c>
      <c r="C61" s="340" t="s">
        <v>404</v>
      </c>
      <c r="D61" s="333">
        <v>24900.0</v>
      </c>
      <c r="E61" s="153">
        <f t="array" ref="E61">_xlfn.XLOOKUP(B61,Stock1!F:F,Stock1!J:J,"")</f>
        <v>2</v>
      </c>
      <c r="F61" s="222">
        <f t="array" ref="F61">_xlfn.XLOOKUP(B61,Stock2!F:F,Stock2!J:J,"")</f>
        <v>3</v>
      </c>
      <c r="G61" s="178"/>
      <c r="H61" s="158"/>
      <c r="I61" s="324" t="s">
        <v>417</v>
      </c>
      <c r="J61" s="158"/>
      <c r="K61" s="158"/>
      <c r="L61" s="211"/>
      <c r="M61" s="158"/>
      <c r="N61" s="158"/>
      <c r="O61" s="355"/>
      <c r="P61" s="163"/>
      <c r="Q61" s="164"/>
      <c r="R61" s="164"/>
      <c r="S61" s="337"/>
      <c r="T61" s="351"/>
      <c r="U61" s="217"/>
      <c r="V61" s="356"/>
      <c r="W61" s="330"/>
      <c r="X61" s="170"/>
      <c r="Y61" s="218"/>
      <c r="Z61" s="331"/>
      <c r="AA61" s="331"/>
      <c r="AB61" s="331"/>
      <c r="AC61" s="331"/>
      <c r="AD61" s="331"/>
      <c r="AE61" s="331"/>
      <c r="AF61" s="331"/>
      <c r="AG61" s="331"/>
      <c r="AH61" s="331"/>
      <c r="AI61" s="331"/>
      <c r="AJ61" s="331"/>
      <c r="AK61" s="331"/>
      <c r="AL61" s="331"/>
    </row>
    <row r="62">
      <c r="A62" s="342"/>
      <c r="B62" s="298" t="s">
        <v>418</v>
      </c>
      <c r="C62" s="343" t="s">
        <v>251</v>
      </c>
      <c r="D62" s="333">
        <v>24900.0</v>
      </c>
      <c r="E62" s="153">
        <f t="array" ref="E62">_xlfn.XLOOKUP(B62,Stock1!F:F,Stock1!J:J,"")</f>
        <v>5</v>
      </c>
      <c r="F62" s="222">
        <f t="array" ref="F62">_xlfn.XLOOKUP(B62,Stock2!F:F,Stock2!J:J,"")</f>
        <v>3</v>
      </c>
      <c r="G62" s="178"/>
      <c r="H62" s="158"/>
      <c r="I62" s="175"/>
      <c r="J62" s="158"/>
      <c r="K62" s="158"/>
      <c r="L62" s="211"/>
      <c r="M62" s="158"/>
      <c r="N62" s="158"/>
      <c r="O62" s="355"/>
      <c r="P62" s="163"/>
      <c r="Q62" s="164"/>
      <c r="R62" s="164"/>
      <c r="S62" s="337"/>
      <c r="T62" s="351"/>
      <c r="U62" s="217"/>
      <c r="V62" s="356"/>
      <c r="W62" s="330"/>
      <c r="X62" s="170"/>
      <c r="Y62" s="218"/>
      <c r="Z62" s="331"/>
      <c r="AA62" s="331"/>
      <c r="AB62" s="331"/>
      <c r="AC62" s="331"/>
      <c r="AD62" s="331"/>
      <c r="AE62" s="331"/>
      <c r="AF62" s="331"/>
      <c r="AG62" s="331"/>
      <c r="AH62" s="331"/>
      <c r="AI62" s="331"/>
      <c r="AJ62" s="331"/>
      <c r="AK62" s="331"/>
      <c r="AL62" s="331"/>
    </row>
    <row r="63">
      <c r="A63" s="348"/>
      <c r="B63" s="325" t="s">
        <v>420</v>
      </c>
      <c r="C63" s="357" t="s">
        <v>412</v>
      </c>
      <c r="D63" s="358">
        <v>24900.0</v>
      </c>
      <c r="E63" s="153">
        <f t="array" ref="E63">_xlfn.XLOOKUP(B63,Stock1!F:F,Stock1!J:J,"")</f>
        <v>1</v>
      </c>
      <c r="F63" s="222">
        <f t="array" ref="F63">_xlfn.XLOOKUP(B63,Stock2!F:F,Stock2!J:J,"")</f>
        <v>2</v>
      </c>
      <c r="G63" s="178"/>
      <c r="H63" s="158"/>
      <c r="I63" s="175"/>
      <c r="J63" s="158"/>
      <c r="K63" s="158"/>
      <c r="L63" s="211"/>
      <c r="M63" s="158"/>
      <c r="N63" s="158"/>
      <c r="O63" s="355"/>
      <c r="P63" s="163"/>
      <c r="Q63" s="164"/>
      <c r="R63" s="164"/>
      <c r="S63" s="337"/>
      <c r="T63" s="351"/>
      <c r="U63" s="217"/>
      <c r="V63" s="356"/>
      <c r="W63" s="330"/>
      <c r="X63" s="170"/>
      <c r="Y63" s="218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</row>
    <row r="64">
      <c r="A64" s="353" t="s">
        <v>427</v>
      </c>
      <c r="B64" s="290" t="s">
        <v>428</v>
      </c>
      <c r="C64" s="336" t="s">
        <v>356</v>
      </c>
      <c r="D64" s="209">
        <v>33900.0</v>
      </c>
      <c r="E64" s="153">
        <f t="array" ref="E64">_xlfn.XLOOKUP(B64,Stock1!F:F,Stock1!J:J,"")</f>
        <v>1</v>
      </c>
      <c r="F64" s="222" t="str">
        <f t="array" ref="F64">_xlfn.XLOOKUP(B64,Stock2!F:F,Stock2!J:J,"")</f>
        <v/>
      </c>
      <c r="G64" s="178">
        <v>6000.0</v>
      </c>
      <c r="H64" s="158">
        <f t="shared" ref="H64:H126" si="14">D64-G64</f>
        <v>27900</v>
      </c>
      <c r="I64" s="160" t="s">
        <v>298</v>
      </c>
      <c r="J64" s="158"/>
      <c r="K64" s="158"/>
      <c r="L64" s="211"/>
      <c r="M64" s="158"/>
      <c r="N64" s="158"/>
      <c r="O64" s="211"/>
      <c r="P64" s="163"/>
      <c r="Q64" s="164"/>
      <c r="R64" s="164"/>
      <c r="S64" s="337"/>
      <c r="T64" s="351"/>
      <c r="U64" s="217"/>
      <c r="V64" s="359"/>
      <c r="W64" s="330"/>
      <c r="X64" s="170"/>
      <c r="Y64" s="218"/>
      <c r="Z64" s="331"/>
      <c r="AA64" s="331"/>
      <c r="AB64" s="331"/>
      <c r="AC64" s="331"/>
      <c r="AD64" s="331"/>
      <c r="AE64" s="331"/>
      <c r="AF64" s="331"/>
      <c r="AG64" s="331"/>
      <c r="AH64" s="331"/>
      <c r="AI64" s="331"/>
      <c r="AJ64" s="331"/>
      <c r="AK64" s="331"/>
      <c r="AL64" s="331"/>
    </row>
    <row r="65">
      <c r="A65" s="342"/>
      <c r="B65" s="298" t="s">
        <v>437</v>
      </c>
      <c r="C65" s="343" t="s">
        <v>438</v>
      </c>
      <c r="D65" s="333">
        <v>33900.0</v>
      </c>
      <c r="E65" s="153">
        <f t="array" ref="E65">_xlfn.XLOOKUP(B65,Stock1!F:F,Stock1!J:J,"")</f>
        <v>1</v>
      </c>
      <c r="F65" s="222">
        <f t="array" ref="F65">_xlfn.XLOOKUP(B65,Stock2!F:F,Stock2!J:J,"")</f>
        <v>1</v>
      </c>
      <c r="G65" s="178">
        <v>6000.0</v>
      </c>
      <c r="H65" s="158">
        <f t="shared" si="14"/>
        <v>27900</v>
      </c>
      <c r="I65" s="175"/>
      <c r="J65" s="158"/>
      <c r="K65" s="158"/>
      <c r="L65" s="175"/>
      <c r="M65" s="158"/>
      <c r="N65" s="158"/>
      <c r="O65" s="175"/>
      <c r="P65" s="163"/>
      <c r="Q65" s="164"/>
      <c r="R65" s="164"/>
      <c r="S65" s="337"/>
      <c r="T65" s="351"/>
      <c r="U65" s="217"/>
      <c r="V65" s="76"/>
      <c r="W65" s="330"/>
      <c r="X65" s="170"/>
      <c r="Y65" s="76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</row>
    <row r="66">
      <c r="A66" s="342"/>
      <c r="B66" s="298" t="s">
        <v>441</v>
      </c>
      <c r="C66" s="343" t="s">
        <v>442</v>
      </c>
      <c r="D66" s="333">
        <v>33900.0</v>
      </c>
      <c r="E66" s="153" t="str">
        <f t="array" ref="E66">_xlfn.XLOOKUP(B66,Stock1!F:F,Stock1!J:J,"")</f>
        <v/>
      </c>
      <c r="F66" s="222" t="str">
        <f t="array" ref="F66">_xlfn.XLOOKUP(B66,Stock2!F:F,Stock2!J:J,"")</f>
        <v/>
      </c>
      <c r="G66" s="178">
        <v>6000.0</v>
      </c>
      <c r="H66" s="158">
        <f t="shared" si="14"/>
        <v>27900</v>
      </c>
      <c r="I66" s="175"/>
      <c r="J66" s="158"/>
      <c r="K66" s="158"/>
      <c r="L66" s="175"/>
      <c r="M66" s="158"/>
      <c r="N66" s="158"/>
      <c r="O66" s="175"/>
      <c r="P66" s="163"/>
      <c r="Q66" s="164"/>
      <c r="R66" s="164"/>
      <c r="S66" s="337"/>
      <c r="T66" s="351"/>
      <c r="U66" s="217"/>
      <c r="V66" s="76"/>
      <c r="W66" s="330"/>
      <c r="X66" s="170"/>
      <c r="Y66" s="76"/>
      <c r="Z66" s="331"/>
      <c r="AA66" s="331"/>
      <c r="AB66" s="331"/>
      <c r="AC66" s="331"/>
      <c r="AD66" s="331"/>
      <c r="AE66" s="331"/>
      <c r="AF66" s="331"/>
      <c r="AG66" s="331"/>
      <c r="AH66" s="331"/>
      <c r="AI66" s="331"/>
      <c r="AJ66" s="331"/>
      <c r="AK66" s="331"/>
      <c r="AL66" s="331"/>
    </row>
    <row r="67">
      <c r="A67" s="348"/>
      <c r="B67" s="274" t="s">
        <v>448</v>
      </c>
      <c r="C67" s="349" t="s">
        <v>301</v>
      </c>
      <c r="D67" s="221">
        <v>33900.0</v>
      </c>
      <c r="E67" s="153" t="str">
        <f t="array" ref="E67">_xlfn.XLOOKUP(B67,Stock1!F:F,Stock1!J:J,"")</f>
        <v/>
      </c>
      <c r="F67" s="222">
        <f t="array" ref="F67">_xlfn.XLOOKUP(B67,Stock2!F:F,Stock2!J:J,"")</f>
        <v>1</v>
      </c>
      <c r="G67" s="178">
        <v>6000.0</v>
      </c>
      <c r="H67" s="158">
        <f t="shared" si="14"/>
        <v>27900</v>
      </c>
      <c r="I67" s="175"/>
      <c r="J67" s="158"/>
      <c r="K67" s="158"/>
      <c r="L67" s="175"/>
      <c r="M67" s="158"/>
      <c r="N67" s="158"/>
      <c r="O67" s="175"/>
      <c r="P67" s="163"/>
      <c r="Q67" s="164"/>
      <c r="R67" s="164"/>
      <c r="S67" s="337"/>
      <c r="T67" s="351"/>
      <c r="U67" s="217"/>
      <c r="V67" s="76"/>
      <c r="W67" s="330"/>
      <c r="X67" s="170"/>
      <c r="Y67" s="76"/>
      <c r="Z67" s="331"/>
      <c r="AA67" s="331"/>
      <c r="AB67" s="331"/>
      <c r="AC67" s="331"/>
      <c r="AD67" s="331"/>
      <c r="AE67" s="331"/>
      <c r="AF67" s="331"/>
      <c r="AG67" s="331"/>
      <c r="AH67" s="331"/>
      <c r="AI67" s="331"/>
      <c r="AJ67" s="331"/>
      <c r="AK67" s="331"/>
      <c r="AL67" s="331"/>
    </row>
    <row r="68">
      <c r="A68" s="353" t="s">
        <v>455</v>
      </c>
      <c r="B68" s="290" t="s">
        <v>456</v>
      </c>
      <c r="C68" s="336" t="s">
        <v>356</v>
      </c>
      <c r="D68" s="209">
        <v>41900.0</v>
      </c>
      <c r="E68" s="153">
        <f t="array" ref="E68">_xlfn.XLOOKUP(B68,Stock1!F:F,Stock1!J:J,"")</f>
        <v>2</v>
      </c>
      <c r="F68" s="222">
        <f t="array" ref="F68">_xlfn.XLOOKUP(B68,Stock2!F:F,Stock2!J:J,"")</f>
        <v>2</v>
      </c>
      <c r="G68" s="178">
        <v>12000.0</v>
      </c>
      <c r="H68" s="158">
        <f t="shared" si="14"/>
        <v>29900</v>
      </c>
      <c r="I68" s="175"/>
      <c r="J68" s="158"/>
      <c r="K68" s="158"/>
      <c r="L68" s="175"/>
      <c r="M68" s="164"/>
      <c r="N68" s="158"/>
      <c r="O68" s="164"/>
      <c r="P68" s="164"/>
      <c r="Q68" s="164"/>
      <c r="R68" s="164"/>
      <c r="S68" s="337"/>
      <c r="T68" s="351"/>
      <c r="U68" s="217"/>
      <c r="V68" s="359"/>
      <c r="W68" s="330"/>
      <c r="X68" s="170"/>
      <c r="Y68" s="76"/>
      <c r="Z68" s="331"/>
      <c r="AA68" s="331"/>
      <c r="AB68" s="331"/>
      <c r="AC68" s="331"/>
      <c r="AD68" s="331"/>
      <c r="AE68" s="331"/>
      <c r="AF68" s="331"/>
      <c r="AG68" s="331"/>
      <c r="AH68" s="331"/>
      <c r="AI68" s="331"/>
      <c r="AJ68" s="331"/>
      <c r="AK68" s="331"/>
      <c r="AL68" s="331"/>
    </row>
    <row r="69">
      <c r="A69" s="342"/>
      <c r="B69" s="298" t="s">
        <v>463</v>
      </c>
      <c r="C69" s="343" t="s">
        <v>438</v>
      </c>
      <c r="D69" s="333">
        <v>41900.0</v>
      </c>
      <c r="E69" s="153">
        <f t="array" ref="E69">_xlfn.XLOOKUP(B69,Stock1!F:F,Stock1!J:J,"")</f>
        <v>2</v>
      </c>
      <c r="F69" s="222">
        <f t="array" ref="F69">_xlfn.XLOOKUP(B69,Stock2!F:F,Stock2!J:J,"")</f>
        <v>3</v>
      </c>
      <c r="G69" s="178">
        <v>12000.0</v>
      </c>
      <c r="H69" s="158">
        <f t="shared" si="14"/>
        <v>29900</v>
      </c>
      <c r="I69" s="175"/>
      <c r="J69" s="158"/>
      <c r="K69" s="158"/>
      <c r="L69" s="175"/>
      <c r="M69" s="164"/>
      <c r="N69" s="158"/>
      <c r="O69" s="164"/>
      <c r="P69" s="164"/>
      <c r="Q69" s="164"/>
      <c r="R69" s="164"/>
      <c r="S69" s="337"/>
      <c r="T69" s="351"/>
      <c r="U69" s="217"/>
      <c r="V69" s="76"/>
      <c r="W69" s="330"/>
      <c r="X69" s="170"/>
      <c r="Y69" s="76"/>
      <c r="Z69" s="331"/>
      <c r="AA69" s="331"/>
      <c r="AB69" s="331"/>
      <c r="AC69" s="331"/>
      <c r="AD69" s="331"/>
      <c r="AE69" s="331"/>
      <c r="AF69" s="331"/>
      <c r="AG69" s="331"/>
      <c r="AH69" s="331"/>
      <c r="AI69" s="331"/>
      <c r="AJ69" s="331"/>
      <c r="AK69" s="331"/>
      <c r="AL69" s="331"/>
    </row>
    <row r="70">
      <c r="A70" s="342"/>
      <c r="B70" s="298" t="s">
        <v>471</v>
      </c>
      <c r="C70" s="343" t="s">
        <v>442</v>
      </c>
      <c r="D70" s="333">
        <v>41900.0</v>
      </c>
      <c r="E70" s="153">
        <f t="array" ref="E70">_xlfn.XLOOKUP(B70,Stock1!F:F,Stock1!J:J,"")</f>
        <v>3</v>
      </c>
      <c r="F70" s="222">
        <f t="array" ref="F70">_xlfn.XLOOKUP(B70,Stock2!F:F,Stock2!J:J,"")</f>
        <v>2</v>
      </c>
      <c r="G70" s="178">
        <v>12000.0</v>
      </c>
      <c r="H70" s="158">
        <f t="shared" si="14"/>
        <v>29900</v>
      </c>
      <c r="I70" s="175"/>
      <c r="J70" s="158"/>
      <c r="K70" s="158"/>
      <c r="L70" s="175"/>
      <c r="M70" s="164"/>
      <c r="N70" s="158"/>
      <c r="O70" s="164"/>
      <c r="P70" s="164"/>
      <c r="Q70" s="164"/>
      <c r="R70" s="164"/>
      <c r="S70" s="337"/>
      <c r="T70" s="351"/>
      <c r="U70" s="217"/>
      <c r="V70" s="76"/>
      <c r="W70" s="330"/>
      <c r="X70" s="170"/>
      <c r="Y70" s="76"/>
      <c r="Z70" s="331"/>
      <c r="AA70" s="331"/>
      <c r="AB70" s="331"/>
      <c r="AC70" s="331"/>
      <c r="AD70" s="331"/>
      <c r="AE70" s="331"/>
      <c r="AF70" s="331"/>
      <c r="AG70" s="331"/>
      <c r="AH70" s="331"/>
      <c r="AI70" s="331"/>
      <c r="AJ70" s="331"/>
      <c r="AK70" s="331"/>
      <c r="AL70" s="331"/>
    </row>
    <row r="71">
      <c r="A71" s="348"/>
      <c r="B71" s="274" t="s">
        <v>476</v>
      </c>
      <c r="C71" s="349" t="s">
        <v>301</v>
      </c>
      <c r="D71" s="221">
        <v>41900.0</v>
      </c>
      <c r="E71" s="153">
        <f t="array" ref="E71">_xlfn.XLOOKUP(B71,Stock1!F:F,Stock1!J:J,"")</f>
        <v>1</v>
      </c>
      <c r="F71" s="222" t="str">
        <f t="array" ref="F71">_xlfn.XLOOKUP(B71,Stock2!F:F,Stock2!J:J,"")</f>
        <v/>
      </c>
      <c r="G71" s="178">
        <v>12000.0</v>
      </c>
      <c r="H71" s="158">
        <f t="shared" si="14"/>
        <v>29900</v>
      </c>
      <c r="I71" s="175"/>
      <c r="J71" s="158"/>
      <c r="K71" s="158"/>
      <c r="L71" s="175"/>
      <c r="M71" s="164"/>
      <c r="N71" s="158"/>
      <c r="O71" s="164"/>
      <c r="P71" s="164"/>
      <c r="Q71" s="164"/>
      <c r="R71" s="164"/>
      <c r="S71" s="337"/>
      <c r="T71" s="351"/>
      <c r="U71" s="217"/>
      <c r="V71" s="76"/>
      <c r="W71" s="330"/>
      <c r="X71" s="170"/>
      <c r="Y71" s="76"/>
      <c r="Z71" s="331"/>
      <c r="AA71" s="331"/>
      <c r="AB71" s="331"/>
      <c r="AC71" s="331"/>
      <c r="AD71" s="331"/>
      <c r="AE71" s="331"/>
      <c r="AF71" s="331"/>
      <c r="AG71" s="331"/>
      <c r="AH71" s="331"/>
      <c r="AI71" s="331"/>
      <c r="AJ71" s="331"/>
      <c r="AK71" s="331"/>
      <c r="AL71" s="331"/>
    </row>
    <row r="72">
      <c r="A72" s="353" t="s">
        <v>485</v>
      </c>
      <c r="B72" s="261" t="s">
        <v>486</v>
      </c>
      <c r="C72" s="340" t="s">
        <v>356</v>
      </c>
      <c r="D72" s="341">
        <v>40900.0</v>
      </c>
      <c r="E72" s="153" t="str">
        <f t="array" ref="E72">_xlfn.XLOOKUP(B72,Stock1!F:F,Stock1!J:J,"")</f>
        <v/>
      </c>
      <c r="F72" s="222" t="str">
        <f t="array" ref="F72">_xlfn.XLOOKUP(B72,Stock2!F:F,Stock2!J:J,"")</f>
        <v/>
      </c>
      <c r="G72" s="158">
        <v>10000.0</v>
      </c>
      <c r="H72" s="158">
        <f t="shared" si="14"/>
        <v>30900</v>
      </c>
      <c r="I72" s="160" t="s">
        <v>298</v>
      </c>
      <c r="J72" s="158"/>
      <c r="K72" s="158"/>
      <c r="L72" s="175"/>
      <c r="M72" s="158"/>
      <c r="N72" s="158"/>
      <c r="O72" s="211"/>
      <c r="P72" s="163"/>
      <c r="Q72" s="164"/>
      <c r="R72" s="164"/>
      <c r="S72" s="337"/>
      <c r="T72" s="351"/>
      <c r="U72" s="217"/>
      <c r="V72" s="359"/>
      <c r="W72" s="330"/>
      <c r="X72" s="170"/>
      <c r="Y72" s="76"/>
      <c r="Z72" s="331"/>
      <c r="AA72" s="331"/>
      <c r="AB72" s="331"/>
      <c r="AC72" s="331"/>
      <c r="AD72" s="331"/>
      <c r="AE72" s="331"/>
      <c r="AF72" s="331"/>
      <c r="AG72" s="331"/>
      <c r="AH72" s="331"/>
      <c r="AI72" s="331"/>
      <c r="AJ72" s="331"/>
      <c r="AK72" s="331"/>
      <c r="AL72" s="331"/>
    </row>
    <row r="73">
      <c r="A73" s="342"/>
      <c r="B73" s="298" t="s">
        <v>494</v>
      </c>
      <c r="C73" s="343" t="s">
        <v>438</v>
      </c>
      <c r="D73" s="333">
        <v>40900.0</v>
      </c>
      <c r="E73" s="153">
        <f t="array" ref="E73">_xlfn.XLOOKUP(B73,Stock1!F:F,Stock1!J:J,"")</f>
        <v>1</v>
      </c>
      <c r="F73" s="222">
        <f t="array" ref="F73">_xlfn.XLOOKUP(B73,Stock2!F:F,Stock2!J:J,"")</f>
        <v>1</v>
      </c>
      <c r="G73" s="158">
        <v>10000.0</v>
      </c>
      <c r="H73" s="158">
        <f t="shared" si="14"/>
        <v>30900</v>
      </c>
      <c r="I73" s="175"/>
      <c r="J73" s="158"/>
      <c r="K73" s="158"/>
      <c r="L73" s="175"/>
      <c r="M73" s="158"/>
      <c r="N73" s="158"/>
      <c r="O73" s="175"/>
      <c r="P73" s="163"/>
      <c r="Q73" s="164"/>
      <c r="R73" s="164"/>
      <c r="S73" s="337"/>
      <c r="T73" s="351"/>
      <c r="U73" s="217"/>
      <c r="V73" s="76"/>
      <c r="W73" s="330"/>
      <c r="X73" s="170"/>
      <c r="Y73" s="76"/>
      <c r="Z73" s="331"/>
      <c r="AA73" s="331"/>
      <c r="AB73" s="331"/>
      <c r="AC73" s="331"/>
      <c r="AD73" s="331"/>
      <c r="AE73" s="331"/>
      <c r="AF73" s="331"/>
      <c r="AG73" s="331"/>
      <c r="AH73" s="331"/>
      <c r="AI73" s="331"/>
      <c r="AJ73" s="331"/>
      <c r="AK73" s="331"/>
      <c r="AL73" s="331"/>
    </row>
    <row r="74">
      <c r="A74" s="342"/>
      <c r="B74" s="298" t="s">
        <v>500</v>
      </c>
      <c r="C74" s="343" t="s">
        <v>442</v>
      </c>
      <c r="D74" s="333">
        <v>40900.0</v>
      </c>
      <c r="E74" s="153">
        <f t="array" ref="E74">_xlfn.XLOOKUP(B74,Stock1!F:F,Stock1!J:J,"")</f>
        <v>1</v>
      </c>
      <c r="F74" s="222">
        <f t="array" ref="F74">_xlfn.XLOOKUP(B74,Stock2!F:F,Stock2!J:J,"")</f>
        <v>1</v>
      </c>
      <c r="G74" s="158">
        <v>10000.0</v>
      </c>
      <c r="H74" s="158">
        <f t="shared" si="14"/>
        <v>30900</v>
      </c>
      <c r="I74" s="175"/>
      <c r="J74" s="158"/>
      <c r="K74" s="158"/>
      <c r="L74" s="175"/>
      <c r="M74" s="158"/>
      <c r="N74" s="158"/>
      <c r="O74" s="175"/>
      <c r="P74" s="163"/>
      <c r="Q74" s="164"/>
      <c r="R74" s="164"/>
      <c r="S74" s="337"/>
      <c r="T74" s="351"/>
      <c r="U74" s="217"/>
      <c r="V74" s="76"/>
      <c r="W74" s="330"/>
      <c r="X74" s="170"/>
      <c r="Y74" s="76"/>
      <c r="Z74" s="331"/>
      <c r="AA74" s="331"/>
      <c r="AB74" s="331"/>
      <c r="AC74" s="331"/>
      <c r="AD74" s="331"/>
      <c r="AE74" s="331"/>
      <c r="AF74" s="331"/>
      <c r="AG74" s="331"/>
      <c r="AH74" s="331"/>
      <c r="AI74" s="331"/>
      <c r="AJ74" s="331"/>
      <c r="AK74" s="331"/>
      <c r="AL74" s="331"/>
    </row>
    <row r="75">
      <c r="A75" s="348"/>
      <c r="B75" s="274" t="s">
        <v>506</v>
      </c>
      <c r="C75" s="349" t="s">
        <v>301</v>
      </c>
      <c r="D75" s="221">
        <v>40900.0</v>
      </c>
      <c r="E75" s="153">
        <f t="array" ref="E75">_xlfn.XLOOKUP(B75,Stock1!F:F,Stock1!J:J,"")</f>
        <v>1</v>
      </c>
      <c r="F75" s="222">
        <f t="array" ref="F75">_xlfn.XLOOKUP(B75,Stock2!F:F,Stock2!J:J,"")</f>
        <v>1</v>
      </c>
      <c r="G75" s="158">
        <v>10000.0</v>
      </c>
      <c r="H75" s="158">
        <f t="shared" si="14"/>
        <v>30900</v>
      </c>
      <c r="I75" s="175"/>
      <c r="J75" s="158"/>
      <c r="K75" s="158"/>
      <c r="L75" s="175"/>
      <c r="M75" s="158"/>
      <c r="N75" s="158"/>
      <c r="O75" s="175"/>
      <c r="P75" s="163"/>
      <c r="Q75" s="164"/>
      <c r="R75" s="164"/>
      <c r="S75" s="337"/>
      <c r="T75" s="351"/>
      <c r="U75" s="217"/>
      <c r="V75" s="76"/>
      <c r="W75" s="330"/>
      <c r="X75" s="170"/>
      <c r="Y75" s="76"/>
      <c r="Z75" s="331"/>
      <c r="AA75" s="331"/>
      <c r="AB75" s="331"/>
      <c r="AC75" s="331"/>
      <c r="AD75" s="331"/>
      <c r="AE75" s="331"/>
      <c r="AF75" s="331"/>
      <c r="AG75" s="331"/>
      <c r="AH75" s="331"/>
      <c r="AI75" s="331"/>
      <c r="AJ75" s="331"/>
      <c r="AK75" s="331"/>
      <c r="AL75" s="331"/>
    </row>
    <row r="76">
      <c r="A76" s="353" t="s">
        <v>510</v>
      </c>
      <c r="B76" s="261" t="s">
        <v>511</v>
      </c>
      <c r="C76" s="340" t="s">
        <v>356</v>
      </c>
      <c r="D76" s="341">
        <v>48900.0</v>
      </c>
      <c r="E76" s="153">
        <f t="array" ref="E76">_xlfn.XLOOKUP(B76,Stock1!F:F,Stock1!J:J,"")</f>
        <v>3</v>
      </c>
      <c r="F76" s="222">
        <f t="array" ref="F76">_xlfn.XLOOKUP(B76,Stock2!F:F,Stock2!J:J,"")</f>
        <v>3</v>
      </c>
      <c r="G76" s="158">
        <v>12000.0</v>
      </c>
      <c r="H76" s="158">
        <f t="shared" si="14"/>
        <v>36900</v>
      </c>
      <c r="I76" s="175"/>
      <c r="J76" s="158"/>
      <c r="K76" s="158"/>
      <c r="L76" s="175"/>
      <c r="M76" s="164"/>
      <c r="N76" s="158"/>
      <c r="O76" s="164"/>
      <c r="P76" s="164"/>
      <c r="Q76" s="164"/>
      <c r="R76" s="164"/>
      <c r="S76" s="337"/>
      <c r="T76" s="351"/>
      <c r="U76" s="217"/>
      <c r="V76" s="359"/>
      <c r="W76" s="330"/>
      <c r="X76" s="170"/>
      <c r="Y76" s="76"/>
      <c r="Z76" s="331"/>
      <c r="AA76" s="331"/>
      <c r="AB76" s="331"/>
      <c r="AC76" s="331"/>
      <c r="AD76" s="331"/>
      <c r="AE76" s="331"/>
      <c r="AF76" s="331"/>
      <c r="AG76" s="331"/>
      <c r="AH76" s="331"/>
      <c r="AI76" s="331"/>
      <c r="AJ76" s="331"/>
      <c r="AK76" s="331"/>
      <c r="AL76" s="331"/>
    </row>
    <row r="77">
      <c r="A77" s="342"/>
      <c r="B77" s="298" t="s">
        <v>520</v>
      </c>
      <c r="C77" s="343" t="s">
        <v>438</v>
      </c>
      <c r="D77" s="333">
        <v>48900.0</v>
      </c>
      <c r="E77" s="153">
        <f t="array" ref="E77">_xlfn.XLOOKUP(B77,Stock1!F:F,Stock1!J:J,"")</f>
        <v>3</v>
      </c>
      <c r="F77" s="222">
        <f t="array" ref="F77">_xlfn.XLOOKUP(B77,Stock2!F:F,Stock2!J:J,"")</f>
        <v>3</v>
      </c>
      <c r="G77" s="158">
        <v>12000.0</v>
      </c>
      <c r="H77" s="158">
        <f t="shared" si="14"/>
        <v>36900</v>
      </c>
      <c r="I77" s="175"/>
      <c r="J77" s="158"/>
      <c r="K77" s="158"/>
      <c r="L77" s="175"/>
      <c r="M77" s="164"/>
      <c r="N77" s="158"/>
      <c r="O77" s="164"/>
      <c r="P77" s="164"/>
      <c r="Q77" s="164"/>
      <c r="R77" s="164"/>
      <c r="S77" s="337"/>
      <c r="T77" s="351"/>
      <c r="U77" s="217"/>
      <c r="V77" s="76"/>
      <c r="W77" s="330"/>
      <c r="X77" s="170"/>
      <c r="Y77" s="76"/>
      <c r="Z77" s="331"/>
      <c r="AA77" s="331"/>
      <c r="AB77" s="331"/>
      <c r="AC77" s="331"/>
      <c r="AD77" s="331"/>
      <c r="AE77" s="331"/>
      <c r="AF77" s="331"/>
      <c r="AG77" s="331"/>
      <c r="AH77" s="331"/>
      <c r="AI77" s="331"/>
      <c r="AJ77" s="331"/>
      <c r="AK77" s="331"/>
      <c r="AL77" s="331"/>
    </row>
    <row r="78">
      <c r="A78" s="342"/>
      <c r="B78" s="298" t="s">
        <v>525</v>
      </c>
      <c r="C78" s="343" t="s">
        <v>442</v>
      </c>
      <c r="D78" s="333">
        <v>48900.0</v>
      </c>
      <c r="E78" s="153">
        <f t="array" ref="E78">_xlfn.XLOOKUP(B78,Stock1!F:F,Stock1!J:J,"")</f>
        <v>2</v>
      </c>
      <c r="F78" s="222">
        <f t="array" ref="F78">_xlfn.XLOOKUP(B78,Stock2!F:F,Stock2!J:J,"")</f>
        <v>3</v>
      </c>
      <c r="G78" s="158">
        <v>12000.0</v>
      </c>
      <c r="H78" s="158">
        <f t="shared" si="14"/>
        <v>36900</v>
      </c>
      <c r="I78" s="175"/>
      <c r="J78" s="158"/>
      <c r="K78" s="158"/>
      <c r="L78" s="175"/>
      <c r="M78" s="164"/>
      <c r="N78" s="158"/>
      <c r="O78" s="164"/>
      <c r="P78" s="164"/>
      <c r="Q78" s="164"/>
      <c r="R78" s="164"/>
      <c r="S78" s="337"/>
      <c r="T78" s="351"/>
      <c r="U78" s="217"/>
      <c r="V78" s="76"/>
      <c r="W78" s="330"/>
      <c r="X78" s="170"/>
      <c r="Y78" s="76"/>
      <c r="Z78" s="331"/>
      <c r="AA78" s="331"/>
      <c r="AB78" s="331"/>
      <c r="AC78" s="331"/>
      <c r="AD78" s="331"/>
      <c r="AE78" s="331"/>
      <c r="AF78" s="331"/>
      <c r="AG78" s="331"/>
      <c r="AH78" s="331"/>
      <c r="AI78" s="331"/>
      <c r="AJ78" s="331"/>
      <c r="AK78" s="331"/>
      <c r="AL78" s="331"/>
    </row>
    <row r="79">
      <c r="A79" s="348"/>
      <c r="B79" s="274" t="s">
        <v>531</v>
      </c>
      <c r="C79" s="349" t="s">
        <v>301</v>
      </c>
      <c r="D79" s="221">
        <v>48900.0</v>
      </c>
      <c r="E79" s="153">
        <f t="array" ref="E79">_xlfn.XLOOKUP(B79,Stock1!F:F,Stock1!J:J,"")</f>
        <v>1</v>
      </c>
      <c r="F79" s="222">
        <f t="array" ref="F79">_xlfn.XLOOKUP(B79,Stock2!F:F,Stock2!J:J,"")</f>
        <v>1</v>
      </c>
      <c r="G79" s="158">
        <v>12000.0</v>
      </c>
      <c r="H79" s="158">
        <f t="shared" si="14"/>
        <v>36900</v>
      </c>
      <c r="I79" s="175"/>
      <c r="J79" s="158"/>
      <c r="K79" s="158"/>
      <c r="L79" s="175"/>
      <c r="M79" s="164"/>
      <c r="N79" s="158"/>
      <c r="O79" s="164"/>
      <c r="P79" s="164"/>
      <c r="Q79" s="164"/>
      <c r="R79" s="164"/>
      <c r="S79" s="337"/>
      <c r="T79" s="351"/>
      <c r="U79" s="217"/>
      <c r="V79" s="76"/>
      <c r="W79" s="330"/>
      <c r="X79" s="170"/>
      <c r="Y79" s="76"/>
      <c r="Z79" s="331"/>
      <c r="AA79" s="331"/>
      <c r="AB79" s="331"/>
      <c r="AC79" s="331"/>
      <c r="AD79" s="331"/>
      <c r="AE79" s="331"/>
      <c r="AF79" s="331"/>
      <c r="AG79" s="331"/>
      <c r="AH79" s="331"/>
      <c r="AI79" s="331"/>
      <c r="AJ79" s="331"/>
      <c r="AK79" s="331"/>
      <c r="AL79" s="331"/>
    </row>
    <row r="80">
      <c r="A80" s="353" t="s">
        <v>537</v>
      </c>
      <c r="B80" s="261" t="s">
        <v>538</v>
      </c>
      <c r="C80" s="340" t="s">
        <v>356</v>
      </c>
      <c r="D80" s="341">
        <v>46900.0</v>
      </c>
      <c r="E80" s="153">
        <f t="array" ref="E80">_xlfn.XLOOKUP(B80,Stock1!F:F,Stock1!J:J,"")</f>
        <v>4</v>
      </c>
      <c r="F80" s="222">
        <f t="array" ref="F80">_xlfn.XLOOKUP(B80,Stock2!F:F,Stock2!J:J,"")</f>
        <v>5</v>
      </c>
      <c r="G80" s="178">
        <v>5000.0</v>
      </c>
      <c r="H80" s="158">
        <f t="shared" si="14"/>
        <v>41900</v>
      </c>
      <c r="I80" s="160" t="s">
        <v>541</v>
      </c>
      <c r="J80" s="158"/>
      <c r="K80" s="158"/>
      <c r="L80" s="211"/>
      <c r="M80" s="158"/>
      <c r="N80" s="158"/>
      <c r="O80" s="211"/>
      <c r="P80" s="163">
        <v>0.15</v>
      </c>
      <c r="Q80" s="164">
        <f t="shared" ref="Q80:Q87" si="15">ROUNDUP(D80-(D80*0.15),0)</f>
        <v>39865</v>
      </c>
      <c r="R80" s="164"/>
      <c r="S80" s="337"/>
      <c r="T80" s="351"/>
      <c r="U80" s="217"/>
      <c r="V80" s="359" t="s">
        <v>548</v>
      </c>
      <c r="W80" s="330"/>
      <c r="X80" s="170"/>
      <c r="Y80" s="76"/>
      <c r="Z80" s="331"/>
      <c r="AA80" s="331"/>
      <c r="AB80" s="331"/>
      <c r="AC80" s="331"/>
      <c r="AD80" s="331"/>
      <c r="AE80" s="331"/>
      <c r="AF80" s="331"/>
      <c r="AG80" s="331"/>
      <c r="AH80" s="331"/>
      <c r="AI80" s="331"/>
      <c r="AJ80" s="331"/>
      <c r="AK80" s="331"/>
      <c r="AL80" s="331"/>
    </row>
    <row r="81">
      <c r="A81" s="342"/>
      <c r="B81" s="298" t="s">
        <v>551</v>
      </c>
      <c r="C81" s="343" t="s">
        <v>438</v>
      </c>
      <c r="D81" s="333">
        <v>46900.0</v>
      </c>
      <c r="E81" s="153">
        <f t="array" ref="E81">_xlfn.XLOOKUP(B81,Stock1!F:F,Stock1!J:J,"")</f>
        <v>2</v>
      </c>
      <c r="F81" s="222">
        <f t="array" ref="F81">_xlfn.XLOOKUP(B81,Stock2!F:F,Stock2!J:J,"")</f>
        <v>3</v>
      </c>
      <c r="G81" s="178">
        <v>5000.0</v>
      </c>
      <c r="H81" s="158">
        <f t="shared" si="14"/>
        <v>41900</v>
      </c>
      <c r="I81" s="175"/>
      <c r="J81" s="158"/>
      <c r="K81" s="158"/>
      <c r="L81" s="175"/>
      <c r="M81" s="158"/>
      <c r="N81" s="158"/>
      <c r="O81" s="175"/>
      <c r="P81" s="163">
        <v>0.15</v>
      </c>
      <c r="Q81" s="164">
        <f t="shared" si="15"/>
        <v>39865</v>
      </c>
      <c r="R81" s="164"/>
      <c r="S81" s="337"/>
      <c r="T81" s="351"/>
      <c r="U81" s="217"/>
      <c r="V81" s="76"/>
      <c r="W81" s="330"/>
      <c r="X81" s="170"/>
      <c r="Y81" s="76"/>
      <c r="Z81" s="331"/>
      <c r="AA81" s="331"/>
      <c r="AB81" s="331"/>
      <c r="AC81" s="331"/>
      <c r="AD81" s="331"/>
      <c r="AE81" s="331"/>
      <c r="AF81" s="331"/>
      <c r="AG81" s="331"/>
      <c r="AH81" s="331"/>
      <c r="AI81" s="331"/>
      <c r="AJ81" s="331"/>
      <c r="AK81" s="331"/>
      <c r="AL81" s="331"/>
    </row>
    <row r="82">
      <c r="A82" s="342"/>
      <c r="B82" s="298" t="s">
        <v>557</v>
      </c>
      <c r="C82" s="343" t="s">
        <v>442</v>
      </c>
      <c r="D82" s="333">
        <v>46900.0</v>
      </c>
      <c r="E82" s="153">
        <f t="array" ref="E82">_xlfn.XLOOKUP(B82,Stock1!F:F,Stock1!J:J,"")</f>
        <v>6</v>
      </c>
      <c r="F82" s="222">
        <f t="array" ref="F82">_xlfn.XLOOKUP(B82,Stock2!F:F,Stock2!J:J,"")</f>
        <v>6</v>
      </c>
      <c r="G82" s="178">
        <v>5000.0</v>
      </c>
      <c r="H82" s="158">
        <f t="shared" si="14"/>
        <v>41900</v>
      </c>
      <c r="I82" s="175"/>
      <c r="J82" s="158"/>
      <c r="K82" s="158"/>
      <c r="L82" s="175"/>
      <c r="M82" s="158"/>
      <c r="N82" s="158"/>
      <c r="O82" s="175"/>
      <c r="P82" s="163">
        <v>0.15</v>
      </c>
      <c r="Q82" s="164">
        <f t="shared" si="15"/>
        <v>39865</v>
      </c>
      <c r="R82" s="164"/>
      <c r="S82" s="337"/>
      <c r="T82" s="351"/>
      <c r="U82" s="217"/>
      <c r="V82" s="76"/>
      <c r="W82" s="330"/>
      <c r="X82" s="170"/>
      <c r="Y82" s="76"/>
      <c r="Z82" s="331"/>
      <c r="AA82" s="331"/>
      <c r="AB82" s="331"/>
      <c r="AC82" s="331"/>
      <c r="AD82" s="331"/>
      <c r="AE82" s="331"/>
      <c r="AF82" s="331"/>
      <c r="AG82" s="331"/>
      <c r="AH82" s="331"/>
      <c r="AI82" s="331"/>
      <c r="AJ82" s="331"/>
      <c r="AK82" s="331"/>
      <c r="AL82" s="331"/>
    </row>
    <row r="83">
      <c r="A83" s="348"/>
      <c r="B83" s="274" t="s">
        <v>565</v>
      </c>
      <c r="C83" s="349" t="s">
        <v>301</v>
      </c>
      <c r="D83" s="221">
        <v>46900.0</v>
      </c>
      <c r="E83" s="153">
        <f t="array" ref="E83">_xlfn.XLOOKUP(B83,Stock1!F:F,Stock1!J:J,"")</f>
        <v>6</v>
      </c>
      <c r="F83" s="222">
        <f t="array" ref="F83">_xlfn.XLOOKUP(B83,Stock2!F:F,Stock2!J:J,"")</f>
        <v>4</v>
      </c>
      <c r="G83" s="178">
        <v>5000.0</v>
      </c>
      <c r="H83" s="158">
        <f t="shared" si="14"/>
        <v>41900</v>
      </c>
      <c r="I83" s="175"/>
      <c r="J83" s="158"/>
      <c r="K83" s="158"/>
      <c r="L83" s="175"/>
      <c r="M83" s="158"/>
      <c r="N83" s="158"/>
      <c r="O83" s="175"/>
      <c r="P83" s="163">
        <v>0.15</v>
      </c>
      <c r="Q83" s="164">
        <f t="shared" si="15"/>
        <v>39865</v>
      </c>
      <c r="R83" s="164"/>
      <c r="S83" s="337"/>
      <c r="T83" s="351"/>
      <c r="U83" s="217"/>
      <c r="V83" s="76"/>
      <c r="W83" s="330"/>
      <c r="X83" s="170"/>
      <c r="Y83" s="76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</row>
    <row r="84">
      <c r="A84" s="353" t="s">
        <v>571</v>
      </c>
      <c r="B84" s="261" t="s">
        <v>572</v>
      </c>
      <c r="C84" s="340" t="s">
        <v>356</v>
      </c>
      <c r="D84" s="341">
        <v>54900.0</v>
      </c>
      <c r="E84" s="153">
        <f t="array" ref="E84">_xlfn.XLOOKUP(B84,Stock1!F:F,Stock1!J:J,"")</f>
        <v>7</v>
      </c>
      <c r="F84" s="222">
        <f t="array" ref="F84">_xlfn.XLOOKUP(B84,Stock2!F:F,Stock2!J:J,"")</f>
        <v>3</v>
      </c>
      <c r="G84" s="178">
        <v>5000.0</v>
      </c>
      <c r="H84" s="158">
        <f t="shared" si="14"/>
        <v>49900</v>
      </c>
      <c r="I84" s="175"/>
      <c r="J84" s="158"/>
      <c r="K84" s="158"/>
      <c r="L84" s="175"/>
      <c r="M84" s="158"/>
      <c r="N84" s="158"/>
      <c r="O84" s="175"/>
      <c r="P84" s="163">
        <v>0.15</v>
      </c>
      <c r="Q84" s="164">
        <f t="shared" si="15"/>
        <v>46665</v>
      </c>
      <c r="R84" s="164"/>
      <c r="S84" s="337"/>
      <c r="T84" s="351"/>
      <c r="U84" s="217"/>
      <c r="V84" s="359" t="s">
        <v>579</v>
      </c>
      <c r="W84" s="330"/>
      <c r="X84" s="170"/>
      <c r="Y84" s="76"/>
      <c r="Z84" s="331"/>
      <c r="AA84" s="331"/>
      <c r="AB84" s="331"/>
      <c r="AC84" s="331"/>
      <c r="AD84" s="331"/>
      <c r="AE84" s="331"/>
      <c r="AF84" s="331"/>
      <c r="AG84" s="331"/>
      <c r="AH84" s="331"/>
      <c r="AI84" s="331"/>
      <c r="AJ84" s="331"/>
      <c r="AK84" s="331"/>
      <c r="AL84" s="331"/>
    </row>
    <row r="85">
      <c r="A85" s="342"/>
      <c r="B85" s="298" t="s">
        <v>582</v>
      </c>
      <c r="C85" s="343" t="s">
        <v>438</v>
      </c>
      <c r="D85" s="333">
        <v>54900.0</v>
      </c>
      <c r="E85" s="153">
        <f t="array" ref="E85">_xlfn.XLOOKUP(B85,Stock1!F:F,Stock1!J:J,"")</f>
        <v>12</v>
      </c>
      <c r="F85" s="222">
        <f t="array" ref="F85">_xlfn.XLOOKUP(B85,Stock2!F:F,Stock2!J:J,"")</f>
        <v>12</v>
      </c>
      <c r="G85" s="178">
        <v>5000.0</v>
      </c>
      <c r="H85" s="158">
        <f t="shared" si="14"/>
        <v>49900</v>
      </c>
      <c r="I85" s="175"/>
      <c r="J85" s="158"/>
      <c r="K85" s="158"/>
      <c r="L85" s="175"/>
      <c r="M85" s="158"/>
      <c r="N85" s="158"/>
      <c r="O85" s="175"/>
      <c r="P85" s="163">
        <v>0.15</v>
      </c>
      <c r="Q85" s="164">
        <f t="shared" si="15"/>
        <v>46665</v>
      </c>
      <c r="R85" s="164"/>
      <c r="S85" s="337"/>
      <c r="T85" s="351"/>
      <c r="U85" s="217"/>
      <c r="V85" s="76"/>
      <c r="W85" s="330"/>
      <c r="X85" s="170"/>
      <c r="Y85" s="76"/>
      <c r="Z85" s="331"/>
      <c r="AA85" s="331"/>
      <c r="AB85" s="331"/>
      <c r="AC85" s="331"/>
      <c r="AD85" s="331"/>
      <c r="AE85" s="331"/>
      <c r="AF85" s="331"/>
      <c r="AG85" s="331"/>
      <c r="AH85" s="331"/>
      <c r="AI85" s="331"/>
      <c r="AJ85" s="331"/>
      <c r="AK85" s="331"/>
      <c r="AL85" s="331"/>
    </row>
    <row r="86">
      <c r="A86" s="342"/>
      <c r="B86" s="298" t="s">
        <v>589</v>
      </c>
      <c r="C86" s="343" t="s">
        <v>442</v>
      </c>
      <c r="D86" s="333">
        <v>54900.0</v>
      </c>
      <c r="E86" s="153">
        <f t="array" ref="E86">_xlfn.XLOOKUP(B86,Stock1!F:F,Stock1!J:J,"")</f>
        <v>3</v>
      </c>
      <c r="F86" s="222">
        <f t="array" ref="F86">_xlfn.XLOOKUP(B86,Stock2!F:F,Stock2!J:J,"")</f>
        <v>5</v>
      </c>
      <c r="G86" s="178">
        <v>5000.0</v>
      </c>
      <c r="H86" s="158">
        <f t="shared" si="14"/>
        <v>49900</v>
      </c>
      <c r="I86" s="175"/>
      <c r="J86" s="158"/>
      <c r="K86" s="158"/>
      <c r="L86" s="175"/>
      <c r="M86" s="158"/>
      <c r="N86" s="158"/>
      <c r="O86" s="175"/>
      <c r="P86" s="163">
        <v>0.15</v>
      </c>
      <c r="Q86" s="164">
        <f t="shared" si="15"/>
        <v>46665</v>
      </c>
      <c r="R86" s="164"/>
      <c r="S86" s="337"/>
      <c r="T86" s="351"/>
      <c r="U86" s="217"/>
      <c r="V86" s="76"/>
      <c r="W86" s="330"/>
      <c r="X86" s="170"/>
      <c r="Y86" s="76"/>
      <c r="Z86" s="331"/>
      <c r="AA86" s="331"/>
      <c r="AB86" s="331"/>
      <c r="AC86" s="331"/>
      <c r="AD86" s="331"/>
      <c r="AE86" s="331"/>
      <c r="AF86" s="331"/>
      <c r="AG86" s="331"/>
      <c r="AH86" s="331"/>
      <c r="AI86" s="331"/>
      <c r="AJ86" s="331"/>
      <c r="AK86" s="331"/>
      <c r="AL86" s="331"/>
    </row>
    <row r="87">
      <c r="A87" s="348"/>
      <c r="B87" s="274" t="s">
        <v>598</v>
      </c>
      <c r="C87" s="349" t="s">
        <v>301</v>
      </c>
      <c r="D87" s="221">
        <v>54900.0</v>
      </c>
      <c r="E87" s="153">
        <f t="array" ref="E87">_xlfn.XLOOKUP(B87,Stock1!F:F,Stock1!J:J,"")</f>
        <v>3</v>
      </c>
      <c r="F87" s="222">
        <f t="array" ref="F87">_xlfn.XLOOKUP(B87,Stock2!F:F,Stock2!J:J,"")</f>
        <v>5</v>
      </c>
      <c r="G87" s="178">
        <v>5000.0</v>
      </c>
      <c r="H87" s="158">
        <f t="shared" si="14"/>
        <v>49900</v>
      </c>
      <c r="I87" s="175"/>
      <c r="J87" s="158"/>
      <c r="K87" s="158"/>
      <c r="L87" s="175"/>
      <c r="M87" s="158"/>
      <c r="N87" s="158"/>
      <c r="O87" s="175"/>
      <c r="P87" s="163">
        <v>0.15</v>
      </c>
      <c r="Q87" s="164">
        <f t="shared" si="15"/>
        <v>46665</v>
      </c>
      <c r="R87" s="164"/>
      <c r="S87" s="337"/>
      <c r="T87" s="351"/>
      <c r="U87" s="217"/>
      <c r="V87" s="76"/>
      <c r="W87" s="330"/>
      <c r="X87" s="170"/>
      <c r="Y87" s="76"/>
      <c r="Z87" s="331"/>
      <c r="AA87" s="331"/>
      <c r="AB87" s="331"/>
      <c r="AC87" s="331"/>
      <c r="AD87" s="331"/>
      <c r="AE87" s="331"/>
      <c r="AF87" s="331"/>
      <c r="AG87" s="331"/>
      <c r="AH87" s="331"/>
      <c r="AI87" s="331"/>
      <c r="AJ87" s="331"/>
      <c r="AK87" s="331"/>
      <c r="AL87" s="331"/>
    </row>
    <row r="88">
      <c r="A88" s="326" t="s">
        <v>604</v>
      </c>
      <c r="B88" s="290" t="s">
        <v>605</v>
      </c>
      <c r="C88" s="336" t="s">
        <v>356</v>
      </c>
      <c r="D88" s="209">
        <v>66900.0</v>
      </c>
      <c r="E88" s="153" t="str">
        <f t="array" ref="E88">_xlfn.XLOOKUP(B88,Stock1!F:F,Stock1!J:J,"")</f>
        <v/>
      </c>
      <c r="F88" s="222" t="str">
        <f t="array" ref="F88">_xlfn.XLOOKUP(B88,Stock2!F:F,Stock2!J:J,"")</f>
        <v/>
      </c>
      <c r="G88" s="178">
        <v>5000.0</v>
      </c>
      <c r="H88" s="158">
        <f t="shared" si="14"/>
        <v>61900</v>
      </c>
      <c r="I88" s="175"/>
      <c r="J88" s="158"/>
      <c r="K88" s="158"/>
      <c r="L88" s="175"/>
      <c r="M88" s="158"/>
      <c r="N88" s="158"/>
      <c r="O88" s="175"/>
      <c r="P88" s="164"/>
      <c r="Q88" s="164"/>
      <c r="R88" s="164"/>
      <c r="S88" s="337"/>
      <c r="T88" s="351"/>
      <c r="U88" s="217"/>
      <c r="V88" s="76"/>
      <c r="W88" s="330"/>
      <c r="X88" s="170"/>
      <c r="Y88" s="76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</row>
    <row r="89">
      <c r="A89" s="172"/>
      <c r="B89" s="298" t="s">
        <v>624</v>
      </c>
      <c r="C89" s="343" t="s">
        <v>438</v>
      </c>
      <c r="D89" s="333">
        <v>66900.0</v>
      </c>
      <c r="E89" s="153" t="str">
        <f t="array" ref="E89">_xlfn.XLOOKUP(B89,Stock1!F:F,Stock1!J:J,"")</f>
        <v/>
      </c>
      <c r="F89" s="222" t="str">
        <f t="array" ref="F89">_xlfn.XLOOKUP(B89,Stock2!F:F,Stock2!J:J,"")</f>
        <v/>
      </c>
      <c r="G89" s="178">
        <v>5000.0</v>
      </c>
      <c r="H89" s="158">
        <f t="shared" si="14"/>
        <v>61900</v>
      </c>
      <c r="I89" s="175"/>
      <c r="J89" s="158"/>
      <c r="K89" s="158"/>
      <c r="L89" s="175"/>
      <c r="M89" s="158"/>
      <c r="N89" s="158"/>
      <c r="O89" s="175"/>
      <c r="P89" s="164"/>
      <c r="Q89" s="164"/>
      <c r="R89" s="164"/>
      <c r="S89" s="337"/>
      <c r="T89" s="351"/>
      <c r="U89" s="217"/>
      <c r="V89" s="76"/>
      <c r="W89" s="330"/>
      <c r="X89" s="170"/>
      <c r="Y89" s="76"/>
      <c r="Z89" s="331"/>
      <c r="AA89" s="331"/>
      <c r="AB89" s="331"/>
      <c r="AC89" s="331"/>
      <c r="AD89" s="331"/>
      <c r="AE89" s="331"/>
      <c r="AF89" s="331"/>
      <c r="AG89" s="331"/>
      <c r="AH89" s="331"/>
      <c r="AI89" s="331"/>
      <c r="AJ89" s="331"/>
      <c r="AK89" s="331"/>
      <c r="AL89" s="331"/>
    </row>
    <row r="90">
      <c r="A90" s="172"/>
      <c r="B90" s="298" t="s">
        <v>638</v>
      </c>
      <c r="C90" s="343" t="s">
        <v>442</v>
      </c>
      <c r="D90" s="333">
        <v>66900.0</v>
      </c>
      <c r="E90" s="153" t="str">
        <f t="array" ref="E90">_xlfn.XLOOKUP(B90,Stock1!F:F,Stock1!J:J,"")</f>
        <v/>
      </c>
      <c r="F90" s="222" t="str">
        <f t="array" ref="F90">_xlfn.XLOOKUP(B90,Stock2!F:F,Stock2!J:J,"")</f>
        <v/>
      </c>
      <c r="G90" s="178">
        <v>5000.0</v>
      </c>
      <c r="H90" s="158">
        <f t="shared" si="14"/>
        <v>61900</v>
      </c>
      <c r="I90" s="175"/>
      <c r="J90" s="158"/>
      <c r="K90" s="158"/>
      <c r="L90" s="175"/>
      <c r="M90" s="158"/>
      <c r="N90" s="158"/>
      <c r="O90" s="175"/>
      <c r="P90" s="164"/>
      <c r="Q90" s="164"/>
      <c r="R90" s="164"/>
      <c r="S90" s="337"/>
      <c r="T90" s="351"/>
      <c r="U90" s="217"/>
      <c r="V90" s="76"/>
      <c r="W90" s="330"/>
      <c r="X90" s="170"/>
      <c r="Y90" s="76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</row>
    <row r="91">
      <c r="A91" s="179"/>
      <c r="B91" s="274" t="s">
        <v>643</v>
      </c>
      <c r="C91" s="349" t="s">
        <v>301</v>
      </c>
      <c r="D91" s="221">
        <v>66900.0</v>
      </c>
      <c r="E91" s="153" t="str">
        <f t="array" ref="E91">_xlfn.XLOOKUP(B91,Stock1!F:F,Stock1!J:J,"")</f>
        <v/>
      </c>
      <c r="F91" s="222" t="str">
        <f t="array" ref="F91">_xlfn.XLOOKUP(B91,Stock2!F:F,Stock2!J:J,"")</f>
        <v/>
      </c>
      <c r="G91" s="178">
        <v>5000.0</v>
      </c>
      <c r="H91" s="158">
        <f t="shared" si="14"/>
        <v>61900</v>
      </c>
      <c r="I91" s="175"/>
      <c r="J91" s="158"/>
      <c r="K91" s="158"/>
      <c r="L91" s="175"/>
      <c r="M91" s="158"/>
      <c r="N91" s="158"/>
      <c r="O91" s="175"/>
      <c r="P91" s="164"/>
      <c r="Q91" s="164"/>
      <c r="R91" s="164"/>
      <c r="S91" s="337"/>
      <c r="T91" s="351"/>
      <c r="U91" s="217"/>
      <c r="V91" s="76"/>
      <c r="W91" s="330"/>
      <c r="X91" s="170"/>
      <c r="Y91" s="76"/>
      <c r="Z91" s="331"/>
      <c r="AA91" s="331"/>
      <c r="AB91" s="331"/>
      <c r="AC91" s="331"/>
      <c r="AD91" s="331"/>
      <c r="AE91" s="331"/>
      <c r="AF91" s="331"/>
      <c r="AG91" s="331"/>
      <c r="AH91" s="331"/>
      <c r="AI91" s="331"/>
      <c r="AJ91" s="331"/>
      <c r="AK91" s="331"/>
      <c r="AL91" s="331"/>
    </row>
    <row r="92">
      <c r="A92" s="326" t="s">
        <v>608</v>
      </c>
      <c r="B92" s="290" t="s">
        <v>609</v>
      </c>
      <c r="C92" s="336" t="s">
        <v>610</v>
      </c>
      <c r="D92" s="209">
        <v>40900.0</v>
      </c>
      <c r="E92" s="153" t="str">
        <f t="array" ref="E92">_xlfn.XLOOKUP(B92,Stock1!F:F,Stock1!J:J,"")</f>
        <v/>
      </c>
      <c r="F92" s="222" t="str">
        <f t="array" ref="F92">_xlfn.XLOOKUP(B92,Stock2!F:F,Stock2!J:J,"")</f>
        <v/>
      </c>
      <c r="G92" s="178">
        <v>11000.0</v>
      </c>
      <c r="H92" s="158">
        <f t="shared" si="14"/>
        <v>29900</v>
      </c>
      <c r="I92" s="160" t="s">
        <v>89</v>
      </c>
      <c r="J92" s="158"/>
      <c r="K92" s="158"/>
      <c r="L92" s="211"/>
      <c r="M92" s="158"/>
      <c r="N92" s="158"/>
      <c r="O92" s="211"/>
      <c r="P92" s="163"/>
      <c r="Q92" s="164"/>
      <c r="R92" s="158"/>
      <c r="S92" s="362"/>
      <c r="T92" s="351"/>
      <c r="U92" s="363"/>
      <c r="V92" s="359" t="s">
        <v>667</v>
      </c>
      <c r="W92" s="364"/>
      <c r="X92" s="170"/>
      <c r="Y92" s="218"/>
      <c r="Z92" s="331"/>
      <c r="AA92" s="331"/>
      <c r="AB92" s="331"/>
      <c r="AC92" s="331"/>
      <c r="AD92" s="331"/>
      <c r="AE92" s="331"/>
      <c r="AF92" s="331"/>
      <c r="AG92" s="331"/>
      <c r="AH92" s="331"/>
      <c r="AI92" s="331"/>
      <c r="AJ92" s="331"/>
      <c r="AK92" s="331"/>
      <c r="AL92" s="331"/>
    </row>
    <row r="93">
      <c r="A93" s="172"/>
      <c r="B93" s="298" t="s">
        <v>618</v>
      </c>
      <c r="C93" s="343" t="s">
        <v>619</v>
      </c>
      <c r="D93" s="333">
        <v>40900.0</v>
      </c>
      <c r="E93" s="153" t="str">
        <f t="array" ref="E93">_xlfn.XLOOKUP(B93,Stock1!F:F,Stock1!J:J,"")</f>
        <v/>
      </c>
      <c r="F93" s="222" t="str">
        <f t="array" ref="F93">_xlfn.XLOOKUP(B93,Stock2!F:F,Stock2!J:J,"")</f>
        <v/>
      </c>
      <c r="G93" s="178">
        <v>11000.0</v>
      </c>
      <c r="H93" s="158">
        <f t="shared" si="14"/>
        <v>29900</v>
      </c>
      <c r="I93" s="175"/>
      <c r="J93" s="158"/>
      <c r="K93" s="158"/>
      <c r="L93" s="175"/>
      <c r="M93" s="158"/>
      <c r="N93" s="158"/>
      <c r="O93" s="175"/>
      <c r="P93" s="163"/>
      <c r="Q93" s="164"/>
      <c r="R93" s="158"/>
      <c r="S93" s="362"/>
      <c r="T93" s="351"/>
      <c r="U93" s="363"/>
      <c r="V93" s="76"/>
      <c r="W93" s="286"/>
      <c r="X93" s="76"/>
      <c r="Y93" s="76"/>
      <c r="Z93" s="331"/>
      <c r="AA93" s="331"/>
      <c r="AB93" s="331"/>
      <c r="AC93" s="331"/>
      <c r="AD93" s="331"/>
      <c r="AE93" s="331"/>
      <c r="AF93" s="331"/>
      <c r="AG93" s="331"/>
      <c r="AH93" s="331"/>
      <c r="AI93" s="331"/>
      <c r="AJ93" s="331"/>
      <c r="AK93" s="331"/>
      <c r="AL93" s="331"/>
    </row>
    <row r="94">
      <c r="A94" s="179"/>
      <c r="B94" s="274" t="s">
        <v>627</v>
      </c>
      <c r="C94" s="349" t="s">
        <v>628</v>
      </c>
      <c r="D94" s="221">
        <v>40900.0</v>
      </c>
      <c r="E94" s="153" t="str">
        <f t="array" ref="E94">_xlfn.XLOOKUP(B94,Stock1!F:F,Stock1!J:J,"")</f>
        <v/>
      </c>
      <c r="F94" s="222" t="str">
        <f t="array" ref="F94">_xlfn.XLOOKUP(B94,Stock2!F:F,Stock2!J:J,"")</f>
        <v/>
      </c>
      <c r="G94" s="178">
        <v>11000.0</v>
      </c>
      <c r="H94" s="158">
        <f t="shared" si="14"/>
        <v>29900</v>
      </c>
      <c r="I94" s="175"/>
      <c r="J94" s="158"/>
      <c r="K94" s="158"/>
      <c r="L94" s="175"/>
      <c r="M94" s="158"/>
      <c r="N94" s="158"/>
      <c r="O94" s="175"/>
      <c r="P94" s="163"/>
      <c r="Q94" s="164"/>
      <c r="R94" s="158"/>
      <c r="S94" s="362"/>
      <c r="T94" s="351"/>
      <c r="U94" s="363"/>
      <c r="V94" s="76"/>
      <c r="W94" s="286"/>
      <c r="X94" s="76"/>
      <c r="Y94" s="76"/>
      <c r="Z94" s="331"/>
      <c r="AA94" s="331"/>
      <c r="AB94" s="331"/>
      <c r="AC94" s="331"/>
      <c r="AD94" s="331"/>
      <c r="AE94" s="331"/>
      <c r="AF94" s="331"/>
      <c r="AG94" s="331"/>
      <c r="AH94" s="331"/>
      <c r="AI94" s="331"/>
      <c r="AJ94" s="331"/>
      <c r="AK94" s="331"/>
      <c r="AL94" s="331"/>
    </row>
    <row r="95">
      <c r="A95" s="326" t="s">
        <v>635</v>
      </c>
      <c r="B95" s="290" t="s">
        <v>636</v>
      </c>
      <c r="C95" s="336" t="s">
        <v>610</v>
      </c>
      <c r="D95" s="209">
        <v>48900.0</v>
      </c>
      <c r="E95" s="153" t="str">
        <f t="array" ref="E95">_xlfn.XLOOKUP(B95,Stock1!F:F,Stock1!J:J,"")</f>
        <v/>
      </c>
      <c r="F95" s="222" t="str">
        <f t="array" ref="F95">_xlfn.XLOOKUP(B95,Stock2!F:F,Stock2!J:J,"")</f>
        <v/>
      </c>
      <c r="G95" s="178">
        <v>11000.0</v>
      </c>
      <c r="H95" s="158">
        <f t="shared" si="14"/>
        <v>37900</v>
      </c>
      <c r="I95" s="175"/>
      <c r="J95" s="158"/>
      <c r="K95" s="158"/>
      <c r="L95" s="175"/>
      <c r="M95" s="158"/>
      <c r="N95" s="158"/>
      <c r="O95" s="175"/>
      <c r="P95" s="163"/>
      <c r="Q95" s="164"/>
      <c r="R95" s="158"/>
      <c r="S95" s="362"/>
      <c r="T95" s="351"/>
      <c r="U95" s="363"/>
      <c r="V95" s="76"/>
      <c r="W95" s="286"/>
      <c r="X95" s="76"/>
      <c r="Y95" s="76"/>
      <c r="Z95" s="331"/>
      <c r="AA95" s="331"/>
      <c r="AB95" s="331"/>
      <c r="AC95" s="331"/>
      <c r="AD95" s="331"/>
      <c r="AE95" s="331"/>
      <c r="AF95" s="331"/>
      <c r="AG95" s="331"/>
      <c r="AH95" s="331"/>
      <c r="AI95" s="331"/>
      <c r="AJ95" s="331"/>
      <c r="AK95" s="331"/>
      <c r="AL95" s="331"/>
    </row>
    <row r="96">
      <c r="A96" s="172"/>
      <c r="B96" s="298" t="s">
        <v>646</v>
      </c>
      <c r="C96" s="343" t="s">
        <v>619</v>
      </c>
      <c r="D96" s="333">
        <v>48900.0</v>
      </c>
      <c r="E96" s="153" t="str">
        <f t="array" ref="E96">_xlfn.XLOOKUP(B96,Stock1!F:F,Stock1!J:J,"")</f>
        <v/>
      </c>
      <c r="F96" s="222" t="str">
        <f t="array" ref="F96">_xlfn.XLOOKUP(B96,Stock2!F:F,Stock2!J:J,"")</f>
        <v/>
      </c>
      <c r="G96" s="178">
        <v>11000.0</v>
      </c>
      <c r="H96" s="158">
        <f t="shared" si="14"/>
        <v>37900</v>
      </c>
      <c r="I96" s="175"/>
      <c r="J96" s="158"/>
      <c r="K96" s="158"/>
      <c r="L96" s="175"/>
      <c r="M96" s="158"/>
      <c r="N96" s="158"/>
      <c r="O96" s="175"/>
      <c r="P96" s="163"/>
      <c r="Q96" s="164"/>
      <c r="R96" s="158"/>
      <c r="S96" s="362"/>
      <c r="T96" s="351"/>
      <c r="U96" s="363"/>
      <c r="V96" s="76"/>
      <c r="W96" s="286"/>
      <c r="X96" s="76"/>
      <c r="Y96" s="76"/>
      <c r="Z96" s="331"/>
      <c r="AA96" s="331"/>
      <c r="AB96" s="331"/>
      <c r="AC96" s="331"/>
      <c r="AD96" s="331"/>
      <c r="AE96" s="331"/>
      <c r="AF96" s="331"/>
      <c r="AG96" s="331"/>
      <c r="AH96" s="331"/>
      <c r="AI96" s="331"/>
      <c r="AJ96" s="331"/>
      <c r="AK96" s="331"/>
      <c r="AL96" s="331"/>
    </row>
    <row r="97">
      <c r="A97" s="179"/>
      <c r="B97" s="274" t="s">
        <v>651</v>
      </c>
      <c r="C97" s="349" t="s">
        <v>628</v>
      </c>
      <c r="D97" s="221">
        <v>48900.0</v>
      </c>
      <c r="E97" s="153" t="str">
        <f t="array" ref="E97">_xlfn.XLOOKUP(B97,Stock1!F:F,Stock1!J:J,"")</f>
        <v/>
      </c>
      <c r="F97" s="222" t="str">
        <f t="array" ref="F97">_xlfn.XLOOKUP(B97,Stock2!F:F,Stock2!J:J,"")</f>
        <v/>
      </c>
      <c r="G97" s="178">
        <v>11000.0</v>
      </c>
      <c r="H97" s="158">
        <f t="shared" si="14"/>
        <v>37900</v>
      </c>
      <c r="I97" s="175"/>
      <c r="J97" s="158"/>
      <c r="K97" s="158"/>
      <c r="L97" s="175"/>
      <c r="M97" s="158"/>
      <c r="N97" s="158"/>
      <c r="O97" s="175"/>
      <c r="P97" s="163"/>
      <c r="Q97" s="164"/>
      <c r="R97" s="158"/>
      <c r="S97" s="362"/>
      <c r="T97" s="351"/>
      <c r="U97" s="363"/>
      <c r="V97" s="119"/>
      <c r="W97" s="365"/>
      <c r="X97" s="76"/>
      <c r="Y97" s="76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</row>
    <row r="98">
      <c r="A98" s="326" t="s">
        <v>704</v>
      </c>
      <c r="B98" s="261" t="s">
        <v>705</v>
      </c>
      <c r="C98" s="340" t="s">
        <v>706</v>
      </c>
      <c r="D98" s="341">
        <v>42900.0</v>
      </c>
      <c r="E98" s="153" t="str">
        <f t="array" ref="E98">_xlfn.XLOOKUP(B98,Stock1!F:F,Stock1!J:J,"")</f>
        <v/>
      </c>
      <c r="F98" s="222" t="str">
        <f t="array" ref="F98">_xlfn.XLOOKUP(B98,Stock2!F:F,Stock2!J:J,"")</f>
        <v/>
      </c>
      <c r="G98" s="178">
        <v>8000.0</v>
      </c>
      <c r="H98" s="158">
        <f t="shared" si="14"/>
        <v>34900</v>
      </c>
      <c r="I98" s="160" t="s">
        <v>708</v>
      </c>
      <c r="J98" s="158"/>
      <c r="K98" s="211" t="s">
        <v>709</v>
      </c>
      <c r="L98" s="324" t="s">
        <v>710</v>
      </c>
      <c r="M98" s="158"/>
      <c r="N98" s="158"/>
      <c r="O98" s="175"/>
      <c r="P98" s="163"/>
      <c r="Q98" s="158"/>
      <c r="R98" s="158"/>
      <c r="S98" s="337"/>
      <c r="T98" s="351"/>
      <c r="U98" s="366"/>
      <c r="V98" s="359" t="s">
        <v>712</v>
      </c>
      <c r="W98" s="330"/>
      <c r="X98" s="369"/>
      <c r="Y98" s="76"/>
      <c r="Z98" s="331"/>
      <c r="AA98" s="331"/>
      <c r="AB98" s="331"/>
      <c r="AC98" s="331"/>
      <c r="AD98" s="331"/>
      <c r="AE98" s="331"/>
      <c r="AF98" s="331"/>
      <c r="AG98" s="331"/>
      <c r="AH98" s="331"/>
      <c r="AI98" s="331"/>
      <c r="AJ98" s="331"/>
      <c r="AK98" s="331"/>
      <c r="AL98" s="331"/>
    </row>
    <row r="99">
      <c r="A99" s="172"/>
      <c r="B99" s="298" t="s">
        <v>713</v>
      </c>
      <c r="C99" s="343" t="s">
        <v>251</v>
      </c>
      <c r="D99" s="333">
        <v>42900.0</v>
      </c>
      <c r="E99" s="153" t="str">
        <f t="array" ref="E99">_xlfn.XLOOKUP(B99,Stock1!F:F,Stock1!J:J,"")</f>
        <v/>
      </c>
      <c r="F99" s="222" t="str">
        <f t="array" ref="F99">_xlfn.XLOOKUP(B99,Stock2!F:F,Stock2!J:J,"")</f>
        <v/>
      </c>
      <c r="G99" s="178">
        <v>8000.0</v>
      </c>
      <c r="H99" s="158">
        <f t="shared" si="14"/>
        <v>34900</v>
      </c>
      <c r="I99" s="175"/>
      <c r="J99" s="158"/>
      <c r="K99" s="175"/>
      <c r="L99" s="175"/>
      <c r="M99" s="158"/>
      <c r="N99" s="158"/>
      <c r="O99" s="175"/>
      <c r="P99" s="163"/>
      <c r="Q99" s="158"/>
      <c r="R99" s="158"/>
      <c r="S99" s="337"/>
      <c r="T99" s="351"/>
      <c r="U99" s="366"/>
      <c r="V99" s="76"/>
      <c r="W99" s="330"/>
      <c r="X99" s="369"/>
      <c r="Y99" s="76"/>
      <c r="Z99" s="331"/>
      <c r="AA99" s="331"/>
      <c r="AB99" s="331"/>
      <c r="AC99" s="331"/>
      <c r="AD99" s="331"/>
      <c r="AE99" s="331"/>
      <c r="AF99" s="331"/>
      <c r="AG99" s="331"/>
      <c r="AH99" s="331"/>
      <c r="AI99" s="331"/>
      <c r="AJ99" s="331"/>
      <c r="AK99" s="331"/>
      <c r="AL99" s="331"/>
    </row>
    <row r="100">
      <c r="A100" s="179"/>
      <c r="B100" s="274" t="s">
        <v>716</v>
      </c>
      <c r="C100" s="349" t="s">
        <v>717</v>
      </c>
      <c r="D100" s="221">
        <v>42900.0</v>
      </c>
      <c r="E100" s="153" t="str">
        <f t="array" ref="E100">_xlfn.XLOOKUP(B100,Stock1!F:F,Stock1!J:J,"")</f>
        <v/>
      </c>
      <c r="F100" s="222" t="str">
        <f t="array" ref="F100">_xlfn.XLOOKUP(B100,Stock2!F:F,Stock2!J:J,"")</f>
        <v/>
      </c>
      <c r="G100" s="178">
        <v>8000.0</v>
      </c>
      <c r="H100" s="158">
        <f t="shared" si="14"/>
        <v>34900</v>
      </c>
      <c r="I100" s="175"/>
      <c r="J100" s="158"/>
      <c r="K100" s="175"/>
      <c r="L100" s="175"/>
      <c r="M100" s="158"/>
      <c r="N100" s="158"/>
      <c r="O100" s="175"/>
      <c r="P100" s="163"/>
      <c r="Q100" s="158"/>
      <c r="R100" s="158"/>
      <c r="S100" s="337"/>
      <c r="T100" s="351"/>
      <c r="U100" s="366"/>
      <c r="V100" s="76"/>
      <c r="W100" s="330"/>
      <c r="X100" s="369"/>
      <c r="Y100" s="76"/>
      <c r="Z100" s="331"/>
      <c r="AA100" s="331"/>
      <c r="AB100" s="331"/>
      <c r="AC100" s="331"/>
      <c r="AD100" s="331"/>
      <c r="AE100" s="331"/>
      <c r="AF100" s="331"/>
      <c r="AG100" s="331"/>
      <c r="AH100" s="331"/>
      <c r="AI100" s="331"/>
      <c r="AJ100" s="331"/>
      <c r="AK100" s="331"/>
      <c r="AL100" s="331"/>
    </row>
    <row r="101">
      <c r="A101" s="326" t="s">
        <v>719</v>
      </c>
      <c r="B101" s="261" t="s">
        <v>721</v>
      </c>
      <c r="C101" s="340" t="s">
        <v>706</v>
      </c>
      <c r="D101" s="341">
        <v>50900.0</v>
      </c>
      <c r="E101" s="153" t="str">
        <f t="array" ref="E101">_xlfn.XLOOKUP(B101,Stock1!F:F,Stock1!J:J,"")</f>
        <v/>
      </c>
      <c r="F101" s="222" t="str">
        <f t="array" ref="F101">_xlfn.XLOOKUP(B101,Stock2!F:F,Stock2!J:J,"")</f>
        <v/>
      </c>
      <c r="G101" s="178">
        <v>8000.0</v>
      </c>
      <c r="H101" s="158">
        <f t="shared" si="14"/>
        <v>42900</v>
      </c>
      <c r="I101" s="175"/>
      <c r="J101" s="158"/>
      <c r="K101" s="175"/>
      <c r="L101" s="175"/>
      <c r="M101" s="158"/>
      <c r="N101" s="158"/>
      <c r="O101" s="175"/>
      <c r="P101" s="163"/>
      <c r="Q101" s="158"/>
      <c r="R101" s="158"/>
      <c r="S101" s="337"/>
      <c r="T101" s="351"/>
      <c r="U101" s="366"/>
      <c r="V101" s="76"/>
      <c r="W101" s="330"/>
      <c r="X101" s="369"/>
      <c r="Y101" s="76"/>
      <c r="Z101" s="331"/>
      <c r="AA101" s="331"/>
      <c r="AB101" s="331"/>
      <c r="AC101" s="331"/>
      <c r="AD101" s="331"/>
      <c r="AE101" s="331"/>
      <c r="AF101" s="331"/>
      <c r="AG101" s="331"/>
      <c r="AH101" s="331"/>
      <c r="AI101" s="331"/>
      <c r="AJ101" s="331"/>
      <c r="AK101" s="331"/>
      <c r="AL101" s="331"/>
    </row>
    <row r="102">
      <c r="A102" s="172"/>
      <c r="B102" s="298" t="s">
        <v>728</v>
      </c>
      <c r="C102" s="343" t="s">
        <v>251</v>
      </c>
      <c r="D102" s="333">
        <v>50900.0</v>
      </c>
      <c r="E102" s="153" t="str">
        <f t="array" ref="E102">_xlfn.XLOOKUP(B102,Stock1!F:F,Stock1!J:J,"")</f>
        <v/>
      </c>
      <c r="F102" s="222" t="str">
        <f t="array" ref="F102">_xlfn.XLOOKUP(B102,Stock2!F:F,Stock2!J:J,"")</f>
        <v/>
      </c>
      <c r="G102" s="178">
        <v>8000.0</v>
      </c>
      <c r="H102" s="158">
        <f t="shared" si="14"/>
        <v>42900</v>
      </c>
      <c r="I102" s="175"/>
      <c r="J102" s="158"/>
      <c r="K102" s="175"/>
      <c r="L102" s="175"/>
      <c r="M102" s="158"/>
      <c r="N102" s="158"/>
      <c r="O102" s="175"/>
      <c r="P102" s="163"/>
      <c r="Q102" s="158"/>
      <c r="R102" s="158"/>
      <c r="S102" s="337"/>
      <c r="T102" s="351"/>
      <c r="U102" s="366"/>
      <c r="V102" s="76"/>
      <c r="W102" s="330"/>
      <c r="X102" s="369"/>
      <c r="Y102" s="76"/>
      <c r="Z102" s="331"/>
      <c r="AA102" s="331"/>
      <c r="AB102" s="331"/>
      <c r="AC102" s="331"/>
      <c r="AD102" s="331"/>
      <c r="AE102" s="331"/>
      <c r="AF102" s="331"/>
      <c r="AG102" s="331"/>
      <c r="AH102" s="331"/>
      <c r="AI102" s="331"/>
      <c r="AJ102" s="331"/>
      <c r="AK102" s="331"/>
      <c r="AL102" s="331"/>
    </row>
    <row r="103">
      <c r="A103" s="179"/>
      <c r="B103" s="274" t="s">
        <v>733</v>
      </c>
      <c r="C103" s="349" t="s">
        <v>717</v>
      </c>
      <c r="D103" s="221">
        <v>50900.0</v>
      </c>
      <c r="E103" s="153" t="str">
        <f t="array" ref="E103">_xlfn.XLOOKUP(B103,Stock1!F:F,Stock1!J:J,"")</f>
        <v/>
      </c>
      <c r="F103" s="222" t="str">
        <f t="array" ref="F103">_xlfn.XLOOKUP(B103,Stock2!F:F,Stock2!J:J,"")</f>
        <v/>
      </c>
      <c r="G103" s="178">
        <v>8000.0</v>
      </c>
      <c r="H103" s="158">
        <f t="shared" si="14"/>
        <v>42900</v>
      </c>
      <c r="I103" s="175"/>
      <c r="J103" s="158"/>
      <c r="K103" s="175"/>
      <c r="L103" s="175"/>
      <c r="M103" s="158"/>
      <c r="N103" s="158"/>
      <c r="O103" s="175"/>
      <c r="P103" s="163"/>
      <c r="Q103" s="158"/>
      <c r="R103" s="158"/>
      <c r="S103" s="337"/>
      <c r="T103" s="351"/>
      <c r="U103" s="366"/>
      <c r="V103" s="76"/>
      <c r="W103" s="330"/>
      <c r="X103" s="369"/>
      <c r="Y103" s="76"/>
      <c r="Z103" s="331"/>
      <c r="AA103" s="331"/>
      <c r="AB103" s="331"/>
      <c r="AC103" s="331"/>
      <c r="AD103" s="331"/>
      <c r="AE103" s="331"/>
      <c r="AF103" s="331"/>
      <c r="AG103" s="331"/>
      <c r="AH103" s="331"/>
      <c r="AI103" s="331"/>
      <c r="AJ103" s="331"/>
      <c r="AK103" s="331"/>
      <c r="AL103" s="331"/>
    </row>
    <row r="104">
      <c r="A104" s="326" t="s">
        <v>742</v>
      </c>
      <c r="B104" s="261" t="s">
        <v>743</v>
      </c>
      <c r="C104" s="340" t="s">
        <v>706</v>
      </c>
      <c r="D104" s="341">
        <v>42900.0</v>
      </c>
      <c r="E104" s="153">
        <f t="array" ref="E104">_xlfn.XLOOKUP(B104,Stock1!F:F,Stock1!J:J,"")</f>
        <v>1</v>
      </c>
      <c r="F104" s="222">
        <f t="array" ref="F104">_xlfn.XLOOKUP(B104,Stock2!F:F,Stock2!J:J,"")</f>
        <v>1</v>
      </c>
      <c r="G104" s="178">
        <v>5000.0</v>
      </c>
      <c r="H104" s="158">
        <f t="shared" si="14"/>
        <v>37900</v>
      </c>
      <c r="I104" s="160" t="s">
        <v>89</v>
      </c>
      <c r="J104" s="158"/>
      <c r="K104" s="158"/>
      <c r="L104" s="211"/>
      <c r="M104" s="158"/>
      <c r="N104" s="158"/>
      <c r="O104" s="175"/>
      <c r="P104" s="158"/>
      <c r="Q104" s="158"/>
      <c r="R104" s="158"/>
      <c r="S104" s="337"/>
      <c r="T104" s="351"/>
      <c r="U104" s="366"/>
      <c r="V104" s="386"/>
      <c r="W104" s="330"/>
      <c r="X104" s="369"/>
      <c r="Y104" s="76"/>
      <c r="Z104" s="331"/>
      <c r="AA104" s="331"/>
      <c r="AB104" s="331"/>
      <c r="AC104" s="331"/>
      <c r="AD104" s="331"/>
      <c r="AE104" s="331"/>
      <c r="AF104" s="331"/>
      <c r="AG104" s="331"/>
      <c r="AH104" s="331"/>
      <c r="AI104" s="331"/>
      <c r="AJ104" s="331"/>
      <c r="AK104" s="331"/>
      <c r="AL104" s="331"/>
    </row>
    <row r="105">
      <c r="A105" s="172"/>
      <c r="B105" s="298" t="s">
        <v>753</v>
      </c>
      <c r="C105" s="343" t="s">
        <v>251</v>
      </c>
      <c r="D105" s="333">
        <v>42900.0</v>
      </c>
      <c r="E105" s="153">
        <f t="array" ref="E105">_xlfn.XLOOKUP(B105,Stock1!F:F,Stock1!J:J,"")</f>
        <v>1</v>
      </c>
      <c r="F105" s="222">
        <f t="array" ref="F105">_xlfn.XLOOKUP(B105,Stock2!F:F,Stock2!J:J,"")</f>
        <v>1</v>
      </c>
      <c r="G105" s="178">
        <v>5000.0</v>
      </c>
      <c r="H105" s="158">
        <f t="shared" si="14"/>
        <v>37900</v>
      </c>
      <c r="I105" s="175"/>
      <c r="J105" s="158"/>
      <c r="K105" s="158"/>
      <c r="L105" s="211"/>
      <c r="M105" s="158"/>
      <c r="N105" s="158"/>
      <c r="O105" s="175"/>
      <c r="P105" s="158"/>
      <c r="Q105" s="158"/>
      <c r="R105" s="158"/>
      <c r="S105" s="337"/>
      <c r="T105" s="351"/>
      <c r="U105" s="366"/>
      <c r="V105" s="386"/>
      <c r="W105" s="330"/>
      <c r="X105" s="369"/>
      <c r="Y105" s="76"/>
      <c r="Z105" s="331"/>
      <c r="AA105" s="331"/>
      <c r="AB105" s="331"/>
      <c r="AC105" s="331"/>
      <c r="AD105" s="331"/>
      <c r="AE105" s="331"/>
      <c r="AF105" s="331"/>
      <c r="AG105" s="331"/>
      <c r="AH105" s="331"/>
      <c r="AI105" s="331"/>
      <c r="AJ105" s="331"/>
      <c r="AK105" s="331"/>
      <c r="AL105" s="331"/>
    </row>
    <row r="106">
      <c r="A106" s="179"/>
      <c r="B106" s="274" t="s">
        <v>760</v>
      </c>
      <c r="C106" s="349" t="s">
        <v>717</v>
      </c>
      <c r="D106" s="221">
        <v>42900.0</v>
      </c>
      <c r="E106" s="153">
        <f t="array" ref="E106">_xlfn.XLOOKUP(B106,Stock1!F:F,Stock1!J:J,"")</f>
        <v>1</v>
      </c>
      <c r="F106" s="222">
        <f t="array" ref="F106">_xlfn.XLOOKUP(B106,Stock2!F:F,Stock2!J:J,"")</f>
        <v>1</v>
      </c>
      <c r="G106" s="178">
        <v>5000.0</v>
      </c>
      <c r="H106" s="158">
        <f t="shared" si="14"/>
        <v>37900</v>
      </c>
      <c r="I106" s="175"/>
      <c r="J106" s="158"/>
      <c r="K106" s="158"/>
      <c r="L106" s="211"/>
      <c r="M106" s="158"/>
      <c r="N106" s="158"/>
      <c r="O106" s="175"/>
      <c r="P106" s="158"/>
      <c r="Q106" s="158"/>
      <c r="R106" s="158"/>
      <c r="S106" s="337"/>
      <c r="T106" s="351"/>
      <c r="U106" s="366"/>
      <c r="V106" s="386"/>
      <c r="W106" s="330"/>
      <c r="X106" s="369"/>
      <c r="Y106" s="76"/>
      <c r="Z106" s="331"/>
      <c r="AA106" s="331"/>
      <c r="AB106" s="331"/>
      <c r="AC106" s="331"/>
      <c r="AD106" s="331"/>
      <c r="AE106" s="331"/>
      <c r="AF106" s="331"/>
      <c r="AG106" s="331"/>
      <c r="AH106" s="331"/>
      <c r="AI106" s="331"/>
      <c r="AJ106" s="331"/>
      <c r="AK106" s="331"/>
      <c r="AL106" s="331"/>
    </row>
    <row r="107">
      <c r="A107" s="326" t="s">
        <v>766</v>
      </c>
      <c r="B107" s="261" t="s">
        <v>768</v>
      </c>
      <c r="C107" s="340" t="s">
        <v>706</v>
      </c>
      <c r="D107" s="341">
        <v>50900.0</v>
      </c>
      <c r="E107" s="153" t="str">
        <f t="array" ref="E107">_xlfn.XLOOKUP(B107,Stock1!F:F,Stock1!J:J,"")</f>
        <v/>
      </c>
      <c r="F107" s="222" t="str">
        <f t="array" ref="F107">_xlfn.XLOOKUP(B107,Stock2!F:F,Stock2!J:J,"")</f>
        <v/>
      </c>
      <c r="G107" s="178">
        <v>5000.0</v>
      </c>
      <c r="H107" s="158">
        <f t="shared" si="14"/>
        <v>45900</v>
      </c>
      <c r="I107" s="175"/>
      <c r="J107" s="158"/>
      <c r="K107" s="158"/>
      <c r="L107" s="211"/>
      <c r="M107" s="158"/>
      <c r="N107" s="158"/>
      <c r="O107" s="175"/>
      <c r="P107" s="158"/>
      <c r="Q107" s="158"/>
      <c r="R107" s="158"/>
      <c r="S107" s="337"/>
      <c r="T107" s="351"/>
      <c r="U107" s="366"/>
      <c r="V107" s="386"/>
      <c r="W107" s="330"/>
      <c r="X107" s="369"/>
      <c r="Y107" s="76"/>
      <c r="Z107" s="331"/>
      <c r="AA107" s="331"/>
      <c r="AB107" s="331"/>
      <c r="AC107" s="331"/>
      <c r="AD107" s="331"/>
      <c r="AE107" s="331"/>
      <c r="AF107" s="331"/>
      <c r="AG107" s="331"/>
      <c r="AH107" s="331"/>
      <c r="AI107" s="331"/>
      <c r="AJ107" s="331"/>
      <c r="AK107" s="331"/>
      <c r="AL107" s="331"/>
    </row>
    <row r="108">
      <c r="A108" s="172"/>
      <c r="B108" s="298" t="s">
        <v>772</v>
      </c>
      <c r="C108" s="343" t="s">
        <v>251</v>
      </c>
      <c r="D108" s="333">
        <v>50900.0</v>
      </c>
      <c r="E108" s="153" t="str">
        <f t="array" ref="E108">_xlfn.XLOOKUP(B108,Stock1!F:F,Stock1!J:J,"")</f>
        <v/>
      </c>
      <c r="F108" s="222" t="str">
        <f t="array" ref="F108">_xlfn.XLOOKUP(B108,Stock2!F:F,Stock2!J:J,"")</f>
        <v/>
      </c>
      <c r="G108" s="178">
        <v>5000.0</v>
      </c>
      <c r="H108" s="158">
        <f t="shared" si="14"/>
        <v>45900</v>
      </c>
      <c r="I108" s="175"/>
      <c r="J108" s="158"/>
      <c r="K108" s="158"/>
      <c r="L108" s="211"/>
      <c r="M108" s="158"/>
      <c r="N108" s="158"/>
      <c r="O108" s="175"/>
      <c r="P108" s="158"/>
      <c r="Q108" s="158"/>
      <c r="R108" s="158"/>
      <c r="S108" s="337"/>
      <c r="T108" s="351"/>
      <c r="U108" s="366"/>
      <c r="V108" s="386"/>
      <c r="W108" s="330"/>
      <c r="X108" s="369"/>
      <c r="Y108" s="76"/>
      <c r="Z108" s="331"/>
      <c r="AA108" s="331"/>
      <c r="AB108" s="331"/>
      <c r="AC108" s="331"/>
      <c r="AD108" s="331"/>
      <c r="AE108" s="331"/>
      <c r="AF108" s="331"/>
      <c r="AG108" s="331"/>
      <c r="AH108" s="331"/>
      <c r="AI108" s="331"/>
      <c r="AJ108" s="331"/>
      <c r="AK108" s="331"/>
      <c r="AL108" s="331"/>
    </row>
    <row r="109">
      <c r="A109" s="179"/>
      <c r="B109" s="325" t="s">
        <v>775</v>
      </c>
      <c r="C109" s="357" t="s">
        <v>717</v>
      </c>
      <c r="D109" s="358">
        <v>50900.0</v>
      </c>
      <c r="E109" s="153" t="str">
        <f t="array" ref="E109">_xlfn.XLOOKUP(B109,Stock1!F:F,Stock1!J:J,"")</f>
        <v/>
      </c>
      <c r="F109" s="222" t="str">
        <f t="array" ref="F109">_xlfn.XLOOKUP(B109,Stock2!F:F,Stock2!J:J,"")</f>
        <v/>
      </c>
      <c r="G109" s="178">
        <v>5000.0</v>
      </c>
      <c r="H109" s="158">
        <f t="shared" si="14"/>
        <v>45900</v>
      </c>
      <c r="I109" s="175"/>
      <c r="J109" s="158"/>
      <c r="K109" s="158"/>
      <c r="L109" s="211"/>
      <c r="M109" s="158"/>
      <c r="N109" s="158"/>
      <c r="O109" s="175"/>
      <c r="P109" s="158"/>
      <c r="Q109" s="158"/>
      <c r="R109" s="158"/>
      <c r="S109" s="337"/>
      <c r="T109" s="351"/>
      <c r="U109" s="366"/>
      <c r="V109" s="386"/>
      <c r="W109" s="330"/>
      <c r="X109" s="369"/>
      <c r="Y109" s="76"/>
      <c r="Z109" s="331"/>
      <c r="AA109" s="331"/>
      <c r="AB109" s="331"/>
      <c r="AC109" s="331"/>
      <c r="AD109" s="331"/>
      <c r="AE109" s="331"/>
      <c r="AF109" s="331"/>
      <c r="AG109" s="331"/>
      <c r="AH109" s="331"/>
      <c r="AI109" s="331"/>
      <c r="AJ109" s="331"/>
      <c r="AK109" s="331"/>
      <c r="AL109" s="331"/>
    </row>
    <row r="110">
      <c r="A110" s="326" t="s">
        <v>658</v>
      </c>
      <c r="B110" s="290" t="s">
        <v>659</v>
      </c>
      <c r="C110" s="336" t="s">
        <v>619</v>
      </c>
      <c r="D110" s="209">
        <v>67900.0</v>
      </c>
      <c r="E110" s="153" t="str">
        <f t="array" ref="E110">_xlfn.XLOOKUP(B110,Stock1!F:F,Stock1!J:J,"")</f>
        <v/>
      </c>
      <c r="F110" s="222" t="str">
        <f t="array" ref="F110">_xlfn.XLOOKUP(B110,Stock2!F:F,Stock2!J:J,"")</f>
        <v/>
      </c>
      <c r="G110" s="178">
        <v>18000.0</v>
      </c>
      <c r="H110" s="158">
        <f t="shared" si="14"/>
        <v>49900</v>
      </c>
      <c r="I110" s="160" t="s">
        <v>89</v>
      </c>
      <c r="J110" s="158"/>
      <c r="K110" s="158"/>
      <c r="L110" s="211"/>
      <c r="M110" s="158"/>
      <c r="N110" s="158"/>
      <c r="O110" s="175"/>
      <c r="P110" s="158"/>
      <c r="Q110" s="158"/>
      <c r="R110" s="158"/>
      <c r="S110" s="337"/>
      <c r="T110" s="351"/>
      <c r="U110" s="366"/>
      <c r="V110" s="359" t="s">
        <v>787</v>
      </c>
      <c r="W110" s="330"/>
      <c r="X110" s="369"/>
      <c r="Y110" s="76"/>
      <c r="Z110" s="331"/>
      <c r="AA110" s="331"/>
      <c r="AB110" s="331"/>
      <c r="AC110" s="331"/>
      <c r="AD110" s="331"/>
      <c r="AE110" s="331"/>
      <c r="AF110" s="331"/>
      <c r="AG110" s="331"/>
      <c r="AH110" s="331"/>
      <c r="AI110" s="331"/>
      <c r="AJ110" s="331"/>
      <c r="AK110" s="331"/>
      <c r="AL110" s="331"/>
    </row>
    <row r="111">
      <c r="A111" s="172"/>
      <c r="B111" s="298" t="s">
        <v>668</v>
      </c>
      <c r="C111" s="343" t="s">
        <v>669</v>
      </c>
      <c r="D111" s="333">
        <v>67900.0</v>
      </c>
      <c r="E111" s="153" t="str">
        <f t="array" ref="E111">_xlfn.XLOOKUP(B111,Stock1!F:F,Stock1!J:J,"")</f>
        <v/>
      </c>
      <c r="F111" s="222" t="str">
        <f t="array" ref="F111">_xlfn.XLOOKUP(B111,Stock2!F:F,Stock2!J:J,"")</f>
        <v/>
      </c>
      <c r="G111" s="178">
        <v>18000.0</v>
      </c>
      <c r="H111" s="158">
        <f t="shared" si="14"/>
        <v>49900</v>
      </c>
      <c r="I111" s="175"/>
      <c r="J111" s="158"/>
      <c r="K111" s="158"/>
      <c r="L111" s="175"/>
      <c r="M111" s="158"/>
      <c r="N111" s="158"/>
      <c r="O111" s="175"/>
      <c r="P111" s="158"/>
      <c r="Q111" s="158"/>
      <c r="R111" s="158"/>
      <c r="S111" s="337"/>
      <c r="T111" s="351"/>
      <c r="U111" s="366"/>
      <c r="V111" s="76"/>
      <c r="W111" s="330"/>
      <c r="X111" s="369"/>
      <c r="Y111" s="76"/>
      <c r="Z111" s="331"/>
      <c r="AA111" s="331"/>
      <c r="AB111" s="331"/>
      <c r="AC111" s="331"/>
      <c r="AD111" s="331"/>
      <c r="AE111" s="331"/>
      <c r="AF111" s="331"/>
      <c r="AG111" s="331"/>
      <c r="AH111" s="331"/>
      <c r="AI111" s="331"/>
      <c r="AJ111" s="331"/>
      <c r="AK111" s="331"/>
      <c r="AL111" s="331"/>
    </row>
    <row r="112">
      <c r="A112" s="179"/>
      <c r="B112" s="274" t="s">
        <v>676</v>
      </c>
      <c r="C112" s="349" t="s">
        <v>628</v>
      </c>
      <c r="D112" s="221">
        <v>67900.0</v>
      </c>
      <c r="E112" s="153" t="str">
        <f t="array" ref="E112">_xlfn.XLOOKUP(B112,Stock1!F:F,Stock1!J:J,"")</f>
        <v/>
      </c>
      <c r="F112" s="222" t="str">
        <f t="array" ref="F112">_xlfn.XLOOKUP(B112,Stock2!F:F,Stock2!J:J,"")</f>
        <v/>
      </c>
      <c r="G112" s="178">
        <v>18000.0</v>
      </c>
      <c r="H112" s="158">
        <f t="shared" si="14"/>
        <v>49900</v>
      </c>
      <c r="I112" s="175"/>
      <c r="J112" s="158"/>
      <c r="K112" s="158"/>
      <c r="L112" s="175"/>
      <c r="M112" s="158"/>
      <c r="N112" s="158"/>
      <c r="O112" s="175"/>
      <c r="P112" s="158"/>
      <c r="Q112" s="158"/>
      <c r="R112" s="158"/>
      <c r="S112" s="337"/>
      <c r="T112" s="351"/>
      <c r="U112" s="366"/>
      <c r="V112" s="76"/>
      <c r="W112" s="330"/>
      <c r="X112" s="369"/>
      <c r="Y112" s="76"/>
      <c r="Z112" s="331"/>
      <c r="AA112" s="331"/>
      <c r="AB112" s="331"/>
      <c r="AC112" s="331"/>
      <c r="AD112" s="331"/>
      <c r="AE112" s="331"/>
      <c r="AF112" s="331"/>
      <c r="AG112" s="331"/>
      <c r="AH112" s="331"/>
      <c r="AI112" s="331"/>
      <c r="AJ112" s="331"/>
      <c r="AK112" s="331"/>
      <c r="AL112" s="331"/>
    </row>
    <row r="113">
      <c r="A113" s="326" t="s">
        <v>683</v>
      </c>
      <c r="B113" s="290" t="s">
        <v>686</v>
      </c>
      <c r="C113" s="336" t="s">
        <v>619</v>
      </c>
      <c r="D113" s="209">
        <v>75900.0</v>
      </c>
      <c r="E113" s="153" t="str">
        <f t="array" ref="E113">_xlfn.XLOOKUP(B113,Stock1!F:F,Stock1!J:J,"")</f>
        <v/>
      </c>
      <c r="F113" s="222" t="str">
        <f t="array" ref="F113">_xlfn.XLOOKUP(B113,Stock2!F:F,Stock2!J:J,"")</f>
        <v/>
      </c>
      <c r="G113" s="178">
        <v>18000.0</v>
      </c>
      <c r="H113" s="158">
        <f t="shared" si="14"/>
        <v>57900</v>
      </c>
      <c r="I113" s="175"/>
      <c r="J113" s="158"/>
      <c r="K113" s="158"/>
      <c r="L113" s="175"/>
      <c r="M113" s="158"/>
      <c r="N113" s="158"/>
      <c r="O113" s="175"/>
      <c r="P113" s="158"/>
      <c r="Q113" s="158"/>
      <c r="R113" s="158"/>
      <c r="S113" s="337"/>
      <c r="T113" s="351"/>
      <c r="U113" s="366"/>
      <c r="V113" s="76"/>
      <c r="W113" s="330"/>
      <c r="X113" s="369"/>
      <c r="Y113" s="76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</row>
    <row r="114">
      <c r="A114" s="172"/>
      <c r="B114" s="298" t="s">
        <v>692</v>
      </c>
      <c r="C114" s="343" t="s">
        <v>669</v>
      </c>
      <c r="D114" s="333">
        <v>75900.0</v>
      </c>
      <c r="E114" s="153" t="str">
        <f t="array" ref="E114">_xlfn.XLOOKUP(B114,Stock1!F:F,Stock1!J:J,"")</f>
        <v/>
      </c>
      <c r="F114" s="222" t="str">
        <f t="array" ref="F114">_xlfn.XLOOKUP(B114,Stock2!F:F,Stock2!J:J,"")</f>
        <v/>
      </c>
      <c r="G114" s="178">
        <v>18000.0</v>
      </c>
      <c r="H114" s="158">
        <f t="shared" si="14"/>
        <v>57900</v>
      </c>
      <c r="I114" s="175"/>
      <c r="J114" s="158"/>
      <c r="K114" s="158"/>
      <c r="L114" s="175"/>
      <c r="M114" s="158"/>
      <c r="N114" s="158"/>
      <c r="O114" s="175"/>
      <c r="P114" s="158"/>
      <c r="Q114" s="158"/>
      <c r="R114" s="158"/>
      <c r="S114" s="337"/>
      <c r="T114" s="351"/>
      <c r="U114" s="366"/>
      <c r="V114" s="76"/>
      <c r="W114" s="330"/>
      <c r="X114" s="369"/>
      <c r="Y114" s="76"/>
      <c r="Z114" s="331"/>
      <c r="AA114" s="331"/>
      <c r="AB114" s="331"/>
      <c r="AC114" s="331"/>
      <c r="AD114" s="331"/>
      <c r="AE114" s="331"/>
      <c r="AF114" s="331"/>
      <c r="AG114" s="331"/>
      <c r="AH114" s="331"/>
      <c r="AI114" s="331"/>
      <c r="AJ114" s="331"/>
      <c r="AK114" s="331"/>
      <c r="AL114" s="331"/>
    </row>
    <row r="115">
      <c r="A115" s="179"/>
      <c r="B115" s="274" t="s">
        <v>695</v>
      </c>
      <c r="C115" s="349" t="s">
        <v>628</v>
      </c>
      <c r="D115" s="221">
        <v>75900.0</v>
      </c>
      <c r="E115" s="153" t="str">
        <f t="array" ref="E115">_xlfn.XLOOKUP(B115,Stock1!F:F,Stock1!J:J,"")</f>
        <v/>
      </c>
      <c r="F115" s="222" t="str">
        <f t="array" ref="F115">_xlfn.XLOOKUP(B115,Stock2!F:F,Stock2!J:J,"")</f>
        <v/>
      </c>
      <c r="G115" s="178">
        <v>18000.0</v>
      </c>
      <c r="H115" s="158">
        <f t="shared" si="14"/>
        <v>57900</v>
      </c>
      <c r="I115" s="175"/>
      <c r="J115" s="158"/>
      <c r="K115" s="158"/>
      <c r="L115" s="175"/>
      <c r="M115" s="158"/>
      <c r="N115" s="158"/>
      <c r="O115" s="175"/>
      <c r="P115" s="158"/>
      <c r="Q115" s="158"/>
      <c r="R115" s="158"/>
      <c r="S115" s="337"/>
      <c r="T115" s="351"/>
      <c r="U115" s="366"/>
      <c r="V115" s="76"/>
      <c r="W115" s="330"/>
      <c r="X115" s="369"/>
      <c r="Y115" s="76"/>
      <c r="Z115" s="331"/>
      <c r="AA115" s="331"/>
      <c r="AB115" s="331"/>
      <c r="AC115" s="331"/>
      <c r="AD115" s="331"/>
      <c r="AE115" s="331"/>
      <c r="AF115" s="331"/>
      <c r="AG115" s="331"/>
      <c r="AH115" s="331"/>
      <c r="AI115" s="331"/>
      <c r="AJ115" s="331"/>
      <c r="AK115" s="331"/>
      <c r="AL115" s="331"/>
    </row>
    <row r="116">
      <c r="A116" s="326" t="s">
        <v>702</v>
      </c>
      <c r="B116" s="290" t="s">
        <v>703</v>
      </c>
      <c r="C116" s="336" t="s">
        <v>619</v>
      </c>
      <c r="D116" s="209">
        <v>87900.0</v>
      </c>
      <c r="E116" s="153" t="str">
        <f t="array" ref="E116">_xlfn.XLOOKUP(B116,Stock1!F:F,Stock1!J:J,"")</f>
        <v/>
      </c>
      <c r="F116" s="222" t="str">
        <f t="array" ref="F116">_xlfn.XLOOKUP(B116,Stock2!F:F,Stock2!J:J,"")</f>
        <v/>
      </c>
      <c r="G116" s="178">
        <v>18000.0</v>
      </c>
      <c r="H116" s="158">
        <f t="shared" si="14"/>
        <v>69900</v>
      </c>
      <c r="I116" s="175"/>
      <c r="J116" s="158"/>
      <c r="K116" s="158"/>
      <c r="L116" s="175"/>
      <c r="M116" s="158"/>
      <c r="N116" s="158"/>
      <c r="O116" s="175"/>
      <c r="P116" s="158"/>
      <c r="Q116" s="158"/>
      <c r="R116" s="158"/>
      <c r="S116" s="337"/>
      <c r="T116" s="351"/>
      <c r="U116" s="366"/>
      <c r="V116" s="76"/>
      <c r="W116" s="330"/>
      <c r="X116" s="369"/>
      <c r="Y116" s="76"/>
      <c r="Z116" s="331"/>
      <c r="AA116" s="331"/>
      <c r="AB116" s="331"/>
      <c r="AC116" s="331"/>
      <c r="AD116" s="331"/>
      <c r="AE116" s="331"/>
      <c r="AF116" s="331"/>
      <c r="AG116" s="331"/>
      <c r="AH116" s="331"/>
      <c r="AI116" s="331"/>
      <c r="AJ116" s="331"/>
      <c r="AK116" s="331"/>
      <c r="AL116" s="331"/>
    </row>
    <row r="117">
      <c r="A117" s="179"/>
      <c r="B117" s="274" t="s">
        <v>707</v>
      </c>
      <c r="C117" s="349" t="s">
        <v>628</v>
      </c>
      <c r="D117" s="221">
        <v>87900.0</v>
      </c>
      <c r="E117" s="153" t="str">
        <f t="array" ref="E117">_xlfn.XLOOKUP(B117,Stock1!F:F,Stock1!J:J,"")</f>
        <v/>
      </c>
      <c r="F117" s="222" t="str">
        <f t="array" ref="F117">_xlfn.XLOOKUP(B117,Stock2!F:F,Stock2!J:J,"")</f>
        <v/>
      </c>
      <c r="G117" s="178">
        <v>18000.0</v>
      </c>
      <c r="H117" s="158">
        <f t="shared" si="14"/>
        <v>69900</v>
      </c>
      <c r="I117" s="175"/>
      <c r="J117" s="158"/>
      <c r="K117" s="158"/>
      <c r="L117" s="175"/>
      <c r="M117" s="158"/>
      <c r="N117" s="158"/>
      <c r="O117" s="175"/>
      <c r="P117" s="158"/>
      <c r="Q117" s="158"/>
      <c r="R117" s="158"/>
      <c r="S117" s="337"/>
      <c r="T117" s="351"/>
      <c r="U117" s="366"/>
      <c r="V117" s="119"/>
      <c r="W117" s="330"/>
      <c r="X117" s="369"/>
      <c r="Y117" s="76"/>
      <c r="Z117" s="331"/>
      <c r="AA117" s="331"/>
      <c r="AB117" s="331"/>
      <c r="AC117" s="331"/>
      <c r="AD117" s="331"/>
      <c r="AE117" s="331"/>
      <c r="AF117" s="331"/>
      <c r="AG117" s="331"/>
      <c r="AH117" s="331"/>
      <c r="AI117" s="331"/>
      <c r="AJ117" s="331"/>
      <c r="AK117" s="331"/>
      <c r="AL117" s="331"/>
    </row>
    <row r="118">
      <c r="A118" s="326" t="s">
        <v>824</v>
      </c>
      <c r="B118" s="392" t="s">
        <v>828</v>
      </c>
      <c r="C118" s="340" t="s">
        <v>830</v>
      </c>
      <c r="D118" s="393">
        <v>61900.0</v>
      </c>
      <c r="E118" s="153" t="str">
        <f t="array" ref="E118">_xlfn.XLOOKUP(B118,Stock1!F:F,Stock1!J:J,"")</f>
        <v/>
      </c>
      <c r="F118" s="222" t="str">
        <f t="array" ref="F118">_xlfn.XLOOKUP(B118,Stock2!F:F,Stock2!J:J,"")</f>
        <v/>
      </c>
      <c r="G118" s="158">
        <v>1000.0</v>
      </c>
      <c r="H118" s="158">
        <f t="shared" si="14"/>
        <v>60900</v>
      </c>
      <c r="I118" s="160" t="s">
        <v>833</v>
      </c>
      <c r="J118" s="158"/>
      <c r="K118" s="211" t="s">
        <v>834</v>
      </c>
      <c r="L118" s="324" t="s">
        <v>710</v>
      </c>
      <c r="M118" s="158"/>
      <c r="N118" s="158"/>
      <c r="O118" s="355"/>
      <c r="P118" s="158"/>
      <c r="Q118" s="158"/>
      <c r="R118" s="158"/>
      <c r="S118" s="394"/>
      <c r="T118" s="281"/>
      <c r="U118" s="395"/>
      <c r="V118" s="359" t="s">
        <v>712</v>
      </c>
      <c r="W118" s="396"/>
      <c r="X118" s="369"/>
      <c r="Y118" s="339"/>
      <c r="Z118" s="331"/>
      <c r="AA118" s="331"/>
      <c r="AB118" s="331"/>
      <c r="AC118" s="331"/>
      <c r="AD118" s="331"/>
      <c r="AE118" s="331"/>
      <c r="AF118" s="331"/>
      <c r="AG118" s="331"/>
      <c r="AH118" s="331"/>
      <c r="AI118" s="331"/>
      <c r="AJ118" s="331"/>
      <c r="AK118" s="331"/>
      <c r="AL118" s="331"/>
    </row>
    <row r="119">
      <c r="A119" s="172"/>
      <c r="B119" s="397" t="s">
        <v>840</v>
      </c>
      <c r="C119" s="343" t="s">
        <v>251</v>
      </c>
      <c r="D119" s="398">
        <v>61900.0</v>
      </c>
      <c r="E119" s="153" t="str">
        <f t="array" ref="E119">_xlfn.XLOOKUP(B119,Stock1!F:F,Stock1!J:J,"")</f>
        <v/>
      </c>
      <c r="F119" s="222" t="str">
        <f t="array" ref="F119">_xlfn.XLOOKUP(B119,Stock2!F:F,Stock2!J:J,"")</f>
        <v/>
      </c>
      <c r="G119" s="158">
        <v>1000.0</v>
      </c>
      <c r="H119" s="158">
        <f t="shared" si="14"/>
        <v>60900</v>
      </c>
      <c r="I119" s="175"/>
      <c r="J119" s="158"/>
      <c r="K119" s="175"/>
      <c r="L119" s="175"/>
      <c r="M119" s="158"/>
      <c r="N119" s="158"/>
      <c r="O119" s="355"/>
      <c r="P119" s="158"/>
      <c r="Q119" s="158"/>
      <c r="R119" s="158"/>
      <c r="S119" s="394"/>
      <c r="T119" s="281"/>
      <c r="U119" s="395"/>
      <c r="V119" s="76"/>
      <c r="W119" s="396"/>
      <c r="X119" s="369"/>
      <c r="Y119" s="339"/>
      <c r="Z119" s="331"/>
      <c r="AA119" s="331"/>
      <c r="AB119" s="331"/>
      <c r="AC119" s="331"/>
      <c r="AD119" s="331"/>
      <c r="AE119" s="331"/>
      <c r="AF119" s="331"/>
      <c r="AG119" s="331"/>
      <c r="AH119" s="331"/>
      <c r="AI119" s="331"/>
      <c r="AJ119" s="331"/>
      <c r="AK119" s="331"/>
      <c r="AL119" s="331"/>
    </row>
    <row r="120">
      <c r="A120" s="179"/>
      <c r="B120" s="399" t="s">
        <v>847</v>
      </c>
      <c r="C120" s="349" t="s">
        <v>717</v>
      </c>
      <c r="D120" s="401">
        <v>61900.0</v>
      </c>
      <c r="E120" s="153" t="str">
        <f t="array" ref="E120">_xlfn.XLOOKUP(B120,Stock1!F:F,Stock1!J:J,"")</f>
        <v/>
      </c>
      <c r="F120" s="222" t="str">
        <f t="array" ref="F120">_xlfn.XLOOKUP(B120,Stock2!F:F,Stock2!J:J,"")</f>
        <v/>
      </c>
      <c r="G120" s="158">
        <v>1000.0</v>
      </c>
      <c r="H120" s="158">
        <f t="shared" si="14"/>
        <v>60900</v>
      </c>
      <c r="I120" s="175"/>
      <c r="J120" s="158"/>
      <c r="K120" s="175"/>
      <c r="L120" s="175"/>
      <c r="M120" s="158"/>
      <c r="N120" s="158"/>
      <c r="O120" s="355"/>
      <c r="P120" s="158"/>
      <c r="Q120" s="158"/>
      <c r="R120" s="158"/>
      <c r="S120" s="394"/>
      <c r="T120" s="281"/>
      <c r="U120" s="395"/>
      <c r="V120" s="76"/>
      <c r="W120" s="396"/>
      <c r="X120" s="369"/>
      <c r="Y120" s="339"/>
      <c r="Z120" s="331"/>
      <c r="AA120" s="331"/>
      <c r="AB120" s="331"/>
      <c r="AC120" s="331"/>
      <c r="AD120" s="331"/>
      <c r="AE120" s="331"/>
      <c r="AF120" s="331"/>
      <c r="AG120" s="331"/>
      <c r="AH120" s="331"/>
      <c r="AI120" s="331"/>
      <c r="AJ120" s="331"/>
      <c r="AK120" s="331"/>
      <c r="AL120" s="331"/>
    </row>
    <row r="121">
      <c r="A121" s="326" t="s">
        <v>853</v>
      </c>
      <c r="B121" s="392" t="s">
        <v>854</v>
      </c>
      <c r="C121" s="340" t="s">
        <v>830</v>
      </c>
      <c r="D121" s="393">
        <v>69900.0</v>
      </c>
      <c r="E121" s="153" t="str">
        <f t="array" ref="E121">_xlfn.XLOOKUP(B121,Stock1!F:F,Stock1!J:J,"")</f>
        <v/>
      </c>
      <c r="F121" s="222" t="str">
        <f t="array" ref="F121">_xlfn.XLOOKUP(B121,Stock2!F:F,Stock2!J:J,"")</f>
        <v/>
      </c>
      <c r="G121" s="158">
        <v>5000.0</v>
      </c>
      <c r="H121" s="158">
        <f t="shared" si="14"/>
        <v>64900</v>
      </c>
      <c r="I121" s="160" t="s">
        <v>861</v>
      </c>
      <c r="J121" s="158"/>
      <c r="K121" s="175"/>
      <c r="L121" s="175"/>
      <c r="M121" s="158"/>
      <c r="N121" s="158"/>
      <c r="O121" s="355"/>
      <c r="P121" s="158"/>
      <c r="Q121" s="158"/>
      <c r="R121" s="158"/>
      <c r="S121" s="394"/>
      <c r="T121" s="281"/>
      <c r="U121" s="395"/>
      <c r="V121" s="76"/>
      <c r="W121" s="396"/>
      <c r="X121" s="369"/>
      <c r="Y121" s="339"/>
      <c r="Z121" s="331"/>
      <c r="AA121" s="331"/>
      <c r="AB121" s="331"/>
      <c r="AC121" s="331"/>
      <c r="AD121" s="331"/>
      <c r="AE121" s="331"/>
      <c r="AF121" s="331"/>
      <c r="AG121" s="331"/>
      <c r="AH121" s="331"/>
      <c r="AI121" s="331"/>
      <c r="AJ121" s="331"/>
      <c r="AK121" s="331"/>
      <c r="AL121" s="331"/>
    </row>
    <row r="122">
      <c r="A122" s="172"/>
      <c r="B122" s="397" t="s">
        <v>862</v>
      </c>
      <c r="C122" s="343" t="s">
        <v>251</v>
      </c>
      <c r="D122" s="398">
        <v>69900.0</v>
      </c>
      <c r="E122" s="153" t="str">
        <f t="array" ref="E122">_xlfn.XLOOKUP(B122,Stock1!F:F,Stock1!J:J,"")</f>
        <v/>
      </c>
      <c r="F122" s="222">
        <f t="array" ref="F122">_xlfn.XLOOKUP(B122,Stock2!F:F,Stock2!J:J,"")</f>
        <v>1</v>
      </c>
      <c r="G122" s="158">
        <v>5000.0</v>
      </c>
      <c r="H122" s="158">
        <f t="shared" si="14"/>
        <v>64900</v>
      </c>
      <c r="I122" s="175"/>
      <c r="J122" s="158"/>
      <c r="K122" s="175"/>
      <c r="L122" s="175"/>
      <c r="M122" s="158"/>
      <c r="N122" s="158"/>
      <c r="O122" s="355"/>
      <c r="P122" s="158"/>
      <c r="Q122" s="158"/>
      <c r="R122" s="158"/>
      <c r="S122" s="394"/>
      <c r="T122" s="281"/>
      <c r="U122" s="395"/>
      <c r="V122" s="76"/>
      <c r="W122" s="396"/>
      <c r="X122" s="369"/>
      <c r="Y122" s="339"/>
      <c r="Z122" s="331"/>
      <c r="AA122" s="331"/>
      <c r="AB122" s="331"/>
      <c r="AC122" s="331"/>
      <c r="AD122" s="331"/>
      <c r="AE122" s="331"/>
      <c r="AF122" s="331"/>
      <c r="AG122" s="331"/>
      <c r="AH122" s="331"/>
      <c r="AI122" s="331"/>
      <c r="AJ122" s="331"/>
      <c r="AK122" s="331"/>
      <c r="AL122" s="331"/>
    </row>
    <row r="123">
      <c r="A123" s="179"/>
      <c r="B123" s="399" t="s">
        <v>868</v>
      </c>
      <c r="C123" s="349" t="s">
        <v>717</v>
      </c>
      <c r="D123" s="401">
        <v>69900.0</v>
      </c>
      <c r="E123" s="153" t="str">
        <f t="array" ref="E123">_xlfn.XLOOKUP(B123,Stock1!F:F,Stock1!J:J,"")</f>
        <v/>
      </c>
      <c r="F123" s="222" t="str">
        <f t="array" ref="F123">_xlfn.XLOOKUP(B123,Stock2!F:F,Stock2!J:J,"")</f>
        <v/>
      </c>
      <c r="G123" s="158">
        <v>5000.0</v>
      </c>
      <c r="H123" s="158">
        <f t="shared" si="14"/>
        <v>64900</v>
      </c>
      <c r="I123" s="175"/>
      <c r="J123" s="158"/>
      <c r="K123" s="175"/>
      <c r="L123" s="175"/>
      <c r="M123" s="158"/>
      <c r="N123" s="158"/>
      <c r="O123" s="355"/>
      <c r="P123" s="158"/>
      <c r="Q123" s="158"/>
      <c r="R123" s="158"/>
      <c r="S123" s="394"/>
      <c r="T123" s="281"/>
      <c r="U123" s="395"/>
      <c r="V123" s="76"/>
      <c r="W123" s="396"/>
      <c r="X123" s="369"/>
      <c r="Y123" s="339"/>
      <c r="Z123" s="331"/>
      <c r="AA123" s="331"/>
      <c r="AB123" s="331"/>
      <c r="AC123" s="331"/>
      <c r="AD123" s="331"/>
      <c r="AE123" s="331"/>
      <c r="AF123" s="331"/>
      <c r="AG123" s="331"/>
      <c r="AH123" s="331"/>
      <c r="AI123" s="331"/>
      <c r="AJ123" s="331"/>
      <c r="AK123" s="331"/>
      <c r="AL123" s="331"/>
    </row>
    <row r="124">
      <c r="A124" s="326" t="s">
        <v>873</v>
      </c>
      <c r="B124" s="392" t="s">
        <v>875</v>
      </c>
      <c r="C124" s="340" t="s">
        <v>830</v>
      </c>
      <c r="D124" s="393">
        <v>85900.0</v>
      </c>
      <c r="E124" s="153" t="str">
        <f t="array" ref="E124">_xlfn.XLOOKUP(B124,Stock1!F:F,Stock1!J:J,"")</f>
        <v/>
      </c>
      <c r="F124" s="222" t="str">
        <f t="array" ref="F124">_xlfn.XLOOKUP(B124,Stock2!F:F,Stock2!J:J,"")</f>
        <v/>
      </c>
      <c r="G124" s="158">
        <v>5000.0</v>
      </c>
      <c r="H124" s="158">
        <f t="shared" si="14"/>
        <v>80900</v>
      </c>
      <c r="I124" s="175"/>
      <c r="J124" s="158"/>
      <c r="K124" s="175"/>
      <c r="L124" s="175"/>
      <c r="M124" s="158"/>
      <c r="N124" s="158"/>
      <c r="O124" s="355"/>
      <c r="P124" s="158"/>
      <c r="Q124" s="158"/>
      <c r="R124" s="158"/>
      <c r="S124" s="394"/>
      <c r="T124" s="281"/>
      <c r="U124" s="395"/>
      <c r="V124" s="359" t="s">
        <v>881</v>
      </c>
      <c r="W124" s="396"/>
      <c r="X124" s="369"/>
      <c r="Y124" s="339"/>
      <c r="Z124" s="331"/>
      <c r="AA124" s="331"/>
      <c r="AB124" s="331"/>
      <c r="AC124" s="331"/>
      <c r="AD124" s="331"/>
      <c r="AE124" s="331"/>
      <c r="AF124" s="331"/>
      <c r="AG124" s="331"/>
      <c r="AH124" s="331"/>
      <c r="AI124" s="331"/>
      <c r="AJ124" s="331"/>
      <c r="AK124" s="331"/>
      <c r="AL124" s="331"/>
    </row>
    <row r="125">
      <c r="A125" s="172"/>
      <c r="B125" s="397" t="s">
        <v>883</v>
      </c>
      <c r="C125" s="343" t="s">
        <v>251</v>
      </c>
      <c r="D125" s="398">
        <v>85900.0</v>
      </c>
      <c r="E125" s="153" t="str">
        <f t="array" ref="E125">_xlfn.XLOOKUP(B125,Stock1!F:F,Stock1!J:J,"")</f>
        <v/>
      </c>
      <c r="F125" s="222" t="str">
        <f t="array" ref="F125">_xlfn.XLOOKUP(B125,Stock2!F:F,Stock2!J:J,"")</f>
        <v/>
      </c>
      <c r="G125" s="158">
        <v>5000.0</v>
      </c>
      <c r="H125" s="158">
        <f t="shared" si="14"/>
        <v>80900</v>
      </c>
      <c r="I125" s="175"/>
      <c r="J125" s="158"/>
      <c r="K125" s="175"/>
      <c r="L125" s="175"/>
      <c r="M125" s="158"/>
      <c r="N125" s="158"/>
      <c r="O125" s="355"/>
      <c r="P125" s="158"/>
      <c r="Q125" s="158"/>
      <c r="R125" s="158"/>
      <c r="S125" s="394"/>
      <c r="T125" s="281"/>
      <c r="U125" s="395"/>
      <c r="V125" s="76"/>
      <c r="W125" s="396"/>
      <c r="X125" s="369"/>
      <c r="Y125" s="339"/>
      <c r="Z125" s="331"/>
      <c r="AA125" s="331"/>
      <c r="AB125" s="331"/>
      <c r="AC125" s="331"/>
      <c r="AD125" s="331"/>
      <c r="AE125" s="331"/>
      <c r="AF125" s="331"/>
      <c r="AG125" s="331"/>
      <c r="AH125" s="331"/>
      <c r="AI125" s="331"/>
      <c r="AJ125" s="331"/>
      <c r="AK125" s="331"/>
      <c r="AL125" s="331"/>
    </row>
    <row r="126">
      <c r="A126" s="179"/>
      <c r="B126" s="399" t="s">
        <v>887</v>
      </c>
      <c r="C126" s="349" t="s">
        <v>717</v>
      </c>
      <c r="D126" s="401">
        <v>85900.0</v>
      </c>
      <c r="E126" s="153" t="str">
        <f t="array" ref="E126">_xlfn.XLOOKUP(B126,Stock1!F:F,Stock1!J:J,"")</f>
        <v/>
      </c>
      <c r="F126" s="222" t="str">
        <f t="array" ref="F126">_xlfn.XLOOKUP(B126,Stock2!F:F,Stock2!J:J,"")</f>
        <v/>
      </c>
      <c r="G126" s="158">
        <v>5000.0</v>
      </c>
      <c r="H126" s="158">
        <f t="shared" si="14"/>
        <v>80900</v>
      </c>
      <c r="I126" s="175"/>
      <c r="J126" s="158"/>
      <c r="K126" s="175"/>
      <c r="L126" s="175"/>
      <c r="M126" s="158"/>
      <c r="N126" s="158"/>
      <c r="O126" s="355"/>
      <c r="P126" s="158"/>
      <c r="Q126" s="158"/>
      <c r="R126" s="158"/>
      <c r="S126" s="394"/>
      <c r="T126" s="281"/>
      <c r="U126" s="395"/>
      <c r="V126" s="76"/>
      <c r="W126" s="396"/>
      <c r="X126" s="369"/>
      <c r="Y126" s="339"/>
      <c r="Z126" s="331"/>
      <c r="AA126" s="331"/>
      <c r="AB126" s="331"/>
      <c r="AC126" s="331"/>
      <c r="AD126" s="331"/>
      <c r="AE126" s="331"/>
      <c r="AF126" s="331"/>
      <c r="AG126" s="331"/>
      <c r="AH126" s="331"/>
      <c r="AI126" s="331"/>
      <c r="AJ126" s="331"/>
      <c r="AK126" s="331"/>
      <c r="AL126" s="331"/>
    </row>
    <row r="127">
      <c r="A127" s="326" t="s">
        <v>892</v>
      </c>
      <c r="B127" s="392" t="s">
        <v>893</v>
      </c>
      <c r="C127" s="340" t="s">
        <v>830</v>
      </c>
      <c r="D127" s="393">
        <v>61900.0</v>
      </c>
      <c r="E127" s="153">
        <f t="array" ref="E127">_xlfn.XLOOKUP(B127,Stock1!F:F,Stock1!J:J,"")</f>
        <v>1</v>
      </c>
      <c r="F127" s="222">
        <f t="array" ref="F127">_xlfn.XLOOKUP(B127,Stock2!F:F,Stock2!J:J,"")</f>
        <v>2</v>
      </c>
      <c r="G127" s="158"/>
      <c r="H127" s="158"/>
      <c r="I127" s="355"/>
      <c r="J127" s="158"/>
      <c r="K127" s="175"/>
      <c r="L127" s="175"/>
      <c r="M127" s="158"/>
      <c r="N127" s="158"/>
      <c r="O127" s="355"/>
      <c r="P127" s="158"/>
      <c r="Q127" s="158"/>
      <c r="R127" s="158"/>
      <c r="S127" s="394"/>
      <c r="T127" s="281"/>
      <c r="U127" s="395"/>
      <c r="V127" s="359" t="s">
        <v>898</v>
      </c>
      <c r="W127" s="396"/>
      <c r="X127" s="369"/>
      <c r="Y127" s="339"/>
      <c r="Z127" s="331"/>
      <c r="AA127" s="331"/>
      <c r="AB127" s="331"/>
      <c r="AC127" s="331"/>
      <c r="AD127" s="331"/>
      <c r="AE127" s="331"/>
      <c r="AF127" s="331"/>
      <c r="AG127" s="331"/>
      <c r="AH127" s="331"/>
      <c r="AI127" s="331"/>
      <c r="AJ127" s="331"/>
      <c r="AK127" s="331"/>
      <c r="AL127" s="331"/>
    </row>
    <row r="128">
      <c r="A128" s="172"/>
      <c r="B128" s="397" t="s">
        <v>901</v>
      </c>
      <c r="C128" s="343" t="s">
        <v>251</v>
      </c>
      <c r="D128" s="398">
        <v>61900.0</v>
      </c>
      <c r="E128" s="153">
        <f t="array" ref="E128">_xlfn.XLOOKUP(B128,Stock1!F:F,Stock1!J:J,"")</f>
        <v>2</v>
      </c>
      <c r="F128" s="222">
        <f t="array" ref="F128">_xlfn.XLOOKUP(B128,Stock2!F:F,Stock2!J:J,"")</f>
        <v>2</v>
      </c>
      <c r="G128" s="158"/>
      <c r="H128" s="158"/>
      <c r="I128" s="355"/>
      <c r="J128" s="158"/>
      <c r="K128" s="175"/>
      <c r="L128" s="175"/>
      <c r="M128" s="158"/>
      <c r="N128" s="158"/>
      <c r="O128" s="355"/>
      <c r="P128" s="158"/>
      <c r="Q128" s="158"/>
      <c r="R128" s="158"/>
      <c r="S128" s="394"/>
      <c r="T128" s="281"/>
      <c r="U128" s="395"/>
      <c r="V128" s="76"/>
      <c r="W128" s="396"/>
      <c r="X128" s="369"/>
      <c r="Y128" s="339"/>
      <c r="Z128" s="331"/>
      <c r="AA128" s="331"/>
      <c r="AB128" s="331"/>
      <c r="AC128" s="331"/>
      <c r="AD128" s="331"/>
      <c r="AE128" s="331"/>
      <c r="AF128" s="331"/>
      <c r="AG128" s="331"/>
      <c r="AH128" s="331"/>
      <c r="AI128" s="331"/>
      <c r="AJ128" s="331"/>
      <c r="AK128" s="331"/>
      <c r="AL128" s="331"/>
    </row>
    <row r="129">
      <c r="A129" s="179"/>
      <c r="B129" s="399" t="s">
        <v>906</v>
      </c>
      <c r="C129" s="349" t="s">
        <v>717</v>
      </c>
      <c r="D129" s="401">
        <v>61900.0</v>
      </c>
      <c r="E129" s="153" t="str">
        <f t="array" ref="E129">_xlfn.XLOOKUP(B129,Stock1!F:F,Stock1!J:J,"")</f>
        <v/>
      </c>
      <c r="F129" s="222" t="str">
        <f t="array" ref="F129">_xlfn.XLOOKUP(B129,Stock2!F:F,Stock2!J:J,"")</f>
        <v/>
      </c>
      <c r="G129" s="158"/>
      <c r="H129" s="158"/>
      <c r="I129" s="355"/>
      <c r="J129" s="158"/>
      <c r="K129" s="175"/>
      <c r="L129" s="175"/>
      <c r="M129" s="158"/>
      <c r="N129" s="158"/>
      <c r="O129" s="355"/>
      <c r="P129" s="158"/>
      <c r="Q129" s="158"/>
      <c r="R129" s="158"/>
      <c r="S129" s="394"/>
      <c r="T129" s="281"/>
      <c r="U129" s="395"/>
      <c r="V129" s="76"/>
      <c r="W129" s="396"/>
      <c r="X129" s="369"/>
      <c r="Y129" s="339"/>
      <c r="Z129" s="331"/>
      <c r="AA129" s="331"/>
      <c r="AB129" s="331"/>
      <c r="AC129" s="331"/>
      <c r="AD129" s="331"/>
      <c r="AE129" s="331"/>
      <c r="AF129" s="331"/>
      <c r="AG129" s="331"/>
      <c r="AH129" s="331"/>
      <c r="AI129" s="331"/>
      <c r="AJ129" s="331"/>
      <c r="AK129" s="331"/>
      <c r="AL129" s="331"/>
    </row>
    <row r="130">
      <c r="A130" s="326" t="s">
        <v>912</v>
      </c>
      <c r="B130" s="392" t="s">
        <v>913</v>
      </c>
      <c r="C130" s="340" t="s">
        <v>830</v>
      </c>
      <c r="D130" s="393">
        <v>69900.0</v>
      </c>
      <c r="E130" s="153" t="str">
        <f t="array" ref="E130">_xlfn.XLOOKUP(B130,Stock1!F:F,Stock1!J:J,"")</f>
        <v/>
      </c>
      <c r="F130" s="222" t="str">
        <f t="array" ref="F130">_xlfn.XLOOKUP(B130,Stock2!F:F,Stock2!J:J,"")</f>
        <v/>
      </c>
      <c r="G130" s="158"/>
      <c r="H130" s="158"/>
      <c r="I130" s="355"/>
      <c r="J130" s="158"/>
      <c r="K130" s="175"/>
      <c r="L130" s="175"/>
      <c r="M130" s="158"/>
      <c r="N130" s="158"/>
      <c r="O130" s="355"/>
      <c r="P130" s="158"/>
      <c r="Q130" s="158"/>
      <c r="R130" s="158"/>
      <c r="S130" s="394"/>
      <c r="T130" s="281"/>
      <c r="U130" s="395"/>
      <c r="V130" s="359" t="s">
        <v>898</v>
      </c>
      <c r="W130" s="396"/>
      <c r="X130" s="369"/>
      <c r="Y130" s="339"/>
      <c r="Z130" s="331"/>
      <c r="AA130" s="331"/>
      <c r="AB130" s="331"/>
      <c r="AC130" s="331"/>
      <c r="AD130" s="331"/>
      <c r="AE130" s="331"/>
      <c r="AF130" s="331"/>
      <c r="AG130" s="331"/>
      <c r="AH130" s="331"/>
      <c r="AI130" s="331"/>
      <c r="AJ130" s="331"/>
      <c r="AK130" s="331"/>
      <c r="AL130" s="331"/>
    </row>
    <row r="131">
      <c r="A131" s="172"/>
      <c r="B131" s="397" t="s">
        <v>919</v>
      </c>
      <c r="C131" s="343" t="s">
        <v>251</v>
      </c>
      <c r="D131" s="398">
        <v>69900.0</v>
      </c>
      <c r="E131" s="153" t="str">
        <f t="array" ref="E131">_xlfn.XLOOKUP(B131,Stock1!F:F,Stock1!J:J,"")</f>
        <v/>
      </c>
      <c r="F131" s="222" t="str">
        <f t="array" ref="F131">_xlfn.XLOOKUP(B131,Stock2!F:F,Stock2!J:J,"")</f>
        <v/>
      </c>
      <c r="G131" s="158"/>
      <c r="H131" s="158"/>
      <c r="I131" s="355"/>
      <c r="J131" s="158"/>
      <c r="K131" s="175"/>
      <c r="L131" s="175"/>
      <c r="M131" s="158"/>
      <c r="N131" s="158"/>
      <c r="O131" s="355"/>
      <c r="P131" s="158"/>
      <c r="Q131" s="158"/>
      <c r="R131" s="158"/>
      <c r="S131" s="394"/>
      <c r="T131" s="281"/>
      <c r="U131" s="395"/>
      <c r="V131" s="76"/>
      <c r="W131" s="396"/>
      <c r="X131" s="369"/>
      <c r="Y131" s="339"/>
      <c r="Z131" s="331"/>
      <c r="AA131" s="331"/>
      <c r="AB131" s="331"/>
      <c r="AC131" s="331"/>
      <c r="AD131" s="331"/>
      <c r="AE131" s="331"/>
      <c r="AF131" s="331"/>
      <c r="AG131" s="331"/>
      <c r="AH131" s="331"/>
      <c r="AI131" s="331"/>
      <c r="AJ131" s="331"/>
      <c r="AK131" s="331"/>
      <c r="AL131" s="331"/>
    </row>
    <row r="132">
      <c r="A132" s="179"/>
      <c r="B132" s="399" t="s">
        <v>925</v>
      </c>
      <c r="C132" s="349" t="s">
        <v>717</v>
      </c>
      <c r="D132" s="401">
        <v>69900.0</v>
      </c>
      <c r="E132" s="153" t="str">
        <f t="array" ref="E132">_xlfn.XLOOKUP(B132,Stock1!F:F,Stock1!J:J,"")</f>
        <v/>
      </c>
      <c r="F132" s="222" t="str">
        <f t="array" ref="F132">_xlfn.XLOOKUP(B132,Stock2!F:F,Stock2!J:J,"")</f>
        <v/>
      </c>
      <c r="G132" s="158"/>
      <c r="H132" s="158"/>
      <c r="I132" s="355"/>
      <c r="J132" s="158"/>
      <c r="K132" s="175"/>
      <c r="L132" s="175"/>
      <c r="M132" s="158"/>
      <c r="N132" s="158"/>
      <c r="O132" s="355"/>
      <c r="P132" s="158"/>
      <c r="Q132" s="158"/>
      <c r="R132" s="158"/>
      <c r="S132" s="394"/>
      <c r="T132" s="281"/>
      <c r="U132" s="395"/>
      <c r="V132" s="76"/>
      <c r="W132" s="396"/>
      <c r="X132" s="369"/>
      <c r="Y132" s="339"/>
      <c r="Z132" s="331"/>
      <c r="AA132" s="331"/>
      <c r="AB132" s="331"/>
      <c r="AC132" s="331"/>
      <c r="AD132" s="331"/>
      <c r="AE132" s="331"/>
      <c r="AF132" s="331"/>
      <c r="AG132" s="331"/>
      <c r="AH132" s="331"/>
      <c r="AI132" s="331"/>
      <c r="AJ132" s="331"/>
      <c r="AK132" s="331"/>
      <c r="AL132" s="331"/>
    </row>
    <row r="133">
      <c r="A133" s="326" t="s">
        <v>932</v>
      </c>
      <c r="B133" s="392" t="s">
        <v>933</v>
      </c>
      <c r="C133" s="340" t="s">
        <v>830</v>
      </c>
      <c r="D133" s="393">
        <v>85900.0</v>
      </c>
      <c r="E133" s="153" t="str">
        <f t="array" ref="E133">_xlfn.XLOOKUP(B133,Stock1!F:F,Stock1!J:J,"")</f>
        <v/>
      </c>
      <c r="F133" s="222" t="str">
        <f t="array" ref="F133">_xlfn.XLOOKUP(B133,Stock2!F:F,Stock2!J:J,"")</f>
        <v/>
      </c>
      <c r="G133" s="158"/>
      <c r="H133" s="158"/>
      <c r="I133" s="355"/>
      <c r="J133" s="158"/>
      <c r="K133" s="175"/>
      <c r="L133" s="175"/>
      <c r="M133" s="158"/>
      <c r="N133" s="158"/>
      <c r="O133" s="355"/>
      <c r="P133" s="158"/>
      <c r="Q133" s="158"/>
      <c r="R133" s="158"/>
      <c r="S133" s="394"/>
      <c r="T133" s="281"/>
      <c r="U133" s="395"/>
      <c r="V133" s="359" t="s">
        <v>938</v>
      </c>
      <c r="W133" s="396"/>
      <c r="X133" s="369"/>
      <c r="Y133" s="339"/>
      <c r="Z133" s="331"/>
      <c r="AA133" s="331"/>
      <c r="AB133" s="331"/>
      <c r="AC133" s="331"/>
      <c r="AD133" s="331"/>
      <c r="AE133" s="331"/>
      <c r="AF133" s="331"/>
      <c r="AG133" s="331"/>
      <c r="AH133" s="331"/>
      <c r="AI133" s="331"/>
      <c r="AJ133" s="331"/>
      <c r="AK133" s="331"/>
      <c r="AL133" s="331"/>
    </row>
    <row r="134">
      <c r="A134" s="172"/>
      <c r="B134" s="397" t="s">
        <v>939</v>
      </c>
      <c r="C134" s="343" t="s">
        <v>251</v>
      </c>
      <c r="D134" s="398">
        <v>85900.0</v>
      </c>
      <c r="E134" s="153" t="str">
        <f t="array" ref="E134">_xlfn.XLOOKUP(B134,Stock1!F:F,Stock1!J:J,"")</f>
        <v/>
      </c>
      <c r="F134" s="222" t="str">
        <f t="array" ref="F134">_xlfn.XLOOKUP(B134,Stock2!F:F,Stock2!J:J,"")</f>
        <v/>
      </c>
      <c r="G134" s="158"/>
      <c r="H134" s="158"/>
      <c r="I134" s="355"/>
      <c r="J134" s="158"/>
      <c r="K134" s="175"/>
      <c r="L134" s="175"/>
      <c r="M134" s="158"/>
      <c r="N134" s="158"/>
      <c r="O134" s="355"/>
      <c r="P134" s="158"/>
      <c r="Q134" s="158"/>
      <c r="R134" s="158"/>
      <c r="S134" s="394"/>
      <c r="T134" s="281"/>
      <c r="U134" s="395"/>
      <c r="V134" s="76"/>
      <c r="W134" s="396"/>
      <c r="X134" s="369"/>
      <c r="Y134" s="339"/>
      <c r="Z134" s="331"/>
      <c r="AA134" s="331"/>
      <c r="AB134" s="331"/>
      <c r="AC134" s="331"/>
      <c r="AD134" s="331"/>
      <c r="AE134" s="331"/>
      <c r="AF134" s="331"/>
      <c r="AG134" s="331"/>
      <c r="AH134" s="331"/>
      <c r="AI134" s="331"/>
      <c r="AJ134" s="331"/>
      <c r="AK134" s="331"/>
      <c r="AL134" s="331"/>
    </row>
    <row r="135">
      <c r="A135" s="179"/>
      <c r="B135" s="399" t="s">
        <v>945</v>
      </c>
      <c r="C135" s="349" t="s">
        <v>717</v>
      </c>
      <c r="D135" s="401">
        <v>85900.0</v>
      </c>
      <c r="E135" s="153" t="str">
        <f t="array" ref="E135">_xlfn.XLOOKUP(B135,Stock1!F:F,Stock1!J:J,"")</f>
        <v/>
      </c>
      <c r="F135" s="222" t="str">
        <f t="array" ref="F135">_xlfn.XLOOKUP(B135,Stock2!F:F,Stock2!J:J,"")</f>
        <v/>
      </c>
      <c r="G135" s="158"/>
      <c r="H135" s="158"/>
      <c r="I135" s="355"/>
      <c r="J135" s="158"/>
      <c r="K135" s="175"/>
      <c r="L135" s="175"/>
      <c r="M135" s="158"/>
      <c r="N135" s="158"/>
      <c r="O135" s="355"/>
      <c r="P135" s="158"/>
      <c r="Q135" s="158"/>
      <c r="R135" s="158"/>
      <c r="S135" s="394"/>
      <c r="T135" s="281"/>
      <c r="U135" s="395"/>
      <c r="V135" s="76"/>
      <c r="W135" s="396"/>
      <c r="X135" s="369"/>
      <c r="Y135" s="339"/>
      <c r="Z135" s="331"/>
      <c r="AA135" s="331"/>
      <c r="AB135" s="331"/>
      <c r="AC135" s="331"/>
      <c r="AD135" s="331"/>
      <c r="AE135" s="331"/>
      <c r="AF135" s="331"/>
      <c r="AG135" s="331"/>
      <c r="AH135" s="331"/>
      <c r="AI135" s="331"/>
      <c r="AJ135" s="331"/>
      <c r="AK135" s="331"/>
      <c r="AL135" s="331"/>
    </row>
    <row r="136">
      <c r="A136" s="326" t="s">
        <v>954</v>
      </c>
      <c r="B136" s="392" t="s">
        <v>955</v>
      </c>
      <c r="C136" s="340" t="s">
        <v>251</v>
      </c>
      <c r="D136" s="393">
        <v>69900.0</v>
      </c>
      <c r="E136" s="153" t="str">
        <f t="array" ref="E136">_xlfn.XLOOKUP(B136,Stock1!F:F,Stock1!J:J,"")</f>
        <v/>
      </c>
      <c r="F136" s="222" t="str">
        <f t="array" ref="F136">_xlfn.XLOOKUP(B136,Stock2!F:F,Stock2!J:J,"")</f>
        <v/>
      </c>
      <c r="G136" s="158">
        <v>1000.0</v>
      </c>
      <c r="H136" s="158">
        <f t="shared" ref="H136:H144" si="16">D136-G136</f>
        <v>68900</v>
      </c>
      <c r="I136" s="160" t="s">
        <v>833</v>
      </c>
      <c r="J136" s="158"/>
      <c r="K136" s="175"/>
      <c r="L136" s="175"/>
      <c r="M136" s="158"/>
      <c r="N136" s="158"/>
      <c r="O136" s="355"/>
      <c r="P136" s="158"/>
      <c r="Q136" s="158"/>
      <c r="R136" s="158"/>
      <c r="S136" s="394"/>
      <c r="T136" s="281"/>
      <c r="U136" s="395"/>
      <c r="V136" s="359" t="s">
        <v>712</v>
      </c>
      <c r="W136" s="396"/>
      <c r="X136" s="369"/>
      <c r="Y136" s="339"/>
      <c r="Z136" s="331"/>
      <c r="AA136" s="331"/>
      <c r="AB136" s="331"/>
      <c r="AC136" s="331"/>
      <c r="AD136" s="331"/>
      <c r="AE136" s="331"/>
      <c r="AF136" s="331"/>
      <c r="AG136" s="331"/>
      <c r="AH136" s="331"/>
      <c r="AI136" s="331"/>
      <c r="AJ136" s="331"/>
      <c r="AK136" s="331"/>
      <c r="AL136" s="331"/>
    </row>
    <row r="137">
      <c r="A137" s="172"/>
      <c r="B137" s="397" t="s">
        <v>965</v>
      </c>
      <c r="C137" s="343" t="s">
        <v>966</v>
      </c>
      <c r="D137" s="398">
        <v>69900.0</v>
      </c>
      <c r="E137" s="153" t="str">
        <f t="array" ref="E137">_xlfn.XLOOKUP(B137,Stock1!F:F,Stock1!J:J,"")</f>
        <v/>
      </c>
      <c r="F137" s="222" t="str">
        <f t="array" ref="F137">_xlfn.XLOOKUP(B137,Stock2!F:F,Stock2!J:J,"")</f>
        <v/>
      </c>
      <c r="G137" s="158">
        <v>1000.0</v>
      </c>
      <c r="H137" s="158">
        <f t="shared" si="16"/>
        <v>68900</v>
      </c>
      <c r="I137" s="175"/>
      <c r="J137" s="158"/>
      <c r="K137" s="175"/>
      <c r="L137" s="175"/>
      <c r="M137" s="158"/>
      <c r="N137" s="158"/>
      <c r="O137" s="355"/>
      <c r="P137" s="158"/>
      <c r="Q137" s="158"/>
      <c r="R137" s="158"/>
      <c r="S137" s="394"/>
      <c r="T137" s="281"/>
      <c r="U137" s="395"/>
      <c r="V137" s="76"/>
      <c r="W137" s="396"/>
      <c r="X137" s="369"/>
      <c r="Y137" s="339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</row>
    <row r="138">
      <c r="A138" s="179"/>
      <c r="B138" s="399" t="s">
        <v>973</v>
      </c>
      <c r="C138" s="349" t="s">
        <v>717</v>
      </c>
      <c r="D138" s="401">
        <v>69900.0</v>
      </c>
      <c r="E138" s="153" t="str">
        <f t="array" ref="E138">_xlfn.XLOOKUP(B138,Stock1!F:F,Stock1!J:J,"")</f>
        <v/>
      </c>
      <c r="F138" s="222" t="str">
        <f t="array" ref="F138">_xlfn.XLOOKUP(B138,Stock2!F:F,Stock2!J:J,"")</f>
        <v/>
      </c>
      <c r="G138" s="158">
        <v>1000.0</v>
      </c>
      <c r="H138" s="158">
        <f t="shared" si="16"/>
        <v>68900</v>
      </c>
      <c r="I138" s="175"/>
      <c r="J138" s="158"/>
      <c r="K138" s="175"/>
      <c r="L138" s="175"/>
      <c r="M138" s="158"/>
      <c r="N138" s="158"/>
      <c r="O138" s="355"/>
      <c r="P138" s="158"/>
      <c r="Q138" s="158"/>
      <c r="R138" s="158"/>
      <c r="S138" s="394"/>
      <c r="T138" s="281"/>
      <c r="U138" s="395"/>
      <c r="V138" s="76"/>
      <c r="W138" s="396"/>
      <c r="X138" s="369"/>
      <c r="Y138" s="339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</row>
    <row r="139">
      <c r="A139" s="326" t="s">
        <v>976</v>
      </c>
      <c r="B139" s="392" t="s">
        <v>977</v>
      </c>
      <c r="C139" s="340" t="s">
        <v>251</v>
      </c>
      <c r="D139" s="393">
        <v>77900.0</v>
      </c>
      <c r="E139" s="153" t="str">
        <f t="array" ref="E139">_xlfn.XLOOKUP(B139,Stock1!F:F,Stock1!J:J,"")</f>
        <v/>
      </c>
      <c r="F139" s="222" t="str">
        <f t="array" ref="F139">_xlfn.XLOOKUP(B139,Stock2!F:F,Stock2!J:J,"")</f>
        <v/>
      </c>
      <c r="G139" s="158">
        <v>5000.0</v>
      </c>
      <c r="H139" s="158">
        <f t="shared" si="16"/>
        <v>72900</v>
      </c>
      <c r="I139" s="160" t="s">
        <v>861</v>
      </c>
      <c r="J139" s="158"/>
      <c r="K139" s="175"/>
      <c r="L139" s="175"/>
      <c r="M139" s="158"/>
      <c r="N139" s="158"/>
      <c r="O139" s="355"/>
      <c r="P139" s="158"/>
      <c r="Q139" s="158"/>
      <c r="R139" s="158"/>
      <c r="S139" s="394"/>
      <c r="T139" s="281"/>
      <c r="U139" s="395"/>
      <c r="V139" s="76"/>
      <c r="W139" s="396"/>
      <c r="X139" s="369"/>
      <c r="Y139" s="339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</row>
    <row r="140">
      <c r="A140" s="172"/>
      <c r="B140" s="397" t="s">
        <v>982</v>
      </c>
      <c r="C140" s="343" t="s">
        <v>966</v>
      </c>
      <c r="D140" s="398">
        <v>77900.0</v>
      </c>
      <c r="E140" s="153" t="str">
        <f t="array" ref="E140">_xlfn.XLOOKUP(B140,Stock1!F:F,Stock1!J:J,"")</f>
        <v/>
      </c>
      <c r="F140" s="222" t="str">
        <f t="array" ref="F140">_xlfn.XLOOKUP(B140,Stock2!F:F,Stock2!J:J,"")</f>
        <v/>
      </c>
      <c r="G140" s="158">
        <v>5000.0</v>
      </c>
      <c r="H140" s="158">
        <f t="shared" si="16"/>
        <v>72900</v>
      </c>
      <c r="I140" s="175"/>
      <c r="J140" s="158"/>
      <c r="K140" s="175"/>
      <c r="L140" s="175"/>
      <c r="M140" s="158"/>
      <c r="N140" s="158"/>
      <c r="O140" s="355"/>
      <c r="P140" s="158"/>
      <c r="Q140" s="158"/>
      <c r="R140" s="158"/>
      <c r="S140" s="394"/>
      <c r="T140" s="281"/>
      <c r="U140" s="395"/>
      <c r="V140" s="76"/>
      <c r="W140" s="396"/>
      <c r="X140" s="369"/>
      <c r="Y140" s="339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</row>
    <row r="141">
      <c r="A141" s="179"/>
      <c r="B141" s="399" t="s">
        <v>989</v>
      </c>
      <c r="C141" s="349" t="s">
        <v>717</v>
      </c>
      <c r="D141" s="401">
        <v>77900.0</v>
      </c>
      <c r="E141" s="153" t="str">
        <f t="array" ref="E141">_xlfn.XLOOKUP(B141,Stock1!F:F,Stock1!J:J,"")</f>
        <v/>
      </c>
      <c r="F141" s="222" t="str">
        <f t="array" ref="F141">_xlfn.XLOOKUP(B141,Stock2!F:F,Stock2!J:J,"")</f>
        <v/>
      </c>
      <c r="G141" s="158">
        <v>5000.0</v>
      </c>
      <c r="H141" s="158">
        <f t="shared" si="16"/>
        <v>72900</v>
      </c>
      <c r="I141" s="175"/>
      <c r="J141" s="158"/>
      <c r="K141" s="175"/>
      <c r="L141" s="175"/>
      <c r="M141" s="158"/>
      <c r="N141" s="158"/>
      <c r="O141" s="355"/>
      <c r="P141" s="158"/>
      <c r="Q141" s="158"/>
      <c r="R141" s="158"/>
      <c r="S141" s="394"/>
      <c r="T141" s="281"/>
      <c r="U141" s="395"/>
      <c r="V141" s="76"/>
      <c r="W141" s="396"/>
      <c r="X141" s="369"/>
      <c r="Y141" s="339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</row>
    <row r="142">
      <c r="A142" s="326" t="s">
        <v>995</v>
      </c>
      <c r="B142" s="392" t="s">
        <v>996</v>
      </c>
      <c r="C142" s="340" t="s">
        <v>251</v>
      </c>
      <c r="D142" s="393">
        <v>93900.0</v>
      </c>
      <c r="E142" s="153" t="str">
        <f t="array" ref="E142">_xlfn.XLOOKUP(B142,Stock1!F:F,Stock1!J:J,"")</f>
        <v/>
      </c>
      <c r="F142" s="222" t="str">
        <f t="array" ref="F142">_xlfn.XLOOKUP(B142,Stock2!F:F,Stock2!J:J,"")</f>
        <v/>
      </c>
      <c r="G142" s="158">
        <v>5000.0</v>
      </c>
      <c r="H142" s="158">
        <f t="shared" si="16"/>
        <v>88900</v>
      </c>
      <c r="I142" s="175"/>
      <c r="J142" s="158"/>
      <c r="K142" s="175"/>
      <c r="L142" s="175"/>
      <c r="M142" s="158"/>
      <c r="N142" s="158"/>
      <c r="O142" s="355"/>
      <c r="P142" s="158"/>
      <c r="Q142" s="158"/>
      <c r="R142" s="158"/>
      <c r="S142" s="394"/>
      <c r="T142" s="281"/>
      <c r="U142" s="395"/>
      <c r="V142" s="359" t="s">
        <v>881</v>
      </c>
      <c r="W142" s="396"/>
      <c r="X142" s="369"/>
      <c r="Y142" s="339"/>
      <c r="Z142" s="331"/>
      <c r="AA142" s="331"/>
      <c r="AB142" s="331"/>
      <c r="AC142" s="331"/>
      <c r="AD142" s="331"/>
      <c r="AE142" s="331"/>
      <c r="AF142" s="331"/>
      <c r="AG142" s="331"/>
      <c r="AH142" s="331"/>
      <c r="AI142" s="331"/>
      <c r="AJ142" s="331"/>
      <c r="AK142" s="331"/>
      <c r="AL142" s="331"/>
    </row>
    <row r="143">
      <c r="A143" s="172"/>
      <c r="B143" s="397" t="s">
        <v>1005</v>
      </c>
      <c r="C143" s="343" t="s">
        <v>966</v>
      </c>
      <c r="D143" s="398">
        <v>93900.0</v>
      </c>
      <c r="E143" s="153" t="str">
        <f t="array" ref="E143">_xlfn.XLOOKUP(B143,Stock1!F:F,Stock1!J:J,"")</f>
        <v/>
      </c>
      <c r="F143" s="222" t="str">
        <f t="array" ref="F143">_xlfn.XLOOKUP(B143,Stock2!F:F,Stock2!J:J,"")</f>
        <v/>
      </c>
      <c r="G143" s="158">
        <v>5000.0</v>
      </c>
      <c r="H143" s="158">
        <f t="shared" si="16"/>
        <v>88900</v>
      </c>
      <c r="I143" s="175"/>
      <c r="J143" s="158"/>
      <c r="K143" s="175"/>
      <c r="L143" s="175"/>
      <c r="M143" s="158"/>
      <c r="N143" s="158"/>
      <c r="O143" s="355"/>
      <c r="P143" s="158"/>
      <c r="Q143" s="158"/>
      <c r="R143" s="158"/>
      <c r="S143" s="394"/>
      <c r="T143" s="281"/>
      <c r="U143" s="395"/>
      <c r="V143" s="76"/>
      <c r="W143" s="396"/>
      <c r="X143" s="369"/>
      <c r="Y143" s="339"/>
      <c r="Z143" s="331"/>
      <c r="AA143" s="331"/>
      <c r="AB143" s="331"/>
      <c r="AC143" s="331"/>
      <c r="AD143" s="331"/>
      <c r="AE143" s="331"/>
      <c r="AF143" s="331"/>
      <c r="AG143" s="331"/>
      <c r="AH143" s="331"/>
      <c r="AI143" s="331"/>
      <c r="AJ143" s="331"/>
      <c r="AK143" s="331"/>
      <c r="AL143" s="331"/>
    </row>
    <row r="144">
      <c r="A144" s="179"/>
      <c r="B144" s="399" t="s">
        <v>1012</v>
      </c>
      <c r="C144" s="349" t="s">
        <v>717</v>
      </c>
      <c r="D144" s="401">
        <v>93900.0</v>
      </c>
      <c r="E144" s="153" t="str">
        <f t="array" ref="E144">_xlfn.XLOOKUP(B144,Stock1!F:F,Stock1!J:J,"")</f>
        <v/>
      </c>
      <c r="F144" s="222" t="str">
        <f t="array" ref="F144">_xlfn.XLOOKUP(B144,Stock2!F:F,Stock2!J:J,"")</f>
        <v/>
      </c>
      <c r="G144" s="158">
        <v>5000.0</v>
      </c>
      <c r="H144" s="158">
        <f t="shared" si="16"/>
        <v>88900</v>
      </c>
      <c r="I144" s="175"/>
      <c r="J144" s="158"/>
      <c r="K144" s="175"/>
      <c r="L144" s="175"/>
      <c r="M144" s="158"/>
      <c r="N144" s="158"/>
      <c r="O144" s="355"/>
      <c r="P144" s="158"/>
      <c r="Q144" s="158"/>
      <c r="R144" s="158"/>
      <c r="S144" s="394"/>
      <c r="T144" s="281"/>
      <c r="U144" s="395"/>
      <c r="V144" s="76"/>
      <c r="W144" s="396"/>
      <c r="X144" s="369"/>
      <c r="Y144" s="339"/>
      <c r="Z144" s="331"/>
      <c r="AA144" s="331"/>
      <c r="AB144" s="331"/>
      <c r="AC144" s="331"/>
      <c r="AD144" s="331"/>
      <c r="AE144" s="331"/>
      <c r="AF144" s="331"/>
      <c r="AG144" s="331"/>
      <c r="AH144" s="331"/>
      <c r="AI144" s="331"/>
      <c r="AJ144" s="331"/>
      <c r="AK144" s="331"/>
      <c r="AL144" s="331"/>
    </row>
    <row r="145">
      <c r="A145" s="326" t="s">
        <v>1015</v>
      </c>
      <c r="B145" s="392" t="s">
        <v>1018</v>
      </c>
      <c r="C145" s="340" t="s">
        <v>251</v>
      </c>
      <c r="D145" s="393">
        <v>69900.0</v>
      </c>
      <c r="E145" s="153">
        <f t="array" ref="E145">_xlfn.XLOOKUP(B145,Stock1!F:F,Stock1!J:J,"")</f>
        <v>1</v>
      </c>
      <c r="F145" s="222">
        <f t="array" ref="F145">_xlfn.XLOOKUP(B145,Stock2!F:F,Stock2!J:J,"")</f>
        <v>1</v>
      </c>
      <c r="G145" s="158"/>
      <c r="H145" s="158"/>
      <c r="I145" s="355"/>
      <c r="J145" s="158"/>
      <c r="K145" s="355"/>
      <c r="L145" s="417"/>
      <c r="M145" s="158"/>
      <c r="N145" s="158"/>
      <c r="O145" s="355"/>
      <c r="P145" s="158"/>
      <c r="Q145" s="158"/>
      <c r="R145" s="158"/>
      <c r="S145" s="394"/>
      <c r="T145" s="281"/>
      <c r="U145" s="395"/>
      <c r="V145" s="359" t="s">
        <v>898</v>
      </c>
      <c r="W145" s="396"/>
      <c r="X145" s="369"/>
      <c r="Y145" s="339"/>
      <c r="Z145" s="331"/>
      <c r="AA145" s="331"/>
      <c r="AB145" s="331"/>
      <c r="AC145" s="331"/>
      <c r="AD145" s="331"/>
      <c r="AE145" s="331"/>
      <c r="AF145" s="331"/>
      <c r="AG145" s="331"/>
      <c r="AH145" s="331"/>
      <c r="AI145" s="331"/>
      <c r="AJ145" s="331"/>
      <c r="AK145" s="331"/>
      <c r="AL145" s="331"/>
    </row>
    <row r="146">
      <c r="A146" s="172"/>
      <c r="B146" s="397" t="s">
        <v>1027</v>
      </c>
      <c r="C146" s="343" t="s">
        <v>966</v>
      </c>
      <c r="D146" s="398">
        <v>69900.0</v>
      </c>
      <c r="E146" s="153">
        <f t="array" ref="E146">_xlfn.XLOOKUP(B146,Stock1!F:F,Stock1!J:J,"")</f>
        <v>2</v>
      </c>
      <c r="F146" s="222">
        <f t="array" ref="F146">_xlfn.XLOOKUP(B146,Stock2!F:F,Stock2!J:J,"")</f>
        <v>2</v>
      </c>
      <c r="G146" s="158"/>
      <c r="H146" s="158"/>
      <c r="I146" s="355"/>
      <c r="J146" s="158"/>
      <c r="K146" s="355"/>
      <c r="L146" s="417"/>
      <c r="M146" s="158"/>
      <c r="N146" s="158"/>
      <c r="O146" s="355"/>
      <c r="P146" s="158"/>
      <c r="Q146" s="158"/>
      <c r="R146" s="158"/>
      <c r="S146" s="394"/>
      <c r="T146" s="281"/>
      <c r="U146" s="395"/>
      <c r="V146" s="76"/>
      <c r="W146" s="396"/>
      <c r="X146" s="369"/>
      <c r="Y146" s="339"/>
      <c r="Z146" s="331"/>
      <c r="AA146" s="331"/>
      <c r="AB146" s="331"/>
      <c r="AC146" s="331"/>
      <c r="AD146" s="331"/>
      <c r="AE146" s="331"/>
      <c r="AF146" s="331"/>
      <c r="AG146" s="331"/>
      <c r="AH146" s="331"/>
      <c r="AI146" s="331"/>
      <c r="AJ146" s="331"/>
      <c r="AK146" s="331"/>
      <c r="AL146" s="331"/>
    </row>
    <row r="147">
      <c r="A147" s="179"/>
      <c r="B147" s="399" t="s">
        <v>1035</v>
      </c>
      <c r="C147" s="349" t="s">
        <v>717</v>
      </c>
      <c r="D147" s="401">
        <v>69900.0</v>
      </c>
      <c r="E147" s="153">
        <f t="array" ref="E147">_xlfn.XLOOKUP(B147,Stock1!F:F,Stock1!J:J,"")</f>
        <v>1</v>
      </c>
      <c r="F147" s="222">
        <f t="array" ref="F147">_xlfn.XLOOKUP(B147,Stock2!F:F,Stock2!J:J,"")</f>
        <v>1</v>
      </c>
      <c r="G147" s="158"/>
      <c r="H147" s="158"/>
      <c r="I147" s="355"/>
      <c r="J147" s="158"/>
      <c r="K147" s="355"/>
      <c r="L147" s="417"/>
      <c r="M147" s="158"/>
      <c r="N147" s="158"/>
      <c r="O147" s="355"/>
      <c r="P147" s="158"/>
      <c r="Q147" s="158"/>
      <c r="R147" s="158"/>
      <c r="S147" s="394"/>
      <c r="T147" s="281"/>
      <c r="U147" s="395"/>
      <c r="V147" s="76"/>
      <c r="W147" s="396"/>
      <c r="X147" s="369"/>
      <c r="Y147" s="339"/>
      <c r="Z147" s="331"/>
      <c r="AA147" s="331"/>
      <c r="AB147" s="331"/>
      <c r="AC147" s="331"/>
      <c r="AD147" s="331"/>
      <c r="AE147" s="331"/>
      <c r="AF147" s="331"/>
      <c r="AG147" s="331"/>
      <c r="AH147" s="331"/>
      <c r="AI147" s="331"/>
      <c r="AJ147" s="331"/>
      <c r="AK147" s="331"/>
      <c r="AL147" s="331"/>
    </row>
    <row r="148">
      <c r="A148" s="326" t="s">
        <v>1038</v>
      </c>
      <c r="B148" s="392" t="s">
        <v>1041</v>
      </c>
      <c r="C148" s="340" t="s">
        <v>251</v>
      </c>
      <c r="D148" s="393">
        <v>77900.0</v>
      </c>
      <c r="E148" s="153" t="str">
        <f t="array" ref="E148">_xlfn.XLOOKUP(B148,Stock1!F:F,Stock1!J:J,"")</f>
        <v/>
      </c>
      <c r="F148" s="222" t="str">
        <f t="array" ref="F148">_xlfn.XLOOKUP(B148,Stock2!F:F,Stock2!J:J,"")</f>
        <v/>
      </c>
      <c r="G148" s="158"/>
      <c r="H148" s="158"/>
      <c r="I148" s="355"/>
      <c r="J148" s="158"/>
      <c r="K148" s="355"/>
      <c r="L148" s="417"/>
      <c r="M148" s="158"/>
      <c r="N148" s="158"/>
      <c r="O148" s="355"/>
      <c r="P148" s="158"/>
      <c r="Q148" s="158"/>
      <c r="R148" s="158"/>
      <c r="S148" s="394"/>
      <c r="T148" s="281"/>
      <c r="U148" s="395"/>
      <c r="V148" s="359" t="s">
        <v>898</v>
      </c>
      <c r="W148" s="396"/>
      <c r="X148" s="369"/>
      <c r="Y148" s="339"/>
      <c r="Z148" s="331"/>
      <c r="AA148" s="331"/>
      <c r="AB148" s="331"/>
      <c r="AC148" s="331"/>
      <c r="AD148" s="331"/>
      <c r="AE148" s="331"/>
      <c r="AF148" s="331"/>
      <c r="AG148" s="331"/>
      <c r="AH148" s="331"/>
      <c r="AI148" s="331"/>
      <c r="AJ148" s="331"/>
      <c r="AK148" s="331"/>
      <c r="AL148" s="331"/>
    </row>
    <row r="149">
      <c r="A149" s="172"/>
      <c r="B149" s="397" t="s">
        <v>1044</v>
      </c>
      <c r="C149" s="343" t="s">
        <v>966</v>
      </c>
      <c r="D149" s="398">
        <v>77900.0</v>
      </c>
      <c r="E149" s="153">
        <f t="array" ref="E149">_xlfn.XLOOKUP(B149,Stock1!F:F,Stock1!J:J,"")</f>
        <v>1</v>
      </c>
      <c r="F149" s="222">
        <f t="array" ref="F149">_xlfn.XLOOKUP(B149,Stock2!F:F,Stock2!J:J,"")</f>
        <v>1</v>
      </c>
      <c r="G149" s="158"/>
      <c r="H149" s="158"/>
      <c r="I149" s="355"/>
      <c r="J149" s="158"/>
      <c r="K149" s="355"/>
      <c r="L149" s="417"/>
      <c r="M149" s="158"/>
      <c r="N149" s="158"/>
      <c r="O149" s="355"/>
      <c r="P149" s="158"/>
      <c r="Q149" s="158"/>
      <c r="R149" s="158"/>
      <c r="S149" s="394"/>
      <c r="T149" s="281"/>
      <c r="U149" s="395"/>
      <c r="V149" s="76"/>
      <c r="W149" s="396"/>
      <c r="X149" s="369"/>
      <c r="Y149" s="339"/>
      <c r="Z149" s="331"/>
      <c r="AA149" s="331"/>
      <c r="AB149" s="331"/>
      <c r="AC149" s="331"/>
      <c r="AD149" s="331"/>
      <c r="AE149" s="331"/>
      <c r="AF149" s="331"/>
      <c r="AG149" s="331"/>
      <c r="AH149" s="331"/>
      <c r="AI149" s="331"/>
      <c r="AJ149" s="331"/>
      <c r="AK149" s="331"/>
      <c r="AL149" s="331"/>
    </row>
    <row r="150">
      <c r="A150" s="179"/>
      <c r="B150" s="399" t="s">
        <v>1050</v>
      </c>
      <c r="C150" s="349" t="s">
        <v>717</v>
      </c>
      <c r="D150" s="401">
        <v>77900.0</v>
      </c>
      <c r="E150" s="153" t="str">
        <f t="array" ref="E150">_xlfn.XLOOKUP(B150,Stock1!F:F,Stock1!J:J,"")</f>
        <v/>
      </c>
      <c r="F150" s="222" t="str">
        <f t="array" ref="F150">_xlfn.XLOOKUP(B150,Stock2!F:F,Stock2!J:J,"")</f>
        <v/>
      </c>
      <c r="G150" s="158"/>
      <c r="H150" s="158"/>
      <c r="I150" s="355"/>
      <c r="J150" s="158"/>
      <c r="K150" s="355"/>
      <c r="L150" s="417"/>
      <c r="M150" s="158"/>
      <c r="N150" s="158"/>
      <c r="O150" s="355"/>
      <c r="P150" s="158"/>
      <c r="Q150" s="158"/>
      <c r="R150" s="158"/>
      <c r="S150" s="394"/>
      <c r="T150" s="281"/>
      <c r="U150" s="395"/>
      <c r="V150" s="76"/>
      <c r="W150" s="396"/>
      <c r="X150" s="369"/>
      <c r="Y150" s="339"/>
      <c r="Z150" s="331"/>
      <c r="AA150" s="331"/>
      <c r="AB150" s="331"/>
      <c r="AC150" s="331"/>
      <c r="AD150" s="331"/>
      <c r="AE150" s="331"/>
      <c r="AF150" s="331"/>
      <c r="AG150" s="331"/>
      <c r="AH150" s="331"/>
      <c r="AI150" s="331"/>
      <c r="AJ150" s="331"/>
      <c r="AK150" s="331"/>
      <c r="AL150" s="331"/>
    </row>
    <row r="151">
      <c r="A151" s="326" t="s">
        <v>1058</v>
      </c>
      <c r="B151" s="392" t="s">
        <v>1063</v>
      </c>
      <c r="C151" s="340" t="s">
        <v>251</v>
      </c>
      <c r="D151" s="393">
        <v>93900.0</v>
      </c>
      <c r="E151" s="153" t="str">
        <f t="array" ref="E151">_xlfn.XLOOKUP(B151,Stock1!F:F,Stock1!J:J,"")</f>
        <v/>
      </c>
      <c r="F151" s="222" t="str">
        <f t="array" ref="F151">_xlfn.XLOOKUP(B151,Stock2!F:F,Stock2!J:J,"")</f>
        <v/>
      </c>
      <c r="G151" s="158"/>
      <c r="H151" s="158"/>
      <c r="I151" s="355"/>
      <c r="J151" s="158"/>
      <c r="K151" s="355"/>
      <c r="L151" s="417"/>
      <c r="M151" s="158"/>
      <c r="N151" s="158"/>
      <c r="O151" s="355"/>
      <c r="P151" s="158"/>
      <c r="Q151" s="158"/>
      <c r="R151" s="158"/>
      <c r="S151" s="394"/>
      <c r="T151" s="281"/>
      <c r="U151" s="395"/>
      <c r="V151" s="359" t="s">
        <v>938</v>
      </c>
      <c r="W151" s="396"/>
      <c r="X151" s="369"/>
      <c r="Y151" s="339"/>
      <c r="Z151" s="331"/>
      <c r="AA151" s="331"/>
      <c r="AB151" s="331"/>
      <c r="AC151" s="331"/>
      <c r="AD151" s="331"/>
      <c r="AE151" s="331"/>
      <c r="AF151" s="331"/>
      <c r="AG151" s="331"/>
      <c r="AH151" s="331"/>
      <c r="AI151" s="331"/>
      <c r="AJ151" s="331"/>
      <c r="AK151" s="331"/>
      <c r="AL151" s="331"/>
    </row>
    <row r="152">
      <c r="A152" s="172"/>
      <c r="B152" s="397" t="s">
        <v>1065</v>
      </c>
      <c r="C152" s="343" t="s">
        <v>966</v>
      </c>
      <c r="D152" s="398">
        <v>93900.0</v>
      </c>
      <c r="E152" s="153" t="str">
        <f t="array" ref="E152">_xlfn.XLOOKUP(B152,Stock1!F:F,Stock1!J:J,"")</f>
        <v/>
      </c>
      <c r="F152" s="222" t="str">
        <f t="array" ref="F152">_xlfn.XLOOKUP(B152,Stock2!F:F,Stock2!J:J,"")</f>
        <v/>
      </c>
      <c r="G152" s="158"/>
      <c r="H152" s="158"/>
      <c r="I152" s="355"/>
      <c r="J152" s="158"/>
      <c r="K152" s="355"/>
      <c r="L152" s="417"/>
      <c r="M152" s="158"/>
      <c r="N152" s="158"/>
      <c r="O152" s="355"/>
      <c r="P152" s="158"/>
      <c r="Q152" s="158"/>
      <c r="R152" s="158"/>
      <c r="S152" s="394"/>
      <c r="T152" s="281"/>
      <c r="U152" s="395"/>
      <c r="V152" s="76"/>
      <c r="W152" s="396"/>
      <c r="X152" s="369"/>
      <c r="Y152" s="339"/>
      <c r="Z152" s="331"/>
      <c r="AA152" s="331"/>
      <c r="AB152" s="331"/>
      <c r="AC152" s="331"/>
      <c r="AD152" s="331"/>
      <c r="AE152" s="331"/>
      <c r="AF152" s="331"/>
      <c r="AG152" s="331"/>
      <c r="AH152" s="331"/>
      <c r="AI152" s="331"/>
      <c r="AJ152" s="331"/>
      <c r="AK152" s="331"/>
      <c r="AL152" s="331"/>
    </row>
    <row r="153">
      <c r="A153" s="179"/>
      <c r="B153" s="399" t="s">
        <v>1068</v>
      </c>
      <c r="C153" s="349" t="s">
        <v>717</v>
      </c>
      <c r="D153" s="401">
        <v>93900.0</v>
      </c>
      <c r="E153" s="153" t="str">
        <f t="array" ref="E153">_xlfn.XLOOKUP(B153,Stock1!F:F,Stock1!J:J,"")</f>
        <v/>
      </c>
      <c r="F153" s="222" t="str">
        <f t="array" ref="F153">_xlfn.XLOOKUP(B153,Stock2!F:F,Stock2!J:J,"")</f>
        <v/>
      </c>
      <c r="G153" s="158"/>
      <c r="H153" s="158"/>
      <c r="I153" s="355"/>
      <c r="J153" s="158"/>
      <c r="K153" s="355"/>
      <c r="L153" s="417"/>
      <c r="M153" s="158"/>
      <c r="N153" s="158"/>
      <c r="O153" s="355"/>
      <c r="P153" s="158"/>
      <c r="Q153" s="158"/>
      <c r="R153" s="158"/>
      <c r="S153" s="394"/>
      <c r="T153" s="281"/>
      <c r="U153" s="395"/>
      <c r="V153" s="76"/>
      <c r="W153" s="396"/>
      <c r="X153" s="369"/>
      <c r="Y153" s="339"/>
      <c r="Z153" s="331"/>
      <c r="AA153" s="331"/>
      <c r="AB153" s="331"/>
      <c r="AC153" s="331"/>
      <c r="AD153" s="331"/>
      <c r="AE153" s="331"/>
      <c r="AF153" s="331"/>
      <c r="AG153" s="331"/>
      <c r="AH153" s="331"/>
      <c r="AI153" s="331"/>
      <c r="AJ153" s="331"/>
      <c r="AK153" s="331"/>
      <c r="AL153" s="331"/>
    </row>
    <row r="154">
      <c r="A154" s="431" t="s">
        <v>711</v>
      </c>
      <c r="B154" s="432"/>
      <c r="C154" s="432"/>
      <c r="D154" s="432"/>
      <c r="E154" s="432"/>
      <c r="F154" s="432"/>
      <c r="G154" s="432"/>
      <c r="H154" s="432"/>
      <c r="I154" s="432"/>
      <c r="J154" s="432"/>
      <c r="K154" s="432"/>
      <c r="L154" s="432"/>
      <c r="M154" s="433"/>
      <c r="N154" s="433"/>
      <c r="O154" s="432"/>
      <c r="P154" s="432"/>
      <c r="Q154" s="432"/>
      <c r="R154" s="432"/>
      <c r="S154" s="432"/>
      <c r="T154" s="432"/>
      <c r="U154" s="432"/>
      <c r="V154" s="432"/>
      <c r="W154" s="432"/>
      <c r="X154" s="434"/>
      <c r="Y154" s="435"/>
      <c r="Z154" s="101"/>
      <c r="AA154" s="101"/>
      <c r="AB154" s="101"/>
      <c r="AC154" s="101"/>
      <c r="AD154" s="101"/>
      <c r="AE154" s="101"/>
      <c r="AF154" s="101"/>
      <c r="AG154" s="101"/>
      <c r="AH154" s="101"/>
      <c r="AI154" s="101"/>
      <c r="AJ154" s="101"/>
      <c r="AK154" s="101"/>
      <c r="AL154" s="101"/>
    </row>
    <row r="155" ht="36.0" customHeight="1">
      <c r="A155" s="436" t="s">
        <v>720</v>
      </c>
      <c r="B155" s="437" t="s">
        <v>722</v>
      </c>
      <c r="C155" s="438" t="s">
        <v>223</v>
      </c>
      <c r="D155" s="439">
        <v>48900.0</v>
      </c>
      <c r="E155" s="440">
        <f t="array" ref="E155">_xlfn.XLOOKUP(B155,Stock1!F:F,Stock1!J:J,"")</f>
        <v>3</v>
      </c>
      <c r="F155" s="440">
        <f t="array" ref="F155">_xlfn.XLOOKUP(B155,Stock2!F:F,Stock2!J:J,"")</f>
        <v>2</v>
      </c>
      <c r="G155" s="178">
        <v>5000.0</v>
      </c>
      <c r="H155" s="158">
        <f t="shared" ref="H155:H156" si="17">D155-G155</f>
        <v>43900</v>
      </c>
      <c r="I155" s="160" t="s">
        <v>89</v>
      </c>
      <c r="J155" s="158"/>
      <c r="K155" s="158"/>
      <c r="L155" s="164"/>
      <c r="M155" s="158"/>
      <c r="N155" s="158"/>
      <c r="O155" s="211"/>
      <c r="P155" s="163">
        <v>0.15</v>
      </c>
      <c r="Q155" s="158">
        <f>ROUNDUP(D155-(D155*0.15),0)</f>
        <v>41565</v>
      </c>
      <c r="R155" s="164"/>
      <c r="S155" s="442"/>
      <c r="T155" s="443"/>
      <c r="U155" s="366"/>
      <c r="V155" s="218"/>
      <c r="W155" s="444"/>
      <c r="X155" s="445"/>
      <c r="Y155" s="218"/>
      <c r="Z155" s="101"/>
      <c r="AA155" s="101"/>
      <c r="AB155" s="101"/>
      <c r="AC155" s="101"/>
      <c r="AD155" s="101"/>
      <c r="AE155" s="101"/>
      <c r="AF155" s="101"/>
      <c r="AG155" s="101"/>
      <c r="AH155" s="101"/>
      <c r="AI155" s="101"/>
      <c r="AJ155" s="101"/>
      <c r="AK155" s="101"/>
      <c r="AL155" s="101"/>
    </row>
    <row r="156" ht="27.0" customHeight="1">
      <c r="A156" s="436" t="s">
        <v>738</v>
      </c>
      <c r="B156" s="437" t="s">
        <v>739</v>
      </c>
      <c r="C156" s="446" t="s">
        <v>223</v>
      </c>
      <c r="D156" s="447">
        <v>43900.0</v>
      </c>
      <c r="E156" s="440" t="str">
        <f t="array" ref="E156">_xlfn.XLOOKUP(B156,Stock1!F:F,Stock1!J:J,"")</f>
        <v/>
      </c>
      <c r="F156" s="440" t="str">
        <f t="array" ref="F156">_xlfn.XLOOKUP(B156,Stock2!F:F,Stock2!J:J,"")</f>
        <v/>
      </c>
      <c r="G156" s="178">
        <v>13000.0</v>
      </c>
      <c r="H156" s="158">
        <f t="shared" si="17"/>
        <v>30900</v>
      </c>
      <c r="I156" s="175"/>
      <c r="J156" s="158"/>
      <c r="K156" s="158"/>
      <c r="L156" s="164"/>
      <c r="M156" s="158"/>
      <c r="N156" s="158"/>
      <c r="O156" s="211"/>
      <c r="P156" s="163"/>
      <c r="Q156" s="158"/>
      <c r="R156" s="164"/>
      <c r="S156" s="270"/>
      <c r="T156" s="449"/>
      <c r="U156" s="450"/>
      <c r="V156" s="218" t="s">
        <v>1078</v>
      </c>
      <c r="W156" s="451"/>
      <c r="X156" s="170"/>
      <c r="Y156" s="218" t="s">
        <v>1079</v>
      </c>
      <c r="Z156" s="101"/>
      <c r="AA156" s="101"/>
      <c r="AB156" s="101"/>
      <c r="AC156" s="101"/>
      <c r="AD156" s="101"/>
      <c r="AE156" s="101"/>
      <c r="AF156" s="101"/>
      <c r="AG156" s="101"/>
      <c r="AH156" s="101"/>
      <c r="AI156" s="101"/>
      <c r="AJ156" s="101"/>
      <c r="AK156" s="101"/>
      <c r="AL156" s="101"/>
    </row>
    <row r="157" ht="28.5" customHeight="1">
      <c r="A157" s="436" t="s">
        <v>749</v>
      </c>
      <c r="B157" s="437" t="s">
        <v>750</v>
      </c>
      <c r="C157" s="446" t="s">
        <v>223</v>
      </c>
      <c r="D157" s="447">
        <v>38900.0</v>
      </c>
      <c r="E157" s="440" t="str">
        <f t="array" ref="E157">_xlfn.XLOOKUP(B157,Stock1!F:F,Stock1!J:J,"")</f>
        <v/>
      </c>
      <c r="F157" s="440" t="str">
        <f t="array" ref="F157">_xlfn.XLOOKUP(B157,Stock2!F:F,Stock2!J:J,"")</f>
        <v/>
      </c>
      <c r="G157" s="178"/>
      <c r="H157" s="158"/>
      <c r="I157" s="175"/>
      <c r="J157" s="158"/>
      <c r="K157" s="158"/>
      <c r="L157" s="164"/>
      <c r="M157" s="158"/>
      <c r="N157" s="158"/>
      <c r="O157" s="163"/>
      <c r="P157" s="163"/>
      <c r="Q157" s="158"/>
      <c r="R157" s="164"/>
      <c r="S157" s="270"/>
      <c r="T157" s="449"/>
      <c r="U157" s="119"/>
      <c r="V157" s="76"/>
      <c r="W157" s="76"/>
      <c r="X157" s="76"/>
      <c r="Y157" s="76"/>
      <c r="Z157" s="101"/>
      <c r="AA157" s="101"/>
      <c r="AB157" s="101"/>
      <c r="AC157" s="101"/>
      <c r="AD157" s="101"/>
      <c r="AE157" s="101"/>
      <c r="AF157" s="101"/>
      <c r="AG157" s="101"/>
      <c r="AH157" s="101"/>
      <c r="AI157" s="101"/>
      <c r="AJ157" s="101"/>
      <c r="AK157" s="101"/>
      <c r="AL157" s="101"/>
    </row>
    <row r="158">
      <c r="A158" s="223" t="s">
        <v>773</v>
      </c>
      <c r="B158" s="290" t="s">
        <v>774</v>
      </c>
      <c r="C158" s="336" t="s">
        <v>223</v>
      </c>
      <c r="D158" s="452">
        <v>33900.0</v>
      </c>
      <c r="E158" s="440" t="str">
        <f t="array" ref="E158">_xlfn.XLOOKUP(B158,Stock1!F:F,Stock1!J:J,"")</f>
        <v/>
      </c>
      <c r="F158" s="440" t="str">
        <f t="array" ref="F158">_xlfn.XLOOKUP(B158,Stock2!F:F,Stock2!J:J,"")</f>
        <v/>
      </c>
      <c r="G158" s="178">
        <v>3500.0</v>
      </c>
      <c r="H158" s="158">
        <f t="shared" ref="H158:H180" si="18">D158-G158</f>
        <v>30400</v>
      </c>
      <c r="I158" s="175"/>
      <c r="J158" s="158"/>
      <c r="K158" s="158"/>
      <c r="L158" s="211"/>
      <c r="M158" s="158"/>
      <c r="N158" s="158"/>
      <c r="O158" s="211"/>
      <c r="P158" s="163">
        <v>0.15</v>
      </c>
      <c r="Q158" s="158">
        <f t="shared" ref="Q158:Q167" si="19">ROUNDUP(D158-(D158*0.15),0)</f>
        <v>28815</v>
      </c>
      <c r="R158" s="164"/>
      <c r="S158" s="270"/>
      <c r="T158" s="216"/>
      <c r="U158" s="453"/>
      <c r="V158" s="339"/>
      <c r="W158" s="76"/>
      <c r="X158" s="76"/>
      <c r="Y158" s="339"/>
      <c r="Z158" s="454"/>
      <c r="AA158" s="455"/>
      <c r="AB158" s="101"/>
      <c r="AC158" s="101"/>
      <c r="AD158" s="101"/>
      <c r="AE158" s="101"/>
      <c r="AF158" s="101"/>
      <c r="AG158" s="101"/>
      <c r="AH158" s="101"/>
      <c r="AI158" s="101"/>
      <c r="AJ158" s="101"/>
      <c r="AK158" s="101"/>
      <c r="AL158" s="101"/>
    </row>
    <row r="159">
      <c r="A159" s="179"/>
      <c r="B159" s="274" t="s">
        <v>778</v>
      </c>
      <c r="C159" s="349" t="s">
        <v>769</v>
      </c>
      <c r="D159" s="456">
        <v>33900.0</v>
      </c>
      <c r="E159" s="440" t="str">
        <f t="array" ref="E159">_xlfn.XLOOKUP(B159,Stock1!F:F,Stock1!J:J,"")</f>
        <v/>
      </c>
      <c r="F159" s="440" t="str">
        <f t="array" ref="F159">_xlfn.XLOOKUP(B159,Stock2!F:F,Stock2!J:J,"")</f>
        <v/>
      </c>
      <c r="G159" s="178">
        <v>3500.0</v>
      </c>
      <c r="H159" s="158">
        <f t="shared" si="18"/>
        <v>30400</v>
      </c>
      <c r="I159" s="175"/>
      <c r="J159" s="158"/>
      <c r="K159" s="158"/>
      <c r="L159" s="175"/>
      <c r="M159" s="158"/>
      <c r="N159" s="158"/>
      <c r="O159" s="175"/>
      <c r="P159" s="163">
        <v>0.15</v>
      </c>
      <c r="Q159" s="158">
        <f t="shared" si="19"/>
        <v>28815</v>
      </c>
      <c r="R159" s="164"/>
      <c r="S159" s="270"/>
      <c r="T159" s="216"/>
      <c r="U159" s="453"/>
      <c r="V159" s="76"/>
      <c r="W159" s="76"/>
      <c r="X159" s="76"/>
      <c r="Y159" s="76"/>
      <c r="Z159" s="454"/>
      <c r="AA159" s="455"/>
      <c r="AB159" s="101"/>
      <c r="AC159" s="101"/>
      <c r="AD159" s="101"/>
      <c r="AE159" s="101"/>
      <c r="AF159" s="101"/>
      <c r="AG159" s="101"/>
      <c r="AH159" s="101"/>
      <c r="AI159" s="101"/>
      <c r="AJ159" s="101"/>
      <c r="AK159" s="101"/>
      <c r="AL159" s="101"/>
    </row>
    <row r="160">
      <c r="A160" s="223" t="s">
        <v>783</v>
      </c>
      <c r="B160" s="290" t="s">
        <v>784</v>
      </c>
      <c r="C160" s="336" t="s">
        <v>223</v>
      </c>
      <c r="D160" s="452">
        <v>28900.0</v>
      </c>
      <c r="E160" s="440" t="str">
        <f t="array" ref="E160">_xlfn.XLOOKUP(B160,Stock1!F:F,Stock1!J:J,"")</f>
        <v/>
      </c>
      <c r="F160" s="440" t="str">
        <f t="array" ref="F160">_xlfn.XLOOKUP(B160,Stock2!F:F,Stock2!J:J,"")</f>
        <v/>
      </c>
      <c r="G160" s="178">
        <v>3500.0</v>
      </c>
      <c r="H160" s="158">
        <f t="shared" si="18"/>
        <v>25400</v>
      </c>
      <c r="I160" s="175"/>
      <c r="J160" s="158"/>
      <c r="K160" s="158"/>
      <c r="L160" s="175"/>
      <c r="M160" s="158"/>
      <c r="N160" s="158"/>
      <c r="O160" s="175"/>
      <c r="P160" s="163">
        <v>0.15</v>
      </c>
      <c r="Q160" s="158">
        <f t="shared" si="19"/>
        <v>24565</v>
      </c>
      <c r="R160" s="164"/>
      <c r="S160" s="270"/>
      <c r="T160" s="216"/>
      <c r="U160" s="453"/>
      <c r="V160" s="76"/>
      <c r="W160" s="76"/>
      <c r="X160" s="76"/>
      <c r="Y160" s="76"/>
      <c r="Z160" s="454"/>
      <c r="AA160" s="455"/>
      <c r="AB160" s="101"/>
      <c r="AC160" s="101"/>
      <c r="AD160" s="101"/>
      <c r="AE160" s="101"/>
      <c r="AF160" s="101"/>
      <c r="AG160" s="101"/>
      <c r="AH160" s="101"/>
      <c r="AI160" s="101"/>
      <c r="AJ160" s="101"/>
      <c r="AK160" s="101"/>
      <c r="AL160" s="101"/>
    </row>
    <row r="161">
      <c r="A161" s="179"/>
      <c r="B161" s="274" t="s">
        <v>790</v>
      </c>
      <c r="C161" s="349" t="s">
        <v>769</v>
      </c>
      <c r="D161" s="456">
        <v>28900.0</v>
      </c>
      <c r="E161" s="440">
        <f t="array" ref="E161">_xlfn.XLOOKUP(B161,Stock1!F:F,Stock1!J:J,"")</f>
        <v>1</v>
      </c>
      <c r="F161" s="440">
        <f t="array" ref="F161">_xlfn.XLOOKUP(B161,Stock2!F:F,Stock2!J:J,"")</f>
        <v>1</v>
      </c>
      <c r="G161" s="178">
        <v>3500.0</v>
      </c>
      <c r="H161" s="158">
        <f t="shared" si="18"/>
        <v>25400</v>
      </c>
      <c r="I161" s="175"/>
      <c r="J161" s="158"/>
      <c r="K161" s="158"/>
      <c r="L161" s="175"/>
      <c r="M161" s="158"/>
      <c r="N161" s="158"/>
      <c r="O161" s="175"/>
      <c r="P161" s="163">
        <v>0.15</v>
      </c>
      <c r="Q161" s="158">
        <f t="shared" si="19"/>
        <v>24565</v>
      </c>
      <c r="R161" s="164"/>
      <c r="S161" s="270"/>
      <c r="T161" s="216"/>
      <c r="U161" s="453"/>
      <c r="V161" s="76"/>
      <c r="W161" s="76"/>
      <c r="X161" s="76"/>
      <c r="Y161" s="76"/>
      <c r="Z161" s="454"/>
      <c r="AA161" s="455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01"/>
      <c r="AL161" s="101"/>
    </row>
    <row r="162" ht="21.0" customHeight="1">
      <c r="A162" s="436" t="s">
        <v>795</v>
      </c>
      <c r="B162" s="437" t="s">
        <v>797</v>
      </c>
      <c r="C162" s="438" t="s">
        <v>223</v>
      </c>
      <c r="D162" s="457">
        <v>30900.0</v>
      </c>
      <c r="E162" s="440" t="str">
        <f t="array" ref="E162">_xlfn.XLOOKUP(B162,Stock1!F:F,Stock1!J:J,"")</f>
        <v/>
      </c>
      <c r="F162" s="440" t="str">
        <f t="array" ref="F162">_xlfn.XLOOKUP(B162,Stock2!F:F,Stock2!J:J,"")</f>
        <v/>
      </c>
      <c r="G162" s="178">
        <v>5000.0</v>
      </c>
      <c r="H162" s="158">
        <f t="shared" si="18"/>
        <v>25900</v>
      </c>
      <c r="I162" s="175"/>
      <c r="J162" s="158"/>
      <c r="K162" s="158"/>
      <c r="L162" s="211"/>
      <c r="M162" s="158"/>
      <c r="N162" s="158"/>
      <c r="O162" s="211"/>
      <c r="P162" s="163">
        <v>0.15</v>
      </c>
      <c r="Q162" s="158">
        <f t="shared" si="19"/>
        <v>26265</v>
      </c>
      <c r="R162" s="164"/>
      <c r="S162" s="270"/>
      <c r="T162" s="216"/>
      <c r="U162" s="453"/>
      <c r="V162" s="218" t="s">
        <v>803</v>
      </c>
      <c r="W162" s="76"/>
      <c r="X162" s="76"/>
      <c r="Y162" s="218" t="s">
        <v>1091</v>
      </c>
      <c r="Z162" s="454"/>
      <c r="AA162" s="455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01"/>
      <c r="AL162" s="101"/>
    </row>
    <row r="163" ht="21.75" customHeight="1">
      <c r="A163" s="436" t="s">
        <v>804</v>
      </c>
      <c r="B163" s="437" t="s">
        <v>805</v>
      </c>
      <c r="C163" s="438" t="s">
        <v>223</v>
      </c>
      <c r="D163" s="457">
        <v>27900.0</v>
      </c>
      <c r="E163" s="440">
        <f t="array" ref="E163">_xlfn.XLOOKUP(B163,Stock1!F:F,Stock1!J:J,"")</f>
        <v>2</v>
      </c>
      <c r="F163" s="440" t="str">
        <f t="array" ref="F163">_xlfn.XLOOKUP(B163,Stock2!F:F,Stock2!J:J,"")</f>
        <v/>
      </c>
      <c r="G163" s="178">
        <v>5000.0</v>
      </c>
      <c r="H163" s="158">
        <f t="shared" si="18"/>
        <v>22900</v>
      </c>
      <c r="I163" s="175"/>
      <c r="J163" s="158"/>
      <c r="K163" s="158"/>
      <c r="L163" s="175"/>
      <c r="M163" s="158"/>
      <c r="N163" s="158"/>
      <c r="O163" s="211"/>
      <c r="P163" s="163">
        <v>0.15</v>
      </c>
      <c r="Q163" s="158">
        <f t="shared" si="19"/>
        <v>23715</v>
      </c>
      <c r="R163" s="164"/>
      <c r="S163" s="458"/>
      <c r="T163" s="449"/>
      <c r="U163" s="453"/>
      <c r="V163" s="119"/>
      <c r="W163" s="76"/>
      <c r="X163" s="119"/>
      <c r="Y163" s="119"/>
      <c r="Z163" s="459"/>
      <c r="AA163" s="460"/>
      <c r="AB163" s="461"/>
      <c r="AC163" s="461"/>
      <c r="AD163" s="461"/>
      <c r="AE163" s="461"/>
      <c r="AF163" s="461"/>
      <c r="AG163" s="461"/>
      <c r="AH163" s="461"/>
      <c r="AI163" s="461"/>
      <c r="AJ163" s="461"/>
      <c r="AK163" s="461"/>
      <c r="AL163" s="461"/>
    </row>
    <row r="164">
      <c r="A164" s="223" t="s">
        <v>841</v>
      </c>
      <c r="B164" s="290" t="s">
        <v>842</v>
      </c>
      <c r="C164" s="336" t="s">
        <v>171</v>
      </c>
      <c r="D164" s="452">
        <v>22900.0</v>
      </c>
      <c r="E164" s="222">
        <f t="array" ref="E164">_xlfn.XLOOKUP(B164,Stock1!F:F,Stock1!J:J,"")</f>
        <v>1</v>
      </c>
      <c r="F164" s="222" t="str">
        <f t="array" ref="F164">_xlfn.XLOOKUP(B164,Stock2!F:F,Stock2!J:J,"")</f>
        <v/>
      </c>
      <c r="G164" s="178">
        <v>3500.0</v>
      </c>
      <c r="H164" s="158">
        <f t="shared" si="18"/>
        <v>19400</v>
      </c>
      <c r="I164" s="175"/>
      <c r="J164" s="158"/>
      <c r="K164" s="158"/>
      <c r="L164" s="175"/>
      <c r="M164" s="158"/>
      <c r="N164" s="158"/>
      <c r="O164" s="211"/>
      <c r="P164" s="163">
        <v>0.15</v>
      </c>
      <c r="Q164" s="158">
        <f t="shared" si="19"/>
        <v>19465</v>
      </c>
      <c r="R164" s="164"/>
      <c r="S164" s="462"/>
      <c r="T164" s="216"/>
      <c r="U164" s="463"/>
      <c r="V164" s="218" t="s">
        <v>803</v>
      </c>
      <c r="W164" s="76"/>
      <c r="X164" s="230"/>
      <c r="Y164" s="218" t="s">
        <v>1091</v>
      </c>
      <c r="Z164" s="464"/>
      <c r="AA164" s="465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101"/>
      <c r="AL164" s="101"/>
    </row>
    <row r="165">
      <c r="A165" s="179"/>
      <c r="B165" s="274" t="s">
        <v>850</v>
      </c>
      <c r="C165" s="349" t="s">
        <v>223</v>
      </c>
      <c r="D165" s="456">
        <v>22900.0</v>
      </c>
      <c r="E165" s="222" t="str">
        <f t="array" ref="E165">_xlfn.XLOOKUP(B165,Stock1!F:F,Stock1!J:J,"")</f>
        <v/>
      </c>
      <c r="F165" s="222" t="str">
        <f t="array" ref="F165">_xlfn.XLOOKUP(B165,Stock2!F:F,Stock2!J:J,"")</f>
        <v/>
      </c>
      <c r="G165" s="178">
        <v>3500.0</v>
      </c>
      <c r="H165" s="158">
        <f t="shared" si="18"/>
        <v>19400</v>
      </c>
      <c r="I165" s="175"/>
      <c r="J165" s="158"/>
      <c r="K165" s="158"/>
      <c r="L165" s="175"/>
      <c r="M165" s="158"/>
      <c r="N165" s="158"/>
      <c r="O165" s="211"/>
      <c r="P165" s="163">
        <v>0.15</v>
      </c>
      <c r="Q165" s="158">
        <f t="shared" si="19"/>
        <v>19465</v>
      </c>
      <c r="R165" s="164"/>
      <c r="S165" s="462"/>
      <c r="T165" s="216"/>
      <c r="U165" s="463"/>
      <c r="V165" s="76"/>
      <c r="W165" s="76"/>
      <c r="X165" s="230"/>
      <c r="Y165" s="76"/>
      <c r="Z165" s="464"/>
      <c r="AA165" s="465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01"/>
      <c r="AL165" s="101"/>
    </row>
    <row r="166">
      <c r="A166" s="223" t="s">
        <v>857</v>
      </c>
      <c r="B166" s="290" t="s">
        <v>860</v>
      </c>
      <c r="C166" s="336" t="s">
        <v>171</v>
      </c>
      <c r="D166" s="452">
        <v>19900.0</v>
      </c>
      <c r="E166" s="222">
        <f t="array" ref="E166">_xlfn.XLOOKUP(B166,Stock1!F:F,Stock1!J:J,"")</f>
        <v>1</v>
      </c>
      <c r="F166" s="222">
        <f t="array" ref="F166">_xlfn.XLOOKUP(B166,Stock2!F:F,Stock2!J:J,"")</f>
        <v>1</v>
      </c>
      <c r="G166" s="178">
        <v>3500.0</v>
      </c>
      <c r="H166" s="158">
        <f t="shared" si="18"/>
        <v>16400</v>
      </c>
      <c r="I166" s="175"/>
      <c r="J166" s="158"/>
      <c r="K166" s="158"/>
      <c r="L166" s="175"/>
      <c r="M166" s="158"/>
      <c r="N166" s="158"/>
      <c r="O166" s="211"/>
      <c r="P166" s="163">
        <v>0.15</v>
      </c>
      <c r="Q166" s="158">
        <f t="shared" si="19"/>
        <v>16915</v>
      </c>
      <c r="R166" s="164"/>
      <c r="S166" s="462"/>
      <c r="T166" s="216"/>
      <c r="U166" s="463"/>
      <c r="V166" s="76"/>
      <c r="W166" s="76"/>
      <c r="X166" s="230"/>
      <c r="Y166" s="76"/>
      <c r="Z166" s="464"/>
      <c r="AA166" s="465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101"/>
      <c r="AL166" s="101"/>
    </row>
    <row r="167">
      <c r="A167" s="179"/>
      <c r="B167" s="274" t="s">
        <v>867</v>
      </c>
      <c r="C167" s="349" t="s">
        <v>223</v>
      </c>
      <c r="D167" s="456">
        <v>19900.0</v>
      </c>
      <c r="E167" s="222" t="str">
        <f t="array" ref="E167">_xlfn.XLOOKUP(B167,Stock1!F:F,Stock1!J:J,"")</f>
        <v/>
      </c>
      <c r="F167" s="222">
        <f t="array" ref="F167">_xlfn.XLOOKUP(B167,Stock2!F:F,Stock2!J:J,"")</f>
        <v>1</v>
      </c>
      <c r="G167" s="178">
        <v>3500.0</v>
      </c>
      <c r="H167" s="158">
        <f t="shared" si="18"/>
        <v>16400</v>
      </c>
      <c r="I167" s="175"/>
      <c r="J167" s="158"/>
      <c r="K167" s="158"/>
      <c r="L167" s="175"/>
      <c r="M167" s="158"/>
      <c r="N167" s="158"/>
      <c r="O167" s="211"/>
      <c r="P167" s="163">
        <v>0.15</v>
      </c>
      <c r="Q167" s="158">
        <f t="shared" si="19"/>
        <v>16915</v>
      </c>
      <c r="R167" s="164"/>
      <c r="S167" s="462"/>
      <c r="T167" s="216"/>
      <c r="U167" s="463"/>
      <c r="V167" s="119"/>
      <c r="W167" s="76"/>
      <c r="X167" s="230"/>
      <c r="Y167" s="119"/>
      <c r="Z167" s="464"/>
      <c r="AA167" s="465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101"/>
      <c r="AL167" s="101"/>
    </row>
    <row r="168" ht="21.75" customHeight="1">
      <c r="A168" s="466" t="s">
        <v>1105</v>
      </c>
      <c r="B168" s="298" t="s">
        <v>885</v>
      </c>
      <c r="C168" s="343" t="s">
        <v>223</v>
      </c>
      <c r="D168" s="452">
        <v>16990.0</v>
      </c>
      <c r="E168" s="222">
        <f t="array" ref="E168">_xlfn.XLOOKUP(B168,Stock1!F:F,Stock1!J:J,"")</f>
        <v>1</v>
      </c>
      <c r="F168" s="222">
        <f t="array" ref="F168">_xlfn.XLOOKUP(B168,Stock2!F:F,Stock2!J:J,"")</f>
        <v>2</v>
      </c>
      <c r="G168" s="178">
        <v>500.0</v>
      </c>
      <c r="H168" s="158">
        <f t="shared" si="18"/>
        <v>16490</v>
      </c>
      <c r="I168" s="175"/>
      <c r="J168" s="158"/>
      <c r="K168" s="158"/>
      <c r="L168" s="211"/>
      <c r="M168" s="158"/>
      <c r="N168" s="158"/>
      <c r="O168" s="211"/>
      <c r="P168" s="163">
        <v>0.1</v>
      </c>
      <c r="Q168" s="158">
        <f t="shared" ref="Q168:Q175" si="20">ROUNDUP(D168-(D168*0.1),0)</f>
        <v>15291</v>
      </c>
      <c r="R168" s="164"/>
      <c r="S168" s="469"/>
      <c r="T168" s="216"/>
      <c r="U168" s="450"/>
      <c r="V168" s="339" t="s">
        <v>882</v>
      </c>
      <c r="W168" s="76"/>
      <c r="X168" s="170"/>
      <c r="Y168" s="339" t="s">
        <v>1107</v>
      </c>
      <c r="Z168" s="101"/>
      <c r="AA168" s="101"/>
      <c r="AB168" s="101"/>
      <c r="AC168" s="101"/>
      <c r="AD168" s="101"/>
      <c r="AE168" s="101"/>
      <c r="AF168" s="101"/>
      <c r="AG168" s="101"/>
      <c r="AH168" s="101"/>
      <c r="AI168" s="101"/>
      <c r="AJ168" s="101"/>
      <c r="AK168" s="101"/>
      <c r="AL168" s="101"/>
    </row>
    <row r="169" ht="22.5" customHeight="1">
      <c r="A169" s="342"/>
      <c r="B169" s="274" t="s">
        <v>1108</v>
      </c>
      <c r="C169" s="349" t="s">
        <v>891</v>
      </c>
      <c r="D169" s="456">
        <v>16990.0</v>
      </c>
      <c r="E169" s="222" t="str">
        <f t="array" ref="E169">_xlfn.XLOOKUP(B169,Stock1!F:F,Stock1!J:J,"")</f>
        <v/>
      </c>
      <c r="F169" s="222" t="str">
        <f t="array" ref="F169">_xlfn.XLOOKUP(B169,Stock2!F:F,Stock2!J:J,"")</f>
        <v/>
      </c>
      <c r="G169" s="178">
        <v>500.0</v>
      </c>
      <c r="H169" s="158">
        <f t="shared" si="18"/>
        <v>16490</v>
      </c>
      <c r="I169" s="175"/>
      <c r="J169" s="158"/>
      <c r="K169" s="158"/>
      <c r="L169" s="175"/>
      <c r="M169" s="158"/>
      <c r="N169" s="158"/>
      <c r="O169" s="175"/>
      <c r="P169" s="163">
        <v>0.1</v>
      </c>
      <c r="Q169" s="158">
        <f t="shared" si="20"/>
        <v>15291</v>
      </c>
      <c r="R169" s="164"/>
      <c r="S169" s="469"/>
      <c r="T169" s="216"/>
      <c r="U169" s="450"/>
      <c r="V169" s="76"/>
      <c r="W169" s="76"/>
      <c r="X169" s="76"/>
      <c r="Y169" s="76"/>
      <c r="Z169" s="101"/>
      <c r="AA169" s="101"/>
      <c r="AB169" s="101"/>
      <c r="AC169" s="101"/>
      <c r="AD169" s="101"/>
      <c r="AE169" s="101"/>
      <c r="AF169" s="101"/>
      <c r="AG169" s="101"/>
      <c r="AH169" s="101"/>
      <c r="AI169" s="101"/>
      <c r="AJ169" s="101"/>
      <c r="AK169" s="101"/>
      <c r="AL169" s="101"/>
    </row>
    <row r="170">
      <c r="A170" s="466" t="s">
        <v>874</v>
      </c>
      <c r="B170" s="290" t="s">
        <v>878</v>
      </c>
      <c r="C170" s="336" t="s">
        <v>223</v>
      </c>
      <c r="D170" s="471">
        <v>16990.0</v>
      </c>
      <c r="E170" s="222">
        <f t="array" ref="E170">_xlfn.XLOOKUP(B170,Stock1!F:F,Stock1!J:J,"")</f>
        <v>2</v>
      </c>
      <c r="F170" s="222" t="str">
        <f t="array" ref="F170">_xlfn.XLOOKUP(B170,Stock2!F:F,Stock2!J:J,"")</f>
        <v/>
      </c>
      <c r="G170" s="178">
        <v>2500.0</v>
      </c>
      <c r="H170" s="158">
        <f t="shared" si="18"/>
        <v>14490</v>
      </c>
      <c r="I170" s="175"/>
      <c r="J170" s="158"/>
      <c r="K170" s="158"/>
      <c r="L170" s="164"/>
      <c r="M170" s="158"/>
      <c r="N170" s="158"/>
      <c r="O170" s="211"/>
      <c r="P170" s="163">
        <v>0.1</v>
      </c>
      <c r="Q170" s="158">
        <f t="shared" si="20"/>
        <v>15291</v>
      </c>
      <c r="R170" s="164"/>
      <c r="S170" s="469"/>
      <c r="T170" s="216"/>
      <c r="U170" s="450"/>
      <c r="V170" s="76"/>
      <c r="W170" s="76"/>
      <c r="X170" s="76"/>
      <c r="Y170" s="76"/>
      <c r="Z170" s="101"/>
      <c r="AA170" s="101"/>
      <c r="AB170" s="101"/>
      <c r="AC170" s="101"/>
      <c r="AD170" s="101"/>
      <c r="AE170" s="101"/>
      <c r="AF170" s="101"/>
      <c r="AG170" s="101"/>
      <c r="AH170" s="101"/>
      <c r="AI170" s="101"/>
      <c r="AJ170" s="101"/>
      <c r="AK170" s="101"/>
      <c r="AL170" s="101"/>
    </row>
    <row r="171">
      <c r="A171" s="342"/>
      <c r="B171" s="274"/>
      <c r="C171" s="349" t="s">
        <v>891</v>
      </c>
      <c r="D171" s="456">
        <v>16990.0</v>
      </c>
      <c r="E171" s="222" t="str">
        <f t="array" ref="E171">_xlfn.XLOOKUP(B171,Stock1!F:F,Stock1!J:J,"")</f>
        <v/>
      </c>
      <c r="F171" s="222" t="str">
        <f t="array" ref="F171">_xlfn.XLOOKUP(B171,Stock2!F:F,Stock2!J:J,"")</f>
        <v/>
      </c>
      <c r="G171" s="178">
        <v>2500.0</v>
      </c>
      <c r="H171" s="158">
        <f t="shared" si="18"/>
        <v>14490</v>
      </c>
      <c r="I171" s="175"/>
      <c r="J171" s="158"/>
      <c r="K171" s="158"/>
      <c r="L171" s="164"/>
      <c r="M171" s="158"/>
      <c r="N171" s="158"/>
      <c r="O171" s="211"/>
      <c r="P171" s="163">
        <v>0.1</v>
      </c>
      <c r="Q171" s="158">
        <f t="shared" si="20"/>
        <v>15291</v>
      </c>
      <c r="R171" s="164"/>
      <c r="S171" s="469"/>
      <c r="T171" s="216"/>
      <c r="U171" s="450"/>
      <c r="V171" s="76"/>
      <c r="W171" s="76"/>
      <c r="X171" s="76"/>
      <c r="Y171" s="76"/>
      <c r="Z171" s="101"/>
      <c r="AA171" s="101"/>
      <c r="AB171" s="101"/>
      <c r="AC171" s="101"/>
      <c r="AD171" s="101"/>
      <c r="AE171" s="101"/>
      <c r="AF171" s="101"/>
      <c r="AG171" s="101"/>
      <c r="AH171" s="101"/>
      <c r="AI171" s="101"/>
      <c r="AJ171" s="101"/>
      <c r="AK171" s="101"/>
      <c r="AL171" s="101"/>
    </row>
    <row r="172" ht="22.5" customHeight="1">
      <c r="A172" s="223" t="s">
        <v>1115</v>
      </c>
      <c r="B172" s="298" t="s">
        <v>907</v>
      </c>
      <c r="C172" s="343" t="s">
        <v>223</v>
      </c>
      <c r="D172" s="452">
        <v>12990.0</v>
      </c>
      <c r="E172" s="222">
        <f t="array" ref="E172">_xlfn.XLOOKUP(B172,Stock1!F:F,Stock1!J:J,"")</f>
        <v>8</v>
      </c>
      <c r="F172" s="222">
        <f t="array" ref="F172">_xlfn.XLOOKUP(B172,Stock2!F:F,Stock2!J:J,"")</f>
        <v>11</v>
      </c>
      <c r="G172" s="178">
        <v>500.0</v>
      </c>
      <c r="H172" s="158">
        <f t="shared" si="18"/>
        <v>12490</v>
      </c>
      <c r="I172" s="175"/>
      <c r="J172" s="158"/>
      <c r="K172" s="158"/>
      <c r="L172" s="211"/>
      <c r="M172" s="158"/>
      <c r="N172" s="158"/>
      <c r="O172" s="211"/>
      <c r="P172" s="163">
        <v>0.1</v>
      </c>
      <c r="Q172" s="158">
        <f t="shared" si="20"/>
        <v>11691</v>
      </c>
      <c r="R172" s="164"/>
      <c r="S172" s="469"/>
      <c r="T172" s="216"/>
      <c r="U172" s="450"/>
      <c r="V172" s="76"/>
      <c r="W172" s="76"/>
      <c r="X172" s="76"/>
      <c r="Y172" s="76"/>
      <c r="Z172" s="101"/>
      <c r="AA172" s="101"/>
      <c r="AB172" s="101"/>
      <c r="AC172" s="101"/>
      <c r="AD172" s="101"/>
      <c r="AE172" s="101"/>
      <c r="AF172" s="101"/>
      <c r="AG172" s="101"/>
      <c r="AH172" s="101"/>
      <c r="AI172" s="101"/>
      <c r="AJ172" s="101"/>
      <c r="AK172" s="101"/>
      <c r="AL172" s="101"/>
    </row>
    <row r="173" ht="25.5" customHeight="1">
      <c r="A173" s="172"/>
      <c r="B173" s="325" t="s">
        <v>922</v>
      </c>
      <c r="C173" s="357" t="s">
        <v>891</v>
      </c>
      <c r="D173" s="456">
        <v>12990.0</v>
      </c>
      <c r="E173" s="222">
        <f t="array" ref="E173">_xlfn.XLOOKUP(B173,Stock1!F:F,Stock1!J:J,"")</f>
        <v>1</v>
      </c>
      <c r="F173" s="222" t="str">
        <f t="array" ref="F173">_xlfn.XLOOKUP(B173,Stock2!F:F,Stock2!J:J,"")</f>
        <v/>
      </c>
      <c r="G173" s="178">
        <v>500.0</v>
      </c>
      <c r="H173" s="158">
        <f t="shared" si="18"/>
        <v>12490</v>
      </c>
      <c r="I173" s="175"/>
      <c r="J173" s="158"/>
      <c r="K173" s="158"/>
      <c r="L173" s="175"/>
      <c r="M173" s="158"/>
      <c r="N173" s="158"/>
      <c r="O173" s="175"/>
      <c r="P173" s="163">
        <v>0.1</v>
      </c>
      <c r="Q173" s="158">
        <f t="shared" si="20"/>
        <v>11691</v>
      </c>
      <c r="R173" s="164"/>
      <c r="S173" s="469"/>
      <c r="T173" s="216"/>
      <c r="U173" s="450"/>
      <c r="V173" s="76"/>
      <c r="W173" s="76"/>
      <c r="X173" s="76"/>
      <c r="Y173" s="76"/>
      <c r="Z173" s="101"/>
      <c r="AA173" s="101"/>
      <c r="AB173" s="101"/>
      <c r="AC173" s="101"/>
      <c r="AD173" s="101"/>
      <c r="AE173" s="101"/>
      <c r="AF173" s="101"/>
      <c r="AG173" s="101"/>
      <c r="AH173" s="101"/>
      <c r="AI173" s="101"/>
      <c r="AJ173" s="101"/>
      <c r="AK173" s="101"/>
      <c r="AL173" s="101"/>
    </row>
    <row r="174">
      <c r="A174" s="223" t="s">
        <v>899</v>
      </c>
      <c r="B174" s="290" t="s">
        <v>900</v>
      </c>
      <c r="C174" s="336" t="s">
        <v>223</v>
      </c>
      <c r="D174" s="471">
        <v>12990.0</v>
      </c>
      <c r="E174" s="222" t="str">
        <f t="array" ref="E174">_xlfn.XLOOKUP(B174,Stock1!F:F,Stock1!J:J,"")</f>
        <v/>
      </c>
      <c r="F174" s="222" t="str">
        <f t="array" ref="F174">_xlfn.XLOOKUP(B174,Stock2!F:F,Stock2!J:J,"")</f>
        <v/>
      </c>
      <c r="G174" s="178">
        <v>2500.0</v>
      </c>
      <c r="H174" s="158">
        <f t="shared" si="18"/>
        <v>10490</v>
      </c>
      <c r="I174" s="175"/>
      <c r="J174" s="158"/>
      <c r="K174" s="158"/>
      <c r="L174" s="164"/>
      <c r="M174" s="158"/>
      <c r="N174" s="158"/>
      <c r="O174" s="211"/>
      <c r="P174" s="163">
        <v>0.1</v>
      </c>
      <c r="Q174" s="158">
        <f t="shared" si="20"/>
        <v>11691</v>
      </c>
      <c r="R174" s="164"/>
      <c r="S174" s="469"/>
      <c r="T174" s="216"/>
      <c r="U174" s="450"/>
      <c r="V174" s="76"/>
      <c r="W174" s="76"/>
      <c r="X174" s="76"/>
      <c r="Y174" s="76"/>
      <c r="Z174" s="101"/>
      <c r="AA174" s="101"/>
      <c r="AB174" s="101"/>
      <c r="AC174" s="101"/>
      <c r="AD174" s="101"/>
      <c r="AE174" s="101"/>
      <c r="AF174" s="101"/>
      <c r="AG174" s="101"/>
      <c r="AH174" s="101"/>
      <c r="AI174" s="101"/>
      <c r="AJ174" s="101"/>
      <c r="AK174" s="101"/>
      <c r="AL174" s="101"/>
    </row>
    <row r="175">
      <c r="A175" s="172"/>
      <c r="B175" s="298" t="s">
        <v>916</v>
      </c>
      <c r="C175" s="343" t="s">
        <v>891</v>
      </c>
      <c r="D175" s="473">
        <v>12990.0</v>
      </c>
      <c r="E175" s="222" t="str">
        <f t="array" ref="E175">_xlfn.XLOOKUP(B175,Stock1!F:F,Stock1!J:J,"")</f>
        <v/>
      </c>
      <c r="F175" s="222" t="str">
        <f t="array" ref="F175">_xlfn.XLOOKUP(B175,Stock2!F:F,Stock2!J:J,"")</f>
        <v/>
      </c>
      <c r="G175" s="178">
        <v>2500.0</v>
      </c>
      <c r="H175" s="158">
        <f t="shared" si="18"/>
        <v>10490</v>
      </c>
      <c r="I175" s="175"/>
      <c r="J175" s="158"/>
      <c r="K175" s="158"/>
      <c r="L175" s="164"/>
      <c r="M175" s="158"/>
      <c r="N175" s="158"/>
      <c r="O175" s="211"/>
      <c r="P175" s="163">
        <v>0.1</v>
      </c>
      <c r="Q175" s="158">
        <f t="shared" si="20"/>
        <v>11691</v>
      </c>
      <c r="R175" s="164"/>
      <c r="S175" s="469"/>
      <c r="T175" s="216"/>
      <c r="U175" s="450"/>
      <c r="V175" s="76"/>
      <c r="W175" s="76"/>
      <c r="X175" s="119"/>
      <c r="Y175" s="76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01"/>
      <c r="AL175" s="101"/>
    </row>
    <row r="176">
      <c r="A176" s="477" t="s">
        <v>1120</v>
      </c>
      <c r="B176" s="478" t="s">
        <v>1121</v>
      </c>
      <c r="C176" s="446" t="s">
        <v>223</v>
      </c>
      <c r="D176" s="479">
        <v>10490.0</v>
      </c>
      <c r="E176" s="482" t="str">
        <f t="array" ref="E176">_xlfn.XLOOKUP(B176,Stock1!F:F,Stock1!J:J,"")</f>
        <v/>
      </c>
      <c r="F176" s="222" t="str">
        <f t="array" ref="F176">_xlfn.XLOOKUP(B176,Stock2!F:F,Stock2!J:J,"")</f>
        <v/>
      </c>
      <c r="G176" s="178">
        <v>500.0</v>
      </c>
      <c r="H176" s="158">
        <f t="shared" si="18"/>
        <v>9990</v>
      </c>
      <c r="I176" s="175"/>
      <c r="J176" s="158">
        <v>1500.0</v>
      </c>
      <c r="K176" s="158">
        <f t="shared" ref="K176:K180" si="21">D176-J176</f>
        <v>8990</v>
      </c>
      <c r="L176" s="213" t="s">
        <v>1124</v>
      </c>
      <c r="M176" s="158"/>
      <c r="N176" s="158"/>
      <c r="O176" s="211"/>
      <c r="P176" s="163">
        <v>0.15</v>
      </c>
      <c r="Q176" s="158">
        <f t="shared" ref="Q176:Q180" si="22">ROUNDUP(D176-(D176*0.15),0)</f>
        <v>8917</v>
      </c>
      <c r="R176" s="158"/>
      <c r="S176" s="270"/>
      <c r="T176" s="216"/>
      <c r="U176" s="450"/>
      <c r="V176" s="484"/>
      <c r="W176" s="76"/>
      <c r="X176" s="230"/>
      <c r="Y176" s="76"/>
      <c r="Z176" s="454"/>
      <c r="AA176" s="455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01"/>
      <c r="AL176" s="101"/>
    </row>
    <row r="177">
      <c r="A177" s="477" t="s">
        <v>1120</v>
      </c>
      <c r="B177" s="437" t="s">
        <v>1127</v>
      </c>
      <c r="C177" s="438" t="s">
        <v>223</v>
      </c>
      <c r="D177" s="457">
        <v>10490.0</v>
      </c>
      <c r="E177" s="482">
        <f t="array" ref="E177">_xlfn.XLOOKUP(B177,Stock1!F:F,Stock1!J:J,"")</f>
        <v>6</v>
      </c>
      <c r="F177" s="222">
        <f t="array" ref="F177">_xlfn.XLOOKUP(B177,Stock2!F:F,Stock2!J:J,"")</f>
        <v>6</v>
      </c>
      <c r="G177" s="178">
        <v>500.0</v>
      </c>
      <c r="H177" s="158">
        <f t="shared" si="18"/>
        <v>9990</v>
      </c>
      <c r="I177" s="175"/>
      <c r="J177" s="158">
        <v>1500.0</v>
      </c>
      <c r="K177" s="158">
        <f t="shared" si="21"/>
        <v>8990</v>
      </c>
      <c r="L177" s="175"/>
      <c r="M177" s="158"/>
      <c r="N177" s="158"/>
      <c r="O177" s="175"/>
      <c r="P177" s="163">
        <v>0.15</v>
      </c>
      <c r="Q177" s="158">
        <f t="shared" si="22"/>
        <v>8917</v>
      </c>
      <c r="R177" s="158"/>
      <c r="S177" s="270"/>
      <c r="T177" s="216"/>
      <c r="U177" s="76"/>
      <c r="V177" s="76"/>
      <c r="W177" s="76"/>
      <c r="X177" s="230"/>
      <c r="Y177" s="76"/>
      <c r="Z177" s="454"/>
      <c r="AA177" s="455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01"/>
      <c r="AL177" s="101"/>
    </row>
    <row r="178">
      <c r="A178" s="477" t="s">
        <v>1131</v>
      </c>
      <c r="B178" s="478" t="s">
        <v>1132</v>
      </c>
      <c r="C178" s="446" t="s">
        <v>223</v>
      </c>
      <c r="D178" s="479">
        <v>8490.0</v>
      </c>
      <c r="E178" s="482" t="str">
        <f t="array" ref="E178">_xlfn.XLOOKUP(B178,Stock1!F:F,Stock1!J:J,"")</f>
        <v/>
      </c>
      <c r="F178" s="222" t="str">
        <f t="array" ref="F178">_xlfn.XLOOKUP(B178,Stock2!F:F,Stock2!J:J,"")</f>
        <v/>
      </c>
      <c r="G178" s="178">
        <v>500.0</v>
      </c>
      <c r="H178" s="158">
        <f t="shared" si="18"/>
        <v>7990</v>
      </c>
      <c r="I178" s="175"/>
      <c r="J178" s="158">
        <v>1500.0</v>
      </c>
      <c r="K178" s="158">
        <f t="shared" si="21"/>
        <v>6990</v>
      </c>
      <c r="L178" s="175"/>
      <c r="M178" s="158"/>
      <c r="N178" s="158"/>
      <c r="O178" s="175"/>
      <c r="P178" s="163">
        <v>0.15</v>
      </c>
      <c r="Q178" s="158">
        <f t="shared" si="22"/>
        <v>7217</v>
      </c>
      <c r="R178" s="158"/>
      <c r="S178" s="270"/>
      <c r="T178" s="216"/>
      <c r="U178" s="76"/>
      <c r="V178" s="76"/>
      <c r="W178" s="76"/>
      <c r="X178" s="230"/>
      <c r="Y178" s="76"/>
      <c r="Z178" s="454"/>
      <c r="AA178" s="455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101"/>
      <c r="AL178" s="101"/>
    </row>
    <row r="179">
      <c r="A179" s="477" t="s">
        <v>1131</v>
      </c>
      <c r="B179" s="437" t="s">
        <v>1134</v>
      </c>
      <c r="C179" s="438" t="s">
        <v>223</v>
      </c>
      <c r="D179" s="457">
        <v>8490.0</v>
      </c>
      <c r="E179" s="482">
        <f t="array" ref="E179">_xlfn.XLOOKUP(B179,Stock1!F:F,Stock1!J:J,"")</f>
        <v>3</v>
      </c>
      <c r="F179" s="222">
        <f t="array" ref="F179">_xlfn.XLOOKUP(B179,Stock2!F:F,Stock2!J:J,"")</f>
        <v>3</v>
      </c>
      <c r="G179" s="178">
        <v>500.0</v>
      </c>
      <c r="H179" s="158">
        <f t="shared" si="18"/>
        <v>7990</v>
      </c>
      <c r="I179" s="175"/>
      <c r="J179" s="158">
        <v>1500.0</v>
      </c>
      <c r="K179" s="158">
        <f t="shared" si="21"/>
        <v>6990</v>
      </c>
      <c r="L179" s="175"/>
      <c r="M179" s="158"/>
      <c r="N179" s="158"/>
      <c r="O179" s="175"/>
      <c r="P179" s="163">
        <v>0.15</v>
      </c>
      <c r="Q179" s="158">
        <f t="shared" si="22"/>
        <v>7217</v>
      </c>
      <c r="R179" s="158"/>
      <c r="S179" s="270"/>
      <c r="T179" s="216"/>
      <c r="U179" s="76"/>
      <c r="V179" s="76"/>
      <c r="W179" s="76"/>
      <c r="X179" s="230"/>
      <c r="Y179" s="76"/>
      <c r="Z179" s="454"/>
      <c r="AA179" s="455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01"/>
      <c r="AL179" s="101"/>
    </row>
    <row r="180">
      <c r="A180" s="436" t="s">
        <v>1001</v>
      </c>
      <c r="B180" s="486" t="s">
        <v>1002</v>
      </c>
      <c r="C180" s="487" t="s">
        <v>223</v>
      </c>
      <c r="D180" s="488">
        <v>7490.0</v>
      </c>
      <c r="E180" s="440">
        <f t="array" ref="E180">_xlfn.XLOOKUP(B180,Stock1!F:F,Stock1!J:J,"")</f>
        <v>8</v>
      </c>
      <c r="F180" s="440">
        <f t="array" ref="F180">_xlfn.XLOOKUP(B180,Stock2!F:F,Stock2!J:J,"")</f>
        <v>10</v>
      </c>
      <c r="G180" s="178">
        <v>500.0</v>
      </c>
      <c r="H180" s="158">
        <f t="shared" si="18"/>
        <v>6990</v>
      </c>
      <c r="I180" s="175"/>
      <c r="J180" s="158">
        <v>1500.0</v>
      </c>
      <c r="K180" s="158">
        <f t="shared" si="21"/>
        <v>5990</v>
      </c>
      <c r="L180" s="175"/>
      <c r="M180" s="158"/>
      <c r="N180" s="158"/>
      <c r="O180" s="175"/>
      <c r="P180" s="163">
        <v>0.15</v>
      </c>
      <c r="Q180" s="158">
        <f t="shared" si="22"/>
        <v>6367</v>
      </c>
      <c r="R180" s="158"/>
      <c r="S180" s="270"/>
      <c r="T180" s="216"/>
      <c r="U180" s="489"/>
      <c r="V180" s="490"/>
      <c r="W180" s="119"/>
      <c r="X180" s="230"/>
      <c r="Y180" s="76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101"/>
      <c r="AL180" s="101"/>
    </row>
    <row r="181">
      <c r="A181" s="491" t="s">
        <v>1030</v>
      </c>
      <c r="B181" s="491"/>
      <c r="C181" s="491"/>
      <c r="D181" s="491"/>
      <c r="E181" s="491"/>
      <c r="F181" s="491"/>
      <c r="G181" s="491"/>
      <c r="H181" s="491"/>
      <c r="I181" s="491"/>
      <c r="J181" s="491"/>
      <c r="K181" s="491"/>
      <c r="L181" s="491"/>
      <c r="M181" s="491"/>
      <c r="N181" s="491"/>
      <c r="O181" s="491"/>
      <c r="P181" s="491"/>
      <c r="Q181" s="491"/>
      <c r="R181" s="491"/>
      <c r="S181" s="491"/>
      <c r="T181" s="491"/>
      <c r="U181" s="491"/>
      <c r="V181" s="491"/>
      <c r="W181" s="491"/>
      <c r="X181" s="492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493"/>
      <c r="AL181" s="101"/>
    </row>
    <row r="182">
      <c r="A182" s="494" t="s">
        <v>1036</v>
      </c>
      <c r="B182" s="495" t="s">
        <v>1037</v>
      </c>
      <c r="C182" s="336" t="s">
        <v>251</v>
      </c>
      <c r="D182" s="496">
        <v>1490.0</v>
      </c>
      <c r="E182" s="222">
        <f t="array" ref="E182">_xlfn.XLOOKUP(B182,Stock1!F:F,Stock1!J:J,"")</f>
        <v>8</v>
      </c>
      <c r="F182" s="154">
        <f t="array" ref="F182">_xlfn.XLOOKUP(B182,Stock2!F:F,Stock2!J:J,"")</f>
        <v>8</v>
      </c>
      <c r="G182" s="497">
        <v>200.0</v>
      </c>
      <c r="H182" s="498">
        <f t="shared" ref="H182:H183" si="23">D182-G182</f>
        <v>1290</v>
      </c>
      <c r="I182" s="499" t="s">
        <v>1092</v>
      </c>
      <c r="J182" s="500"/>
      <c r="K182" s="501"/>
      <c r="L182" s="502"/>
      <c r="M182" s="502"/>
      <c r="N182" s="502"/>
      <c r="O182" s="502"/>
      <c r="P182" s="502"/>
      <c r="Q182" s="502"/>
      <c r="R182" s="502"/>
      <c r="S182" s="503"/>
      <c r="T182" s="504"/>
      <c r="U182" s="363"/>
      <c r="V182" s="505"/>
      <c r="W182" s="506"/>
      <c r="X182" s="492"/>
      <c r="Y182" s="507"/>
      <c r="Z182" s="101"/>
      <c r="AA182" s="101"/>
      <c r="AB182" s="101"/>
      <c r="AC182" s="101"/>
      <c r="AD182" s="101"/>
      <c r="AE182" s="101"/>
      <c r="AF182" s="101"/>
      <c r="AG182" s="101"/>
      <c r="AH182" s="101"/>
      <c r="AI182" s="101"/>
      <c r="AJ182" s="101"/>
      <c r="AK182" s="76"/>
      <c r="AL182" s="101"/>
    </row>
    <row r="183">
      <c r="A183" s="179"/>
      <c r="B183" s="508" t="s">
        <v>1046</v>
      </c>
      <c r="C183" s="349" t="s">
        <v>586</v>
      </c>
      <c r="D183" s="509">
        <v>1490.0</v>
      </c>
      <c r="E183" s="222">
        <f t="array" ref="E183">_xlfn.XLOOKUP(B183,Stock1!F:F,Stock1!J:J,"")</f>
        <v>6</v>
      </c>
      <c r="F183" s="154">
        <f t="array" ref="F183">_xlfn.XLOOKUP(B183,Stock2!F:F,Stock2!J:J,"")</f>
        <v>6</v>
      </c>
      <c r="G183" s="497">
        <v>200.0</v>
      </c>
      <c r="H183" s="498">
        <f t="shared" si="23"/>
        <v>1290</v>
      </c>
      <c r="I183" s="76"/>
      <c r="J183" s="510"/>
      <c r="K183" s="511"/>
      <c r="L183" s="512"/>
      <c r="M183" s="512"/>
      <c r="N183" s="512"/>
      <c r="O183" s="512"/>
      <c r="P183" s="512"/>
      <c r="Q183" s="512"/>
      <c r="R183" s="512"/>
      <c r="S183" s="503"/>
      <c r="T183" s="504"/>
      <c r="U183" s="363"/>
      <c r="V183" s="505"/>
      <c r="W183" s="76"/>
      <c r="X183" s="492"/>
      <c r="Y183" s="507"/>
      <c r="Z183" s="101"/>
      <c r="AA183" s="101"/>
      <c r="AB183" s="101"/>
      <c r="AC183" s="101"/>
      <c r="AD183" s="101"/>
      <c r="AE183" s="101"/>
      <c r="AF183" s="101"/>
      <c r="AG183" s="101"/>
      <c r="AH183" s="101"/>
      <c r="AI183" s="101"/>
      <c r="AJ183" s="101"/>
      <c r="AK183" s="76"/>
      <c r="AL183" s="101"/>
    </row>
    <row r="184">
      <c r="A184" s="494" t="s">
        <v>1053</v>
      </c>
      <c r="B184" s="495" t="s">
        <v>1054</v>
      </c>
      <c r="C184" s="336" t="s">
        <v>82</v>
      </c>
      <c r="D184" s="496">
        <v>4290.0</v>
      </c>
      <c r="E184" s="222">
        <f t="array" ref="E184">_xlfn.XLOOKUP(B184,Stock1!F:F,Stock1!J:J,"")</f>
        <v>2</v>
      </c>
      <c r="F184" s="154">
        <f t="array" ref="F184">_xlfn.XLOOKUP(B184,Stock2!F:F,Stock2!J:J,"")</f>
        <v>3</v>
      </c>
      <c r="G184" s="513">
        <v>0.3</v>
      </c>
      <c r="H184" s="498">
        <f t="shared" ref="H184:H190" si="24">D184-(D184*0.3)</f>
        <v>3003</v>
      </c>
      <c r="I184" s="76"/>
      <c r="J184" s="514"/>
      <c r="K184" s="511"/>
      <c r="L184" s="515"/>
      <c r="M184" s="511"/>
      <c r="N184" s="511"/>
      <c r="O184" s="511"/>
      <c r="P184" s="516"/>
      <c r="Q184" s="516"/>
      <c r="R184" s="516"/>
      <c r="S184" s="503"/>
      <c r="T184" s="504"/>
      <c r="U184" s="363"/>
      <c r="V184" s="505"/>
      <c r="W184" s="76"/>
      <c r="X184" s="492"/>
      <c r="Y184" s="517" t="s">
        <v>1153</v>
      </c>
      <c r="Z184" s="101"/>
      <c r="AA184" s="101"/>
      <c r="AB184" s="101"/>
      <c r="AC184" s="101"/>
      <c r="AD184" s="101"/>
      <c r="AE184" s="101"/>
      <c r="AF184" s="101"/>
      <c r="AG184" s="101"/>
      <c r="AH184" s="101"/>
      <c r="AI184" s="101"/>
      <c r="AJ184" s="101"/>
      <c r="AK184" s="76"/>
      <c r="AL184" s="101"/>
    </row>
    <row r="185">
      <c r="A185" s="179"/>
      <c r="B185" s="508" t="s">
        <v>1064</v>
      </c>
      <c r="C185" s="349" t="s">
        <v>223</v>
      </c>
      <c r="D185" s="509">
        <v>4290.0</v>
      </c>
      <c r="E185" s="222" t="str">
        <f t="array" ref="E185">_xlfn.XLOOKUP(B185,Stock1!F:F,Stock1!J:J,"")</f>
        <v/>
      </c>
      <c r="F185" s="154">
        <f t="array" ref="F185">_xlfn.XLOOKUP(B185,Stock2!F:F,Stock2!J:J,"")</f>
        <v>1</v>
      </c>
      <c r="G185" s="513">
        <v>0.3</v>
      </c>
      <c r="H185" s="498">
        <f t="shared" si="24"/>
        <v>3003</v>
      </c>
      <c r="I185" s="76"/>
      <c r="J185" s="514"/>
      <c r="K185" s="511"/>
      <c r="L185" s="286"/>
      <c r="M185" s="511"/>
      <c r="N185" s="511"/>
      <c r="O185" s="511"/>
      <c r="P185" s="516"/>
      <c r="Q185" s="516"/>
      <c r="R185" s="516"/>
      <c r="S185" s="503"/>
      <c r="T185" s="504"/>
      <c r="U185" s="363"/>
      <c r="V185" s="505"/>
      <c r="W185" s="76"/>
      <c r="X185" s="492"/>
      <c r="Z185" s="101"/>
      <c r="AA185" s="101"/>
      <c r="AB185" s="101"/>
      <c r="AC185" s="101"/>
      <c r="AD185" s="101"/>
      <c r="AE185" s="101"/>
      <c r="AF185" s="101"/>
      <c r="AG185" s="101"/>
      <c r="AH185" s="101"/>
      <c r="AI185" s="101"/>
      <c r="AJ185" s="101"/>
      <c r="AK185" s="76"/>
      <c r="AL185" s="101"/>
    </row>
    <row r="186">
      <c r="A186" s="494" t="s">
        <v>1154</v>
      </c>
      <c r="B186" s="518" t="s">
        <v>1156</v>
      </c>
      <c r="C186" s="340" t="s">
        <v>82</v>
      </c>
      <c r="D186" s="519">
        <v>5990.0</v>
      </c>
      <c r="E186" s="222">
        <f t="array" ref="E186">_xlfn.XLOOKUP(B186,Stock1!F:F,Stock1!J:J,"")</f>
        <v>6</v>
      </c>
      <c r="F186" s="154">
        <f t="array" ref="F186">_xlfn.XLOOKUP(B186,Stock2!F:F,Stock2!J:J,"")</f>
        <v>6</v>
      </c>
      <c r="G186" s="513">
        <v>0.3</v>
      </c>
      <c r="H186" s="498">
        <f t="shared" si="24"/>
        <v>4193</v>
      </c>
      <c r="I186" s="76"/>
      <c r="J186" s="514"/>
      <c r="K186" s="511"/>
      <c r="L186" s="286"/>
      <c r="M186" s="511"/>
      <c r="N186" s="511"/>
      <c r="O186" s="511"/>
      <c r="P186" s="516"/>
      <c r="Q186" s="516"/>
      <c r="R186" s="516"/>
      <c r="S186" s="503"/>
      <c r="T186" s="504"/>
      <c r="U186" s="450"/>
      <c r="V186" s="505"/>
      <c r="W186" s="76"/>
      <c r="X186" s="492"/>
      <c r="Z186" s="101"/>
      <c r="AA186" s="101"/>
      <c r="AB186" s="101"/>
      <c r="AC186" s="101"/>
      <c r="AD186" s="101"/>
      <c r="AE186" s="101"/>
      <c r="AF186" s="101"/>
      <c r="AG186" s="101"/>
      <c r="AH186" s="101"/>
      <c r="AI186" s="101"/>
      <c r="AJ186" s="101"/>
      <c r="AK186" s="76"/>
      <c r="AL186" s="101"/>
    </row>
    <row r="187">
      <c r="A187" s="179"/>
      <c r="B187" s="508" t="s">
        <v>1158</v>
      </c>
      <c r="C187" s="349" t="s">
        <v>586</v>
      </c>
      <c r="D187" s="509">
        <v>5990.0</v>
      </c>
      <c r="E187" s="222">
        <f t="array" ref="E187">_xlfn.XLOOKUP(B187,Stock1!F:F,Stock1!J:J,"")</f>
        <v>4</v>
      </c>
      <c r="F187" s="154">
        <f t="array" ref="F187">_xlfn.XLOOKUP(B187,Stock2!F:F,Stock2!J:J,"")</f>
        <v>4</v>
      </c>
      <c r="G187" s="513">
        <v>0.3</v>
      </c>
      <c r="H187" s="498">
        <f t="shared" si="24"/>
        <v>4193</v>
      </c>
      <c r="I187" s="76"/>
      <c r="J187" s="514"/>
      <c r="K187" s="511"/>
      <c r="L187" s="286"/>
      <c r="M187" s="511"/>
      <c r="N187" s="511"/>
      <c r="O187" s="511"/>
      <c r="P187" s="516"/>
      <c r="Q187" s="516"/>
      <c r="R187" s="516"/>
      <c r="S187" s="503"/>
      <c r="T187" s="504"/>
      <c r="U187" s="76"/>
      <c r="V187" s="505"/>
      <c r="W187" s="76"/>
      <c r="X187" s="492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1"/>
      <c r="AJ187" s="101"/>
      <c r="AK187" s="76"/>
      <c r="AL187" s="101"/>
    </row>
    <row r="188">
      <c r="A188" s="494" t="s">
        <v>1161</v>
      </c>
      <c r="B188" s="518" t="s">
        <v>1162</v>
      </c>
      <c r="C188" s="340" t="s">
        <v>82</v>
      </c>
      <c r="D188" s="519">
        <v>7990.0</v>
      </c>
      <c r="E188" s="222">
        <f t="array" ref="E188">_xlfn.XLOOKUP(B188,Stock1!F:F,Stock1!J:J,"")</f>
        <v>10</v>
      </c>
      <c r="F188" s="154">
        <f t="array" ref="F188">_xlfn.XLOOKUP(B188,Stock2!F:F,Stock2!J:J,"")</f>
        <v>9</v>
      </c>
      <c r="G188" s="513">
        <v>0.3</v>
      </c>
      <c r="H188" s="498">
        <f t="shared" si="24"/>
        <v>5593</v>
      </c>
      <c r="I188" s="76"/>
      <c r="J188" s="514"/>
      <c r="K188" s="511"/>
      <c r="L188" s="286"/>
      <c r="M188" s="511"/>
      <c r="N188" s="511"/>
      <c r="O188" s="511"/>
      <c r="P188" s="516"/>
      <c r="Q188" s="516"/>
      <c r="R188" s="516"/>
      <c r="S188" s="503"/>
      <c r="T188" s="504"/>
      <c r="U188" s="76"/>
      <c r="V188" s="505"/>
      <c r="W188" s="76"/>
      <c r="X188" s="492"/>
      <c r="Z188" s="101"/>
      <c r="AA188" s="101"/>
      <c r="AB188" s="101"/>
      <c r="AC188" s="101"/>
      <c r="AD188" s="101"/>
      <c r="AE188" s="101"/>
      <c r="AF188" s="101"/>
      <c r="AG188" s="101"/>
      <c r="AH188" s="101"/>
      <c r="AI188" s="101"/>
      <c r="AJ188" s="101"/>
      <c r="AK188" s="76"/>
      <c r="AL188" s="101"/>
    </row>
    <row r="189">
      <c r="A189" s="172"/>
      <c r="B189" s="520" t="s">
        <v>1165</v>
      </c>
      <c r="C189" s="343" t="s">
        <v>586</v>
      </c>
      <c r="D189" s="521">
        <v>7990.0</v>
      </c>
      <c r="E189" s="222">
        <f t="array" ref="E189">_xlfn.XLOOKUP(B189,Stock1!F:F,Stock1!J:J,"")</f>
        <v>7</v>
      </c>
      <c r="F189" s="154">
        <f t="array" ref="F189">_xlfn.XLOOKUP(B189,Stock2!F:F,Stock2!J:J,"")</f>
        <v>4</v>
      </c>
      <c r="G189" s="513">
        <v>0.3</v>
      </c>
      <c r="H189" s="498">
        <f t="shared" si="24"/>
        <v>5593</v>
      </c>
      <c r="I189" s="76"/>
      <c r="J189" s="514"/>
      <c r="K189" s="511"/>
      <c r="L189" s="286"/>
      <c r="M189" s="511"/>
      <c r="N189" s="511"/>
      <c r="O189" s="511"/>
      <c r="P189" s="516"/>
      <c r="Q189" s="516"/>
      <c r="R189" s="516"/>
      <c r="S189" s="503"/>
      <c r="T189" s="504"/>
      <c r="U189" s="76"/>
      <c r="V189" s="505"/>
      <c r="W189" s="76"/>
      <c r="X189" s="492"/>
      <c r="Z189" s="101"/>
      <c r="AA189" s="101"/>
      <c r="AB189" s="101"/>
      <c r="AC189" s="101"/>
      <c r="AD189" s="101"/>
      <c r="AE189" s="101"/>
      <c r="AF189" s="101"/>
      <c r="AG189" s="101"/>
      <c r="AH189" s="101"/>
      <c r="AI189" s="101"/>
      <c r="AJ189" s="101"/>
      <c r="AK189" s="76"/>
      <c r="AL189" s="101"/>
    </row>
    <row r="190">
      <c r="A190" s="179"/>
      <c r="B190" s="522" t="s">
        <v>1168</v>
      </c>
      <c r="C190" s="357" t="s">
        <v>1075</v>
      </c>
      <c r="D190" s="523">
        <v>7990.0</v>
      </c>
      <c r="E190" s="222">
        <f t="array" ref="E190">_xlfn.XLOOKUP(B190,Stock1!F:F,Stock1!J:J,"")</f>
        <v>1</v>
      </c>
      <c r="F190" s="154" t="str">
        <f t="array" ref="F190">_xlfn.XLOOKUP(B190,Stock2!F:F,Stock2!J:J,"")</f>
        <v/>
      </c>
      <c r="G190" s="513">
        <v>0.3</v>
      </c>
      <c r="H190" s="498">
        <f t="shared" si="24"/>
        <v>5593</v>
      </c>
      <c r="I190" s="76"/>
      <c r="J190" s="514"/>
      <c r="K190" s="511"/>
      <c r="L190" s="515"/>
      <c r="M190" s="511"/>
      <c r="N190" s="511"/>
      <c r="O190" s="511"/>
      <c r="P190" s="516"/>
      <c r="Q190" s="516"/>
      <c r="R190" s="516"/>
      <c r="S190" s="503"/>
      <c r="T190" s="504"/>
      <c r="U190" s="76"/>
      <c r="V190" s="505"/>
      <c r="W190" s="76"/>
      <c r="X190" s="492"/>
      <c r="Z190" s="101"/>
      <c r="AA190" s="101"/>
      <c r="AB190" s="101"/>
      <c r="AC190" s="101"/>
      <c r="AD190" s="101"/>
      <c r="AE190" s="101"/>
      <c r="AF190" s="101"/>
      <c r="AG190" s="101"/>
      <c r="AH190" s="101"/>
      <c r="AI190" s="101"/>
      <c r="AJ190" s="101"/>
      <c r="AK190" s="76"/>
      <c r="AL190" s="101"/>
    </row>
    <row r="191">
      <c r="A191" s="494" t="s">
        <v>1073</v>
      </c>
      <c r="B191" s="495" t="s">
        <v>1074</v>
      </c>
      <c r="C191" s="336" t="s">
        <v>1075</v>
      </c>
      <c r="D191" s="496">
        <v>1990.0</v>
      </c>
      <c r="E191" s="222" t="str">
        <f t="array" ref="E191">_xlfn.XLOOKUP(B191,Stock1!F:F,Stock1!J:J,"")</f>
        <v/>
      </c>
      <c r="F191" s="154" t="str">
        <f t="array" ref="F191">_xlfn.XLOOKUP(B191,Stock2!F:F,Stock2!J:J,"")</f>
        <v/>
      </c>
      <c r="G191" s="524"/>
      <c r="H191" s="498"/>
      <c r="I191" s="76"/>
      <c r="J191" s="510"/>
      <c r="K191" s="511"/>
      <c r="L191" s="512"/>
      <c r="M191" s="512"/>
      <c r="N191" s="512"/>
      <c r="O191" s="512"/>
      <c r="P191" s="512"/>
      <c r="Q191" s="512"/>
      <c r="R191" s="512"/>
      <c r="S191" s="525"/>
      <c r="T191" s="504"/>
      <c r="U191" s="76"/>
      <c r="V191" s="505"/>
      <c r="W191" s="76"/>
      <c r="X191" s="492"/>
      <c r="Z191" s="101"/>
      <c r="AA191" s="101"/>
      <c r="AB191" s="101"/>
      <c r="AC191" s="101"/>
      <c r="AD191" s="101"/>
      <c r="AE191" s="101"/>
      <c r="AF191" s="101"/>
      <c r="AG191" s="101"/>
      <c r="AH191" s="101"/>
      <c r="AI191" s="101"/>
      <c r="AJ191" s="101"/>
      <c r="AK191" s="76"/>
      <c r="AL191" s="101"/>
    </row>
    <row r="192">
      <c r="A192" s="172"/>
      <c r="B192" s="520" t="s">
        <v>1076</v>
      </c>
      <c r="C192" s="343" t="s">
        <v>223</v>
      </c>
      <c r="D192" s="521">
        <v>1990.0</v>
      </c>
      <c r="E192" s="222" t="str">
        <f t="array" ref="E192">_xlfn.XLOOKUP(B192,Stock1!F:F,Stock1!J:J,"")</f>
        <v/>
      </c>
      <c r="F192" s="154" t="str">
        <f t="array" ref="F192">_xlfn.XLOOKUP(B192,Stock2!F:F,Stock2!J:J,"")</f>
        <v/>
      </c>
      <c r="G192" s="524"/>
      <c r="H192" s="498"/>
      <c r="I192" s="76"/>
      <c r="J192" s="510"/>
      <c r="K192" s="511"/>
      <c r="L192" s="512"/>
      <c r="M192" s="512"/>
      <c r="N192" s="512"/>
      <c r="O192" s="512"/>
      <c r="P192" s="512"/>
      <c r="Q192" s="512"/>
      <c r="R192" s="512"/>
      <c r="S192" s="458"/>
      <c r="T192" s="504"/>
      <c r="U192" s="76"/>
      <c r="V192" s="505"/>
      <c r="W192" s="76"/>
      <c r="X192" s="492"/>
      <c r="Z192" s="101"/>
      <c r="AA192" s="101"/>
      <c r="AB192" s="101"/>
      <c r="AC192" s="101"/>
      <c r="AD192" s="101"/>
      <c r="AE192" s="101"/>
      <c r="AF192" s="101"/>
      <c r="AG192" s="101"/>
      <c r="AH192" s="101"/>
      <c r="AI192" s="101"/>
      <c r="AJ192" s="101"/>
      <c r="AK192" s="76"/>
      <c r="AL192" s="101"/>
    </row>
    <row r="193">
      <c r="A193" s="172"/>
      <c r="B193" s="520" t="s">
        <v>1077</v>
      </c>
      <c r="C193" s="343" t="s">
        <v>769</v>
      </c>
      <c r="D193" s="521">
        <v>1990.0</v>
      </c>
      <c r="E193" s="222" t="str">
        <f t="array" ref="E193">_xlfn.XLOOKUP(B193,Stock1!F:F,Stock1!J:J,"")</f>
        <v/>
      </c>
      <c r="F193" s="154" t="str">
        <f t="array" ref="F193">_xlfn.XLOOKUP(B193,Stock2!F:F,Stock2!J:J,"")</f>
        <v/>
      </c>
      <c r="G193" s="524"/>
      <c r="H193" s="498"/>
      <c r="I193" s="76"/>
      <c r="J193" s="510"/>
      <c r="K193" s="511"/>
      <c r="L193" s="512"/>
      <c r="M193" s="512"/>
      <c r="N193" s="512"/>
      <c r="O193" s="512"/>
      <c r="P193" s="512"/>
      <c r="Q193" s="512"/>
      <c r="R193" s="512"/>
      <c r="S193" s="458"/>
      <c r="T193" s="504"/>
      <c r="U193" s="76"/>
      <c r="V193" s="505"/>
      <c r="W193" s="76"/>
      <c r="X193" s="492"/>
      <c r="Z193" s="101"/>
      <c r="AA193" s="101"/>
      <c r="AB193" s="101"/>
      <c r="AC193" s="101"/>
      <c r="AD193" s="101"/>
      <c r="AE193" s="101"/>
      <c r="AF193" s="101"/>
      <c r="AG193" s="101"/>
      <c r="AH193" s="101"/>
      <c r="AI193" s="101"/>
      <c r="AJ193" s="101"/>
      <c r="AK193" s="76"/>
      <c r="AL193" s="101"/>
    </row>
    <row r="194">
      <c r="A194" s="172"/>
      <c r="B194" s="520" t="s">
        <v>1080</v>
      </c>
      <c r="C194" s="343" t="s">
        <v>1075</v>
      </c>
      <c r="D194" s="521">
        <v>1990.0</v>
      </c>
      <c r="E194" s="222">
        <f t="array" ref="E194">_xlfn.XLOOKUP(B194,Stock1!F:F,Stock1!J:J,"")</f>
        <v>2</v>
      </c>
      <c r="F194" s="154">
        <f t="array" ref="F194">_xlfn.XLOOKUP(B194,Stock2!F:F,Stock2!J:J,"")</f>
        <v>3</v>
      </c>
      <c r="G194" s="524"/>
      <c r="H194" s="498"/>
      <c r="I194" s="76"/>
      <c r="J194" s="510"/>
      <c r="K194" s="511"/>
      <c r="L194" s="512"/>
      <c r="M194" s="512"/>
      <c r="N194" s="512"/>
      <c r="O194" s="512"/>
      <c r="P194" s="512"/>
      <c r="Q194" s="512"/>
      <c r="R194" s="512"/>
      <c r="S194" s="458"/>
      <c r="T194" s="504"/>
      <c r="U194" s="76"/>
      <c r="V194" s="505"/>
      <c r="W194" s="76"/>
      <c r="X194" s="492"/>
      <c r="Z194" s="101"/>
      <c r="AA194" s="101"/>
      <c r="AB194" s="101"/>
      <c r="AC194" s="101"/>
      <c r="AD194" s="101"/>
      <c r="AE194" s="101"/>
      <c r="AF194" s="101"/>
      <c r="AG194" s="101"/>
      <c r="AH194" s="101"/>
      <c r="AI194" s="101"/>
      <c r="AJ194" s="101"/>
      <c r="AK194" s="76"/>
      <c r="AL194" s="101"/>
    </row>
    <row r="195">
      <c r="A195" s="172"/>
      <c r="B195" s="520" t="s">
        <v>1081</v>
      </c>
      <c r="C195" s="343" t="s">
        <v>223</v>
      </c>
      <c r="D195" s="521">
        <v>1990.0</v>
      </c>
      <c r="E195" s="222">
        <f t="array" ref="E195">_xlfn.XLOOKUP(B195,Stock1!F:F,Stock1!J:J,"")</f>
        <v>2</v>
      </c>
      <c r="F195" s="154">
        <f t="array" ref="F195">_xlfn.XLOOKUP(B195,Stock2!F:F,Stock2!J:J,"")</f>
        <v>1</v>
      </c>
      <c r="G195" s="524"/>
      <c r="H195" s="498"/>
      <c r="I195" s="76"/>
      <c r="J195" s="510"/>
      <c r="K195" s="511"/>
      <c r="L195" s="512"/>
      <c r="M195" s="512"/>
      <c r="N195" s="512"/>
      <c r="O195" s="512"/>
      <c r="P195" s="512"/>
      <c r="Q195" s="512"/>
      <c r="R195" s="512"/>
      <c r="S195" s="458"/>
      <c r="T195" s="504"/>
      <c r="U195" s="76"/>
      <c r="V195" s="505"/>
      <c r="W195" s="76"/>
      <c r="X195" s="492"/>
      <c r="Z195" s="101"/>
      <c r="AA195" s="101"/>
      <c r="AB195" s="101"/>
      <c r="AC195" s="101"/>
      <c r="AD195" s="101"/>
      <c r="AE195" s="101"/>
      <c r="AF195" s="101"/>
      <c r="AG195" s="101"/>
      <c r="AH195" s="101"/>
      <c r="AI195" s="101"/>
      <c r="AJ195" s="101"/>
      <c r="AK195" s="76"/>
      <c r="AL195" s="101"/>
    </row>
    <row r="196">
      <c r="A196" s="179"/>
      <c r="B196" s="508" t="s">
        <v>1082</v>
      </c>
      <c r="C196" s="349" t="s">
        <v>769</v>
      </c>
      <c r="D196" s="509">
        <v>1990.0</v>
      </c>
      <c r="E196" s="222">
        <f t="array" ref="E196">_xlfn.XLOOKUP(B196,Stock1!F:F,Stock1!J:J,"")</f>
        <v>3</v>
      </c>
      <c r="F196" s="154">
        <f t="array" ref="F196">_xlfn.XLOOKUP(B196,Stock2!F:F,Stock2!J:J,"")</f>
        <v>1</v>
      </c>
      <c r="G196" s="524"/>
      <c r="H196" s="498"/>
      <c r="I196" s="76"/>
      <c r="J196" s="510"/>
      <c r="K196" s="511"/>
      <c r="L196" s="512"/>
      <c r="M196" s="512"/>
      <c r="N196" s="512"/>
      <c r="O196" s="512"/>
      <c r="P196" s="512"/>
      <c r="Q196" s="512"/>
      <c r="R196" s="512"/>
      <c r="S196" s="458"/>
      <c r="T196" s="504"/>
      <c r="U196" s="119"/>
      <c r="V196" s="505"/>
      <c r="W196" s="76"/>
      <c r="X196" s="492"/>
      <c r="Z196" s="101"/>
      <c r="AA196" s="101"/>
      <c r="AB196" s="101"/>
      <c r="AC196" s="101"/>
      <c r="AD196" s="101"/>
      <c r="AE196" s="101"/>
      <c r="AF196" s="101"/>
      <c r="AG196" s="101"/>
      <c r="AH196" s="101"/>
      <c r="AI196" s="101"/>
      <c r="AJ196" s="101"/>
      <c r="AK196" s="76"/>
      <c r="AL196" s="101"/>
    </row>
    <row r="197">
      <c r="A197" s="223" t="s">
        <v>1083</v>
      </c>
      <c r="B197" s="495" t="s">
        <v>1084</v>
      </c>
      <c r="C197" s="336" t="s">
        <v>1085</v>
      </c>
      <c r="D197" s="527">
        <v>10900.0</v>
      </c>
      <c r="E197" s="222" t="str">
        <f t="array" ref="E197">_xlfn.XLOOKUP(B197,Stock1!F:F,Stock1!J:J,"")</f>
        <v/>
      </c>
      <c r="F197" s="154" t="str">
        <f t="array" ref="F197">_xlfn.XLOOKUP(B197,Stock2!F:F,Stock2!J:J,"")</f>
        <v/>
      </c>
      <c r="G197" s="497"/>
      <c r="H197" s="498"/>
      <c r="I197" s="76"/>
      <c r="J197" s="510"/>
      <c r="K197" s="511"/>
      <c r="L197" s="512"/>
      <c r="M197" s="512"/>
      <c r="N197" s="512"/>
      <c r="O197" s="512"/>
      <c r="P197" s="512"/>
      <c r="Q197" s="512"/>
      <c r="R197" s="512"/>
      <c r="S197" s="525"/>
      <c r="T197" s="504"/>
      <c r="U197" s="450"/>
      <c r="V197" s="505"/>
      <c r="W197" s="76"/>
      <c r="X197" s="492"/>
      <c r="Z197" s="101"/>
      <c r="AA197" s="101"/>
      <c r="AB197" s="101"/>
      <c r="AC197" s="101"/>
      <c r="AD197" s="101"/>
      <c r="AE197" s="101"/>
      <c r="AF197" s="101"/>
      <c r="AG197" s="101"/>
      <c r="AH197" s="101"/>
      <c r="AI197" s="101"/>
      <c r="AJ197" s="101"/>
      <c r="AK197" s="76"/>
      <c r="AL197" s="101"/>
    </row>
    <row r="198">
      <c r="A198" s="179"/>
      <c r="B198" s="508" t="s">
        <v>1086</v>
      </c>
      <c r="C198" s="349" t="s">
        <v>717</v>
      </c>
      <c r="D198" s="528">
        <v>10900.0</v>
      </c>
      <c r="E198" s="222" t="str">
        <f t="array" ref="E198">_xlfn.XLOOKUP(B198,Stock1!F:F,Stock1!J:J,"")</f>
        <v/>
      </c>
      <c r="F198" s="154" t="str">
        <f t="array" ref="F198">_xlfn.XLOOKUP(B198,Stock2!F:F,Stock2!J:J,"")</f>
        <v/>
      </c>
      <c r="G198" s="497"/>
      <c r="H198" s="498"/>
      <c r="I198" s="76"/>
      <c r="J198" s="510"/>
      <c r="K198" s="511"/>
      <c r="L198" s="512"/>
      <c r="M198" s="512"/>
      <c r="N198" s="512"/>
      <c r="O198" s="512"/>
      <c r="P198" s="512"/>
      <c r="Q198" s="512"/>
      <c r="R198" s="512"/>
      <c r="S198" s="525"/>
      <c r="T198" s="504"/>
      <c r="U198" s="76"/>
      <c r="V198" s="505"/>
      <c r="W198" s="76"/>
      <c r="X198" s="492"/>
      <c r="Z198" s="101"/>
      <c r="AA198" s="101"/>
      <c r="AB198" s="101"/>
      <c r="AC198" s="101"/>
      <c r="AD198" s="101"/>
      <c r="AE198" s="101"/>
      <c r="AF198" s="101"/>
      <c r="AG198" s="101"/>
      <c r="AH198" s="101"/>
      <c r="AI198" s="101"/>
      <c r="AJ198" s="101"/>
      <c r="AK198" s="76"/>
      <c r="AL198" s="101"/>
    </row>
    <row r="199">
      <c r="A199" s="436" t="s">
        <v>1087</v>
      </c>
      <c r="B199" s="537" t="s">
        <v>1088</v>
      </c>
      <c r="C199" s="446" t="s">
        <v>1085</v>
      </c>
      <c r="D199" s="538">
        <v>12900.0</v>
      </c>
      <c r="E199" s="222" t="str">
        <f t="array" ref="E199">_xlfn.XLOOKUP(B199,Stock1!F:F,Stock1!J:J,"")</f>
        <v/>
      </c>
      <c r="F199" s="154" t="str">
        <f t="array" ref="F199">_xlfn.XLOOKUP(B199,Stock2!F:F,Stock2!J:J,"")</f>
        <v/>
      </c>
      <c r="G199" s="497"/>
      <c r="H199" s="498"/>
      <c r="I199" s="76"/>
      <c r="J199" s="510"/>
      <c r="K199" s="511"/>
      <c r="L199" s="512"/>
      <c r="M199" s="512"/>
      <c r="N199" s="512"/>
      <c r="O199" s="512"/>
      <c r="P199" s="512"/>
      <c r="Q199" s="512"/>
      <c r="R199" s="512"/>
      <c r="S199" s="525"/>
      <c r="T199" s="504"/>
      <c r="U199" s="76"/>
      <c r="V199" s="505"/>
      <c r="W199" s="76"/>
      <c r="X199" s="492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76"/>
      <c r="AL199" s="101"/>
    </row>
    <row r="200">
      <c r="A200" s="223" t="s">
        <v>1089</v>
      </c>
      <c r="B200" s="495" t="s">
        <v>1090</v>
      </c>
      <c r="C200" s="336" t="s">
        <v>251</v>
      </c>
      <c r="D200" s="527">
        <v>11900.0</v>
      </c>
      <c r="E200" s="222" t="str">
        <f t="array" ref="E200">_xlfn.XLOOKUP(B200,Stock1!F:F,Stock1!J:J,"")</f>
        <v/>
      </c>
      <c r="F200" s="154">
        <f t="array" ref="F200">_xlfn.XLOOKUP(B200,Stock2!F:F,Stock2!J:J,"")</f>
        <v>1</v>
      </c>
      <c r="G200" s="497">
        <v>4000.0</v>
      </c>
      <c r="H200" s="498">
        <f t="shared" ref="H200:H202" si="25">D200-G200</f>
        <v>7900</v>
      </c>
      <c r="I200" s="76"/>
      <c r="J200" s="510"/>
      <c r="K200" s="511"/>
      <c r="L200" s="280"/>
      <c r="M200" s="512"/>
      <c r="N200" s="512"/>
      <c r="O200" s="211"/>
      <c r="P200" s="549"/>
      <c r="Q200" s="549"/>
      <c r="R200" s="549"/>
      <c r="S200" s="503"/>
      <c r="T200" s="504"/>
      <c r="U200" s="76"/>
      <c r="V200" s="505"/>
      <c r="W200" s="76"/>
      <c r="X200" s="492"/>
      <c r="Z200" s="101"/>
      <c r="AA200" s="101"/>
      <c r="AB200" s="101"/>
      <c r="AC200" s="101"/>
      <c r="AD200" s="101"/>
      <c r="AE200" s="101"/>
      <c r="AF200" s="101"/>
      <c r="AG200" s="101"/>
      <c r="AH200" s="101"/>
      <c r="AI200" s="101"/>
      <c r="AJ200" s="101"/>
      <c r="AK200" s="76"/>
      <c r="AL200" s="101"/>
    </row>
    <row r="201">
      <c r="A201" s="179"/>
      <c r="B201" s="508" t="s">
        <v>1095</v>
      </c>
      <c r="C201" s="349" t="s">
        <v>769</v>
      </c>
      <c r="D201" s="528">
        <v>11900.0</v>
      </c>
      <c r="E201" s="222">
        <f t="array" ref="E201">_xlfn.XLOOKUP(B201,Stock1!F:F,Stock1!J:J,"")</f>
        <v>2</v>
      </c>
      <c r="F201" s="154">
        <f t="array" ref="F201">_xlfn.XLOOKUP(B201,Stock2!F:F,Stock2!J:J,"")</f>
        <v>1</v>
      </c>
      <c r="G201" s="497">
        <v>4000.0</v>
      </c>
      <c r="H201" s="498">
        <f t="shared" si="25"/>
        <v>7900</v>
      </c>
      <c r="I201" s="76"/>
      <c r="J201" s="510"/>
      <c r="K201" s="511"/>
      <c r="L201" s="286"/>
      <c r="M201" s="512"/>
      <c r="N201" s="512"/>
      <c r="O201" s="175"/>
      <c r="P201" s="549"/>
      <c r="Q201" s="549"/>
      <c r="R201" s="549"/>
      <c r="S201" s="503"/>
      <c r="T201" s="504"/>
      <c r="U201" s="76"/>
      <c r="V201" s="505"/>
      <c r="W201" s="76"/>
      <c r="X201" s="492"/>
      <c r="Z201" s="101"/>
      <c r="AA201" s="101"/>
      <c r="AB201" s="101"/>
      <c r="AC201" s="101"/>
      <c r="AD201" s="101"/>
      <c r="AE201" s="101"/>
      <c r="AF201" s="101"/>
      <c r="AG201" s="101"/>
      <c r="AH201" s="101"/>
      <c r="AI201" s="101"/>
      <c r="AJ201" s="101"/>
      <c r="AK201" s="76"/>
      <c r="AL201" s="101"/>
    </row>
    <row r="202">
      <c r="A202" s="436" t="s">
        <v>1096</v>
      </c>
      <c r="B202" s="537" t="s">
        <v>1097</v>
      </c>
      <c r="C202" s="446" t="s">
        <v>251</v>
      </c>
      <c r="D202" s="538">
        <v>13900.0</v>
      </c>
      <c r="E202" s="222" t="str">
        <f t="array" ref="E202">_xlfn.XLOOKUP(B202,Stock1!F:F,Stock1!J:J,"")</f>
        <v/>
      </c>
      <c r="F202" s="154" t="str">
        <f t="array" ref="F202">_xlfn.XLOOKUP(B202,Stock2!F:F,Stock2!J:J,"")</f>
        <v/>
      </c>
      <c r="G202" s="497">
        <v>4000.0</v>
      </c>
      <c r="H202" s="498">
        <f t="shared" si="25"/>
        <v>9900</v>
      </c>
      <c r="I202" s="76"/>
      <c r="J202" s="510"/>
      <c r="K202" s="511"/>
      <c r="L202" s="286"/>
      <c r="M202" s="512"/>
      <c r="N202" s="512"/>
      <c r="O202" s="175"/>
      <c r="P202" s="549"/>
      <c r="Q202" s="549"/>
      <c r="R202" s="549"/>
      <c r="S202" s="503"/>
      <c r="T202" s="504"/>
      <c r="U202" s="76"/>
      <c r="V202" s="505"/>
      <c r="W202" s="76"/>
      <c r="X202" s="492"/>
      <c r="Z202" s="101"/>
      <c r="AA202" s="101"/>
      <c r="AB202" s="101"/>
      <c r="AC202" s="101"/>
      <c r="AD202" s="101"/>
      <c r="AE202" s="101"/>
      <c r="AF202" s="101"/>
      <c r="AG202" s="101"/>
      <c r="AH202" s="101"/>
      <c r="AI202" s="101"/>
      <c r="AJ202" s="101"/>
      <c r="AK202" s="76"/>
      <c r="AL202" s="101"/>
    </row>
    <row r="203" ht="24.75" customHeight="1">
      <c r="A203" s="436" t="s">
        <v>1098</v>
      </c>
      <c r="B203" s="537" t="s">
        <v>1099</v>
      </c>
      <c r="C203" s="446" t="s">
        <v>82</v>
      </c>
      <c r="D203" s="538">
        <v>17900.0</v>
      </c>
      <c r="E203" s="222">
        <f t="array" ref="E203">_xlfn.XLOOKUP(B203,Stock1!F:F,Stock1!J:J,"")</f>
        <v>1</v>
      </c>
      <c r="F203" s="154">
        <f t="array" ref="F203">_xlfn.XLOOKUP(B203,Stock2!F:F,Stock2!J:J,"")</f>
        <v>1</v>
      </c>
      <c r="G203" s="513">
        <v>0.3</v>
      </c>
      <c r="H203" s="498">
        <f t="shared" ref="H203:H209" si="26">D203-(D203*0.3)</f>
        <v>12530</v>
      </c>
      <c r="I203" s="76"/>
      <c r="J203" s="514"/>
      <c r="K203" s="511"/>
      <c r="L203" s="515"/>
      <c r="M203" s="512"/>
      <c r="N203" s="512"/>
      <c r="O203" s="512"/>
      <c r="P203" s="549"/>
      <c r="Q203" s="549"/>
      <c r="R203" s="549"/>
      <c r="S203" s="503"/>
      <c r="T203" s="504"/>
      <c r="U203" s="76"/>
      <c r="V203" s="505"/>
      <c r="W203" s="76"/>
      <c r="X203" s="492"/>
      <c r="Z203" s="101"/>
      <c r="AA203" s="101"/>
      <c r="AB203" s="101"/>
      <c r="AC203" s="101"/>
      <c r="AD203" s="101"/>
      <c r="AE203" s="101"/>
      <c r="AF203" s="101"/>
      <c r="AG203" s="101"/>
      <c r="AH203" s="101"/>
      <c r="AI203" s="101"/>
      <c r="AJ203" s="101"/>
      <c r="AK203" s="76"/>
      <c r="AL203" s="101"/>
    </row>
    <row r="204" ht="24.75" customHeight="1">
      <c r="A204" s="436" t="s">
        <v>1098</v>
      </c>
      <c r="B204" s="537" t="s">
        <v>1100</v>
      </c>
      <c r="C204" s="446" t="s">
        <v>586</v>
      </c>
      <c r="D204" s="538">
        <v>17900.0</v>
      </c>
      <c r="E204" s="222">
        <f t="array" ref="E204">_xlfn.XLOOKUP(B204,Stock1!F:F,Stock1!J:J,"")</f>
        <v>2</v>
      </c>
      <c r="F204" s="154">
        <f t="array" ref="F204">_xlfn.XLOOKUP(B204,Stock2!F:F,Stock2!J:J,"")</f>
        <v>2</v>
      </c>
      <c r="G204" s="513">
        <v>0.3</v>
      </c>
      <c r="H204" s="498">
        <f t="shared" si="26"/>
        <v>12530</v>
      </c>
      <c r="I204" s="76"/>
      <c r="J204" s="514"/>
      <c r="K204" s="511"/>
      <c r="L204" s="286"/>
      <c r="M204" s="512"/>
      <c r="N204" s="512"/>
      <c r="O204" s="512"/>
      <c r="P204" s="549"/>
      <c r="Q204" s="549"/>
      <c r="R204" s="549"/>
      <c r="S204" s="503"/>
      <c r="T204" s="504"/>
      <c r="U204" s="76"/>
      <c r="V204" s="505"/>
      <c r="W204" s="76"/>
      <c r="X204" s="492"/>
      <c r="Z204" s="101"/>
      <c r="AA204" s="101"/>
      <c r="AB204" s="101"/>
      <c r="AC204" s="101"/>
      <c r="AD204" s="101"/>
      <c r="AE204" s="101"/>
      <c r="AF204" s="101"/>
      <c r="AG204" s="101"/>
      <c r="AH204" s="101"/>
      <c r="AI204" s="101"/>
      <c r="AJ204" s="101"/>
      <c r="AK204" s="76"/>
      <c r="AL204" s="101"/>
    </row>
    <row r="205" ht="23.25" customHeight="1">
      <c r="A205" s="436" t="s">
        <v>1101</v>
      </c>
      <c r="B205" s="537" t="s">
        <v>1102</v>
      </c>
      <c r="C205" s="446" t="s">
        <v>82</v>
      </c>
      <c r="D205" s="538">
        <v>19900.0</v>
      </c>
      <c r="E205" s="222">
        <f t="array" ref="E205">_xlfn.XLOOKUP(B205,Stock1!F:F,Stock1!J:J,"")</f>
        <v>1</v>
      </c>
      <c r="F205" s="154" t="str">
        <f t="array" ref="F205">_xlfn.XLOOKUP(B205,Stock2!F:F,Stock2!J:J,"")</f>
        <v/>
      </c>
      <c r="G205" s="513">
        <v>0.3</v>
      </c>
      <c r="H205" s="498">
        <f t="shared" si="26"/>
        <v>13930</v>
      </c>
      <c r="I205" s="76"/>
      <c r="J205" s="514"/>
      <c r="K205" s="511"/>
      <c r="L205" s="286"/>
      <c r="M205" s="512"/>
      <c r="N205" s="512"/>
      <c r="O205" s="512"/>
      <c r="P205" s="549"/>
      <c r="Q205" s="549"/>
      <c r="R205" s="549"/>
      <c r="S205" s="503"/>
      <c r="T205" s="504"/>
      <c r="U205" s="76"/>
      <c r="V205" s="505"/>
      <c r="W205" s="76"/>
      <c r="X205" s="492"/>
      <c r="Z205" s="101"/>
      <c r="AA205" s="101"/>
      <c r="AB205" s="101"/>
      <c r="AC205" s="101"/>
      <c r="AD205" s="101"/>
      <c r="AE205" s="101"/>
      <c r="AF205" s="101"/>
      <c r="AG205" s="101"/>
      <c r="AH205" s="101"/>
      <c r="AI205" s="101"/>
      <c r="AJ205" s="101"/>
      <c r="AK205" s="76"/>
      <c r="AL205" s="101"/>
    </row>
    <row r="206" ht="23.25" customHeight="1">
      <c r="A206" s="223" t="s">
        <v>1179</v>
      </c>
      <c r="B206" s="570" t="s">
        <v>1180</v>
      </c>
      <c r="C206" s="571" t="s">
        <v>717</v>
      </c>
      <c r="D206" s="572">
        <v>12900.0</v>
      </c>
      <c r="E206" s="222">
        <f t="array" ref="E206">_xlfn.XLOOKUP(B206,Stock1!F:F,Stock1!J:J,"")</f>
        <v>6</v>
      </c>
      <c r="F206" s="154">
        <f t="array" ref="F206">_xlfn.XLOOKUP(B206,Stock2!F:F,Stock2!J:J,"")</f>
        <v>7</v>
      </c>
      <c r="G206" s="513">
        <v>0.3</v>
      </c>
      <c r="H206" s="498">
        <f t="shared" si="26"/>
        <v>9030</v>
      </c>
      <c r="I206" s="576"/>
      <c r="J206" s="514"/>
      <c r="K206" s="511"/>
      <c r="L206" s="515"/>
      <c r="M206" s="512"/>
      <c r="N206" s="512"/>
      <c r="O206" s="512"/>
      <c r="P206" s="549"/>
      <c r="Q206" s="549"/>
      <c r="R206" s="549"/>
      <c r="S206" s="503"/>
      <c r="T206" s="504"/>
      <c r="U206" s="76"/>
      <c r="V206" s="505"/>
      <c r="W206" s="76"/>
      <c r="X206" s="492"/>
      <c r="Z206" s="101"/>
      <c r="AA206" s="101"/>
      <c r="AB206" s="101"/>
      <c r="AC206" s="101"/>
      <c r="AD206" s="101"/>
      <c r="AE206" s="101"/>
      <c r="AF206" s="101"/>
      <c r="AG206" s="101"/>
      <c r="AH206" s="101"/>
      <c r="AI206" s="101"/>
      <c r="AJ206" s="101"/>
      <c r="AK206" s="76"/>
      <c r="AL206" s="101"/>
    </row>
    <row r="207" ht="23.25" customHeight="1">
      <c r="A207" s="172"/>
      <c r="B207" s="570" t="s">
        <v>1181</v>
      </c>
      <c r="C207" s="571" t="s">
        <v>251</v>
      </c>
      <c r="D207" s="572">
        <v>12900.0</v>
      </c>
      <c r="E207" s="222">
        <f t="array" ref="E207">_xlfn.XLOOKUP(B207,Stock1!F:F,Stock1!J:J,"")</f>
        <v>10</v>
      </c>
      <c r="F207" s="154">
        <f t="array" ref="F207">_xlfn.XLOOKUP(B207,Stock2!F:F,Stock2!J:J,"")</f>
        <v>8</v>
      </c>
      <c r="G207" s="513">
        <v>0.3</v>
      </c>
      <c r="H207" s="498">
        <f t="shared" si="26"/>
        <v>9030</v>
      </c>
      <c r="I207" s="576"/>
      <c r="J207" s="514"/>
      <c r="K207" s="511"/>
      <c r="L207" s="515"/>
      <c r="M207" s="512"/>
      <c r="N207" s="512"/>
      <c r="O207" s="512"/>
      <c r="P207" s="549"/>
      <c r="Q207" s="549"/>
      <c r="R207" s="549"/>
      <c r="S207" s="503"/>
      <c r="T207" s="504"/>
      <c r="U207" s="76"/>
      <c r="V207" s="505"/>
      <c r="W207" s="76"/>
      <c r="X207" s="492"/>
      <c r="Z207" s="101"/>
      <c r="AA207" s="101"/>
      <c r="AB207" s="101"/>
      <c r="AC207" s="101"/>
      <c r="AD207" s="101"/>
      <c r="AE207" s="101"/>
      <c r="AF207" s="101"/>
      <c r="AG207" s="101"/>
      <c r="AH207" s="101"/>
      <c r="AI207" s="101"/>
      <c r="AJ207" s="101"/>
      <c r="AK207" s="76"/>
      <c r="AL207" s="101"/>
    </row>
    <row r="208" ht="23.25" customHeight="1">
      <c r="A208" s="223" t="s">
        <v>1182</v>
      </c>
      <c r="B208" s="570" t="s">
        <v>1183</v>
      </c>
      <c r="C208" s="571" t="s">
        <v>769</v>
      </c>
      <c r="D208" s="572">
        <v>14900.0</v>
      </c>
      <c r="E208" s="222">
        <f t="array" ref="E208">_xlfn.XLOOKUP(B208,Stock1!F:F,Stock1!J:J,"")</f>
        <v>3</v>
      </c>
      <c r="F208" s="154">
        <f t="array" ref="F208">_xlfn.XLOOKUP(B208,Stock2!F:F,Stock2!J:J,"")</f>
        <v>3</v>
      </c>
      <c r="G208" s="513">
        <v>0.3</v>
      </c>
      <c r="H208" s="498">
        <f t="shared" si="26"/>
        <v>10430</v>
      </c>
      <c r="I208" s="576"/>
      <c r="J208" s="514"/>
      <c r="K208" s="511"/>
      <c r="L208" s="515"/>
      <c r="M208" s="512"/>
      <c r="N208" s="512"/>
      <c r="O208" s="512"/>
      <c r="P208" s="549"/>
      <c r="Q208" s="549"/>
      <c r="R208" s="549"/>
      <c r="S208" s="503"/>
      <c r="T208" s="504"/>
      <c r="U208" s="76"/>
      <c r="V208" s="505"/>
      <c r="W208" s="76"/>
      <c r="X208" s="492"/>
      <c r="Z208" s="101"/>
      <c r="AA208" s="101"/>
      <c r="AB208" s="101"/>
      <c r="AC208" s="101"/>
      <c r="AD208" s="101"/>
      <c r="AE208" s="101"/>
      <c r="AF208" s="101"/>
      <c r="AG208" s="101"/>
      <c r="AH208" s="101"/>
      <c r="AI208" s="101"/>
      <c r="AJ208" s="101"/>
      <c r="AK208" s="76"/>
      <c r="AL208" s="101"/>
    </row>
    <row r="209" ht="23.25" customHeight="1">
      <c r="A209" s="172"/>
      <c r="B209" s="570" t="s">
        <v>1184</v>
      </c>
      <c r="C209" s="571" t="s">
        <v>251</v>
      </c>
      <c r="D209" s="572">
        <v>14900.0</v>
      </c>
      <c r="E209" s="222">
        <f t="array" ref="E209">_xlfn.XLOOKUP(B209,Stock1!F:F,Stock1!J:J,"")</f>
        <v>5</v>
      </c>
      <c r="F209" s="154">
        <f t="array" ref="F209">_xlfn.XLOOKUP(B209,Stock2!F:F,Stock2!J:J,"")</f>
        <v>3</v>
      </c>
      <c r="G209" s="513">
        <v>0.3</v>
      </c>
      <c r="H209" s="498">
        <f t="shared" si="26"/>
        <v>10430</v>
      </c>
      <c r="I209" s="576"/>
      <c r="J209" s="514"/>
      <c r="K209" s="511"/>
      <c r="L209" s="515"/>
      <c r="M209" s="512"/>
      <c r="N209" s="512"/>
      <c r="O209" s="512"/>
      <c r="P209" s="549"/>
      <c r="Q209" s="549"/>
      <c r="R209" s="549"/>
      <c r="S209" s="503"/>
      <c r="T209" s="504"/>
      <c r="U209" s="76"/>
      <c r="V209" s="505"/>
      <c r="W209" s="76"/>
      <c r="X209" s="492"/>
      <c r="Z209" s="101"/>
      <c r="AA209" s="101"/>
      <c r="AB209" s="101"/>
      <c r="AC209" s="101"/>
      <c r="AD209" s="101"/>
      <c r="AE209" s="101"/>
      <c r="AF209" s="101"/>
      <c r="AG209" s="101"/>
      <c r="AH209" s="101"/>
      <c r="AI209" s="101"/>
      <c r="AJ209" s="101"/>
      <c r="AK209" s="76"/>
      <c r="AL209" s="101"/>
    </row>
    <row r="210">
      <c r="A210" s="223" t="s">
        <v>1103</v>
      </c>
      <c r="B210" s="495" t="s">
        <v>1104</v>
      </c>
      <c r="C210" s="336" t="s">
        <v>223</v>
      </c>
      <c r="D210" s="527">
        <v>23900.0</v>
      </c>
      <c r="E210" s="222" t="str">
        <f t="array" ref="E210">_xlfn.XLOOKUP(B210,Stock1!F:F,Stock1!J:J,"")</f>
        <v/>
      </c>
      <c r="F210" s="154" t="str">
        <f t="array" ref="F210">_xlfn.XLOOKUP(B210,Stock2!F:F,Stock2!J:J,"")</f>
        <v/>
      </c>
      <c r="G210" s="513">
        <v>0.5</v>
      </c>
      <c r="H210" s="498">
        <f t="shared" ref="H210:H212" si="27">D210-(D210*0.5)</f>
        <v>11950</v>
      </c>
      <c r="I210" s="581" t="s">
        <v>1094</v>
      </c>
      <c r="J210" s="510"/>
      <c r="K210" s="511"/>
      <c r="L210" s="515"/>
      <c r="M210" s="512"/>
      <c r="N210" s="512"/>
      <c r="O210" s="512"/>
      <c r="P210" s="512"/>
      <c r="Q210" s="512"/>
      <c r="R210" s="512"/>
      <c r="S210" s="503"/>
      <c r="T210" s="504"/>
      <c r="U210" s="76"/>
      <c r="V210" s="505"/>
      <c r="W210" s="76"/>
      <c r="X210" s="492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76"/>
      <c r="AL210" s="101"/>
    </row>
    <row r="211">
      <c r="A211" s="172"/>
      <c r="B211" s="520" t="s">
        <v>1106</v>
      </c>
      <c r="C211" s="343" t="s">
        <v>769</v>
      </c>
      <c r="D211" s="582">
        <v>23900.0</v>
      </c>
      <c r="E211" s="222" t="str">
        <f t="array" ref="E211">_xlfn.XLOOKUP(B211,Stock1!F:F,Stock1!J:J,"")</f>
        <v/>
      </c>
      <c r="F211" s="154" t="str">
        <f t="array" ref="F211">_xlfn.XLOOKUP(B211,Stock2!F:F,Stock2!J:J,"")</f>
        <v/>
      </c>
      <c r="G211" s="513">
        <v>0.5</v>
      </c>
      <c r="H211" s="498">
        <f t="shared" si="27"/>
        <v>11950</v>
      </c>
      <c r="I211" s="76"/>
      <c r="J211" s="510"/>
      <c r="K211" s="511"/>
      <c r="L211" s="515"/>
      <c r="M211" s="512"/>
      <c r="N211" s="512"/>
      <c r="O211" s="512"/>
      <c r="P211" s="512"/>
      <c r="Q211" s="512"/>
      <c r="R211" s="512"/>
      <c r="S211" s="503"/>
      <c r="T211" s="504"/>
      <c r="U211" s="76"/>
      <c r="V211" s="505"/>
      <c r="W211" s="76"/>
      <c r="X211" s="492"/>
      <c r="Z211" s="101"/>
      <c r="AA211" s="101"/>
      <c r="AB211" s="101"/>
      <c r="AC211" s="101"/>
      <c r="AD211" s="101"/>
      <c r="AE211" s="101"/>
      <c r="AF211" s="101"/>
      <c r="AG211" s="101"/>
      <c r="AH211" s="101"/>
      <c r="AI211" s="101"/>
      <c r="AJ211" s="101"/>
      <c r="AK211" s="76"/>
      <c r="AL211" s="101"/>
    </row>
    <row r="212">
      <c r="A212" s="172"/>
      <c r="B212" s="508" t="s">
        <v>1109</v>
      </c>
      <c r="C212" s="349" t="s">
        <v>586</v>
      </c>
      <c r="D212" s="528">
        <v>23900.0</v>
      </c>
      <c r="E212" s="222">
        <f t="array" ref="E212">_xlfn.XLOOKUP(B212,Stock1!F:F,Stock1!J:J,"")</f>
        <v>4</v>
      </c>
      <c r="F212" s="154">
        <f t="array" ref="F212">_xlfn.XLOOKUP(B212,Stock2!F:F,Stock2!J:J,"")</f>
        <v>1</v>
      </c>
      <c r="G212" s="513">
        <v>0.5</v>
      </c>
      <c r="H212" s="498">
        <f t="shared" si="27"/>
        <v>11950</v>
      </c>
      <c r="I212" s="76"/>
      <c r="J212" s="510"/>
      <c r="K212" s="511"/>
      <c r="L212" s="515"/>
      <c r="M212" s="512"/>
      <c r="N212" s="512"/>
      <c r="O212" s="512"/>
      <c r="P212" s="512"/>
      <c r="Q212" s="512"/>
      <c r="R212" s="512"/>
      <c r="S212" s="503"/>
      <c r="T212" s="504"/>
      <c r="U212" s="119"/>
      <c r="V212" s="505"/>
      <c r="W212" s="76"/>
      <c r="X212" s="492"/>
      <c r="Z212" s="101"/>
      <c r="AA212" s="101"/>
      <c r="AB212" s="101"/>
      <c r="AC212" s="101"/>
      <c r="AD212" s="101"/>
      <c r="AE212" s="101"/>
      <c r="AF212" s="101"/>
      <c r="AG212" s="101"/>
      <c r="AH212" s="101"/>
      <c r="AI212" s="101"/>
      <c r="AJ212" s="101"/>
      <c r="AK212" s="119"/>
      <c r="AL212" s="101"/>
    </row>
    <row r="213" ht="25.5" customHeight="1">
      <c r="A213" s="223" t="s">
        <v>1110</v>
      </c>
      <c r="B213" s="495" t="s">
        <v>1111</v>
      </c>
      <c r="C213" s="336" t="s">
        <v>171</v>
      </c>
      <c r="D213" s="527">
        <v>24900.0</v>
      </c>
      <c r="E213" s="222">
        <f t="array" ref="E213">_xlfn.XLOOKUP(B213,Stock1!F:F,Stock1!J:J,"")</f>
        <v>5</v>
      </c>
      <c r="F213" s="154" t="str">
        <f t="array" ref="F213">_xlfn.XLOOKUP(B213,Stock2!F:F,Stock2!J:J,"")</f>
        <v/>
      </c>
      <c r="G213" s="513">
        <v>0.35</v>
      </c>
      <c r="H213" s="498">
        <f t="shared" ref="H213:H215" si="28">D213-(D213*0.35)</f>
        <v>16185</v>
      </c>
      <c r="I213" s="581" t="s">
        <v>1092</v>
      </c>
      <c r="J213" s="514"/>
      <c r="K213" s="511"/>
      <c r="L213" s="515"/>
      <c r="M213" s="512"/>
      <c r="N213" s="512"/>
      <c r="O213" s="512"/>
      <c r="P213" s="512"/>
      <c r="Q213" s="512"/>
      <c r="R213" s="512"/>
      <c r="S213" s="503"/>
      <c r="T213" s="504"/>
      <c r="U213" s="363"/>
      <c r="V213" s="505"/>
      <c r="W213" s="76"/>
      <c r="X213" s="492"/>
      <c r="Z213" s="101"/>
      <c r="AA213" s="101"/>
      <c r="AB213" s="101"/>
      <c r="AC213" s="101"/>
      <c r="AD213" s="101"/>
      <c r="AE213" s="101"/>
      <c r="AF213" s="101"/>
      <c r="AG213" s="101"/>
      <c r="AH213" s="101"/>
      <c r="AI213" s="101"/>
      <c r="AJ213" s="101"/>
      <c r="AK213" s="584"/>
      <c r="AL213" s="101"/>
    </row>
    <row r="214" ht="24.75" customHeight="1">
      <c r="A214" s="172"/>
      <c r="B214" s="520" t="s">
        <v>1112</v>
      </c>
      <c r="C214" s="343" t="s">
        <v>223</v>
      </c>
      <c r="D214" s="582">
        <v>24900.0</v>
      </c>
      <c r="E214" s="222">
        <f t="array" ref="E214">_xlfn.XLOOKUP(B214,Stock1!F:F,Stock1!J:J,"")</f>
        <v>2</v>
      </c>
      <c r="F214" s="154">
        <f t="array" ref="F214">_xlfn.XLOOKUP(B214,Stock2!F:F,Stock2!J:J,"")</f>
        <v>2</v>
      </c>
      <c r="G214" s="513">
        <v>0.35</v>
      </c>
      <c r="H214" s="498">
        <f t="shared" si="28"/>
        <v>16185</v>
      </c>
      <c r="I214" s="76"/>
      <c r="J214" s="514"/>
      <c r="K214" s="511"/>
      <c r="L214" s="286"/>
      <c r="M214" s="512"/>
      <c r="N214" s="512"/>
      <c r="O214" s="512"/>
      <c r="P214" s="512"/>
      <c r="Q214" s="512"/>
      <c r="R214" s="512"/>
      <c r="S214" s="503"/>
      <c r="T214" s="504"/>
      <c r="U214" s="363"/>
      <c r="V214" s="505"/>
      <c r="W214" s="76"/>
      <c r="X214" s="492"/>
      <c r="Z214" s="101"/>
      <c r="AA214" s="101"/>
      <c r="AB214" s="101"/>
      <c r="AC214" s="101"/>
      <c r="AD214" s="101"/>
      <c r="AE214" s="101"/>
      <c r="AF214" s="101"/>
      <c r="AG214" s="101"/>
      <c r="AH214" s="101"/>
      <c r="AI214" s="101"/>
      <c r="AJ214" s="101"/>
      <c r="AK214" s="584"/>
      <c r="AL214" s="101"/>
    </row>
    <row r="215" ht="21.0" customHeight="1">
      <c r="A215" s="172"/>
      <c r="B215" s="508" t="s">
        <v>1113</v>
      </c>
      <c r="C215" s="349" t="s">
        <v>1114</v>
      </c>
      <c r="D215" s="528">
        <v>24900.0</v>
      </c>
      <c r="E215" s="222" t="str">
        <f t="array" ref="E215">_xlfn.XLOOKUP(B215,Stock1!F:F,Stock1!J:J,"")</f>
        <v/>
      </c>
      <c r="F215" s="154">
        <f t="array" ref="F215">_xlfn.XLOOKUP(B215,Stock2!F:F,Stock2!J:J,"")</f>
        <v>1</v>
      </c>
      <c r="G215" s="513">
        <v>0.35</v>
      </c>
      <c r="H215" s="498">
        <f t="shared" si="28"/>
        <v>16185</v>
      </c>
      <c r="I215" s="76"/>
      <c r="J215" s="514"/>
      <c r="K215" s="511"/>
      <c r="L215" s="286"/>
      <c r="M215" s="512"/>
      <c r="N215" s="512"/>
      <c r="O215" s="512"/>
      <c r="P215" s="512"/>
      <c r="Q215" s="512"/>
      <c r="R215" s="512"/>
      <c r="S215" s="503"/>
      <c r="T215" s="504"/>
      <c r="U215" s="363"/>
      <c r="V215" s="505"/>
      <c r="W215" s="76"/>
      <c r="X215" s="492"/>
      <c r="Z215" s="101"/>
      <c r="AA215" s="101"/>
      <c r="AB215" s="101"/>
      <c r="AC215" s="101"/>
      <c r="AD215" s="101"/>
      <c r="AE215" s="101"/>
      <c r="AF215" s="101"/>
      <c r="AG215" s="101"/>
      <c r="AH215" s="101"/>
      <c r="AI215" s="101"/>
      <c r="AJ215" s="101"/>
      <c r="AK215" s="584"/>
      <c r="AL215" s="101"/>
    </row>
    <row r="216" ht="21.0" customHeight="1">
      <c r="A216" s="223" t="s">
        <v>1187</v>
      </c>
      <c r="B216" s="518" t="s">
        <v>1188</v>
      </c>
      <c r="C216" s="340" t="s">
        <v>223</v>
      </c>
      <c r="D216" s="265">
        <v>25900.0</v>
      </c>
      <c r="E216" s="222">
        <f t="array" ref="E216">_xlfn.XLOOKUP(B216,Stock1!F:F,Stock1!J:J,"")</f>
        <v>7</v>
      </c>
      <c r="F216" s="154">
        <f t="array" ref="F216">_xlfn.XLOOKUP(B216,Stock2!F:F,Stock2!J:J,"")</f>
        <v>5</v>
      </c>
      <c r="G216" s="513">
        <v>0.3</v>
      </c>
      <c r="H216" s="498">
        <f t="shared" ref="H216:H217" si="29">D216-(D216*0.3)</f>
        <v>18130</v>
      </c>
      <c r="I216" s="76"/>
      <c r="J216" s="514"/>
      <c r="K216" s="511"/>
      <c r="L216" s="515"/>
      <c r="M216" s="512"/>
      <c r="N216" s="512"/>
      <c r="O216" s="512"/>
      <c r="P216" s="512"/>
      <c r="Q216" s="512"/>
      <c r="R216" s="512"/>
      <c r="S216" s="503"/>
      <c r="T216" s="504"/>
      <c r="U216" s="363"/>
      <c r="V216" s="505"/>
      <c r="W216" s="76"/>
      <c r="X216" s="492"/>
      <c r="Y216" s="517"/>
      <c r="Z216" s="101"/>
      <c r="AA216" s="101"/>
      <c r="AB216" s="101"/>
      <c r="AC216" s="101"/>
      <c r="AD216" s="101"/>
      <c r="AE216" s="101"/>
      <c r="AF216" s="101"/>
      <c r="AG216" s="101"/>
      <c r="AH216" s="101"/>
      <c r="AI216" s="101"/>
      <c r="AJ216" s="101"/>
      <c r="AK216" s="584"/>
      <c r="AL216" s="101"/>
    </row>
    <row r="217" ht="21.0" customHeight="1">
      <c r="A217" s="172"/>
      <c r="B217" s="522" t="s">
        <v>1190</v>
      </c>
      <c r="C217" s="357" t="s">
        <v>769</v>
      </c>
      <c r="D217" s="275">
        <v>25900.0</v>
      </c>
      <c r="E217" s="222">
        <f t="array" ref="E217">_xlfn.XLOOKUP(B217,Stock1!F:F,Stock1!J:J,"")</f>
        <v>6</v>
      </c>
      <c r="F217" s="154">
        <f t="array" ref="F217">_xlfn.XLOOKUP(B217,Stock2!F:F,Stock2!J:J,"")</f>
        <v>7</v>
      </c>
      <c r="G217" s="513">
        <v>0.3</v>
      </c>
      <c r="H217" s="498">
        <f t="shared" si="29"/>
        <v>18130</v>
      </c>
      <c r="I217" s="76"/>
      <c r="J217" s="514"/>
      <c r="K217" s="511"/>
      <c r="L217" s="515"/>
      <c r="M217" s="512"/>
      <c r="N217" s="512"/>
      <c r="O217" s="512"/>
      <c r="P217" s="512"/>
      <c r="Q217" s="512"/>
      <c r="R217" s="512"/>
      <c r="S217" s="503"/>
      <c r="T217" s="504"/>
      <c r="U217" s="363"/>
      <c r="V217" s="505"/>
      <c r="W217" s="76"/>
      <c r="X217" s="492"/>
      <c r="Y217" s="517"/>
      <c r="Z217" s="101"/>
      <c r="AA217" s="101"/>
      <c r="AB217" s="101"/>
      <c r="AC217" s="101"/>
      <c r="AD217" s="101"/>
      <c r="AE217" s="101"/>
      <c r="AF217" s="101"/>
      <c r="AG217" s="101"/>
      <c r="AH217" s="101"/>
      <c r="AI217" s="101"/>
      <c r="AJ217" s="101"/>
      <c r="AK217" s="584"/>
      <c r="AL217" s="101"/>
    </row>
    <row r="218">
      <c r="A218" s="223" t="s">
        <v>1116</v>
      </c>
      <c r="B218" s="495" t="s">
        <v>1117</v>
      </c>
      <c r="C218" s="336" t="s">
        <v>586</v>
      </c>
      <c r="D218" s="586">
        <v>1090.0</v>
      </c>
      <c r="E218" s="222" t="str">
        <f t="array" ref="E218">_xlfn.XLOOKUP(B218,Stock1!F:F,Stock1!J:J,"")</f>
        <v/>
      </c>
      <c r="F218" s="154" t="str">
        <f t="array" ref="F218">_xlfn.XLOOKUP(B218,Stock2!F:F,Stock2!J:J,"")</f>
        <v/>
      </c>
      <c r="G218" s="587" t="s">
        <v>1191</v>
      </c>
      <c r="H218" s="588"/>
      <c r="I218" s="76"/>
      <c r="J218" s="510"/>
      <c r="K218" s="511"/>
      <c r="L218" s="512"/>
      <c r="M218" s="512"/>
      <c r="N218" s="512"/>
      <c r="O218" s="512"/>
      <c r="P218" s="512"/>
      <c r="Q218" s="512"/>
      <c r="R218" s="512"/>
      <c r="S218" s="338"/>
      <c r="T218" s="588"/>
      <c r="U218" s="363"/>
      <c r="V218" s="505"/>
      <c r="W218" s="76"/>
      <c r="X218" s="492"/>
      <c r="Y218" s="101"/>
      <c r="Z218" s="101"/>
      <c r="AA218" s="101"/>
      <c r="AB218" s="101"/>
      <c r="AC218" s="101"/>
      <c r="AD218" s="101"/>
      <c r="AE218" s="101"/>
      <c r="AF218" s="101"/>
      <c r="AG218" s="101"/>
      <c r="AH218" s="101"/>
      <c r="AI218" s="101"/>
      <c r="AJ218" s="101"/>
      <c r="AK218" s="101"/>
      <c r="AL218" s="101"/>
    </row>
    <row r="219">
      <c r="A219" s="179"/>
      <c r="B219" s="508" t="s">
        <v>1119</v>
      </c>
      <c r="C219" s="349" t="s">
        <v>82</v>
      </c>
      <c r="D219" s="589">
        <v>1090.0</v>
      </c>
      <c r="E219" s="222" t="str">
        <f t="array" ref="E219">_xlfn.XLOOKUP(B219,Stock1!F:F,Stock1!J:J,"")</f>
        <v/>
      </c>
      <c r="F219" s="154" t="str">
        <f t="array" ref="F219">_xlfn.XLOOKUP(B219,Stock2!F:F,Stock2!J:J,"")</f>
        <v/>
      </c>
      <c r="G219" s="348"/>
      <c r="H219" s="365"/>
      <c r="I219" s="119"/>
      <c r="J219" s="510"/>
      <c r="K219" s="511"/>
      <c r="L219" s="512"/>
      <c r="M219" s="512"/>
      <c r="N219" s="512"/>
      <c r="O219" s="512"/>
      <c r="P219" s="512"/>
      <c r="Q219" s="512"/>
      <c r="R219" s="512"/>
      <c r="S219" s="348"/>
      <c r="T219" s="365"/>
      <c r="U219" s="363"/>
      <c r="V219" s="505"/>
      <c r="W219" s="119"/>
      <c r="X219" s="492"/>
      <c r="Y219" s="101"/>
      <c r="Z219" s="101"/>
      <c r="AA219" s="101"/>
      <c r="AB219" s="101"/>
      <c r="AC219" s="101"/>
      <c r="AD219" s="101"/>
      <c r="AE219" s="101"/>
      <c r="AF219" s="101"/>
      <c r="AG219" s="101"/>
      <c r="AH219" s="101"/>
      <c r="AI219" s="101"/>
      <c r="AJ219" s="101"/>
      <c r="AK219" s="101"/>
      <c r="AL219" s="101"/>
    </row>
    <row r="220">
      <c r="A220" s="436" t="s">
        <v>1122</v>
      </c>
      <c r="B220" s="537" t="s">
        <v>1123</v>
      </c>
      <c r="C220" s="446" t="s">
        <v>82</v>
      </c>
      <c r="D220" s="538">
        <v>6990.0</v>
      </c>
      <c r="E220" s="222" t="str">
        <f t="array" ref="E220">_xlfn.XLOOKUP(B220,Stock1!F:F,Stock1!J:J,"")</f>
        <v/>
      </c>
      <c r="F220" s="154" t="str">
        <f t="array" ref="F220">_xlfn.XLOOKUP(B220,Stock2!F:F,Stock2!J:J,"")</f>
        <v/>
      </c>
      <c r="G220" s="497" t="s">
        <v>1125</v>
      </c>
      <c r="H220" s="497">
        <f t="shared" ref="H220:H225" si="30">D220/2</f>
        <v>3495</v>
      </c>
      <c r="I220" s="499" t="s">
        <v>397</v>
      </c>
      <c r="J220" s="510"/>
      <c r="K220" s="511"/>
      <c r="L220" s="512"/>
      <c r="M220" s="512"/>
      <c r="N220" s="512"/>
      <c r="O220" s="512"/>
      <c r="P220" s="512"/>
      <c r="Q220" s="512"/>
      <c r="R220" s="512"/>
      <c r="S220" s="363"/>
      <c r="T220" s="363"/>
      <c r="U220" s="363"/>
      <c r="V220" s="505"/>
      <c r="W220" s="590"/>
      <c r="X220" s="492"/>
      <c r="Y220" s="101"/>
      <c r="Z220" s="101"/>
      <c r="AA220" s="101"/>
      <c r="AB220" s="101"/>
      <c r="AC220" s="101"/>
      <c r="AD220" s="101"/>
      <c r="AE220" s="101"/>
      <c r="AF220" s="101"/>
      <c r="AG220" s="101"/>
      <c r="AH220" s="101"/>
      <c r="AI220" s="101"/>
      <c r="AJ220" s="101"/>
      <c r="AK220" s="101"/>
      <c r="AL220" s="101"/>
    </row>
    <row r="221">
      <c r="A221" s="436" t="s">
        <v>1126</v>
      </c>
      <c r="B221" s="537" t="s">
        <v>1128</v>
      </c>
      <c r="C221" s="446" t="s">
        <v>82</v>
      </c>
      <c r="D221" s="538">
        <v>5990.0</v>
      </c>
      <c r="E221" s="222" t="str">
        <f t="array" ref="E221">_xlfn.XLOOKUP(B221,Stock1!F:F,Stock1!J:J,"")</f>
        <v/>
      </c>
      <c r="F221" s="154" t="str">
        <f t="array" ref="F221">_xlfn.XLOOKUP(B221,Stock2!F:F,Stock2!J:J,"")</f>
        <v/>
      </c>
      <c r="G221" s="497" t="s">
        <v>1125</v>
      </c>
      <c r="H221" s="497">
        <f t="shared" si="30"/>
        <v>2995</v>
      </c>
      <c r="I221" s="76"/>
      <c r="J221" s="510"/>
      <c r="K221" s="511"/>
      <c r="L221" s="512"/>
      <c r="M221" s="512"/>
      <c r="N221" s="512"/>
      <c r="O221" s="512"/>
      <c r="P221" s="512"/>
      <c r="Q221" s="512"/>
      <c r="R221" s="512"/>
      <c r="S221" s="363"/>
      <c r="T221" s="363"/>
      <c r="U221" s="363"/>
      <c r="V221" s="505"/>
      <c r="W221" s="590"/>
      <c r="X221" s="492"/>
      <c r="Y221" s="101"/>
      <c r="Z221" s="101"/>
      <c r="AA221" s="101"/>
      <c r="AB221" s="101"/>
      <c r="AC221" s="101"/>
      <c r="AD221" s="101"/>
      <c r="AE221" s="101"/>
      <c r="AF221" s="101"/>
      <c r="AG221" s="101"/>
      <c r="AH221" s="101"/>
      <c r="AI221" s="101"/>
      <c r="AJ221" s="101"/>
      <c r="AK221" s="101"/>
      <c r="AL221" s="101"/>
    </row>
    <row r="222">
      <c r="A222" s="436" t="s">
        <v>1129</v>
      </c>
      <c r="B222" s="537" t="s">
        <v>1130</v>
      </c>
      <c r="C222" s="446" t="s">
        <v>82</v>
      </c>
      <c r="D222" s="538">
        <v>2990.0</v>
      </c>
      <c r="E222" s="222" t="str">
        <f t="array" ref="E222">_xlfn.XLOOKUP(B222,Stock1!F:F,Stock1!J:J,"")</f>
        <v/>
      </c>
      <c r="F222" s="154" t="str">
        <f t="array" ref="F222">_xlfn.XLOOKUP(B222,Stock2!F:F,Stock2!J:J,"")</f>
        <v/>
      </c>
      <c r="G222" s="497" t="s">
        <v>1125</v>
      </c>
      <c r="H222" s="497">
        <f t="shared" si="30"/>
        <v>1495</v>
      </c>
      <c r="I222" s="76"/>
      <c r="J222" s="510"/>
      <c r="K222" s="511"/>
      <c r="L222" s="512"/>
      <c r="M222" s="512"/>
      <c r="N222" s="512"/>
      <c r="O222" s="512"/>
      <c r="P222" s="512"/>
      <c r="Q222" s="512"/>
      <c r="R222" s="512"/>
      <c r="S222" s="363"/>
      <c r="T222" s="363"/>
      <c r="U222" s="363"/>
      <c r="V222" s="505"/>
      <c r="W222" s="590"/>
      <c r="X222" s="492"/>
      <c r="Y222" s="101"/>
      <c r="Z222" s="101"/>
      <c r="AA222" s="101"/>
      <c r="AB222" s="101"/>
      <c r="AC222" s="101"/>
      <c r="AD222" s="101"/>
      <c r="AE222" s="101"/>
      <c r="AF222" s="101"/>
      <c r="AG222" s="101"/>
      <c r="AH222" s="101"/>
      <c r="AI222" s="101"/>
      <c r="AJ222" s="101"/>
      <c r="AK222" s="101"/>
      <c r="AL222" s="101"/>
    </row>
    <row r="223">
      <c r="A223" s="436" t="s">
        <v>1129</v>
      </c>
      <c r="B223" s="537" t="s">
        <v>1133</v>
      </c>
      <c r="C223" s="446" t="s">
        <v>171</v>
      </c>
      <c r="D223" s="538">
        <v>2990.0</v>
      </c>
      <c r="E223" s="222" t="str">
        <f t="array" ref="E223">_xlfn.XLOOKUP(B223,Stock1!F:F,Stock1!J:J,"")</f>
        <v/>
      </c>
      <c r="F223" s="154" t="str">
        <f t="array" ref="F223">_xlfn.XLOOKUP(B223,Stock2!F:F,Stock2!J:J,"")</f>
        <v/>
      </c>
      <c r="G223" s="497" t="s">
        <v>1125</v>
      </c>
      <c r="H223" s="497">
        <f t="shared" si="30"/>
        <v>1495</v>
      </c>
      <c r="I223" s="76"/>
      <c r="J223" s="510"/>
      <c r="K223" s="511"/>
      <c r="L223" s="512"/>
      <c r="M223" s="512"/>
      <c r="N223" s="512"/>
      <c r="O223" s="512"/>
      <c r="P223" s="512"/>
      <c r="Q223" s="512"/>
      <c r="R223" s="512"/>
      <c r="S223" s="363"/>
      <c r="T223" s="363"/>
      <c r="U223" s="363"/>
      <c r="V223" s="505"/>
      <c r="W223" s="590"/>
      <c r="X223" s="492"/>
      <c r="Y223" s="101"/>
      <c r="Z223" s="101"/>
      <c r="AA223" s="101"/>
      <c r="AB223" s="101"/>
      <c r="AC223" s="101"/>
      <c r="AD223" s="101"/>
      <c r="AE223" s="101"/>
      <c r="AF223" s="101"/>
      <c r="AG223" s="101"/>
      <c r="AH223" s="101"/>
      <c r="AI223" s="101"/>
      <c r="AJ223" s="101"/>
      <c r="AK223" s="101"/>
      <c r="AL223" s="101"/>
    </row>
    <row r="224">
      <c r="A224" s="436" t="s">
        <v>1135</v>
      </c>
      <c r="B224" s="537" t="s">
        <v>1136</v>
      </c>
      <c r="C224" s="446" t="s">
        <v>82</v>
      </c>
      <c r="D224" s="538">
        <v>3990.0</v>
      </c>
      <c r="E224" s="222" t="str">
        <f t="array" ref="E224">_xlfn.XLOOKUP(B224,Stock1!F:F,Stock1!J:J,"")</f>
        <v/>
      </c>
      <c r="F224" s="154" t="str">
        <f t="array" ref="F224">_xlfn.XLOOKUP(B224,Stock2!F:F,Stock2!J:J,"")</f>
        <v/>
      </c>
      <c r="G224" s="497" t="s">
        <v>1125</v>
      </c>
      <c r="H224" s="497">
        <f t="shared" si="30"/>
        <v>1995</v>
      </c>
      <c r="I224" s="76"/>
      <c r="J224" s="510"/>
      <c r="K224" s="511"/>
      <c r="L224" s="512"/>
      <c r="M224" s="512"/>
      <c r="N224" s="512"/>
      <c r="O224" s="512"/>
      <c r="P224" s="512"/>
      <c r="Q224" s="512"/>
      <c r="R224" s="512"/>
      <c r="S224" s="363"/>
      <c r="T224" s="363"/>
      <c r="U224" s="363"/>
      <c r="V224" s="505"/>
      <c r="W224" s="590"/>
      <c r="X224" s="492"/>
      <c r="Y224" s="101"/>
      <c r="Z224" s="101"/>
      <c r="AA224" s="101"/>
      <c r="AB224" s="101"/>
      <c r="AC224" s="101"/>
      <c r="AD224" s="101"/>
      <c r="AE224" s="101"/>
      <c r="AF224" s="101"/>
      <c r="AG224" s="101"/>
      <c r="AH224" s="101"/>
      <c r="AI224" s="101"/>
      <c r="AJ224" s="101"/>
      <c r="AK224" s="101"/>
      <c r="AL224" s="101"/>
    </row>
    <row r="225">
      <c r="A225" s="436" t="s">
        <v>1137</v>
      </c>
      <c r="B225" s="537" t="s">
        <v>1138</v>
      </c>
      <c r="C225" s="446" t="s">
        <v>82</v>
      </c>
      <c r="D225" s="538">
        <v>5990.0</v>
      </c>
      <c r="E225" s="222" t="str">
        <f t="array" ref="E225">_xlfn.XLOOKUP(B225,Stock1!F:F,Stock1!J:J,"")</f>
        <v/>
      </c>
      <c r="F225" s="154" t="str">
        <f t="array" ref="F225">_xlfn.XLOOKUP(B225,Stock2!F:F,Stock2!J:J,"")</f>
        <v/>
      </c>
      <c r="G225" s="497" t="s">
        <v>1125</v>
      </c>
      <c r="H225" s="497">
        <f t="shared" si="30"/>
        <v>2995</v>
      </c>
      <c r="I225" s="76"/>
      <c r="J225" s="510"/>
      <c r="K225" s="511"/>
      <c r="L225" s="512"/>
      <c r="M225" s="512"/>
      <c r="N225" s="512"/>
      <c r="O225" s="512"/>
      <c r="P225" s="512"/>
      <c r="Q225" s="512"/>
      <c r="R225" s="512"/>
      <c r="S225" s="363"/>
      <c r="T225" s="363"/>
      <c r="U225" s="363"/>
      <c r="V225" s="505"/>
      <c r="W225" s="590"/>
      <c r="X225" s="492"/>
      <c r="Y225" s="101"/>
      <c r="Z225" s="101"/>
      <c r="AA225" s="101"/>
      <c r="AB225" s="101"/>
      <c r="AC225" s="101"/>
      <c r="AD225" s="101"/>
      <c r="AE225" s="101"/>
      <c r="AF225" s="101"/>
      <c r="AG225" s="101"/>
      <c r="AH225" s="101"/>
      <c r="AI225" s="101"/>
      <c r="AJ225" s="101"/>
      <c r="AK225" s="101"/>
      <c r="AL225" s="101"/>
    </row>
    <row r="226">
      <c r="A226" s="436" t="s">
        <v>1139</v>
      </c>
      <c r="B226" s="537" t="s">
        <v>1140</v>
      </c>
      <c r="C226" s="446" t="s">
        <v>82</v>
      </c>
      <c r="D226" s="538">
        <v>2990.0</v>
      </c>
      <c r="E226" s="222">
        <f t="array" ref="E226">_xlfn.XLOOKUP(B226,Stock1!F:F,Stock1!J:J,"")</f>
        <v>1</v>
      </c>
      <c r="F226" s="154" t="str">
        <f t="array" ref="F226">_xlfn.XLOOKUP(B226,Stock2!F:F,Stock2!J:J,"")</f>
        <v/>
      </c>
      <c r="G226" s="497"/>
      <c r="H226" s="497"/>
      <c r="I226" s="76"/>
      <c r="J226" s="510"/>
      <c r="K226" s="511"/>
      <c r="L226" s="512"/>
      <c r="M226" s="512"/>
      <c r="N226" s="512"/>
      <c r="O226" s="512"/>
      <c r="P226" s="512"/>
      <c r="Q226" s="512"/>
      <c r="R226" s="512"/>
      <c r="S226" s="363"/>
      <c r="T226" s="363"/>
      <c r="U226" s="363"/>
      <c r="V226" s="505"/>
      <c r="W226" s="590"/>
      <c r="X226" s="492"/>
      <c r="Y226" s="101"/>
      <c r="Z226" s="101"/>
      <c r="AA226" s="101"/>
      <c r="AB226" s="101"/>
      <c r="AC226" s="101"/>
      <c r="AD226" s="101"/>
      <c r="AE226" s="101"/>
      <c r="AF226" s="101"/>
      <c r="AG226" s="101"/>
      <c r="AH226" s="101"/>
      <c r="AI226" s="101"/>
      <c r="AJ226" s="101"/>
      <c r="AK226" s="101"/>
      <c r="AL226" s="101"/>
    </row>
    <row r="227">
      <c r="A227" s="436" t="s">
        <v>1141</v>
      </c>
      <c r="B227" s="537" t="s">
        <v>1142</v>
      </c>
      <c r="C227" s="446" t="s">
        <v>82</v>
      </c>
      <c r="D227" s="538">
        <v>2990.0</v>
      </c>
      <c r="E227" s="222" t="str">
        <f t="array" ref="E227">_xlfn.XLOOKUP(B227,Stock1!F:F,Stock1!J:J,"")</f>
        <v/>
      </c>
      <c r="F227" s="154" t="str">
        <f t="array" ref="F227">_xlfn.XLOOKUP(B227,Stock2!F:F,Stock2!J:J,"")</f>
        <v/>
      </c>
      <c r="G227" s="497"/>
      <c r="H227" s="497"/>
      <c r="I227" s="76"/>
      <c r="J227" s="510"/>
      <c r="K227" s="511"/>
      <c r="L227" s="512"/>
      <c r="M227" s="512"/>
      <c r="N227" s="512"/>
      <c r="O227" s="512"/>
      <c r="P227" s="512"/>
      <c r="Q227" s="512"/>
      <c r="R227" s="512"/>
      <c r="S227" s="363"/>
      <c r="T227" s="363"/>
      <c r="U227" s="363"/>
      <c r="V227" s="505"/>
      <c r="W227" s="590"/>
      <c r="X227" s="492"/>
      <c r="Y227" s="101"/>
      <c r="Z227" s="101"/>
      <c r="AA227" s="101"/>
      <c r="AB227" s="101"/>
      <c r="AC227" s="101"/>
      <c r="AD227" s="101"/>
      <c r="AE227" s="101"/>
      <c r="AF227" s="101"/>
      <c r="AG227" s="101"/>
      <c r="AH227" s="101"/>
      <c r="AI227" s="101"/>
      <c r="AJ227" s="101"/>
      <c r="AK227" s="101"/>
      <c r="AL227" s="101"/>
    </row>
    <row r="228">
      <c r="A228" s="436" t="s">
        <v>1143</v>
      </c>
      <c r="B228" s="537" t="s">
        <v>1144</v>
      </c>
      <c r="C228" s="446" t="s">
        <v>82</v>
      </c>
      <c r="D228" s="538">
        <v>4990.0</v>
      </c>
      <c r="E228" s="222" t="str">
        <f t="array" ref="E228">_xlfn.XLOOKUP(B228,Stock1!F:F,Stock1!J:J,"")</f>
        <v/>
      </c>
      <c r="F228" s="154" t="str">
        <f t="array" ref="F228">_xlfn.XLOOKUP(B228,Stock2!F:F,Stock2!J:J,"")</f>
        <v/>
      </c>
      <c r="G228" s="497" t="s">
        <v>1125</v>
      </c>
      <c r="H228" s="497">
        <f t="shared" ref="H228:H230" si="31">D228/2</f>
        <v>2495</v>
      </c>
      <c r="I228" s="76"/>
      <c r="J228" s="510"/>
      <c r="K228" s="511"/>
      <c r="L228" s="512"/>
      <c r="M228" s="512"/>
      <c r="N228" s="512"/>
      <c r="O228" s="512"/>
      <c r="P228" s="512"/>
      <c r="Q228" s="512"/>
      <c r="R228" s="512"/>
      <c r="S228" s="363"/>
      <c r="T228" s="363"/>
      <c r="U228" s="363"/>
      <c r="V228" s="505"/>
      <c r="W228" s="590"/>
      <c r="X228" s="492"/>
      <c r="Y228" s="101"/>
      <c r="Z228" s="101"/>
      <c r="AA228" s="101"/>
      <c r="AB228" s="101"/>
      <c r="AC228" s="101"/>
      <c r="AD228" s="101"/>
      <c r="AE228" s="101"/>
      <c r="AF228" s="101"/>
      <c r="AG228" s="101"/>
      <c r="AH228" s="101"/>
      <c r="AI228" s="101"/>
      <c r="AJ228" s="101"/>
      <c r="AK228" s="101"/>
      <c r="AL228" s="101"/>
    </row>
    <row r="229">
      <c r="A229" s="436" t="s">
        <v>1145</v>
      </c>
      <c r="B229" s="537" t="s">
        <v>1146</v>
      </c>
      <c r="C229" s="446" t="s">
        <v>82</v>
      </c>
      <c r="D229" s="538">
        <v>4990.0</v>
      </c>
      <c r="E229" s="222" t="str">
        <f t="array" ref="E229">_xlfn.XLOOKUP(B229,Stock1!F:F,Stock1!J:J,"")</f>
        <v/>
      </c>
      <c r="F229" s="154" t="str">
        <f t="array" ref="F229">_xlfn.XLOOKUP(B229,Stock2!F:F,Stock2!J:J,"")</f>
        <v/>
      </c>
      <c r="G229" s="497" t="s">
        <v>1125</v>
      </c>
      <c r="H229" s="497">
        <f t="shared" si="31"/>
        <v>2495</v>
      </c>
      <c r="I229" s="76"/>
      <c r="J229" s="510"/>
      <c r="K229" s="511"/>
      <c r="L229" s="512"/>
      <c r="M229" s="512"/>
      <c r="N229" s="512"/>
      <c r="O229" s="512"/>
      <c r="P229" s="512"/>
      <c r="Q229" s="512"/>
      <c r="R229" s="512"/>
      <c r="S229" s="363"/>
      <c r="T229" s="363"/>
      <c r="U229" s="363"/>
      <c r="V229" s="505"/>
      <c r="W229" s="590"/>
      <c r="X229" s="492"/>
      <c r="Y229" s="101"/>
      <c r="Z229" s="101"/>
      <c r="AA229" s="101"/>
      <c r="AB229" s="101"/>
      <c r="AC229" s="101"/>
      <c r="AD229" s="101"/>
      <c r="AE229" s="101"/>
      <c r="AF229" s="101"/>
      <c r="AG229" s="101"/>
      <c r="AH229" s="101"/>
      <c r="AI229" s="101"/>
      <c r="AJ229" s="101"/>
      <c r="AK229" s="101"/>
      <c r="AL229" s="101"/>
    </row>
    <row r="230">
      <c r="A230" s="436" t="s">
        <v>1147</v>
      </c>
      <c r="B230" s="537" t="s">
        <v>1148</v>
      </c>
      <c r="C230" s="446" t="s">
        <v>82</v>
      </c>
      <c r="D230" s="538">
        <v>2490.0</v>
      </c>
      <c r="E230" s="222" t="str">
        <f t="array" ref="E230">_xlfn.XLOOKUP(B230,Stock1!F:F,Stock1!J:J,"")</f>
        <v/>
      </c>
      <c r="F230" s="154" t="str">
        <f t="array" ref="F230">_xlfn.XLOOKUP(B230,Stock2!F:F,Stock2!J:J,"")</f>
        <v/>
      </c>
      <c r="G230" s="497" t="s">
        <v>1125</v>
      </c>
      <c r="H230" s="497">
        <f t="shared" si="31"/>
        <v>1245</v>
      </c>
      <c r="I230" s="76"/>
      <c r="J230" s="510"/>
      <c r="K230" s="511"/>
      <c r="L230" s="512"/>
      <c r="M230" s="512"/>
      <c r="N230" s="512"/>
      <c r="O230" s="512"/>
      <c r="P230" s="512"/>
      <c r="Q230" s="512"/>
      <c r="R230" s="512"/>
      <c r="S230" s="363"/>
      <c r="T230" s="363"/>
      <c r="U230" s="363"/>
      <c r="V230" s="505"/>
      <c r="W230" s="590"/>
      <c r="X230" s="492"/>
      <c r="Y230" s="101"/>
      <c r="Z230" s="101"/>
      <c r="AA230" s="101"/>
      <c r="AB230" s="101"/>
      <c r="AC230" s="101"/>
      <c r="AD230" s="101"/>
      <c r="AE230" s="101"/>
      <c r="AF230" s="101"/>
      <c r="AG230" s="101"/>
      <c r="AH230" s="101"/>
      <c r="AI230" s="101"/>
      <c r="AJ230" s="101"/>
      <c r="AK230" s="101"/>
      <c r="AL230" s="101"/>
    </row>
    <row r="231">
      <c r="A231" s="436" t="s">
        <v>1149</v>
      </c>
      <c r="B231" s="537" t="s">
        <v>1150</v>
      </c>
      <c r="C231" s="446" t="s">
        <v>82</v>
      </c>
      <c r="D231" s="538">
        <v>2990.0</v>
      </c>
      <c r="E231" s="222" t="str">
        <f t="array" ref="E231">_xlfn.XLOOKUP(B231,Stock1!F:F,Stock1!J:J,"")</f>
        <v/>
      </c>
      <c r="F231" s="154" t="str">
        <f t="array" ref="F231">_xlfn.XLOOKUP(B231,Stock2!F:F,Stock2!J:J,"")</f>
        <v/>
      </c>
      <c r="G231" s="497"/>
      <c r="H231" s="497"/>
      <c r="I231" s="76"/>
      <c r="J231" s="510"/>
      <c r="K231" s="511"/>
      <c r="L231" s="512"/>
      <c r="M231" s="512"/>
      <c r="N231" s="512"/>
      <c r="O231" s="512"/>
      <c r="P231" s="512"/>
      <c r="Q231" s="512"/>
      <c r="R231" s="512"/>
      <c r="S231" s="363"/>
      <c r="T231" s="363"/>
      <c r="U231" s="363"/>
      <c r="V231" s="505"/>
      <c r="W231" s="590"/>
      <c r="X231" s="492"/>
      <c r="Y231" s="101"/>
      <c r="Z231" s="101"/>
      <c r="AA231" s="101"/>
      <c r="AB231" s="101"/>
      <c r="AC231" s="101"/>
      <c r="AD231" s="101"/>
      <c r="AE231" s="101"/>
      <c r="AF231" s="101"/>
      <c r="AG231" s="101"/>
      <c r="AH231" s="101"/>
      <c r="AI231" s="101"/>
      <c r="AJ231" s="101"/>
      <c r="AK231" s="101"/>
      <c r="AL231" s="101"/>
    </row>
    <row r="232">
      <c r="A232" s="223" t="s">
        <v>1151</v>
      </c>
      <c r="B232" s="495" t="s">
        <v>1152</v>
      </c>
      <c r="C232" s="336" t="s">
        <v>82</v>
      </c>
      <c r="D232" s="527">
        <v>1390.0</v>
      </c>
      <c r="E232" s="222" t="str">
        <f t="array" ref="E232">_xlfn.XLOOKUP(B232,Stock1!F:F,Stock1!J:J,"")</f>
        <v/>
      </c>
      <c r="F232" s="154" t="str">
        <f t="array" ref="F232">_xlfn.XLOOKUP(B232,Stock2!F:F,Stock2!J:J,"")</f>
        <v/>
      </c>
      <c r="G232" s="497" t="s">
        <v>1125</v>
      </c>
      <c r="H232" s="497">
        <f t="shared" ref="H232:H235" si="32">D232/2</f>
        <v>695</v>
      </c>
      <c r="I232" s="76"/>
      <c r="J232" s="510"/>
      <c r="K232" s="511"/>
      <c r="L232" s="512"/>
      <c r="M232" s="512"/>
      <c r="N232" s="512"/>
      <c r="O232" s="512"/>
      <c r="P232" s="512"/>
      <c r="Q232" s="512"/>
      <c r="R232" s="512"/>
      <c r="S232" s="363"/>
      <c r="T232" s="363"/>
      <c r="U232" s="363"/>
      <c r="V232" s="505"/>
      <c r="W232" s="590"/>
      <c r="X232" s="492"/>
      <c r="Y232" s="101"/>
      <c r="Z232" s="101"/>
      <c r="AA232" s="101"/>
      <c r="AB232" s="101"/>
      <c r="AC232" s="101"/>
      <c r="AD232" s="101"/>
      <c r="AE232" s="101"/>
      <c r="AF232" s="101"/>
      <c r="AG232" s="101"/>
      <c r="AH232" s="101"/>
      <c r="AI232" s="101"/>
      <c r="AJ232" s="101"/>
      <c r="AK232" s="101"/>
      <c r="AL232" s="101"/>
    </row>
    <row r="233">
      <c r="A233" s="172"/>
      <c r="B233" s="520" t="s">
        <v>1155</v>
      </c>
      <c r="C233" s="343" t="s">
        <v>586</v>
      </c>
      <c r="D233" s="582">
        <v>1390.0</v>
      </c>
      <c r="E233" s="222" t="str">
        <f t="array" ref="E233">_xlfn.XLOOKUP(B233,Stock1!F:F,Stock1!J:J,"")</f>
        <v/>
      </c>
      <c r="F233" s="154" t="str">
        <f t="array" ref="F233">_xlfn.XLOOKUP(B233,Stock2!F:F,Stock2!J:J,"")</f>
        <v/>
      </c>
      <c r="G233" s="497" t="s">
        <v>1125</v>
      </c>
      <c r="H233" s="497">
        <f t="shared" si="32"/>
        <v>695</v>
      </c>
      <c r="I233" s="76"/>
      <c r="J233" s="510"/>
      <c r="K233" s="511"/>
      <c r="L233" s="512"/>
      <c r="M233" s="512"/>
      <c r="N233" s="512"/>
      <c r="O233" s="512"/>
      <c r="P233" s="512"/>
      <c r="Q233" s="512"/>
      <c r="R233" s="512"/>
      <c r="S233" s="363"/>
      <c r="T233" s="363"/>
      <c r="U233" s="363"/>
      <c r="V233" s="505"/>
      <c r="W233" s="590"/>
      <c r="X233" s="492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1"/>
      <c r="AJ233" s="101"/>
      <c r="AK233" s="101"/>
      <c r="AL233" s="101"/>
    </row>
    <row r="234">
      <c r="A234" s="179"/>
      <c r="B234" s="508" t="s">
        <v>1157</v>
      </c>
      <c r="C234" s="349" t="s">
        <v>171</v>
      </c>
      <c r="D234" s="528">
        <v>1390.0</v>
      </c>
      <c r="E234" s="222" t="str">
        <f t="array" ref="E234">_xlfn.XLOOKUP(B234,Stock1!F:F,Stock1!J:J,"")</f>
        <v/>
      </c>
      <c r="F234" s="154" t="str">
        <f t="array" ref="F234">_xlfn.XLOOKUP(B234,Stock2!F:F,Stock2!J:J,"")</f>
        <v/>
      </c>
      <c r="G234" s="497" t="s">
        <v>1125</v>
      </c>
      <c r="H234" s="497">
        <f t="shared" si="32"/>
        <v>695</v>
      </c>
      <c r="I234" s="76"/>
      <c r="J234" s="510"/>
      <c r="K234" s="511"/>
      <c r="L234" s="512"/>
      <c r="M234" s="512"/>
      <c r="N234" s="512"/>
      <c r="O234" s="512"/>
      <c r="P234" s="512"/>
      <c r="Q234" s="512"/>
      <c r="R234" s="512"/>
      <c r="S234" s="363"/>
      <c r="T234" s="363"/>
      <c r="U234" s="363"/>
      <c r="V234" s="505"/>
      <c r="W234" s="590"/>
      <c r="X234" s="492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1"/>
      <c r="AI234" s="101"/>
      <c r="AJ234" s="101"/>
      <c r="AK234" s="101"/>
      <c r="AL234" s="101"/>
    </row>
    <row r="235">
      <c r="A235" s="436" t="s">
        <v>1159</v>
      </c>
      <c r="B235" s="537" t="s">
        <v>1160</v>
      </c>
      <c r="C235" s="446" t="s">
        <v>82</v>
      </c>
      <c r="D235" s="591">
        <v>990.0</v>
      </c>
      <c r="E235" s="222" t="str">
        <f t="array" ref="E235">_xlfn.XLOOKUP(B235,Stock1!F:F,Stock1!J:J,"")</f>
        <v/>
      </c>
      <c r="F235" s="154" t="str">
        <f t="array" ref="F235">_xlfn.XLOOKUP(B235,Stock2!F:F,Stock2!J:J,"")</f>
        <v/>
      </c>
      <c r="G235" s="497" t="s">
        <v>1125</v>
      </c>
      <c r="H235" s="497">
        <f t="shared" si="32"/>
        <v>495</v>
      </c>
      <c r="I235" s="119"/>
      <c r="J235" s="510"/>
      <c r="K235" s="511"/>
      <c r="L235" s="512"/>
      <c r="M235" s="512"/>
      <c r="N235" s="512"/>
      <c r="O235" s="512"/>
      <c r="P235" s="512"/>
      <c r="Q235" s="512"/>
      <c r="R235" s="512"/>
      <c r="S235" s="363"/>
      <c r="T235" s="363"/>
      <c r="U235" s="363"/>
      <c r="V235" s="505"/>
      <c r="W235" s="590"/>
      <c r="X235" s="492"/>
      <c r="Y235" s="101"/>
      <c r="Z235" s="101"/>
      <c r="AA235" s="101"/>
      <c r="AB235" s="101"/>
      <c r="AC235" s="101"/>
      <c r="AD235" s="101"/>
      <c r="AE235" s="101"/>
      <c r="AF235" s="101"/>
      <c r="AG235" s="101"/>
      <c r="AH235" s="101"/>
      <c r="AI235" s="101"/>
      <c r="AJ235" s="101"/>
      <c r="AK235" s="101"/>
      <c r="AL235" s="101"/>
    </row>
    <row r="236">
      <c r="A236" s="436" t="s">
        <v>1192</v>
      </c>
      <c r="B236" s="537"/>
      <c r="C236" s="446"/>
      <c r="D236" s="591"/>
      <c r="E236" s="222"/>
      <c r="F236" s="154"/>
      <c r="G236" s="592">
        <v>0.7</v>
      </c>
      <c r="H236" s="593"/>
      <c r="I236" s="593"/>
      <c r="J236" s="510"/>
      <c r="K236" s="511"/>
      <c r="L236" s="512"/>
      <c r="M236" s="512"/>
      <c r="N236" s="512"/>
      <c r="O236" s="512"/>
      <c r="P236" s="512"/>
      <c r="Q236" s="512"/>
      <c r="R236" s="512"/>
      <c r="S236" s="594"/>
      <c r="T236" s="363"/>
      <c r="U236" s="363"/>
      <c r="V236" s="505"/>
      <c r="W236" s="590"/>
      <c r="X236" s="492"/>
      <c r="Y236" s="101"/>
      <c r="Z236" s="101"/>
      <c r="AA236" s="101"/>
      <c r="AB236" s="101"/>
      <c r="AC236" s="101"/>
      <c r="AD236" s="101"/>
      <c r="AE236" s="101"/>
      <c r="AF236" s="101"/>
      <c r="AG236" s="101"/>
      <c r="AH236" s="101"/>
      <c r="AI236" s="101"/>
      <c r="AJ236" s="101"/>
      <c r="AK236" s="101"/>
      <c r="AL236" s="101"/>
    </row>
    <row r="237">
      <c r="A237" s="436" t="s">
        <v>1175</v>
      </c>
      <c r="B237" s="537"/>
      <c r="C237" s="446"/>
      <c r="D237" s="591"/>
      <c r="E237" s="222"/>
      <c r="F237" s="154"/>
      <c r="G237" s="592">
        <v>0.7</v>
      </c>
      <c r="H237" s="593"/>
      <c r="I237" s="593"/>
      <c r="J237" s="510"/>
      <c r="K237" s="511"/>
      <c r="L237" s="512"/>
      <c r="M237" s="512"/>
      <c r="N237" s="512"/>
      <c r="O237" s="512"/>
      <c r="P237" s="512"/>
      <c r="Q237" s="512"/>
      <c r="R237" s="512"/>
      <c r="S237" s="594"/>
      <c r="T237" s="363"/>
      <c r="U237" s="363"/>
      <c r="V237" s="505"/>
      <c r="W237" s="590"/>
      <c r="X237" s="492"/>
      <c r="Y237" s="101"/>
      <c r="Z237" s="101"/>
      <c r="AA237" s="101"/>
      <c r="AB237" s="101"/>
      <c r="AC237" s="101"/>
      <c r="AD237" s="101"/>
      <c r="AE237" s="101"/>
      <c r="AF237" s="101"/>
      <c r="AG237" s="101"/>
      <c r="AH237" s="101"/>
      <c r="AI237" s="101"/>
      <c r="AJ237" s="101"/>
      <c r="AK237" s="101"/>
      <c r="AL237" s="101"/>
    </row>
    <row r="238">
      <c r="A238" s="436" t="s">
        <v>1171</v>
      </c>
      <c r="B238" s="537"/>
      <c r="C238" s="446"/>
      <c r="D238" s="591"/>
      <c r="E238" s="222"/>
      <c r="F238" s="154"/>
      <c r="G238" s="592">
        <v>0.7</v>
      </c>
      <c r="H238" s="593"/>
      <c r="I238" s="593"/>
      <c r="J238" s="510"/>
      <c r="K238" s="511"/>
      <c r="L238" s="512"/>
      <c r="M238" s="512"/>
      <c r="N238" s="512"/>
      <c r="O238" s="512"/>
      <c r="P238" s="512"/>
      <c r="Q238" s="512"/>
      <c r="R238" s="512"/>
      <c r="S238" s="594"/>
      <c r="T238" s="363"/>
      <c r="U238" s="363"/>
      <c r="V238" s="505"/>
      <c r="W238" s="590"/>
      <c r="X238" s="492"/>
      <c r="Y238" s="101"/>
      <c r="Z238" s="101"/>
      <c r="AA238" s="101"/>
      <c r="AB238" s="101"/>
      <c r="AC238" s="101"/>
      <c r="AD238" s="101"/>
      <c r="AE238" s="101"/>
      <c r="AF238" s="101"/>
      <c r="AG238" s="101"/>
      <c r="AH238" s="101"/>
      <c r="AI238" s="101"/>
      <c r="AJ238" s="101"/>
      <c r="AK238" s="101"/>
      <c r="AL238" s="101"/>
    </row>
    <row r="239">
      <c r="A239" s="436" t="s">
        <v>1172</v>
      </c>
      <c r="B239" s="537"/>
      <c r="C239" s="446"/>
      <c r="D239" s="591"/>
      <c r="E239" s="222" t="str">
        <f t="array" ref="E239">_xlfn.XLOOKUP(B239,Stock1!F:F,Stock1!J:J,"")</f>
        <v/>
      </c>
      <c r="F239" s="154" t="str">
        <f t="array" ref="F239">_xlfn.XLOOKUP(B239,Stock2!F:F,Stock2!J:J,"")</f>
        <v/>
      </c>
      <c r="G239" s="592">
        <v>0.5</v>
      </c>
      <c r="H239" s="593"/>
      <c r="I239" s="593"/>
      <c r="J239" s="510"/>
      <c r="K239" s="511"/>
      <c r="L239" s="512"/>
      <c r="M239" s="512"/>
      <c r="N239" s="512"/>
      <c r="O239" s="512"/>
      <c r="P239" s="512"/>
      <c r="Q239" s="512"/>
      <c r="R239" s="512"/>
      <c r="S239" s="594"/>
      <c r="T239" s="363"/>
      <c r="U239" s="363"/>
      <c r="V239" s="505"/>
      <c r="W239" s="590"/>
      <c r="X239" s="492"/>
      <c r="Y239" s="101"/>
      <c r="Z239" s="101"/>
      <c r="AA239" s="101"/>
      <c r="AB239" s="101"/>
      <c r="AC239" s="101"/>
      <c r="AD239" s="101"/>
      <c r="AE239" s="101"/>
      <c r="AF239" s="101"/>
      <c r="AG239" s="101"/>
      <c r="AH239" s="101"/>
      <c r="AI239" s="101"/>
      <c r="AJ239" s="101"/>
      <c r="AK239" s="101"/>
      <c r="AL239" s="101"/>
    </row>
    <row r="240">
      <c r="A240" s="436" t="s">
        <v>1193</v>
      </c>
      <c r="B240" s="537"/>
      <c r="C240" s="446"/>
      <c r="D240" s="591"/>
      <c r="E240" s="222"/>
      <c r="F240" s="154"/>
      <c r="G240" s="592">
        <v>0.2</v>
      </c>
      <c r="H240" s="593"/>
      <c r="I240" s="593"/>
      <c r="J240" s="510"/>
      <c r="K240" s="511"/>
      <c r="L240" s="512"/>
      <c r="M240" s="512"/>
      <c r="N240" s="512"/>
      <c r="O240" s="512"/>
      <c r="P240" s="512"/>
      <c r="Q240" s="512"/>
      <c r="R240" s="512"/>
      <c r="S240" s="595"/>
      <c r="T240" s="363"/>
      <c r="U240" s="363"/>
      <c r="V240" s="505"/>
      <c r="W240" s="590"/>
      <c r="X240" s="492"/>
      <c r="Y240" s="101"/>
      <c r="Z240" s="101"/>
      <c r="AA240" s="101"/>
      <c r="AB240" s="101"/>
      <c r="AC240" s="101"/>
      <c r="AD240" s="101"/>
      <c r="AE240" s="101"/>
      <c r="AF240" s="101"/>
      <c r="AG240" s="101"/>
      <c r="AH240" s="101"/>
      <c r="AI240" s="101"/>
      <c r="AJ240" s="101"/>
      <c r="AK240" s="101"/>
      <c r="AL240" s="101"/>
    </row>
    <row r="241">
      <c r="A241" s="436" t="s">
        <v>1174</v>
      </c>
      <c r="B241" s="537"/>
      <c r="C241" s="446"/>
      <c r="D241" s="538">
        <v>14900.0</v>
      </c>
      <c r="E241" s="222" t="str">
        <f t="array" ref="E241">_xlfn.XLOOKUP(B241,Stock1!F:F,Stock1!J:J,"")</f>
        <v/>
      </c>
      <c r="F241" s="154" t="str">
        <f t="array" ref="F241">_xlfn.XLOOKUP(B241,Stock2!F:F,Stock2!J:J,"")</f>
        <v/>
      </c>
      <c r="G241" s="592">
        <v>0.35</v>
      </c>
      <c r="H241" s="497"/>
      <c r="I241" s="593"/>
      <c r="J241" s="510"/>
      <c r="K241" s="511"/>
      <c r="L241" s="512"/>
      <c r="M241" s="512"/>
      <c r="N241" s="512"/>
      <c r="O241" s="512"/>
      <c r="P241" s="512"/>
      <c r="Q241" s="512"/>
      <c r="R241" s="512"/>
      <c r="S241" s="595"/>
      <c r="T241" s="363"/>
      <c r="U241" s="363"/>
      <c r="V241" s="505"/>
      <c r="W241" s="590"/>
      <c r="X241" s="492"/>
      <c r="Y241" s="101"/>
      <c r="Z241" s="101"/>
      <c r="AA241" s="101"/>
      <c r="AB241" s="101"/>
      <c r="AC241" s="101"/>
      <c r="AD241" s="101"/>
      <c r="AE241" s="101"/>
      <c r="AF241" s="101"/>
      <c r="AG241" s="101"/>
      <c r="AH241" s="101"/>
      <c r="AI241" s="101"/>
      <c r="AJ241" s="101"/>
      <c r="AK241" s="101"/>
      <c r="AL241" s="101"/>
    </row>
    <row r="242">
      <c r="A242" s="436" t="s">
        <v>1176</v>
      </c>
      <c r="B242" s="537"/>
      <c r="C242" s="446"/>
      <c r="D242" s="591"/>
      <c r="E242" s="222"/>
      <c r="F242" s="154"/>
      <c r="G242" s="592">
        <v>0.5</v>
      </c>
      <c r="H242" s="593"/>
      <c r="I242" s="593"/>
      <c r="J242" s="510"/>
      <c r="K242" s="511"/>
      <c r="L242" s="512"/>
      <c r="M242" s="512"/>
      <c r="N242" s="512"/>
      <c r="O242" s="512"/>
      <c r="P242" s="512"/>
      <c r="Q242" s="512"/>
      <c r="R242" s="512"/>
      <c r="S242" s="363"/>
      <c r="T242" s="363"/>
      <c r="U242" s="363"/>
      <c r="V242" s="505"/>
      <c r="W242" s="590"/>
      <c r="X242" s="492"/>
      <c r="Y242" s="101"/>
      <c r="Z242" s="101"/>
      <c r="AA242" s="101"/>
      <c r="AB242" s="101"/>
      <c r="AC242" s="101"/>
      <c r="AD242" s="101"/>
      <c r="AE242" s="101"/>
      <c r="AF242" s="101"/>
      <c r="AG242" s="101"/>
      <c r="AH242" s="101"/>
      <c r="AI242" s="101"/>
      <c r="AJ242" s="101"/>
      <c r="AK242" s="101"/>
      <c r="AL242" s="101"/>
    </row>
    <row r="243">
      <c r="A243" s="436" t="s">
        <v>1194</v>
      </c>
      <c r="B243" s="537"/>
      <c r="C243" s="446"/>
      <c r="D243" s="591"/>
      <c r="E243" s="222"/>
      <c r="F243" s="154"/>
      <c r="G243" s="592">
        <v>0.2</v>
      </c>
      <c r="H243" s="593"/>
      <c r="I243" s="593"/>
      <c r="J243" s="510"/>
      <c r="K243" s="511"/>
      <c r="L243" s="512"/>
      <c r="M243" s="512"/>
      <c r="N243" s="512"/>
      <c r="O243" s="512"/>
      <c r="P243" s="512"/>
      <c r="Q243" s="512"/>
      <c r="R243" s="512"/>
      <c r="S243" s="363"/>
      <c r="T243" s="363"/>
      <c r="U243" s="363"/>
      <c r="V243" s="505"/>
      <c r="W243" s="590"/>
      <c r="X243" s="492"/>
      <c r="Y243" s="101"/>
      <c r="Z243" s="101"/>
      <c r="AA243" s="101"/>
      <c r="AB243" s="101"/>
      <c r="AC243" s="101"/>
      <c r="AD243" s="101"/>
      <c r="AE243" s="101"/>
      <c r="AF243" s="101"/>
      <c r="AG243" s="101"/>
      <c r="AH243" s="101"/>
      <c r="AI243" s="101"/>
      <c r="AJ243" s="101"/>
      <c r="AK243" s="101"/>
      <c r="AL243" s="101"/>
    </row>
    <row r="244">
      <c r="A244" s="436"/>
      <c r="B244" s="537"/>
      <c r="C244" s="446"/>
      <c r="D244" s="591"/>
      <c r="E244" s="222" t="str">
        <f t="array" ref="E244">_xlfn.XLOOKUP(B244,Stock1!F:F,Stock1!J:J,"")</f>
        <v/>
      </c>
      <c r="F244" s="154" t="str">
        <f t="array" ref="F244">_xlfn.XLOOKUP(B244,Stock2!F:F,Stock2!J:J,"")</f>
        <v/>
      </c>
      <c r="G244" s="593"/>
      <c r="H244" s="593"/>
      <c r="I244" s="593"/>
      <c r="J244" s="596"/>
      <c r="K244" s="597"/>
      <c r="L244" s="598"/>
      <c r="M244" s="598"/>
      <c r="N244" s="598"/>
      <c r="O244" s="598"/>
      <c r="P244" s="598"/>
      <c r="Q244" s="598"/>
      <c r="R244" s="598"/>
      <c r="S244" s="363"/>
      <c r="T244" s="363"/>
      <c r="U244" s="363"/>
      <c r="V244" s="505"/>
      <c r="W244" s="590"/>
      <c r="X244" s="492"/>
      <c r="Y244" s="101"/>
      <c r="Z244" s="101"/>
      <c r="AA244" s="101"/>
      <c r="AB244" s="101"/>
      <c r="AC244" s="101"/>
      <c r="AD244" s="101"/>
      <c r="AE244" s="101"/>
      <c r="AF244" s="101"/>
      <c r="AG244" s="101"/>
      <c r="AH244" s="101"/>
      <c r="AI244" s="101"/>
      <c r="AJ244" s="101"/>
      <c r="AK244" s="101"/>
      <c r="AL244" s="101"/>
    </row>
    <row r="245">
      <c r="A245" s="599"/>
      <c r="B245" s="600"/>
      <c r="C245" s="600"/>
      <c r="D245" s="600"/>
      <c r="E245" s="600"/>
      <c r="F245" s="600"/>
      <c r="G245" s="600"/>
      <c r="H245" s="600"/>
      <c r="I245" s="600"/>
      <c r="J245" s="600"/>
      <c r="K245" s="600"/>
      <c r="L245" s="600"/>
      <c r="M245" s="600"/>
      <c r="N245" s="600"/>
      <c r="O245" s="600"/>
      <c r="P245" s="600"/>
      <c r="Q245" s="600"/>
      <c r="R245" s="600"/>
      <c r="S245" s="600"/>
      <c r="T245" s="600"/>
      <c r="U245" s="600"/>
      <c r="V245" s="600"/>
      <c r="W245" s="601"/>
      <c r="X245" s="492"/>
      <c r="Y245" s="101"/>
      <c r="Z245" s="101"/>
      <c r="AA245" s="101"/>
      <c r="AB245" s="101"/>
      <c r="AC245" s="101"/>
      <c r="AD245" s="101"/>
      <c r="AE245" s="101"/>
      <c r="AF245" s="101"/>
      <c r="AG245" s="101"/>
      <c r="AH245" s="101"/>
      <c r="AI245" s="101"/>
      <c r="AJ245" s="101"/>
      <c r="AK245" s="101"/>
      <c r="AL245" s="101"/>
    </row>
    <row r="246">
      <c r="A246" s="52"/>
      <c r="B246" s="602"/>
      <c r="C246" s="52"/>
      <c r="D246" s="603"/>
      <c r="E246" s="604"/>
      <c r="F246" s="603"/>
      <c r="G246" s="605"/>
      <c r="H246" s="605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7"/>
      <c r="W246" s="461"/>
      <c r="X246" s="131"/>
      <c r="Y246" s="101"/>
      <c r="Z246" s="101"/>
      <c r="AA246" s="101"/>
      <c r="AB246" s="101"/>
      <c r="AC246" s="101"/>
      <c r="AD246" s="101"/>
      <c r="AE246" s="101"/>
      <c r="AF246" s="101"/>
      <c r="AG246" s="101"/>
      <c r="AH246" s="101"/>
      <c r="AI246" s="101"/>
      <c r="AJ246" s="101"/>
      <c r="AK246" s="101"/>
      <c r="AL246" s="101"/>
    </row>
    <row r="247">
      <c r="A247" s="608" t="s">
        <v>0</v>
      </c>
      <c r="X247" s="131"/>
      <c r="Y247" s="101"/>
      <c r="Z247" s="101"/>
      <c r="AA247" s="101"/>
      <c r="AB247" s="101"/>
      <c r="AC247" s="101"/>
      <c r="AD247" s="101"/>
      <c r="AE247" s="101"/>
      <c r="AF247" s="101"/>
      <c r="AG247" s="101"/>
      <c r="AH247" s="101"/>
      <c r="AI247" s="101"/>
      <c r="AJ247" s="101"/>
      <c r="AK247" s="101"/>
      <c r="AL247" s="101"/>
    </row>
    <row r="248">
      <c r="A248" s="608"/>
      <c r="B248" s="602"/>
      <c r="C248" s="52"/>
      <c r="D248" s="603"/>
      <c r="E248" s="604"/>
      <c r="F248" s="603"/>
      <c r="G248" s="605"/>
      <c r="H248" s="605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7"/>
      <c r="W248" s="461"/>
      <c r="X248" s="131"/>
      <c r="Y248" s="101"/>
      <c r="Z248" s="101"/>
      <c r="AA248" s="101"/>
      <c r="AB248" s="101"/>
      <c r="AC248" s="101"/>
      <c r="AD248" s="101"/>
      <c r="AE248" s="101"/>
      <c r="AF248" s="101"/>
      <c r="AG248" s="101"/>
      <c r="AH248" s="101"/>
      <c r="AI248" s="101"/>
      <c r="AJ248" s="101"/>
      <c r="AK248" s="101"/>
      <c r="AL248" s="101"/>
    </row>
    <row r="249">
      <c r="A249" s="608"/>
      <c r="B249" s="602"/>
      <c r="C249" s="52"/>
      <c r="D249" s="603"/>
      <c r="E249" s="604"/>
      <c r="F249" s="603"/>
      <c r="G249" s="605"/>
      <c r="H249" s="605"/>
      <c r="I249" s="606"/>
      <c r="J249" s="606"/>
      <c r="K249" s="606"/>
      <c r="L249" s="606"/>
      <c r="M249" s="606"/>
      <c r="N249" s="606"/>
      <c r="O249" s="606"/>
      <c r="P249" s="606"/>
      <c r="Q249" s="606"/>
      <c r="R249" s="606"/>
      <c r="S249" s="606"/>
      <c r="T249" s="606"/>
      <c r="U249" s="606"/>
      <c r="V249" s="607"/>
      <c r="W249" s="461"/>
      <c r="X249" s="131"/>
      <c r="Y249" s="101"/>
      <c r="Z249" s="101"/>
      <c r="AA249" s="101"/>
      <c r="AB249" s="101"/>
      <c r="AC249" s="101"/>
      <c r="AD249" s="101"/>
      <c r="AE249" s="101"/>
      <c r="AF249" s="101"/>
      <c r="AG249" s="101"/>
      <c r="AH249" s="101"/>
      <c r="AI249" s="101"/>
      <c r="AJ249" s="101"/>
      <c r="AK249" s="101"/>
      <c r="AL249" s="101"/>
    </row>
    <row r="250">
      <c r="A250" s="608"/>
      <c r="B250" s="602"/>
      <c r="C250" s="609"/>
      <c r="D250" s="603"/>
      <c r="E250" s="604"/>
      <c r="F250" s="603"/>
      <c r="G250" s="605"/>
      <c r="H250" s="605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7"/>
      <c r="W250" s="461"/>
      <c r="X250" s="131"/>
      <c r="Y250" s="101"/>
      <c r="Z250" s="101"/>
      <c r="AA250" s="101"/>
      <c r="AB250" s="101"/>
      <c r="AC250" s="101"/>
      <c r="AD250" s="101"/>
      <c r="AE250" s="101"/>
      <c r="AF250" s="101"/>
      <c r="AG250" s="101"/>
      <c r="AH250" s="101"/>
      <c r="AI250" s="101"/>
      <c r="AJ250" s="101"/>
      <c r="AK250" s="101"/>
      <c r="AL250" s="101"/>
    </row>
    <row r="251">
      <c r="A251" s="52"/>
      <c r="B251" s="602"/>
      <c r="C251" s="52"/>
      <c r="D251" s="603"/>
      <c r="E251" s="604"/>
      <c r="F251" s="603"/>
      <c r="G251" s="605"/>
      <c r="H251" s="605"/>
      <c r="I251" s="606"/>
      <c r="J251" s="606"/>
      <c r="K251" s="606"/>
      <c r="L251" s="606"/>
      <c r="M251" s="606"/>
      <c r="N251" s="606"/>
      <c r="O251" s="606"/>
      <c r="P251" s="606"/>
      <c r="Q251" s="606"/>
      <c r="R251" s="606"/>
      <c r="S251" s="606"/>
      <c r="T251" s="610" t="str">
        <f t="array" ref="T251">_xlfn.XLOOKUP(W252,Stock1!A:A,Stock1!E:E,"")</f>
        <v/>
      </c>
      <c r="U251" s="610"/>
      <c r="V251" s="610"/>
      <c r="W251" s="610"/>
      <c r="X251" s="610"/>
      <c r="Y251" s="610"/>
      <c r="Z251" s="610"/>
      <c r="AA251" s="610"/>
      <c r="AB251" s="101"/>
      <c r="AC251" s="101"/>
      <c r="AD251" s="101"/>
      <c r="AE251" s="101"/>
      <c r="AF251" s="101"/>
      <c r="AG251" s="101"/>
      <c r="AH251" s="101"/>
      <c r="AI251" s="101"/>
      <c r="AJ251" s="101"/>
      <c r="AK251" s="101"/>
      <c r="AL251" s="101"/>
    </row>
    <row r="252">
      <c r="A252" s="611"/>
      <c r="B252" s="612" t="s">
        <v>1177</v>
      </c>
      <c r="C252" s="613"/>
      <c r="D252" s="613"/>
      <c r="E252" s="613"/>
      <c r="F252" s="613"/>
      <c r="G252" s="613"/>
      <c r="H252" s="588"/>
      <c r="I252" s="606"/>
      <c r="J252" s="606"/>
      <c r="K252" s="606"/>
      <c r="L252" s="606"/>
      <c r="M252" s="606"/>
      <c r="N252" s="606"/>
      <c r="O252" s="606"/>
      <c r="P252" s="606"/>
      <c r="Q252" s="606"/>
      <c r="R252" s="606"/>
      <c r="S252" s="606"/>
      <c r="T252" s="610"/>
      <c r="U252" s="610"/>
      <c r="V252" s="610"/>
      <c r="W252" s="610"/>
      <c r="X252" s="610"/>
      <c r="Y252" s="610"/>
      <c r="Z252" s="610"/>
      <c r="AA252" s="610"/>
      <c r="AB252" s="101"/>
      <c r="AC252" s="101"/>
      <c r="AD252" s="101"/>
      <c r="AE252" s="101"/>
      <c r="AF252" s="101"/>
      <c r="AG252" s="101"/>
      <c r="AH252" s="101"/>
      <c r="AI252" s="101"/>
      <c r="AJ252" s="101"/>
      <c r="AK252" s="101"/>
      <c r="AL252" s="101"/>
    </row>
    <row r="253">
      <c r="A253" s="342"/>
      <c r="H253" s="286"/>
      <c r="I253" s="606"/>
      <c r="J253" s="606"/>
      <c r="K253" s="606"/>
      <c r="L253" s="606"/>
      <c r="M253" s="606"/>
      <c r="N253" s="606"/>
      <c r="O253" s="606"/>
      <c r="P253" s="606"/>
      <c r="Q253" s="606"/>
      <c r="R253" s="606"/>
      <c r="S253" s="606"/>
      <c r="T253" s="610"/>
      <c r="U253" s="610"/>
      <c r="V253" s="610"/>
      <c r="W253" s="610"/>
      <c r="X253" s="610"/>
      <c r="Y253" s="610"/>
      <c r="Z253" s="610"/>
      <c r="AA253" s="610"/>
      <c r="AB253" s="101"/>
      <c r="AC253" s="101"/>
      <c r="AD253" s="101"/>
      <c r="AE253" s="101"/>
      <c r="AF253" s="101"/>
      <c r="AG253" s="101"/>
      <c r="AH253" s="101"/>
      <c r="AI253" s="101"/>
      <c r="AJ253" s="101"/>
      <c r="AK253" s="101"/>
      <c r="AL253" s="101"/>
    </row>
    <row r="254">
      <c r="A254" s="342"/>
      <c r="H254" s="286"/>
      <c r="I254" s="606"/>
      <c r="J254" s="606"/>
      <c r="K254" s="606"/>
      <c r="L254" s="606"/>
      <c r="M254" s="606"/>
      <c r="N254" s="606"/>
      <c r="O254" s="606"/>
      <c r="P254" s="606"/>
      <c r="Q254" s="606"/>
      <c r="R254" s="606"/>
      <c r="S254" s="606"/>
      <c r="T254" s="610"/>
      <c r="U254" s="610"/>
      <c r="V254" s="610"/>
      <c r="W254" s="610"/>
      <c r="X254" s="610"/>
      <c r="Y254" s="610"/>
      <c r="Z254" s="610"/>
      <c r="AA254" s="610"/>
      <c r="AB254" s="101"/>
      <c r="AC254" s="101"/>
      <c r="AD254" s="101"/>
      <c r="AE254" s="101"/>
      <c r="AF254" s="101"/>
      <c r="AG254" s="101"/>
      <c r="AH254" s="101"/>
      <c r="AI254" s="101"/>
      <c r="AJ254" s="101"/>
      <c r="AK254" s="101"/>
      <c r="AL254" s="101"/>
    </row>
    <row r="255">
      <c r="A255" s="348"/>
      <c r="B255" s="23"/>
      <c r="C255" s="23"/>
      <c r="D255" s="23"/>
      <c r="E255" s="23"/>
      <c r="F255" s="23"/>
      <c r="G255" s="23"/>
      <c r="H255" s="365"/>
      <c r="I255" s="606"/>
      <c r="J255" s="606"/>
      <c r="K255" s="606"/>
      <c r="L255" s="606"/>
      <c r="M255" s="606"/>
      <c r="N255" s="606"/>
      <c r="O255" s="606"/>
      <c r="P255" s="606"/>
      <c r="Q255" s="606"/>
      <c r="R255" s="606"/>
      <c r="S255" s="606"/>
      <c r="T255" s="610"/>
      <c r="U255" s="610"/>
      <c r="V255" s="610"/>
      <c r="W255" s="610"/>
      <c r="X255" s="610"/>
      <c r="Y255" s="610"/>
      <c r="Z255" s="610"/>
      <c r="AA255" s="610"/>
      <c r="AB255" s="101"/>
      <c r="AC255" s="101"/>
      <c r="AD255" s="101"/>
      <c r="AE255" s="101"/>
      <c r="AF255" s="101"/>
      <c r="AG255" s="101"/>
      <c r="AH255" s="101"/>
      <c r="AI255" s="101"/>
      <c r="AJ255" s="101"/>
      <c r="AK255" s="101"/>
      <c r="AL255" s="101"/>
    </row>
    <row r="256">
      <c r="A256" s="614" t="s">
        <v>1178</v>
      </c>
      <c r="B256" s="615"/>
      <c r="C256" s="616">
        <f>sum(E4:E153)</f>
        <v>237</v>
      </c>
      <c r="D256" s="617"/>
      <c r="E256" s="618"/>
      <c r="F256" s="617"/>
      <c r="G256" s="617"/>
      <c r="H256" s="619"/>
      <c r="I256" s="606"/>
      <c r="J256" s="606"/>
      <c r="K256" s="606"/>
      <c r="L256" s="606"/>
      <c r="M256" s="606"/>
      <c r="N256" s="606"/>
      <c r="O256" s="606"/>
      <c r="P256" s="606"/>
      <c r="Q256" s="606"/>
      <c r="R256" s="606"/>
      <c r="S256" s="606"/>
      <c r="T256" s="610"/>
      <c r="U256" s="610"/>
      <c r="V256" s="610"/>
      <c r="W256" s="610"/>
      <c r="X256" s="610"/>
      <c r="Y256" s="610"/>
      <c r="Z256" s="610"/>
      <c r="AA256" s="610"/>
      <c r="AB256" s="101"/>
      <c r="AC256" s="101"/>
      <c r="AD256" s="101"/>
      <c r="AE256" s="101"/>
      <c r="AF256" s="101"/>
      <c r="AG256" s="101"/>
      <c r="AH256" s="101"/>
      <c r="AI256" s="101"/>
      <c r="AJ256" s="101"/>
      <c r="AK256" s="101"/>
      <c r="AL256" s="101"/>
    </row>
    <row r="257">
      <c r="A257" s="620"/>
      <c r="B257" s="621"/>
      <c r="C257" s="620"/>
      <c r="D257" s="622"/>
      <c r="E257" s="620"/>
      <c r="F257" s="622"/>
      <c r="G257" s="622"/>
      <c r="H257" s="623"/>
      <c r="I257" s="606"/>
      <c r="J257" s="606"/>
      <c r="K257" s="606"/>
      <c r="L257" s="606"/>
      <c r="M257" s="606"/>
      <c r="N257" s="606"/>
      <c r="O257" s="606"/>
      <c r="P257" s="606"/>
      <c r="Q257" s="606"/>
      <c r="R257" s="606"/>
      <c r="S257" s="606"/>
      <c r="T257" s="610"/>
      <c r="U257" s="610"/>
      <c r="V257" s="610"/>
      <c r="W257" s="610"/>
      <c r="X257" s="610"/>
      <c r="Y257" s="610"/>
      <c r="Z257" s="610"/>
      <c r="AA257" s="610"/>
      <c r="AB257" s="101"/>
      <c r="AC257" s="101"/>
      <c r="AD257" s="101"/>
      <c r="AE257" s="101"/>
      <c r="AF257" s="101"/>
      <c r="AG257" s="101"/>
      <c r="AH257" s="101"/>
      <c r="AI257" s="101"/>
      <c r="AJ257" s="101"/>
      <c r="AK257" s="101"/>
      <c r="AL257" s="101"/>
    </row>
    <row r="258">
      <c r="A258" s="624"/>
      <c r="B258" s="621"/>
      <c r="C258" s="624"/>
      <c r="D258" s="622"/>
      <c r="E258" s="624"/>
      <c r="F258" s="622"/>
      <c r="G258" s="622"/>
      <c r="H258" s="623"/>
      <c r="I258" s="606"/>
      <c r="J258" s="606"/>
      <c r="K258" s="606"/>
      <c r="L258" s="606"/>
      <c r="M258" s="606"/>
      <c r="N258" s="606"/>
      <c r="O258" s="606"/>
      <c r="P258" s="606"/>
      <c r="Q258" s="606"/>
      <c r="R258" s="606"/>
      <c r="S258" s="606"/>
      <c r="T258" s="610"/>
      <c r="U258" s="610"/>
      <c r="V258" s="610"/>
      <c r="W258" s="610"/>
      <c r="X258" s="610"/>
      <c r="Y258" s="610"/>
      <c r="Z258" s="610"/>
      <c r="AA258" s="610"/>
      <c r="AB258" s="101"/>
      <c r="AC258" s="101"/>
      <c r="AD258" s="101"/>
      <c r="AE258" s="101"/>
      <c r="AF258" s="101"/>
      <c r="AG258" s="101"/>
      <c r="AH258" s="101"/>
      <c r="AI258" s="101"/>
      <c r="AJ258" s="101"/>
      <c r="AK258" s="101"/>
      <c r="AL258" s="101"/>
    </row>
    <row r="259">
      <c r="A259" s="625"/>
      <c r="B259" s="626"/>
      <c r="C259" s="627"/>
      <c r="D259" s="622"/>
      <c r="E259" s="622"/>
      <c r="F259" s="622"/>
      <c r="G259" s="622"/>
      <c r="H259" s="623"/>
      <c r="I259" s="606"/>
      <c r="J259" s="606"/>
      <c r="K259" s="606"/>
      <c r="L259" s="606"/>
      <c r="M259" s="606"/>
      <c r="N259" s="606"/>
      <c r="O259" s="606"/>
      <c r="P259" s="606"/>
      <c r="Q259" s="606"/>
      <c r="R259" s="606"/>
      <c r="S259" s="606"/>
      <c r="T259" s="610"/>
      <c r="U259" s="610"/>
      <c r="V259" s="610"/>
      <c r="W259" s="610"/>
      <c r="X259" s="610"/>
      <c r="Y259" s="610"/>
      <c r="Z259" s="610"/>
      <c r="AA259" s="610"/>
      <c r="AB259" s="101"/>
      <c r="AC259" s="101"/>
      <c r="AD259" s="101"/>
      <c r="AE259" s="101"/>
      <c r="AF259" s="101"/>
      <c r="AG259" s="101"/>
      <c r="AH259" s="101"/>
      <c r="AI259" s="101"/>
      <c r="AJ259" s="101"/>
      <c r="AK259" s="101"/>
      <c r="AL259" s="101"/>
    </row>
    <row r="260">
      <c r="A260" s="628"/>
      <c r="B260" s="621"/>
      <c r="C260" s="627"/>
      <c r="D260" s="622"/>
      <c r="E260" s="622"/>
      <c r="F260" s="622"/>
      <c r="G260" s="622"/>
      <c r="H260" s="623"/>
      <c r="I260" s="606"/>
      <c r="J260" s="606"/>
      <c r="K260" s="606"/>
      <c r="L260" s="606"/>
      <c r="M260" s="606"/>
      <c r="N260" s="606"/>
      <c r="O260" s="606"/>
      <c r="P260" s="606"/>
      <c r="Q260" s="606"/>
      <c r="R260" s="606"/>
      <c r="S260" s="606"/>
      <c r="T260" s="610"/>
      <c r="U260" s="610"/>
      <c r="V260" s="610"/>
      <c r="W260" s="610"/>
      <c r="X260" s="610"/>
      <c r="Y260" s="610"/>
      <c r="Z260" s="610"/>
      <c r="AA260" s="610"/>
      <c r="AB260" s="101"/>
      <c r="AC260" s="101"/>
      <c r="AD260" s="101"/>
      <c r="AE260" s="101"/>
      <c r="AF260" s="101"/>
      <c r="AG260" s="101"/>
      <c r="AH260" s="101"/>
      <c r="AI260" s="101"/>
      <c r="AJ260" s="101"/>
      <c r="AK260" s="101"/>
      <c r="AL260" s="101"/>
    </row>
    <row r="261">
      <c r="A261" s="629" t="s">
        <v>711</v>
      </c>
      <c r="B261" s="621"/>
      <c r="C261" s="630">
        <f>sum($E155:$E180)</f>
        <v>37</v>
      </c>
      <c r="D261" s="622"/>
      <c r="E261" s="622"/>
      <c r="F261" s="622"/>
      <c r="G261" s="622"/>
      <c r="H261" s="623"/>
      <c r="I261" s="606"/>
      <c r="J261" s="606"/>
      <c r="K261" s="606"/>
      <c r="L261" s="606"/>
      <c r="M261" s="606"/>
      <c r="N261" s="606"/>
      <c r="O261" s="606"/>
      <c r="P261" s="606"/>
      <c r="Q261" s="606"/>
      <c r="R261" s="606"/>
      <c r="S261" s="606"/>
      <c r="T261" s="610"/>
      <c r="U261" s="610"/>
      <c r="V261" s="610"/>
      <c r="W261" s="610"/>
      <c r="X261" s="610"/>
      <c r="Y261" s="610"/>
      <c r="Z261" s="610"/>
      <c r="AA261" s="610"/>
      <c r="AB261" s="101"/>
      <c r="AC261" s="101"/>
      <c r="AD261" s="101"/>
      <c r="AE261" s="101"/>
      <c r="AF261" s="101"/>
      <c r="AG261" s="101"/>
      <c r="AH261" s="101"/>
      <c r="AI261" s="101"/>
      <c r="AJ261" s="101"/>
      <c r="AK261" s="101"/>
      <c r="AL261" s="101"/>
    </row>
    <row r="262">
      <c r="A262" s="620"/>
      <c r="B262" s="626"/>
      <c r="C262" s="620"/>
      <c r="D262" s="622"/>
      <c r="E262" s="622"/>
      <c r="F262" s="622"/>
      <c r="G262" s="622"/>
      <c r="H262" s="623"/>
      <c r="I262" s="606"/>
      <c r="J262" s="606"/>
      <c r="K262" s="606"/>
      <c r="L262" s="606"/>
      <c r="M262" s="606"/>
      <c r="N262" s="606"/>
      <c r="O262" s="606"/>
      <c r="P262" s="606"/>
      <c r="Q262" s="606"/>
      <c r="R262" s="606"/>
      <c r="S262" s="606"/>
      <c r="T262" s="610"/>
      <c r="U262" s="610"/>
      <c r="V262" s="610"/>
      <c r="W262" s="610"/>
      <c r="X262" s="610"/>
      <c r="Y262" s="610"/>
      <c r="Z262" s="610"/>
      <c r="AA262" s="610"/>
      <c r="AB262" s="101"/>
      <c r="AC262" s="101"/>
      <c r="AD262" s="101"/>
      <c r="AE262" s="101"/>
      <c r="AF262" s="101"/>
      <c r="AG262" s="101"/>
      <c r="AH262" s="101"/>
      <c r="AI262" s="101"/>
      <c r="AJ262" s="101"/>
      <c r="AK262" s="101"/>
      <c r="AL262" s="101"/>
    </row>
    <row r="263">
      <c r="A263" s="624"/>
      <c r="B263" s="621"/>
      <c r="C263" s="624"/>
      <c r="D263" s="622"/>
      <c r="E263" s="622"/>
      <c r="F263" s="622"/>
      <c r="G263" s="622"/>
      <c r="H263" s="623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10"/>
      <c r="U263" s="610"/>
      <c r="V263" s="610"/>
      <c r="W263" s="610"/>
      <c r="X263" s="610"/>
      <c r="Y263" s="610"/>
      <c r="Z263" s="610"/>
      <c r="AA263" s="610"/>
      <c r="AB263" s="101"/>
      <c r="AC263" s="101"/>
      <c r="AD263" s="101"/>
      <c r="AE263" s="101"/>
      <c r="AF263" s="101"/>
      <c r="AG263" s="101"/>
      <c r="AH263" s="101"/>
      <c r="AI263" s="101"/>
      <c r="AJ263" s="101"/>
      <c r="AK263" s="101"/>
      <c r="AL263" s="101"/>
    </row>
    <row r="264">
      <c r="A264" s="628"/>
      <c r="B264" s="621"/>
      <c r="C264" s="627"/>
      <c r="D264" s="622"/>
      <c r="E264" s="622"/>
      <c r="F264" s="622"/>
      <c r="G264" s="622"/>
      <c r="H264" s="623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10"/>
      <c r="U264" s="610"/>
      <c r="V264" s="610"/>
      <c r="W264" s="610"/>
      <c r="X264" s="610"/>
      <c r="Y264" s="610"/>
      <c r="Z264" s="610"/>
      <c r="AA264" s="610"/>
      <c r="AB264" s="101"/>
      <c r="AC264" s="101"/>
      <c r="AD264" s="101"/>
      <c r="AE264" s="101"/>
      <c r="AF264" s="101"/>
      <c r="AG264" s="101"/>
      <c r="AH264" s="101"/>
      <c r="AI264" s="101"/>
      <c r="AJ264" s="101"/>
      <c r="AK264" s="101"/>
      <c r="AL264" s="101"/>
    </row>
    <row r="265">
      <c r="A265" s="627"/>
      <c r="B265" s="626"/>
      <c r="C265" s="627"/>
      <c r="D265" s="622"/>
      <c r="E265" s="622"/>
      <c r="F265" s="622"/>
      <c r="G265" s="622"/>
      <c r="H265" s="623"/>
      <c r="I265" s="606"/>
      <c r="J265" s="606"/>
      <c r="K265" s="606"/>
      <c r="L265" s="606"/>
      <c r="M265" s="606"/>
      <c r="N265" s="606"/>
      <c r="O265" s="606"/>
      <c r="P265" s="606"/>
      <c r="Q265" s="606"/>
      <c r="R265" s="606"/>
      <c r="S265" s="606"/>
      <c r="T265" s="610"/>
      <c r="U265" s="610"/>
      <c r="V265" s="610"/>
      <c r="W265" s="610"/>
      <c r="X265" s="610"/>
      <c r="Y265" s="610"/>
      <c r="Z265" s="610"/>
      <c r="AA265" s="610"/>
      <c r="AB265" s="101"/>
      <c r="AC265" s="101"/>
      <c r="AD265" s="101"/>
      <c r="AE265" s="101"/>
      <c r="AF265" s="101"/>
      <c r="AG265" s="101"/>
      <c r="AH265" s="101"/>
      <c r="AI265" s="101"/>
      <c r="AJ265" s="101"/>
      <c r="AK265" s="101"/>
      <c r="AL265" s="101"/>
    </row>
    <row r="266">
      <c r="A266" s="629" t="s">
        <v>1185</v>
      </c>
      <c r="B266" s="626"/>
      <c r="C266" s="630">
        <f>sum($E191:$E217)</f>
        <v>61</v>
      </c>
      <c r="D266" s="622"/>
      <c r="E266" s="622"/>
      <c r="F266" s="622"/>
      <c r="G266" s="622"/>
      <c r="H266" s="623"/>
      <c r="I266" s="606"/>
      <c r="J266" s="606"/>
      <c r="K266" s="606"/>
      <c r="L266" s="606"/>
      <c r="M266" s="606"/>
      <c r="N266" s="606"/>
      <c r="O266" s="606"/>
      <c r="P266" s="606"/>
      <c r="Q266" s="606"/>
      <c r="R266" s="606"/>
      <c r="S266" s="606"/>
      <c r="T266" s="610"/>
      <c r="U266" s="610"/>
      <c r="V266" s="610"/>
      <c r="W266" s="610"/>
      <c r="X266" s="610"/>
      <c r="Y266" s="610"/>
      <c r="Z266" s="610"/>
      <c r="AA266" s="610"/>
      <c r="AB266" s="101"/>
      <c r="AC266" s="101"/>
      <c r="AD266" s="101"/>
      <c r="AE266" s="101"/>
      <c r="AF266" s="101"/>
      <c r="AG266" s="101"/>
      <c r="AH266" s="101"/>
      <c r="AI266" s="101"/>
      <c r="AJ266" s="101"/>
      <c r="AK266" s="101"/>
      <c r="AL266" s="101"/>
    </row>
    <row r="267">
      <c r="A267" s="620"/>
      <c r="B267" s="626"/>
      <c r="C267" s="620"/>
      <c r="D267" s="622"/>
      <c r="E267" s="622"/>
      <c r="F267" s="622"/>
      <c r="G267" s="622"/>
      <c r="H267" s="623"/>
      <c r="I267" s="606"/>
      <c r="J267" s="606"/>
      <c r="K267" s="606"/>
      <c r="L267" s="606"/>
      <c r="M267" s="606"/>
      <c r="N267" s="606"/>
      <c r="O267" s="606"/>
      <c r="P267" s="606"/>
      <c r="Q267" s="606"/>
      <c r="R267" s="606"/>
      <c r="S267" s="606"/>
      <c r="T267" s="610"/>
      <c r="U267" s="610"/>
      <c r="V267" s="610"/>
      <c r="W267" s="610"/>
      <c r="X267" s="610"/>
      <c r="Y267" s="610"/>
      <c r="Z267" s="610"/>
      <c r="AA267" s="610"/>
      <c r="AB267" s="101"/>
      <c r="AC267" s="101"/>
      <c r="AD267" s="101"/>
      <c r="AE267" s="101"/>
      <c r="AF267" s="101"/>
      <c r="AG267" s="101"/>
      <c r="AH267" s="101"/>
      <c r="AI267" s="101"/>
      <c r="AJ267" s="101"/>
      <c r="AK267" s="101"/>
      <c r="AL267" s="101"/>
    </row>
    <row r="268">
      <c r="A268" s="624"/>
      <c r="B268" s="626"/>
      <c r="C268" s="624"/>
      <c r="D268" s="622"/>
      <c r="E268" s="622"/>
      <c r="F268" s="622"/>
      <c r="G268" s="622"/>
      <c r="H268" s="623"/>
      <c r="I268" s="606"/>
      <c r="J268" s="606"/>
      <c r="K268" s="606"/>
      <c r="L268" s="606"/>
      <c r="M268" s="606"/>
      <c r="N268" s="606"/>
      <c r="O268" s="606"/>
      <c r="P268" s="606"/>
      <c r="Q268" s="606"/>
      <c r="R268" s="606"/>
      <c r="S268" s="606"/>
      <c r="T268" s="610"/>
      <c r="U268" s="610"/>
      <c r="V268" s="610"/>
      <c r="W268" s="610"/>
      <c r="X268" s="610"/>
      <c r="Y268" s="610"/>
      <c r="Z268" s="610"/>
      <c r="AA268" s="610"/>
      <c r="AB268" s="101"/>
      <c r="AC268" s="101"/>
      <c r="AD268" s="101"/>
      <c r="AE268" s="101"/>
      <c r="AF268" s="101"/>
      <c r="AG268" s="101"/>
      <c r="AH268" s="101"/>
      <c r="AI268" s="101"/>
      <c r="AJ268" s="101"/>
      <c r="AK268" s="101"/>
      <c r="AL268" s="101"/>
    </row>
    <row r="269">
      <c r="A269" s="631"/>
      <c r="B269" s="632"/>
      <c r="C269" s="631"/>
      <c r="D269" s="633"/>
      <c r="E269" s="634"/>
      <c r="F269" s="633"/>
      <c r="G269" s="635"/>
      <c r="H269" s="636"/>
      <c r="I269" s="606"/>
      <c r="J269" s="606"/>
      <c r="K269" s="606"/>
      <c r="L269" s="606"/>
      <c r="M269" s="606"/>
      <c r="N269" s="606"/>
      <c r="O269" s="606"/>
      <c r="P269" s="606"/>
      <c r="Q269" s="606"/>
      <c r="R269" s="606"/>
      <c r="S269" s="606"/>
      <c r="T269" s="610"/>
      <c r="U269" s="610"/>
      <c r="V269" s="610"/>
      <c r="W269" s="610"/>
      <c r="X269" s="610"/>
      <c r="Y269" s="610"/>
      <c r="Z269" s="610"/>
      <c r="AA269" s="610"/>
      <c r="AB269" s="101"/>
      <c r="AC269" s="101"/>
      <c r="AD269" s="101"/>
      <c r="AE269" s="101"/>
      <c r="AF269" s="101"/>
      <c r="AG269" s="101"/>
      <c r="AH269" s="101"/>
      <c r="AI269" s="101"/>
      <c r="AJ269" s="101"/>
      <c r="AK269" s="101"/>
      <c r="AL269" s="101"/>
    </row>
    <row r="270">
      <c r="A270" s="631"/>
      <c r="B270" s="632"/>
      <c r="C270" s="631"/>
      <c r="D270" s="633"/>
      <c r="E270" s="634"/>
      <c r="F270" s="633"/>
      <c r="G270" s="635"/>
      <c r="H270" s="636"/>
      <c r="I270" s="606"/>
      <c r="J270" s="606"/>
      <c r="K270" s="606"/>
      <c r="L270" s="606"/>
      <c r="M270" s="606"/>
      <c r="N270" s="606"/>
      <c r="O270" s="606"/>
      <c r="P270" s="606"/>
      <c r="Q270" s="606"/>
      <c r="R270" s="606"/>
      <c r="S270" s="606"/>
      <c r="T270" s="610"/>
      <c r="U270" s="610"/>
      <c r="V270" s="610"/>
      <c r="W270" s="610"/>
      <c r="X270" s="610"/>
      <c r="Y270" s="610"/>
      <c r="Z270" s="610"/>
      <c r="AA270" s="610"/>
      <c r="AB270" s="101"/>
      <c r="AC270" s="101"/>
      <c r="AD270" s="101"/>
      <c r="AE270" s="101"/>
      <c r="AF270" s="101"/>
      <c r="AG270" s="101"/>
      <c r="AH270" s="101"/>
      <c r="AI270" s="101"/>
      <c r="AJ270" s="101"/>
      <c r="AK270" s="101"/>
      <c r="AL270" s="101"/>
    </row>
    <row r="271">
      <c r="A271" s="629" t="s">
        <v>1195</v>
      </c>
      <c r="B271" s="626"/>
      <c r="C271" s="637">
        <f>sum($E182:$E190)</f>
        <v>44</v>
      </c>
      <c r="D271" s="633"/>
      <c r="E271" s="634"/>
      <c r="F271" s="633"/>
      <c r="G271" s="635"/>
      <c r="H271" s="636"/>
      <c r="I271" s="606"/>
      <c r="J271" s="606"/>
      <c r="K271" s="606"/>
      <c r="L271" s="606"/>
      <c r="M271" s="606"/>
      <c r="N271" s="606"/>
      <c r="O271" s="606"/>
      <c r="P271" s="606"/>
      <c r="Q271" s="606"/>
      <c r="R271" s="606"/>
      <c r="S271" s="606"/>
      <c r="T271" s="610"/>
      <c r="U271" s="610"/>
      <c r="V271" s="610"/>
      <c r="W271" s="610"/>
      <c r="X271" s="610"/>
      <c r="Y271" s="610"/>
      <c r="Z271" s="610"/>
      <c r="AA271" s="610"/>
      <c r="AB271" s="101"/>
      <c r="AC271" s="101"/>
      <c r="AD271" s="101"/>
      <c r="AE271" s="101"/>
      <c r="AF271" s="101"/>
      <c r="AG271" s="101"/>
      <c r="AH271" s="101"/>
      <c r="AI271" s="101"/>
      <c r="AJ271" s="101"/>
      <c r="AK271" s="101"/>
      <c r="AL271" s="101"/>
    </row>
    <row r="272">
      <c r="A272" s="620"/>
      <c r="B272" s="626"/>
      <c r="C272" s="620"/>
      <c r="D272" s="633"/>
      <c r="E272" s="634"/>
      <c r="F272" s="633"/>
      <c r="G272" s="635"/>
      <c r="H272" s="636"/>
      <c r="I272" s="606"/>
      <c r="J272" s="606"/>
      <c r="K272" s="606"/>
      <c r="L272" s="606"/>
      <c r="M272" s="606"/>
      <c r="N272" s="606"/>
      <c r="O272" s="606"/>
      <c r="P272" s="606"/>
      <c r="Q272" s="606"/>
      <c r="R272" s="606"/>
      <c r="S272" s="606"/>
      <c r="T272" s="610"/>
      <c r="U272" s="610"/>
      <c r="V272" s="610"/>
      <c r="W272" s="610"/>
      <c r="X272" s="610"/>
      <c r="Y272" s="610"/>
      <c r="Z272" s="610"/>
      <c r="AA272" s="610"/>
      <c r="AB272" s="101"/>
      <c r="AC272" s="101"/>
      <c r="AD272" s="101"/>
      <c r="AE272" s="101"/>
      <c r="AF272" s="101"/>
      <c r="AG272" s="101"/>
      <c r="AH272" s="101"/>
      <c r="AI272" s="101"/>
      <c r="AJ272" s="101"/>
      <c r="AK272" s="101"/>
      <c r="AL272" s="101"/>
    </row>
    <row r="273">
      <c r="A273" s="624"/>
      <c r="B273" s="626"/>
      <c r="C273" s="624"/>
      <c r="D273" s="633"/>
      <c r="E273" s="634"/>
      <c r="F273" s="633"/>
      <c r="G273" s="635"/>
      <c r="H273" s="636"/>
      <c r="I273" s="606"/>
      <c r="J273" s="606"/>
      <c r="K273" s="606"/>
      <c r="L273" s="606"/>
      <c r="M273" s="606"/>
      <c r="N273" s="606"/>
      <c r="O273" s="606"/>
      <c r="P273" s="606"/>
      <c r="Q273" s="606"/>
      <c r="R273" s="606"/>
      <c r="S273" s="606"/>
      <c r="T273" s="610"/>
      <c r="U273" s="610"/>
      <c r="V273" s="610"/>
      <c r="W273" s="610"/>
      <c r="X273" s="610"/>
      <c r="Y273" s="610"/>
      <c r="Z273" s="610"/>
      <c r="AA273" s="610"/>
      <c r="AB273" s="101"/>
      <c r="AC273" s="101"/>
      <c r="AD273" s="101"/>
      <c r="AE273" s="101"/>
      <c r="AF273" s="101"/>
      <c r="AG273" s="101"/>
      <c r="AH273" s="101"/>
      <c r="AI273" s="101"/>
      <c r="AJ273" s="101"/>
      <c r="AK273" s="101"/>
      <c r="AL273" s="101"/>
    </row>
    <row r="274">
      <c r="A274" s="631"/>
      <c r="B274" s="632"/>
      <c r="C274" s="631"/>
      <c r="D274" s="633"/>
      <c r="E274" s="634"/>
      <c r="F274" s="633"/>
      <c r="G274" s="635"/>
      <c r="H274" s="636"/>
      <c r="I274" s="606"/>
      <c r="J274" s="606"/>
      <c r="K274" s="606"/>
      <c r="L274" s="606"/>
      <c r="M274" s="606"/>
      <c r="N274" s="606"/>
      <c r="O274" s="606"/>
      <c r="P274" s="606"/>
      <c r="Q274" s="606"/>
      <c r="R274" s="606"/>
      <c r="S274" s="606"/>
      <c r="T274" s="610"/>
      <c r="U274" s="610"/>
      <c r="V274" s="610"/>
      <c r="W274" s="610"/>
      <c r="X274" s="610"/>
      <c r="Y274" s="610"/>
      <c r="Z274" s="610"/>
      <c r="AA274" s="610"/>
      <c r="AB274" s="101"/>
      <c r="AC274" s="101"/>
      <c r="AD274" s="101"/>
      <c r="AE274" s="101"/>
      <c r="AF274" s="101"/>
      <c r="AG274" s="101"/>
      <c r="AH274" s="101"/>
      <c r="AI274" s="101"/>
      <c r="AJ274" s="101"/>
      <c r="AK274" s="101"/>
      <c r="AL274" s="101"/>
    </row>
    <row r="275">
      <c r="A275" s="631"/>
      <c r="B275" s="632"/>
      <c r="C275" s="631"/>
      <c r="D275" s="633"/>
      <c r="E275" s="634"/>
      <c r="F275" s="633"/>
      <c r="G275" s="635"/>
      <c r="H275" s="636"/>
      <c r="I275" s="606"/>
      <c r="J275" s="606"/>
      <c r="K275" s="606"/>
      <c r="L275" s="606"/>
      <c r="M275" s="606"/>
      <c r="N275" s="606"/>
      <c r="O275" s="606"/>
      <c r="P275" s="606"/>
      <c r="Q275" s="606"/>
      <c r="R275" s="606"/>
      <c r="S275" s="606"/>
      <c r="T275" s="610"/>
      <c r="U275" s="610"/>
      <c r="V275" s="610"/>
      <c r="W275" s="610"/>
      <c r="X275" s="610"/>
      <c r="Y275" s="610"/>
      <c r="Z275" s="610"/>
      <c r="AA275" s="610"/>
      <c r="AB275" s="101"/>
      <c r="AC275" s="101"/>
      <c r="AD275" s="101"/>
      <c r="AE275" s="101"/>
      <c r="AF275" s="101"/>
      <c r="AG275" s="101"/>
      <c r="AH275" s="101"/>
      <c r="AI275" s="101"/>
      <c r="AJ275" s="101"/>
      <c r="AK275" s="101"/>
      <c r="AL275" s="101"/>
    </row>
    <row r="276">
      <c r="A276" s="629" t="s">
        <v>1189</v>
      </c>
      <c r="B276" s="626"/>
      <c r="C276" s="638">
        <f>SUM('Adapter&amp;สาย&amp;Flim'!$D6:$D17)</f>
        <v>189</v>
      </c>
      <c r="D276" s="633"/>
      <c r="E276" s="634"/>
      <c r="F276" s="633"/>
      <c r="G276" s="635"/>
      <c r="H276" s="63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7"/>
      <c r="W276" s="461"/>
      <c r="X276" s="131"/>
      <c r="Y276" s="101"/>
      <c r="Z276" s="101"/>
      <c r="AA276" s="101"/>
      <c r="AB276" s="101"/>
      <c r="AC276" s="101"/>
      <c r="AD276" s="101"/>
      <c r="AE276" s="101"/>
      <c r="AF276" s="101"/>
      <c r="AG276" s="101"/>
      <c r="AH276" s="101"/>
      <c r="AI276" s="101"/>
      <c r="AJ276" s="101"/>
      <c r="AK276" s="101"/>
      <c r="AL276" s="101"/>
    </row>
    <row r="277">
      <c r="A277" s="620"/>
      <c r="B277" s="626"/>
      <c r="C277" s="620"/>
      <c r="D277" s="633"/>
      <c r="E277" s="634"/>
      <c r="F277" s="633"/>
      <c r="G277" s="635"/>
      <c r="H277" s="63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7"/>
      <c r="W277" s="461"/>
      <c r="X277" s="131"/>
      <c r="Y277" s="101"/>
      <c r="Z277" s="101"/>
      <c r="AA277" s="101"/>
      <c r="AB277" s="101"/>
      <c r="AC277" s="101"/>
      <c r="AD277" s="101"/>
      <c r="AE277" s="101"/>
      <c r="AF277" s="101"/>
      <c r="AG277" s="101"/>
      <c r="AH277" s="101"/>
      <c r="AI277" s="101"/>
      <c r="AJ277" s="101"/>
      <c r="AK277" s="101"/>
      <c r="AL277" s="101"/>
    </row>
    <row r="278">
      <c r="A278" s="624"/>
      <c r="B278" s="626"/>
      <c r="C278" s="624"/>
      <c r="D278" s="633"/>
      <c r="E278" s="634"/>
      <c r="F278" s="633"/>
      <c r="G278" s="635"/>
      <c r="H278" s="63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7"/>
      <c r="W278" s="461"/>
      <c r="X278" s="131"/>
      <c r="Y278" s="101"/>
      <c r="Z278" s="101"/>
      <c r="AA278" s="101"/>
      <c r="AB278" s="101"/>
      <c r="AC278" s="101"/>
      <c r="AD278" s="101"/>
      <c r="AE278" s="101"/>
      <c r="AF278" s="101"/>
      <c r="AG278" s="101"/>
      <c r="AH278" s="101"/>
      <c r="AI278" s="101"/>
      <c r="AJ278" s="101"/>
      <c r="AK278" s="101"/>
      <c r="AL278" s="101"/>
    </row>
    <row r="279">
      <c r="A279" s="631"/>
      <c r="B279" s="632"/>
      <c r="C279" s="631"/>
      <c r="D279" s="633"/>
      <c r="E279" s="634"/>
      <c r="F279" s="633"/>
      <c r="G279" s="635"/>
      <c r="H279" s="636"/>
      <c r="I279" s="606"/>
      <c r="J279" s="606"/>
      <c r="K279" s="606"/>
      <c r="L279" s="606"/>
      <c r="M279" s="606"/>
      <c r="N279" s="606"/>
      <c r="O279" s="606"/>
      <c r="P279" s="606"/>
      <c r="Q279" s="606"/>
      <c r="R279" s="606"/>
      <c r="S279" s="606"/>
      <c r="T279" s="606"/>
      <c r="U279" s="606"/>
      <c r="V279" s="607"/>
      <c r="W279" s="461"/>
      <c r="X279" s="13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1"/>
      <c r="AJ279" s="101"/>
      <c r="AK279" s="101"/>
      <c r="AL279" s="101"/>
    </row>
    <row r="280">
      <c r="A280" s="631"/>
      <c r="B280" s="632"/>
      <c r="C280" s="631"/>
      <c r="D280" s="633"/>
      <c r="E280" s="634"/>
      <c r="F280" s="633"/>
      <c r="G280" s="635"/>
      <c r="H280" s="636"/>
      <c r="I280" s="606"/>
      <c r="J280" s="606"/>
      <c r="K280" s="606"/>
      <c r="L280" s="606"/>
      <c r="M280" s="606"/>
      <c r="N280" s="606"/>
      <c r="O280" s="606"/>
      <c r="P280" s="606"/>
      <c r="Q280" s="606"/>
      <c r="R280" s="606"/>
      <c r="S280" s="606"/>
      <c r="T280" s="606"/>
      <c r="U280" s="606"/>
      <c r="V280" s="607"/>
      <c r="W280" s="461"/>
      <c r="X280" s="13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1"/>
      <c r="AI280" s="101"/>
      <c r="AJ280" s="101"/>
      <c r="AK280" s="101"/>
      <c r="AL280" s="101"/>
    </row>
    <row r="281">
      <c r="A281" s="631"/>
      <c r="B281" s="632"/>
      <c r="C281" s="631"/>
      <c r="D281" s="633"/>
      <c r="E281" s="634"/>
      <c r="F281" s="633"/>
      <c r="G281" s="635"/>
      <c r="H281" s="636"/>
      <c r="I281" s="606"/>
      <c r="J281" s="606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7"/>
      <c r="W281" s="461"/>
      <c r="X281" s="131"/>
      <c r="Y281" s="101"/>
      <c r="Z281" s="101"/>
      <c r="AA281" s="101"/>
      <c r="AB281" s="101"/>
      <c r="AC281" s="101"/>
      <c r="AD281" s="101"/>
      <c r="AE281" s="101"/>
      <c r="AF281" s="101"/>
      <c r="AG281" s="101"/>
      <c r="AH281" s="101"/>
      <c r="AI281" s="101"/>
      <c r="AJ281" s="101"/>
      <c r="AK281" s="101"/>
      <c r="AL281" s="101"/>
    </row>
    <row r="282">
      <c r="A282" s="52"/>
      <c r="B282" s="602"/>
      <c r="C282" s="52"/>
      <c r="D282" s="603"/>
      <c r="E282" s="604"/>
      <c r="F282" s="603"/>
      <c r="G282" s="605"/>
      <c r="H282" s="605"/>
      <c r="I282" s="606"/>
      <c r="J282" s="606"/>
      <c r="K282" s="606"/>
      <c r="L282" s="606"/>
      <c r="M282" s="606"/>
      <c r="N282" s="606"/>
      <c r="O282" s="606"/>
      <c r="P282" s="606"/>
      <c r="Q282" s="606"/>
      <c r="R282" s="606"/>
      <c r="S282" s="606"/>
      <c r="T282" s="606"/>
      <c r="U282" s="606"/>
      <c r="V282" s="607"/>
      <c r="W282" s="461"/>
      <c r="X282" s="131"/>
      <c r="Y282" s="101"/>
      <c r="Z282" s="101"/>
      <c r="AA282" s="101"/>
      <c r="AB282" s="101"/>
      <c r="AC282" s="101"/>
      <c r="AD282" s="101"/>
      <c r="AE282" s="101"/>
      <c r="AF282" s="101"/>
      <c r="AG282" s="101"/>
      <c r="AH282" s="101"/>
      <c r="AI282" s="101"/>
      <c r="AJ282" s="101"/>
      <c r="AK282" s="101"/>
      <c r="AL282" s="101"/>
    </row>
    <row r="283">
      <c r="A283" s="52"/>
      <c r="B283" s="602"/>
      <c r="C283" s="52"/>
      <c r="D283" s="603"/>
      <c r="E283" s="604"/>
      <c r="F283" s="603"/>
      <c r="G283" s="605"/>
      <c r="H283" s="605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/>
      <c r="T283" s="606"/>
      <c r="U283" s="606"/>
      <c r="V283" s="607"/>
      <c r="W283" s="461"/>
      <c r="X283" s="131"/>
      <c r="Y283" s="101"/>
      <c r="Z283" s="101"/>
      <c r="AA283" s="101"/>
      <c r="AB283" s="101"/>
      <c r="AC283" s="101"/>
      <c r="AD283" s="101"/>
      <c r="AE283" s="101"/>
      <c r="AF283" s="101"/>
      <c r="AG283" s="101"/>
      <c r="AH283" s="101"/>
      <c r="AI283" s="101"/>
      <c r="AJ283" s="101"/>
      <c r="AK283" s="101"/>
      <c r="AL283" s="101"/>
    </row>
    <row r="284">
      <c r="A284" s="52"/>
      <c r="B284" s="602"/>
      <c r="C284" s="52"/>
      <c r="D284" s="603"/>
      <c r="E284" s="604"/>
      <c r="F284" s="603"/>
      <c r="G284" s="605"/>
      <c r="H284" s="605"/>
      <c r="I284" s="606"/>
      <c r="J284" s="606"/>
      <c r="K284" s="606"/>
      <c r="L284" s="606"/>
      <c r="M284" s="606"/>
      <c r="N284" s="606"/>
      <c r="O284" s="606"/>
      <c r="P284" s="606"/>
      <c r="Q284" s="606"/>
      <c r="R284" s="606"/>
      <c r="S284" s="606"/>
      <c r="T284" s="606"/>
      <c r="U284" s="606"/>
      <c r="V284" s="607"/>
      <c r="W284" s="461"/>
      <c r="X284" s="131"/>
      <c r="Y284" s="101"/>
      <c r="Z284" s="101"/>
      <c r="AA284" s="101"/>
      <c r="AB284" s="101"/>
      <c r="AC284" s="101"/>
      <c r="AD284" s="101"/>
      <c r="AE284" s="101"/>
      <c r="AF284" s="101"/>
      <c r="AG284" s="101"/>
      <c r="AH284" s="101"/>
      <c r="AI284" s="101"/>
      <c r="AJ284" s="101"/>
      <c r="AK284" s="101"/>
      <c r="AL284" s="101"/>
    </row>
    <row r="285">
      <c r="A285" s="52"/>
      <c r="B285" s="602"/>
      <c r="C285" s="52"/>
      <c r="D285" s="603"/>
      <c r="E285" s="604"/>
      <c r="F285" s="603"/>
      <c r="G285" s="605"/>
      <c r="H285" s="605"/>
      <c r="I285" s="606"/>
      <c r="J285" s="606"/>
      <c r="K285" s="606"/>
      <c r="L285" s="606"/>
      <c r="M285" s="606"/>
      <c r="N285" s="606"/>
      <c r="O285" s="606"/>
      <c r="P285" s="606"/>
      <c r="Q285" s="606"/>
      <c r="R285" s="606"/>
      <c r="S285" s="606"/>
      <c r="T285" s="606"/>
      <c r="U285" s="606"/>
      <c r="V285" s="607"/>
      <c r="W285" s="461"/>
      <c r="X285" s="131"/>
      <c r="Y285" s="101"/>
      <c r="Z285" s="101"/>
      <c r="AA285" s="101"/>
      <c r="AB285" s="101"/>
      <c r="AC285" s="101"/>
      <c r="AD285" s="101"/>
      <c r="AE285" s="101"/>
      <c r="AF285" s="101"/>
      <c r="AG285" s="101"/>
      <c r="AH285" s="101"/>
      <c r="AI285" s="101"/>
      <c r="AJ285" s="101"/>
      <c r="AK285" s="101"/>
      <c r="AL285" s="101"/>
    </row>
    <row r="286">
      <c r="A286" s="52"/>
      <c r="B286" s="602"/>
      <c r="C286" s="52"/>
      <c r="D286" s="603"/>
      <c r="E286" s="604"/>
      <c r="F286" s="603"/>
      <c r="G286" s="605"/>
      <c r="H286" s="605"/>
      <c r="I286" s="606"/>
      <c r="J286" s="606"/>
      <c r="K286" s="606"/>
      <c r="L286" s="606"/>
      <c r="M286" s="606"/>
      <c r="N286" s="606"/>
      <c r="O286" s="606"/>
      <c r="P286" s="606"/>
      <c r="Q286" s="606"/>
      <c r="R286" s="606"/>
      <c r="S286" s="606"/>
      <c r="T286" s="606"/>
      <c r="U286" s="606"/>
      <c r="V286" s="607"/>
      <c r="W286" s="461"/>
      <c r="X286" s="131"/>
      <c r="Y286" s="101"/>
      <c r="Z286" s="101"/>
      <c r="AA286" s="101"/>
      <c r="AB286" s="101"/>
      <c r="AC286" s="101"/>
      <c r="AD286" s="101"/>
      <c r="AE286" s="101"/>
      <c r="AF286" s="101"/>
      <c r="AG286" s="101"/>
      <c r="AH286" s="101"/>
      <c r="AI286" s="101"/>
      <c r="AJ286" s="101"/>
      <c r="AK286" s="101"/>
      <c r="AL286" s="101"/>
    </row>
    <row r="287">
      <c r="A287" s="52"/>
      <c r="B287" s="602"/>
      <c r="C287" s="52"/>
      <c r="D287" s="603"/>
      <c r="E287" s="604"/>
      <c r="F287" s="603"/>
      <c r="G287" s="605"/>
      <c r="H287" s="605"/>
      <c r="I287" s="606"/>
      <c r="J287" s="606"/>
      <c r="K287" s="606"/>
      <c r="L287" s="606"/>
      <c r="M287" s="606"/>
      <c r="N287" s="606"/>
      <c r="O287" s="606"/>
      <c r="P287" s="606"/>
      <c r="Q287" s="606"/>
      <c r="R287" s="606"/>
      <c r="S287" s="606"/>
      <c r="T287" s="606"/>
      <c r="U287" s="606"/>
      <c r="V287" s="607"/>
      <c r="W287" s="461"/>
      <c r="X287" s="131"/>
      <c r="Y287" s="101"/>
      <c r="Z287" s="101"/>
      <c r="AA287" s="101"/>
      <c r="AB287" s="101"/>
      <c r="AC287" s="101"/>
      <c r="AD287" s="101"/>
      <c r="AE287" s="101"/>
      <c r="AF287" s="101"/>
      <c r="AG287" s="101"/>
      <c r="AH287" s="101"/>
      <c r="AI287" s="101"/>
      <c r="AJ287" s="101"/>
      <c r="AK287" s="101"/>
      <c r="AL287" s="101"/>
    </row>
    <row r="288">
      <c r="A288" s="52"/>
      <c r="B288" s="602"/>
      <c r="C288" s="52"/>
      <c r="D288" s="603"/>
      <c r="E288" s="604"/>
      <c r="F288" s="603"/>
      <c r="G288" s="605"/>
      <c r="H288" s="605"/>
      <c r="I288" s="606"/>
      <c r="J288" s="606"/>
      <c r="K288" s="606"/>
      <c r="L288" s="606"/>
      <c r="M288" s="606"/>
      <c r="N288" s="606"/>
      <c r="O288" s="606"/>
      <c r="P288" s="606"/>
      <c r="Q288" s="606"/>
      <c r="R288" s="606"/>
      <c r="S288" s="606"/>
      <c r="T288" s="606"/>
      <c r="U288" s="606"/>
      <c r="V288" s="607"/>
      <c r="W288" s="461"/>
      <c r="X288" s="131"/>
      <c r="Y288" s="101"/>
      <c r="Z288" s="101"/>
      <c r="AA288" s="101"/>
      <c r="AB288" s="101"/>
      <c r="AC288" s="101"/>
      <c r="AD288" s="101"/>
      <c r="AE288" s="101"/>
      <c r="AF288" s="101"/>
      <c r="AG288" s="101"/>
      <c r="AH288" s="101"/>
      <c r="AI288" s="101"/>
      <c r="AJ288" s="101"/>
      <c r="AK288" s="101"/>
      <c r="AL288" s="101"/>
    </row>
    <row r="289">
      <c r="A289" s="52"/>
      <c r="B289" s="602"/>
      <c r="C289" s="52"/>
      <c r="D289" s="603"/>
      <c r="E289" s="604"/>
      <c r="F289" s="603"/>
      <c r="G289" s="605"/>
      <c r="H289" s="605"/>
      <c r="I289" s="606"/>
      <c r="J289" s="606"/>
      <c r="K289" s="606"/>
      <c r="L289" s="606"/>
      <c r="M289" s="606"/>
      <c r="N289" s="606"/>
      <c r="O289" s="606"/>
      <c r="P289" s="606"/>
      <c r="Q289" s="606"/>
      <c r="R289" s="606"/>
      <c r="S289" s="606"/>
      <c r="T289" s="606"/>
      <c r="U289" s="606"/>
      <c r="V289" s="607"/>
      <c r="W289" s="461"/>
      <c r="X289" s="131"/>
      <c r="Y289" s="101"/>
      <c r="Z289" s="101"/>
      <c r="AA289" s="101"/>
      <c r="AB289" s="101"/>
      <c r="AC289" s="101"/>
      <c r="AD289" s="101"/>
      <c r="AE289" s="101"/>
      <c r="AF289" s="101"/>
      <c r="AG289" s="101"/>
      <c r="AH289" s="101"/>
      <c r="AI289" s="101"/>
      <c r="AJ289" s="101"/>
      <c r="AK289" s="101"/>
      <c r="AL289" s="101"/>
    </row>
    <row r="290">
      <c r="A290" s="52"/>
      <c r="B290" s="602"/>
      <c r="C290" s="52"/>
      <c r="D290" s="603"/>
      <c r="E290" s="604"/>
      <c r="F290" s="603"/>
      <c r="G290" s="605"/>
      <c r="H290" s="605"/>
      <c r="I290" s="606"/>
      <c r="J290" s="606"/>
      <c r="K290" s="606"/>
      <c r="L290" s="606"/>
      <c r="M290" s="606"/>
      <c r="N290" s="606"/>
      <c r="O290" s="606"/>
      <c r="P290" s="606"/>
      <c r="Q290" s="606"/>
      <c r="R290" s="606"/>
      <c r="S290" s="606"/>
      <c r="T290" s="606"/>
      <c r="U290" s="606"/>
      <c r="V290" s="607"/>
      <c r="W290" s="461"/>
      <c r="X290" s="131"/>
      <c r="Y290" s="101"/>
      <c r="Z290" s="101"/>
      <c r="AA290" s="101"/>
      <c r="AB290" s="101"/>
      <c r="AC290" s="101"/>
      <c r="AD290" s="101"/>
      <c r="AE290" s="101"/>
      <c r="AF290" s="101"/>
      <c r="AG290" s="101"/>
      <c r="AH290" s="101"/>
      <c r="AI290" s="101"/>
      <c r="AJ290" s="101"/>
      <c r="AK290" s="101"/>
      <c r="AL290" s="101"/>
    </row>
    <row r="291">
      <c r="A291" s="52"/>
      <c r="B291" s="602"/>
      <c r="C291" s="52"/>
      <c r="D291" s="603"/>
      <c r="E291" s="604"/>
      <c r="F291" s="603"/>
      <c r="G291" s="605"/>
      <c r="H291" s="605"/>
      <c r="I291" s="606"/>
      <c r="J291" s="606"/>
      <c r="K291" s="606"/>
      <c r="L291" s="606"/>
      <c r="M291" s="606"/>
      <c r="N291" s="606"/>
      <c r="O291" s="606"/>
      <c r="P291" s="606"/>
      <c r="Q291" s="606"/>
      <c r="R291" s="606"/>
      <c r="S291" s="606"/>
      <c r="T291" s="606"/>
      <c r="U291" s="606"/>
      <c r="V291" s="607"/>
      <c r="W291" s="461"/>
      <c r="X291" s="131"/>
      <c r="Y291" s="101"/>
      <c r="Z291" s="101"/>
      <c r="AA291" s="101"/>
      <c r="AB291" s="101"/>
      <c r="AC291" s="101"/>
      <c r="AD291" s="101"/>
      <c r="AE291" s="101"/>
      <c r="AF291" s="101"/>
      <c r="AG291" s="101"/>
      <c r="AH291" s="101"/>
      <c r="AI291" s="101"/>
      <c r="AJ291" s="101"/>
      <c r="AK291" s="101"/>
      <c r="AL291" s="101"/>
    </row>
    <row r="292">
      <c r="A292" s="52"/>
      <c r="B292" s="602"/>
      <c r="C292" s="52"/>
      <c r="D292" s="603"/>
      <c r="E292" s="604"/>
      <c r="F292" s="603"/>
      <c r="G292" s="605"/>
      <c r="H292" s="605"/>
      <c r="I292" s="606"/>
      <c r="J292" s="606"/>
      <c r="K292" s="606"/>
      <c r="L292" s="606"/>
      <c r="M292" s="606"/>
      <c r="N292" s="606"/>
      <c r="O292" s="606"/>
      <c r="P292" s="606"/>
      <c r="Q292" s="606"/>
      <c r="R292" s="606"/>
      <c r="S292" s="606"/>
      <c r="T292" s="606"/>
      <c r="U292" s="606"/>
      <c r="V292" s="607"/>
      <c r="W292" s="461"/>
      <c r="X292" s="131"/>
      <c r="Y292" s="101"/>
      <c r="Z292" s="101"/>
      <c r="AA292" s="101"/>
      <c r="AB292" s="101"/>
      <c r="AC292" s="101"/>
      <c r="AD292" s="101"/>
      <c r="AE292" s="101"/>
      <c r="AF292" s="101"/>
      <c r="AG292" s="101"/>
      <c r="AH292" s="101"/>
      <c r="AI292" s="101"/>
      <c r="AJ292" s="101"/>
      <c r="AK292" s="101"/>
      <c r="AL292" s="101"/>
    </row>
    <row r="293">
      <c r="A293" s="52"/>
      <c r="B293" s="602"/>
      <c r="C293" s="52"/>
      <c r="D293" s="603"/>
      <c r="E293" s="604"/>
      <c r="F293" s="603"/>
      <c r="G293" s="605"/>
      <c r="H293" s="605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7"/>
      <c r="W293" s="461"/>
      <c r="X293" s="131"/>
      <c r="Y293" s="101"/>
      <c r="Z293" s="101"/>
      <c r="AA293" s="101"/>
      <c r="AB293" s="101"/>
      <c r="AC293" s="101"/>
      <c r="AD293" s="101"/>
      <c r="AE293" s="101"/>
      <c r="AF293" s="101"/>
      <c r="AG293" s="101"/>
      <c r="AH293" s="101"/>
      <c r="AI293" s="101"/>
      <c r="AJ293" s="101"/>
      <c r="AK293" s="101"/>
      <c r="AL293" s="101"/>
    </row>
    <row r="294">
      <c r="A294" s="52"/>
      <c r="B294" s="602"/>
      <c r="C294" s="52"/>
      <c r="D294" s="603"/>
      <c r="E294" s="604"/>
      <c r="F294" s="603"/>
      <c r="G294" s="605"/>
      <c r="H294" s="605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7"/>
      <c r="W294" s="461"/>
      <c r="X294" s="131"/>
      <c r="Y294" s="101"/>
      <c r="Z294" s="101"/>
      <c r="AA294" s="101"/>
      <c r="AB294" s="101"/>
      <c r="AC294" s="101"/>
      <c r="AD294" s="101"/>
      <c r="AE294" s="101"/>
      <c r="AF294" s="101"/>
      <c r="AG294" s="101"/>
      <c r="AH294" s="101"/>
      <c r="AI294" s="101"/>
      <c r="AJ294" s="101"/>
      <c r="AK294" s="101"/>
      <c r="AL294" s="101"/>
    </row>
    <row r="295">
      <c r="A295" s="52"/>
      <c r="B295" s="602"/>
      <c r="C295" s="52"/>
      <c r="D295" s="603"/>
      <c r="E295" s="604"/>
      <c r="F295" s="603"/>
      <c r="G295" s="605"/>
      <c r="H295" s="605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7"/>
      <c r="W295" s="461"/>
      <c r="X295" s="131"/>
      <c r="Y295" s="101"/>
      <c r="Z295" s="101"/>
      <c r="AA295" s="101"/>
      <c r="AB295" s="101"/>
      <c r="AC295" s="101"/>
      <c r="AD295" s="101"/>
      <c r="AE295" s="101"/>
      <c r="AF295" s="101"/>
      <c r="AG295" s="101"/>
      <c r="AH295" s="101"/>
      <c r="AI295" s="101"/>
      <c r="AJ295" s="101"/>
      <c r="AK295" s="101"/>
      <c r="AL295" s="101"/>
    </row>
    <row r="296">
      <c r="A296" s="52"/>
      <c r="B296" s="602"/>
      <c r="C296" s="52"/>
      <c r="D296" s="603"/>
      <c r="E296" s="604"/>
      <c r="F296" s="603"/>
      <c r="G296" s="605"/>
      <c r="H296" s="605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7"/>
      <c r="W296" s="461"/>
      <c r="X296" s="131"/>
      <c r="Y296" s="101"/>
      <c r="Z296" s="101"/>
      <c r="AA296" s="101"/>
      <c r="AB296" s="101"/>
      <c r="AC296" s="101"/>
      <c r="AD296" s="101"/>
      <c r="AE296" s="101"/>
      <c r="AF296" s="101"/>
      <c r="AG296" s="101"/>
      <c r="AH296" s="101"/>
      <c r="AI296" s="101"/>
      <c r="AJ296" s="101"/>
      <c r="AK296" s="101"/>
      <c r="AL296" s="101"/>
    </row>
    <row r="297">
      <c r="A297" s="52"/>
      <c r="B297" s="602"/>
      <c r="C297" s="52"/>
      <c r="D297" s="603"/>
      <c r="E297" s="604"/>
      <c r="F297" s="603"/>
      <c r="G297" s="605"/>
      <c r="H297" s="605"/>
      <c r="I297" s="606"/>
      <c r="J297" s="606"/>
      <c r="K297" s="606"/>
      <c r="L297" s="606"/>
      <c r="M297" s="606"/>
      <c r="N297" s="606"/>
      <c r="O297" s="606"/>
      <c r="P297" s="606"/>
      <c r="Q297" s="606"/>
      <c r="R297" s="606"/>
      <c r="S297" s="606"/>
      <c r="T297" s="606"/>
      <c r="U297" s="606"/>
      <c r="V297" s="607"/>
      <c r="W297" s="461"/>
      <c r="X297" s="131"/>
      <c r="Y297" s="101"/>
      <c r="Z297" s="101"/>
      <c r="AA297" s="101"/>
      <c r="AB297" s="101"/>
      <c r="AC297" s="101"/>
      <c r="AD297" s="101"/>
      <c r="AE297" s="101"/>
      <c r="AF297" s="101"/>
      <c r="AG297" s="101"/>
      <c r="AH297" s="101"/>
      <c r="AI297" s="101"/>
      <c r="AJ297" s="101"/>
      <c r="AK297" s="101"/>
      <c r="AL297" s="101"/>
    </row>
    <row r="298">
      <c r="A298" s="52"/>
      <c r="B298" s="602"/>
      <c r="C298" s="52"/>
      <c r="D298" s="603"/>
      <c r="E298" s="604"/>
      <c r="F298" s="603"/>
      <c r="G298" s="605"/>
      <c r="H298" s="605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7"/>
      <c r="W298" s="461"/>
      <c r="X298" s="131"/>
      <c r="Y298" s="101"/>
      <c r="Z298" s="101"/>
      <c r="AA298" s="101"/>
      <c r="AB298" s="101"/>
      <c r="AC298" s="101"/>
      <c r="AD298" s="101"/>
      <c r="AE298" s="101"/>
      <c r="AF298" s="101"/>
      <c r="AG298" s="101"/>
      <c r="AH298" s="101"/>
      <c r="AI298" s="101"/>
      <c r="AJ298" s="101"/>
      <c r="AK298" s="101"/>
      <c r="AL298" s="101"/>
    </row>
    <row r="299">
      <c r="A299" s="52"/>
      <c r="B299" s="602"/>
      <c r="C299" s="52"/>
      <c r="D299" s="603"/>
      <c r="E299" s="604"/>
      <c r="F299" s="603"/>
      <c r="G299" s="605"/>
      <c r="H299" s="605"/>
      <c r="I299" s="606"/>
      <c r="J299" s="606"/>
      <c r="K299" s="606"/>
      <c r="L299" s="606"/>
      <c r="M299" s="606"/>
      <c r="N299" s="606"/>
      <c r="O299" s="606"/>
      <c r="P299" s="606"/>
      <c r="Q299" s="606"/>
      <c r="R299" s="606"/>
      <c r="S299" s="606"/>
      <c r="T299" s="606"/>
      <c r="U299" s="606"/>
      <c r="V299" s="607"/>
      <c r="W299" s="461"/>
      <c r="X299" s="131"/>
      <c r="Y299" s="101"/>
      <c r="Z299" s="101"/>
      <c r="AA299" s="101"/>
      <c r="AB299" s="101"/>
      <c r="AC299" s="101"/>
      <c r="AD299" s="101"/>
      <c r="AE299" s="101"/>
      <c r="AF299" s="101"/>
      <c r="AG299" s="101"/>
      <c r="AH299" s="101"/>
      <c r="AI299" s="101"/>
      <c r="AJ299" s="101"/>
      <c r="AK299" s="101"/>
      <c r="AL299" s="101"/>
    </row>
    <row r="300">
      <c r="A300" s="52"/>
      <c r="B300" s="602"/>
      <c r="C300" s="52"/>
      <c r="D300" s="603"/>
      <c r="E300" s="604"/>
      <c r="F300" s="603"/>
      <c r="G300" s="605"/>
      <c r="H300" s="605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7"/>
      <c r="W300" s="461"/>
      <c r="X300" s="131"/>
      <c r="Y300" s="101"/>
      <c r="Z300" s="101"/>
      <c r="AA300" s="101"/>
      <c r="AB300" s="101"/>
      <c r="AC300" s="101"/>
      <c r="AD300" s="101"/>
      <c r="AE300" s="101"/>
      <c r="AF300" s="101"/>
      <c r="AG300" s="101"/>
      <c r="AH300" s="101"/>
      <c r="AI300" s="101"/>
      <c r="AJ300" s="101"/>
      <c r="AK300" s="101"/>
      <c r="AL300" s="101"/>
    </row>
    <row r="301">
      <c r="A301" s="52"/>
      <c r="B301" s="602"/>
      <c r="C301" s="52"/>
      <c r="D301" s="603"/>
      <c r="E301" s="604"/>
      <c r="F301" s="603"/>
      <c r="G301" s="605"/>
      <c r="H301" s="605"/>
      <c r="I301" s="606"/>
      <c r="J301" s="606"/>
      <c r="K301" s="606"/>
      <c r="L301" s="606"/>
      <c r="M301" s="606"/>
      <c r="N301" s="606"/>
      <c r="O301" s="606"/>
      <c r="P301" s="606"/>
      <c r="Q301" s="606"/>
      <c r="R301" s="606"/>
      <c r="S301" s="606"/>
      <c r="T301" s="606"/>
      <c r="U301" s="606"/>
      <c r="V301" s="607"/>
      <c r="W301" s="461"/>
      <c r="X301" s="131"/>
      <c r="Y301" s="101"/>
      <c r="Z301" s="101"/>
      <c r="AA301" s="101"/>
      <c r="AB301" s="101"/>
      <c r="AC301" s="101"/>
      <c r="AD301" s="101"/>
      <c r="AE301" s="101"/>
      <c r="AF301" s="101"/>
      <c r="AG301" s="101"/>
      <c r="AH301" s="101"/>
      <c r="AI301" s="101"/>
      <c r="AJ301" s="101"/>
      <c r="AK301" s="101"/>
      <c r="AL301" s="101"/>
    </row>
    <row r="302">
      <c r="A302" s="52"/>
      <c r="B302" s="602"/>
      <c r="C302" s="52"/>
      <c r="D302" s="603"/>
      <c r="E302" s="604"/>
      <c r="F302" s="603"/>
      <c r="G302" s="605"/>
      <c r="H302" s="605"/>
      <c r="I302" s="606"/>
      <c r="J302" s="606"/>
      <c r="K302" s="606"/>
      <c r="L302" s="606"/>
      <c r="M302" s="606"/>
      <c r="N302" s="606"/>
      <c r="O302" s="606"/>
      <c r="P302" s="606"/>
      <c r="Q302" s="606"/>
      <c r="R302" s="606"/>
      <c r="S302" s="606"/>
      <c r="T302" s="606"/>
      <c r="U302" s="606"/>
      <c r="V302" s="607"/>
      <c r="W302" s="461"/>
      <c r="X302" s="13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1"/>
      <c r="AJ302" s="101"/>
      <c r="AK302" s="101"/>
      <c r="AL302" s="101"/>
    </row>
    <row r="303">
      <c r="A303" s="52"/>
      <c r="B303" s="602"/>
      <c r="C303" s="52"/>
      <c r="D303" s="603"/>
      <c r="E303" s="604"/>
      <c r="F303" s="603"/>
      <c r="G303" s="605"/>
      <c r="H303" s="605"/>
      <c r="I303" s="606"/>
      <c r="J303" s="606"/>
      <c r="K303" s="606"/>
      <c r="L303" s="606"/>
      <c r="M303" s="606"/>
      <c r="N303" s="606"/>
      <c r="O303" s="606"/>
      <c r="P303" s="606"/>
      <c r="Q303" s="606"/>
      <c r="R303" s="606"/>
      <c r="S303" s="606"/>
      <c r="T303" s="606"/>
      <c r="U303" s="606"/>
      <c r="V303" s="607"/>
      <c r="W303" s="461"/>
      <c r="X303" s="13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1"/>
      <c r="AI303" s="101"/>
      <c r="AJ303" s="101"/>
      <c r="AK303" s="101"/>
      <c r="AL303" s="101"/>
    </row>
    <row r="304">
      <c r="A304" s="52"/>
      <c r="B304" s="602"/>
      <c r="C304" s="52"/>
      <c r="D304" s="603"/>
      <c r="E304" s="604"/>
      <c r="F304" s="603"/>
      <c r="G304" s="605"/>
      <c r="H304" s="605"/>
      <c r="I304" s="606"/>
      <c r="J304" s="606"/>
      <c r="K304" s="606"/>
      <c r="L304" s="606"/>
      <c r="M304" s="606"/>
      <c r="N304" s="606"/>
      <c r="O304" s="606"/>
      <c r="P304" s="606"/>
      <c r="Q304" s="606"/>
      <c r="R304" s="606"/>
      <c r="S304" s="606"/>
      <c r="T304" s="606"/>
      <c r="U304" s="606"/>
      <c r="V304" s="607"/>
      <c r="W304" s="461"/>
      <c r="X304" s="131"/>
      <c r="Y304" s="101"/>
      <c r="Z304" s="101"/>
      <c r="AA304" s="101"/>
      <c r="AB304" s="101"/>
      <c r="AC304" s="101"/>
      <c r="AD304" s="101"/>
      <c r="AE304" s="101"/>
      <c r="AF304" s="101"/>
      <c r="AG304" s="101"/>
      <c r="AH304" s="101"/>
      <c r="AI304" s="101"/>
      <c r="AJ304" s="101"/>
      <c r="AK304" s="101"/>
      <c r="AL304" s="101"/>
    </row>
    <row r="305">
      <c r="A305" s="52"/>
      <c r="B305" s="602"/>
      <c r="C305" s="52"/>
      <c r="D305" s="603"/>
      <c r="E305" s="604"/>
      <c r="F305" s="603"/>
      <c r="G305" s="605"/>
      <c r="H305" s="605"/>
      <c r="I305" s="606"/>
      <c r="J305" s="606"/>
      <c r="K305" s="606"/>
      <c r="L305" s="606"/>
      <c r="M305" s="606"/>
      <c r="N305" s="606"/>
      <c r="O305" s="606"/>
      <c r="P305" s="606"/>
      <c r="Q305" s="606"/>
      <c r="R305" s="606"/>
      <c r="S305" s="606"/>
      <c r="T305" s="606"/>
      <c r="U305" s="606"/>
      <c r="V305" s="607"/>
      <c r="W305" s="461"/>
      <c r="X305" s="131"/>
      <c r="Y305" s="101"/>
      <c r="Z305" s="101"/>
      <c r="AA305" s="101"/>
      <c r="AB305" s="101"/>
      <c r="AC305" s="101"/>
      <c r="AD305" s="101"/>
      <c r="AE305" s="101"/>
      <c r="AF305" s="101"/>
      <c r="AG305" s="101"/>
      <c r="AH305" s="101"/>
      <c r="AI305" s="101"/>
      <c r="AJ305" s="101"/>
      <c r="AK305" s="101"/>
      <c r="AL305" s="101"/>
    </row>
    <row r="306">
      <c r="A306" s="52"/>
      <c r="B306" s="602"/>
      <c r="C306" s="52"/>
      <c r="D306" s="603"/>
      <c r="E306" s="604"/>
      <c r="F306" s="603"/>
      <c r="G306" s="605"/>
      <c r="H306" s="605"/>
      <c r="I306" s="606"/>
      <c r="J306" s="606"/>
      <c r="K306" s="606"/>
      <c r="L306" s="606"/>
      <c r="M306" s="606"/>
      <c r="N306" s="606"/>
      <c r="O306" s="606"/>
      <c r="P306" s="606"/>
      <c r="Q306" s="606"/>
      <c r="R306" s="606"/>
      <c r="S306" s="606"/>
      <c r="T306" s="606"/>
      <c r="U306" s="606"/>
      <c r="V306" s="607"/>
      <c r="W306" s="461"/>
      <c r="X306" s="131"/>
      <c r="Y306" s="101"/>
      <c r="Z306" s="101"/>
      <c r="AA306" s="101"/>
      <c r="AB306" s="101"/>
      <c r="AC306" s="101"/>
      <c r="AD306" s="101"/>
      <c r="AE306" s="101"/>
      <c r="AF306" s="101"/>
      <c r="AG306" s="101"/>
      <c r="AH306" s="101"/>
      <c r="AI306" s="101"/>
      <c r="AJ306" s="101"/>
      <c r="AK306" s="101"/>
      <c r="AL306" s="101"/>
    </row>
    <row r="307">
      <c r="A307" s="52"/>
      <c r="B307" s="602"/>
      <c r="C307" s="52"/>
      <c r="D307" s="603"/>
      <c r="E307" s="604"/>
      <c r="F307" s="603"/>
      <c r="G307" s="605"/>
      <c r="H307" s="605"/>
      <c r="I307" s="606"/>
      <c r="J307" s="606"/>
      <c r="K307" s="606"/>
      <c r="L307" s="606"/>
      <c r="M307" s="606"/>
      <c r="N307" s="606"/>
      <c r="O307" s="606"/>
      <c r="P307" s="606"/>
      <c r="Q307" s="606"/>
      <c r="R307" s="606"/>
      <c r="S307" s="606"/>
      <c r="T307" s="606"/>
      <c r="U307" s="606"/>
      <c r="V307" s="607"/>
      <c r="W307" s="461"/>
      <c r="X307" s="131"/>
      <c r="Y307" s="101"/>
      <c r="Z307" s="101"/>
      <c r="AA307" s="101"/>
      <c r="AB307" s="101"/>
      <c r="AC307" s="101"/>
      <c r="AD307" s="101"/>
      <c r="AE307" s="101"/>
      <c r="AF307" s="101"/>
      <c r="AG307" s="101"/>
      <c r="AH307" s="101"/>
      <c r="AI307" s="101"/>
      <c r="AJ307" s="101"/>
      <c r="AK307" s="101"/>
      <c r="AL307" s="101"/>
    </row>
    <row r="308">
      <c r="A308" s="52"/>
      <c r="B308" s="602"/>
      <c r="C308" s="52"/>
      <c r="D308" s="603"/>
      <c r="E308" s="604"/>
      <c r="F308" s="603"/>
      <c r="G308" s="605"/>
      <c r="H308" s="605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6"/>
      <c r="V308" s="607"/>
      <c r="W308" s="461"/>
      <c r="X308" s="131"/>
      <c r="Y308" s="101"/>
      <c r="Z308" s="101"/>
      <c r="AA308" s="101"/>
      <c r="AB308" s="101"/>
      <c r="AC308" s="101"/>
      <c r="AD308" s="101"/>
      <c r="AE308" s="101"/>
      <c r="AF308" s="101"/>
      <c r="AG308" s="101"/>
      <c r="AH308" s="101"/>
      <c r="AI308" s="101"/>
      <c r="AJ308" s="101"/>
      <c r="AK308" s="101"/>
      <c r="AL308" s="101"/>
    </row>
    <row r="309">
      <c r="A309" s="52"/>
      <c r="B309" s="602"/>
      <c r="C309" s="52"/>
      <c r="D309" s="603"/>
      <c r="E309" s="604"/>
      <c r="F309" s="603"/>
      <c r="G309" s="605"/>
      <c r="H309" s="605"/>
      <c r="I309" s="606"/>
      <c r="J309" s="606"/>
      <c r="K309" s="606"/>
      <c r="L309" s="606"/>
      <c r="M309" s="606"/>
      <c r="N309" s="606"/>
      <c r="O309" s="606"/>
      <c r="P309" s="606"/>
      <c r="Q309" s="606"/>
      <c r="R309" s="606"/>
      <c r="S309" s="606"/>
      <c r="T309" s="606"/>
      <c r="U309" s="606"/>
      <c r="V309" s="607"/>
      <c r="W309" s="461"/>
      <c r="X309" s="131"/>
      <c r="Y309" s="101"/>
      <c r="Z309" s="101"/>
      <c r="AA309" s="101"/>
      <c r="AB309" s="101"/>
      <c r="AC309" s="101"/>
      <c r="AD309" s="101"/>
      <c r="AE309" s="101"/>
      <c r="AF309" s="101"/>
      <c r="AG309" s="101"/>
      <c r="AH309" s="101"/>
      <c r="AI309" s="101"/>
      <c r="AJ309" s="101"/>
      <c r="AK309" s="101"/>
      <c r="AL309" s="101"/>
    </row>
    <row r="310">
      <c r="A310" s="52"/>
      <c r="B310" s="602"/>
      <c r="C310" s="52"/>
      <c r="D310" s="603"/>
      <c r="E310" s="604"/>
      <c r="F310" s="603"/>
      <c r="G310" s="605"/>
      <c r="H310" s="605"/>
      <c r="I310" s="606"/>
      <c r="J310" s="606"/>
      <c r="K310" s="606"/>
      <c r="L310" s="606"/>
      <c r="M310" s="606"/>
      <c r="N310" s="606"/>
      <c r="O310" s="606"/>
      <c r="P310" s="606"/>
      <c r="Q310" s="606"/>
      <c r="R310" s="606"/>
      <c r="S310" s="606"/>
      <c r="T310" s="606"/>
      <c r="U310" s="606"/>
      <c r="V310" s="607"/>
      <c r="W310" s="461"/>
      <c r="X310" s="131"/>
      <c r="Y310" s="101"/>
      <c r="Z310" s="101"/>
      <c r="AA310" s="101"/>
      <c r="AB310" s="101"/>
      <c r="AC310" s="101"/>
      <c r="AD310" s="101"/>
      <c r="AE310" s="101"/>
      <c r="AF310" s="101"/>
      <c r="AG310" s="101"/>
      <c r="AH310" s="101"/>
      <c r="AI310" s="101"/>
      <c r="AJ310" s="101"/>
      <c r="AK310" s="101"/>
      <c r="AL310" s="101"/>
    </row>
    <row r="311">
      <c r="A311" s="52"/>
      <c r="B311" s="602"/>
      <c r="C311" s="52"/>
      <c r="D311" s="603"/>
      <c r="E311" s="604"/>
      <c r="F311" s="603"/>
      <c r="G311" s="605"/>
      <c r="H311" s="605"/>
      <c r="I311" s="606"/>
      <c r="J311" s="606"/>
      <c r="K311" s="606"/>
      <c r="L311" s="606"/>
      <c r="M311" s="606"/>
      <c r="N311" s="606"/>
      <c r="O311" s="606"/>
      <c r="P311" s="606"/>
      <c r="Q311" s="606"/>
      <c r="R311" s="606"/>
      <c r="S311" s="606"/>
      <c r="T311" s="606"/>
      <c r="U311" s="606"/>
      <c r="V311" s="607"/>
      <c r="W311" s="461"/>
      <c r="X311" s="131"/>
      <c r="Y311" s="101"/>
      <c r="Z311" s="101"/>
      <c r="AA311" s="101"/>
      <c r="AB311" s="101"/>
      <c r="AC311" s="101"/>
      <c r="AD311" s="101"/>
      <c r="AE311" s="101"/>
      <c r="AF311" s="101"/>
      <c r="AG311" s="101"/>
      <c r="AH311" s="101"/>
      <c r="AI311" s="101"/>
      <c r="AJ311" s="101"/>
      <c r="AK311" s="101"/>
      <c r="AL311" s="101"/>
    </row>
    <row r="312">
      <c r="A312" s="52"/>
      <c r="B312" s="602"/>
      <c r="C312" s="52"/>
      <c r="D312" s="603"/>
      <c r="E312" s="604"/>
      <c r="F312" s="603"/>
      <c r="G312" s="605"/>
      <c r="H312" s="605"/>
      <c r="I312" s="606"/>
      <c r="J312" s="606"/>
      <c r="K312" s="606"/>
      <c r="L312" s="606"/>
      <c r="M312" s="606"/>
      <c r="N312" s="606"/>
      <c r="O312" s="606"/>
      <c r="P312" s="606"/>
      <c r="Q312" s="606"/>
      <c r="R312" s="606"/>
      <c r="S312" s="606"/>
      <c r="T312" s="606"/>
      <c r="U312" s="606"/>
      <c r="V312" s="607"/>
      <c r="W312" s="461"/>
      <c r="X312" s="131"/>
      <c r="Y312" s="101"/>
      <c r="Z312" s="101"/>
      <c r="AA312" s="101"/>
      <c r="AB312" s="101"/>
      <c r="AC312" s="101"/>
      <c r="AD312" s="101"/>
      <c r="AE312" s="101"/>
      <c r="AF312" s="101"/>
      <c r="AG312" s="101"/>
      <c r="AH312" s="101"/>
      <c r="AI312" s="101"/>
      <c r="AJ312" s="101"/>
      <c r="AK312" s="101"/>
      <c r="AL312" s="101"/>
    </row>
    <row r="313">
      <c r="A313" s="52"/>
      <c r="B313" s="602"/>
      <c r="C313" s="52"/>
      <c r="D313" s="603"/>
      <c r="E313" s="604"/>
      <c r="F313" s="603"/>
      <c r="G313" s="605"/>
      <c r="H313" s="605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7"/>
      <c r="W313" s="461"/>
      <c r="X313" s="131"/>
      <c r="Y313" s="101"/>
      <c r="Z313" s="101"/>
      <c r="AA313" s="101"/>
      <c r="AB313" s="101"/>
      <c r="AC313" s="101"/>
      <c r="AD313" s="101"/>
      <c r="AE313" s="101"/>
      <c r="AF313" s="101"/>
      <c r="AG313" s="101"/>
      <c r="AH313" s="101"/>
      <c r="AI313" s="101"/>
      <c r="AJ313" s="101"/>
      <c r="AK313" s="101"/>
      <c r="AL313" s="101"/>
    </row>
    <row r="314">
      <c r="A314" s="52"/>
      <c r="B314" s="602"/>
      <c r="C314" s="52"/>
      <c r="D314" s="603"/>
      <c r="E314" s="604"/>
      <c r="F314" s="603"/>
      <c r="G314" s="605"/>
      <c r="H314" s="605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7"/>
      <c r="W314" s="461"/>
      <c r="X314" s="131"/>
      <c r="Y314" s="101"/>
      <c r="Z314" s="101"/>
      <c r="AA314" s="101"/>
      <c r="AB314" s="101"/>
      <c r="AC314" s="101"/>
      <c r="AD314" s="101"/>
      <c r="AE314" s="101"/>
      <c r="AF314" s="101"/>
      <c r="AG314" s="101"/>
      <c r="AH314" s="101"/>
      <c r="AI314" s="101"/>
      <c r="AJ314" s="101"/>
      <c r="AK314" s="101"/>
      <c r="AL314" s="101"/>
    </row>
    <row r="315">
      <c r="A315" s="52"/>
      <c r="B315" s="602"/>
      <c r="C315" s="52"/>
      <c r="D315" s="603"/>
      <c r="E315" s="604"/>
      <c r="F315" s="603"/>
      <c r="G315" s="605"/>
      <c r="H315" s="605"/>
      <c r="I315" s="606"/>
      <c r="J315" s="606"/>
      <c r="K315" s="606"/>
      <c r="L315" s="606"/>
      <c r="M315" s="606"/>
      <c r="N315" s="606"/>
      <c r="O315" s="606"/>
      <c r="P315" s="606"/>
      <c r="Q315" s="606"/>
      <c r="R315" s="606"/>
      <c r="S315" s="606"/>
      <c r="T315" s="606"/>
      <c r="U315" s="606"/>
      <c r="V315" s="607"/>
      <c r="W315" s="461"/>
      <c r="X315" s="131"/>
      <c r="Y315" s="101"/>
      <c r="Z315" s="101"/>
      <c r="AA315" s="101"/>
      <c r="AB315" s="101"/>
      <c r="AC315" s="101"/>
      <c r="AD315" s="101"/>
      <c r="AE315" s="101"/>
      <c r="AF315" s="101"/>
      <c r="AG315" s="101"/>
      <c r="AH315" s="101"/>
      <c r="AI315" s="101"/>
      <c r="AJ315" s="101"/>
      <c r="AK315" s="101"/>
      <c r="AL315" s="101"/>
    </row>
    <row r="316">
      <c r="A316" s="52"/>
      <c r="B316" s="602"/>
      <c r="C316" s="52"/>
      <c r="D316" s="603"/>
      <c r="E316" s="604"/>
      <c r="F316" s="603"/>
      <c r="G316" s="605"/>
      <c r="H316" s="605"/>
      <c r="I316" s="606"/>
      <c r="J316" s="606"/>
      <c r="K316" s="606"/>
      <c r="L316" s="606"/>
      <c r="M316" s="606"/>
      <c r="N316" s="606"/>
      <c r="O316" s="606"/>
      <c r="P316" s="606"/>
      <c r="Q316" s="606"/>
      <c r="R316" s="606"/>
      <c r="S316" s="606"/>
      <c r="T316" s="606"/>
      <c r="U316" s="606"/>
      <c r="V316" s="607"/>
      <c r="W316" s="461"/>
      <c r="X316" s="131"/>
      <c r="Y316" s="101"/>
      <c r="Z316" s="101"/>
      <c r="AA316" s="101"/>
      <c r="AB316" s="101"/>
      <c r="AC316" s="101"/>
      <c r="AD316" s="101"/>
      <c r="AE316" s="101"/>
      <c r="AF316" s="101"/>
      <c r="AG316" s="101"/>
      <c r="AH316" s="101"/>
      <c r="AI316" s="101"/>
      <c r="AJ316" s="101"/>
      <c r="AK316" s="101"/>
      <c r="AL316" s="101"/>
    </row>
    <row r="317">
      <c r="A317" s="52"/>
      <c r="B317" s="602"/>
      <c r="C317" s="52"/>
      <c r="D317" s="603"/>
      <c r="E317" s="604"/>
      <c r="F317" s="603"/>
      <c r="G317" s="605"/>
      <c r="H317" s="605"/>
      <c r="I317" s="606"/>
      <c r="J317" s="606"/>
      <c r="K317" s="606"/>
      <c r="L317" s="606"/>
      <c r="M317" s="606"/>
      <c r="N317" s="606"/>
      <c r="O317" s="606"/>
      <c r="P317" s="606"/>
      <c r="Q317" s="606"/>
      <c r="R317" s="606"/>
      <c r="S317" s="606"/>
      <c r="T317" s="606"/>
      <c r="U317" s="606"/>
      <c r="V317" s="607"/>
      <c r="W317" s="461"/>
      <c r="X317" s="131"/>
      <c r="Y317" s="101"/>
      <c r="Z317" s="101"/>
      <c r="AA317" s="101"/>
      <c r="AB317" s="101"/>
      <c r="AC317" s="101"/>
      <c r="AD317" s="101"/>
      <c r="AE317" s="101"/>
      <c r="AF317" s="101"/>
      <c r="AG317" s="101"/>
      <c r="AH317" s="101"/>
      <c r="AI317" s="101"/>
      <c r="AJ317" s="101"/>
      <c r="AK317" s="101"/>
      <c r="AL317" s="101"/>
    </row>
    <row r="318">
      <c r="A318" s="52"/>
      <c r="B318" s="602"/>
      <c r="C318" s="52"/>
      <c r="D318" s="603"/>
      <c r="E318" s="604"/>
      <c r="F318" s="603"/>
      <c r="G318" s="605"/>
      <c r="H318" s="605"/>
      <c r="I318" s="606"/>
      <c r="J318" s="606"/>
      <c r="K318" s="606"/>
      <c r="L318" s="606"/>
      <c r="M318" s="606"/>
      <c r="N318" s="606"/>
      <c r="O318" s="606"/>
      <c r="P318" s="606"/>
      <c r="Q318" s="606"/>
      <c r="R318" s="606"/>
      <c r="S318" s="606"/>
      <c r="T318" s="606"/>
      <c r="U318" s="606"/>
      <c r="V318" s="607"/>
      <c r="W318" s="461"/>
      <c r="X318" s="131"/>
      <c r="Y318" s="101"/>
      <c r="Z318" s="101"/>
      <c r="AA318" s="101"/>
      <c r="AB318" s="101"/>
      <c r="AC318" s="101"/>
      <c r="AD318" s="101"/>
      <c r="AE318" s="101"/>
      <c r="AF318" s="101"/>
      <c r="AG318" s="101"/>
      <c r="AH318" s="101"/>
      <c r="AI318" s="101"/>
      <c r="AJ318" s="101"/>
      <c r="AK318" s="101"/>
      <c r="AL318" s="101"/>
    </row>
    <row r="319">
      <c r="A319" s="52"/>
      <c r="B319" s="602"/>
      <c r="C319" s="52"/>
      <c r="D319" s="603"/>
      <c r="E319" s="604"/>
      <c r="F319" s="603"/>
      <c r="G319" s="605"/>
      <c r="H319" s="605"/>
      <c r="I319" s="606"/>
      <c r="J319" s="606"/>
      <c r="K319" s="606"/>
      <c r="L319" s="606"/>
      <c r="M319" s="606"/>
      <c r="N319" s="606"/>
      <c r="O319" s="606"/>
      <c r="P319" s="606"/>
      <c r="Q319" s="606"/>
      <c r="R319" s="606"/>
      <c r="S319" s="606"/>
      <c r="T319" s="606"/>
      <c r="U319" s="606"/>
      <c r="V319" s="607"/>
      <c r="W319" s="461"/>
      <c r="X319" s="131"/>
      <c r="Y319" s="101"/>
      <c r="Z319" s="101"/>
      <c r="AA319" s="101"/>
      <c r="AB319" s="101"/>
      <c r="AC319" s="101"/>
      <c r="AD319" s="101"/>
      <c r="AE319" s="101"/>
      <c r="AF319" s="101"/>
      <c r="AG319" s="101"/>
      <c r="AH319" s="101"/>
      <c r="AI319" s="101"/>
      <c r="AJ319" s="101"/>
      <c r="AK319" s="101"/>
      <c r="AL319" s="101"/>
    </row>
    <row r="320">
      <c r="A320" s="52"/>
      <c r="B320" s="602"/>
      <c r="C320" s="52"/>
      <c r="D320" s="603"/>
      <c r="E320" s="604"/>
      <c r="F320" s="603"/>
      <c r="G320" s="605"/>
      <c r="H320" s="605"/>
      <c r="I320" s="606"/>
      <c r="J320" s="606"/>
      <c r="K320" s="606"/>
      <c r="L320" s="606"/>
      <c r="M320" s="606"/>
      <c r="N320" s="606"/>
      <c r="O320" s="606"/>
      <c r="P320" s="606"/>
      <c r="Q320" s="606"/>
      <c r="R320" s="606"/>
      <c r="S320" s="606"/>
      <c r="T320" s="606"/>
      <c r="U320" s="606"/>
      <c r="V320" s="607"/>
      <c r="W320" s="461"/>
      <c r="X320" s="131"/>
      <c r="Y320" s="101"/>
      <c r="Z320" s="101"/>
      <c r="AA320" s="101"/>
      <c r="AB320" s="101"/>
      <c r="AC320" s="101"/>
      <c r="AD320" s="101"/>
      <c r="AE320" s="101"/>
      <c r="AF320" s="101"/>
      <c r="AG320" s="101"/>
      <c r="AH320" s="101"/>
      <c r="AI320" s="101"/>
      <c r="AJ320" s="101"/>
      <c r="AK320" s="101"/>
      <c r="AL320" s="101"/>
    </row>
    <row r="321">
      <c r="A321" s="52"/>
      <c r="B321" s="602"/>
      <c r="C321" s="52"/>
      <c r="D321" s="603"/>
      <c r="E321" s="604"/>
      <c r="F321" s="603"/>
      <c r="G321" s="605"/>
      <c r="H321" s="605"/>
      <c r="I321" s="606"/>
      <c r="J321" s="606"/>
      <c r="K321" s="606"/>
      <c r="L321" s="606"/>
      <c r="M321" s="606"/>
      <c r="N321" s="606"/>
      <c r="O321" s="606"/>
      <c r="P321" s="606"/>
      <c r="Q321" s="606"/>
      <c r="R321" s="606"/>
      <c r="S321" s="606"/>
      <c r="T321" s="606"/>
      <c r="U321" s="606"/>
      <c r="V321" s="607"/>
      <c r="W321" s="461"/>
      <c r="X321" s="131"/>
      <c r="Y321" s="101"/>
      <c r="Z321" s="101"/>
      <c r="AA321" s="101"/>
      <c r="AB321" s="101"/>
      <c r="AC321" s="101"/>
      <c r="AD321" s="101"/>
      <c r="AE321" s="101"/>
      <c r="AF321" s="101"/>
      <c r="AG321" s="101"/>
      <c r="AH321" s="101"/>
      <c r="AI321" s="101"/>
      <c r="AJ321" s="101"/>
      <c r="AK321" s="101"/>
      <c r="AL321" s="101"/>
    </row>
    <row r="322">
      <c r="A322" s="52"/>
      <c r="B322" s="602"/>
      <c r="C322" s="52"/>
      <c r="D322" s="603"/>
      <c r="E322" s="604"/>
      <c r="F322" s="603"/>
      <c r="G322" s="605"/>
      <c r="H322" s="605"/>
      <c r="I322" s="606"/>
      <c r="J322" s="606"/>
      <c r="K322" s="606"/>
      <c r="L322" s="606"/>
      <c r="M322" s="606"/>
      <c r="N322" s="606"/>
      <c r="O322" s="606"/>
      <c r="P322" s="606"/>
      <c r="Q322" s="606"/>
      <c r="R322" s="606"/>
      <c r="S322" s="606"/>
      <c r="T322" s="606"/>
      <c r="U322" s="606"/>
      <c r="V322" s="607"/>
      <c r="W322" s="461"/>
      <c r="X322" s="131"/>
      <c r="Y322" s="101"/>
      <c r="Z322" s="101"/>
      <c r="AA322" s="101"/>
      <c r="AB322" s="101"/>
      <c r="AC322" s="101"/>
      <c r="AD322" s="101"/>
      <c r="AE322" s="101"/>
      <c r="AF322" s="101"/>
      <c r="AG322" s="101"/>
      <c r="AH322" s="101"/>
      <c r="AI322" s="101"/>
      <c r="AJ322" s="101"/>
      <c r="AK322" s="101"/>
      <c r="AL322" s="101"/>
    </row>
    <row r="323">
      <c r="A323" s="52"/>
      <c r="B323" s="602"/>
      <c r="C323" s="52"/>
      <c r="D323" s="603"/>
      <c r="E323" s="604"/>
      <c r="F323" s="603"/>
      <c r="G323" s="605"/>
      <c r="H323" s="605"/>
      <c r="I323" s="606"/>
      <c r="J323" s="606"/>
      <c r="K323" s="606"/>
      <c r="L323" s="606"/>
      <c r="M323" s="606"/>
      <c r="N323" s="606"/>
      <c r="O323" s="606"/>
      <c r="P323" s="606"/>
      <c r="Q323" s="606"/>
      <c r="R323" s="606"/>
      <c r="S323" s="606"/>
      <c r="T323" s="606"/>
      <c r="U323" s="606"/>
      <c r="V323" s="607"/>
      <c r="W323" s="461"/>
      <c r="X323" s="131"/>
      <c r="Y323" s="101"/>
      <c r="Z323" s="101"/>
      <c r="AA323" s="101"/>
      <c r="AB323" s="101"/>
      <c r="AC323" s="101"/>
      <c r="AD323" s="101"/>
      <c r="AE323" s="101"/>
      <c r="AF323" s="101"/>
      <c r="AG323" s="101"/>
      <c r="AH323" s="101"/>
      <c r="AI323" s="101"/>
      <c r="AJ323" s="101"/>
      <c r="AK323" s="101"/>
      <c r="AL323" s="101"/>
    </row>
    <row r="324">
      <c r="A324" s="52"/>
      <c r="B324" s="602"/>
      <c r="C324" s="52"/>
      <c r="D324" s="603"/>
      <c r="E324" s="604"/>
      <c r="F324" s="603"/>
      <c r="G324" s="605"/>
      <c r="H324" s="605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7"/>
      <c r="W324" s="461"/>
      <c r="X324" s="131"/>
      <c r="Y324" s="101"/>
      <c r="Z324" s="101"/>
      <c r="AA324" s="101"/>
      <c r="AB324" s="101"/>
      <c r="AC324" s="101"/>
      <c r="AD324" s="101"/>
      <c r="AE324" s="101"/>
      <c r="AF324" s="101"/>
      <c r="AG324" s="101"/>
      <c r="AH324" s="101"/>
      <c r="AI324" s="101"/>
      <c r="AJ324" s="101"/>
      <c r="AK324" s="101"/>
      <c r="AL324" s="101"/>
    </row>
    <row r="325">
      <c r="A325" s="52"/>
      <c r="B325" s="602"/>
      <c r="C325" s="52"/>
      <c r="D325" s="603"/>
      <c r="E325" s="604"/>
      <c r="F325" s="603"/>
      <c r="G325" s="605"/>
      <c r="H325" s="605"/>
      <c r="I325" s="606"/>
      <c r="J325" s="606"/>
      <c r="K325" s="606"/>
      <c r="L325" s="606"/>
      <c r="M325" s="606"/>
      <c r="N325" s="606"/>
      <c r="O325" s="606"/>
      <c r="P325" s="606"/>
      <c r="Q325" s="606"/>
      <c r="R325" s="606"/>
      <c r="S325" s="606"/>
      <c r="T325" s="606"/>
      <c r="U325" s="606"/>
      <c r="V325" s="607"/>
      <c r="W325" s="461"/>
      <c r="X325" s="13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1"/>
      <c r="AJ325" s="101"/>
      <c r="AK325" s="101"/>
      <c r="AL325" s="101"/>
    </row>
    <row r="326">
      <c r="A326" s="52"/>
      <c r="B326" s="602"/>
      <c r="C326" s="52"/>
      <c r="D326" s="603"/>
      <c r="E326" s="604"/>
      <c r="F326" s="603"/>
      <c r="G326" s="605"/>
      <c r="H326" s="605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7"/>
      <c r="W326" s="461"/>
      <c r="X326" s="13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1"/>
      <c r="AI326" s="101"/>
      <c r="AJ326" s="101"/>
      <c r="AK326" s="101"/>
      <c r="AL326" s="101"/>
    </row>
    <row r="327">
      <c r="A327" s="52"/>
      <c r="B327" s="602"/>
      <c r="C327" s="52"/>
      <c r="D327" s="603"/>
      <c r="E327" s="604"/>
      <c r="F327" s="603"/>
      <c r="G327" s="605"/>
      <c r="H327" s="605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7"/>
      <c r="W327" s="461"/>
      <c r="X327" s="131"/>
      <c r="Y327" s="101"/>
      <c r="Z327" s="101"/>
      <c r="AA327" s="101"/>
      <c r="AB327" s="101"/>
      <c r="AC327" s="101"/>
      <c r="AD327" s="101"/>
      <c r="AE327" s="101"/>
      <c r="AF327" s="101"/>
      <c r="AG327" s="101"/>
      <c r="AH327" s="101"/>
      <c r="AI327" s="101"/>
      <c r="AJ327" s="101"/>
      <c r="AK327" s="101"/>
      <c r="AL327" s="101"/>
    </row>
    <row r="328">
      <c r="A328" s="52"/>
      <c r="B328" s="602"/>
      <c r="C328" s="52"/>
      <c r="D328" s="603"/>
      <c r="E328" s="604"/>
      <c r="F328" s="603"/>
      <c r="G328" s="605"/>
      <c r="H328" s="605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7"/>
      <c r="W328" s="461"/>
      <c r="X328" s="131"/>
      <c r="Y328" s="101"/>
      <c r="Z328" s="101"/>
      <c r="AA328" s="101"/>
      <c r="AB328" s="101"/>
      <c r="AC328" s="101"/>
      <c r="AD328" s="101"/>
      <c r="AE328" s="101"/>
      <c r="AF328" s="101"/>
      <c r="AG328" s="101"/>
      <c r="AH328" s="101"/>
      <c r="AI328" s="101"/>
      <c r="AJ328" s="101"/>
      <c r="AK328" s="101"/>
      <c r="AL328" s="101"/>
    </row>
    <row r="329">
      <c r="A329" s="52"/>
      <c r="B329" s="602"/>
      <c r="C329" s="52"/>
      <c r="D329" s="603"/>
      <c r="E329" s="604"/>
      <c r="F329" s="603"/>
      <c r="G329" s="605"/>
      <c r="H329" s="605"/>
      <c r="I329" s="606"/>
      <c r="J329" s="606"/>
      <c r="K329" s="606"/>
      <c r="L329" s="606"/>
      <c r="M329" s="606"/>
      <c r="N329" s="606"/>
      <c r="O329" s="606"/>
      <c r="P329" s="606"/>
      <c r="Q329" s="606"/>
      <c r="R329" s="606"/>
      <c r="S329" s="606"/>
      <c r="T329" s="606"/>
      <c r="U329" s="606"/>
      <c r="V329" s="607"/>
      <c r="W329" s="461"/>
      <c r="X329" s="131"/>
      <c r="Y329" s="101"/>
      <c r="Z329" s="101"/>
      <c r="AA329" s="101"/>
      <c r="AB329" s="101"/>
      <c r="AC329" s="101"/>
      <c r="AD329" s="101"/>
      <c r="AE329" s="101"/>
      <c r="AF329" s="101"/>
      <c r="AG329" s="101"/>
      <c r="AH329" s="101"/>
      <c r="AI329" s="101"/>
      <c r="AJ329" s="101"/>
      <c r="AK329" s="101"/>
      <c r="AL329" s="101"/>
    </row>
    <row r="330">
      <c r="A330" s="52"/>
      <c r="B330" s="602"/>
      <c r="C330" s="52"/>
      <c r="D330" s="603"/>
      <c r="E330" s="604"/>
      <c r="F330" s="603"/>
      <c r="G330" s="605"/>
      <c r="H330" s="605"/>
      <c r="I330" s="606"/>
      <c r="J330" s="606"/>
      <c r="K330" s="606"/>
      <c r="L330" s="606"/>
      <c r="M330" s="606"/>
      <c r="N330" s="606"/>
      <c r="O330" s="606"/>
      <c r="P330" s="606"/>
      <c r="Q330" s="606"/>
      <c r="R330" s="606"/>
      <c r="S330" s="606"/>
      <c r="T330" s="606"/>
      <c r="U330" s="606"/>
      <c r="V330" s="607"/>
      <c r="W330" s="461"/>
      <c r="X330" s="131"/>
      <c r="Y330" s="101"/>
      <c r="Z330" s="101"/>
      <c r="AA330" s="101"/>
      <c r="AB330" s="101"/>
      <c r="AC330" s="101"/>
      <c r="AD330" s="101"/>
      <c r="AE330" s="101"/>
      <c r="AF330" s="101"/>
      <c r="AG330" s="101"/>
      <c r="AH330" s="101"/>
      <c r="AI330" s="101"/>
      <c r="AJ330" s="101"/>
      <c r="AK330" s="101"/>
      <c r="AL330" s="101"/>
    </row>
    <row r="331">
      <c r="A331" s="52"/>
      <c r="B331" s="602"/>
      <c r="C331" s="52"/>
      <c r="D331" s="603"/>
      <c r="E331" s="604"/>
      <c r="F331" s="603"/>
      <c r="G331" s="605"/>
      <c r="H331" s="605"/>
      <c r="I331" s="606"/>
      <c r="J331" s="606"/>
      <c r="K331" s="606"/>
      <c r="L331" s="606"/>
      <c r="M331" s="606"/>
      <c r="N331" s="606"/>
      <c r="O331" s="606"/>
      <c r="P331" s="606"/>
      <c r="Q331" s="606"/>
      <c r="R331" s="606"/>
      <c r="S331" s="606"/>
      <c r="T331" s="606"/>
      <c r="U331" s="606"/>
      <c r="V331" s="607"/>
      <c r="W331" s="461"/>
      <c r="X331" s="131"/>
      <c r="Y331" s="101"/>
      <c r="Z331" s="101"/>
      <c r="AA331" s="101"/>
      <c r="AB331" s="101"/>
      <c r="AC331" s="101"/>
      <c r="AD331" s="101"/>
      <c r="AE331" s="101"/>
      <c r="AF331" s="101"/>
      <c r="AG331" s="101"/>
      <c r="AH331" s="101"/>
      <c r="AI331" s="101"/>
      <c r="AJ331" s="101"/>
      <c r="AK331" s="101"/>
      <c r="AL331" s="101"/>
    </row>
    <row r="332">
      <c r="A332" s="52"/>
      <c r="B332" s="602"/>
      <c r="C332" s="52"/>
      <c r="D332" s="603"/>
      <c r="E332" s="604"/>
      <c r="F332" s="603"/>
      <c r="G332" s="605"/>
      <c r="H332" s="605"/>
      <c r="I332" s="606"/>
      <c r="J332" s="606"/>
      <c r="K332" s="606"/>
      <c r="L332" s="606"/>
      <c r="M332" s="606"/>
      <c r="N332" s="606"/>
      <c r="O332" s="606"/>
      <c r="P332" s="606"/>
      <c r="Q332" s="606"/>
      <c r="R332" s="606"/>
      <c r="S332" s="606"/>
      <c r="T332" s="606"/>
      <c r="U332" s="606"/>
      <c r="V332" s="607"/>
      <c r="W332" s="461"/>
      <c r="X332" s="131"/>
      <c r="Y332" s="101"/>
      <c r="Z332" s="101"/>
      <c r="AA332" s="101"/>
      <c r="AB332" s="101"/>
      <c r="AC332" s="101"/>
      <c r="AD332" s="101"/>
      <c r="AE332" s="101"/>
      <c r="AF332" s="101"/>
      <c r="AG332" s="101"/>
      <c r="AH332" s="101"/>
      <c r="AI332" s="101"/>
      <c r="AJ332" s="101"/>
      <c r="AK332" s="101"/>
      <c r="AL332" s="101"/>
    </row>
    <row r="333">
      <c r="A333" s="52"/>
      <c r="B333" s="602"/>
      <c r="C333" s="52"/>
      <c r="D333" s="603"/>
      <c r="E333" s="604"/>
      <c r="F333" s="603"/>
      <c r="G333" s="605"/>
      <c r="H333" s="605"/>
      <c r="I333" s="606"/>
      <c r="J333" s="606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6"/>
      <c r="V333" s="607"/>
      <c r="W333" s="461"/>
      <c r="X333" s="131"/>
      <c r="Y333" s="101"/>
      <c r="Z333" s="101"/>
      <c r="AA333" s="101"/>
      <c r="AB333" s="101"/>
      <c r="AC333" s="101"/>
      <c r="AD333" s="101"/>
      <c r="AE333" s="101"/>
      <c r="AF333" s="101"/>
      <c r="AG333" s="101"/>
      <c r="AH333" s="101"/>
      <c r="AI333" s="101"/>
      <c r="AJ333" s="101"/>
      <c r="AK333" s="101"/>
      <c r="AL333" s="101"/>
    </row>
    <row r="334">
      <c r="A334" s="52"/>
      <c r="B334" s="602"/>
      <c r="C334" s="52"/>
      <c r="D334" s="603"/>
      <c r="E334" s="604"/>
      <c r="F334" s="603"/>
      <c r="G334" s="605"/>
      <c r="H334" s="605"/>
      <c r="I334" s="606"/>
      <c r="J334" s="606"/>
      <c r="K334" s="606"/>
      <c r="L334" s="606"/>
      <c r="M334" s="606"/>
      <c r="N334" s="606"/>
      <c r="O334" s="606"/>
      <c r="P334" s="606"/>
      <c r="Q334" s="606"/>
      <c r="R334" s="606"/>
      <c r="S334" s="606"/>
      <c r="T334" s="606"/>
      <c r="U334" s="606"/>
      <c r="V334" s="607"/>
      <c r="W334" s="461"/>
      <c r="X334" s="131"/>
      <c r="Y334" s="101"/>
      <c r="Z334" s="101"/>
      <c r="AA334" s="101"/>
      <c r="AB334" s="101"/>
      <c r="AC334" s="101"/>
      <c r="AD334" s="101"/>
      <c r="AE334" s="101"/>
      <c r="AF334" s="101"/>
      <c r="AG334" s="101"/>
      <c r="AH334" s="101"/>
      <c r="AI334" s="101"/>
      <c r="AJ334" s="101"/>
      <c r="AK334" s="101"/>
      <c r="AL334" s="101"/>
    </row>
    <row r="335">
      <c r="A335" s="52"/>
      <c r="B335" s="602"/>
      <c r="C335" s="52"/>
      <c r="D335" s="603"/>
      <c r="E335" s="604"/>
      <c r="F335" s="603"/>
      <c r="G335" s="605"/>
      <c r="H335" s="605"/>
      <c r="I335" s="606"/>
      <c r="J335" s="606"/>
      <c r="K335" s="606"/>
      <c r="L335" s="606"/>
      <c r="M335" s="606"/>
      <c r="N335" s="606"/>
      <c r="O335" s="606"/>
      <c r="P335" s="606"/>
      <c r="Q335" s="606"/>
      <c r="R335" s="606"/>
      <c r="S335" s="606"/>
      <c r="T335" s="606"/>
      <c r="U335" s="606"/>
      <c r="V335" s="607"/>
      <c r="W335" s="461"/>
      <c r="X335" s="131"/>
      <c r="Y335" s="101"/>
      <c r="Z335" s="101"/>
      <c r="AA335" s="101"/>
      <c r="AB335" s="101"/>
      <c r="AC335" s="101"/>
      <c r="AD335" s="101"/>
      <c r="AE335" s="101"/>
      <c r="AF335" s="101"/>
      <c r="AG335" s="101"/>
      <c r="AH335" s="101"/>
      <c r="AI335" s="101"/>
      <c r="AJ335" s="101"/>
      <c r="AK335" s="101"/>
      <c r="AL335" s="101"/>
    </row>
    <row r="336">
      <c r="A336" s="52"/>
      <c r="B336" s="602"/>
      <c r="C336" s="52"/>
      <c r="D336" s="603"/>
      <c r="E336" s="604"/>
      <c r="F336" s="603"/>
      <c r="G336" s="605"/>
      <c r="H336" s="605"/>
      <c r="I336" s="606"/>
      <c r="J336" s="606"/>
      <c r="K336" s="606"/>
      <c r="L336" s="606"/>
      <c r="M336" s="606"/>
      <c r="N336" s="606"/>
      <c r="O336" s="606"/>
      <c r="P336" s="606"/>
      <c r="Q336" s="606"/>
      <c r="R336" s="606"/>
      <c r="S336" s="606"/>
      <c r="T336" s="606"/>
      <c r="U336" s="606"/>
      <c r="V336" s="607"/>
      <c r="W336" s="461"/>
      <c r="X336" s="131"/>
      <c r="Y336" s="101"/>
      <c r="Z336" s="101"/>
      <c r="AA336" s="101"/>
      <c r="AB336" s="101"/>
      <c r="AC336" s="101"/>
      <c r="AD336" s="101"/>
      <c r="AE336" s="101"/>
      <c r="AF336" s="101"/>
      <c r="AG336" s="101"/>
      <c r="AH336" s="101"/>
      <c r="AI336" s="101"/>
      <c r="AJ336" s="101"/>
      <c r="AK336" s="101"/>
      <c r="AL336" s="101"/>
    </row>
    <row r="337">
      <c r="A337" s="52"/>
      <c r="B337" s="602"/>
      <c r="C337" s="52"/>
      <c r="D337" s="603"/>
      <c r="E337" s="604"/>
      <c r="F337" s="603"/>
      <c r="G337" s="605"/>
      <c r="H337" s="605"/>
      <c r="I337" s="606"/>
      <c r="J337" s="606"/>
      <c r="K337" s="606"/>
      <c r="L337" s="606"/>
      <c r="M337" s="606"/>
      <c r="N337" s="606"/>
      <c r="O337" s="606"/>
      <c r="P337" s="606"/>
      <c r="Q337" s="606"/>
      <c r="R337" s="606"/>
      <c r="S337" s="606"/>
      <c r="T337" s="606"/>
      <c r="U337" s="606"/>
      <c r="V337" s="607"/>
      <c r="W337" s="461"/>
      <c r="X337" s="131"/>
      <c r="Y337" s="101"/>
      <c r="Z337" s="101"/>
      <c r="AA337" s="101"/>
      <c r="AB337" s="101"/>
      <c r="AC337" s="101"/>
      <c r="AD337" s="101"/>
      <c r="AE337" s="101"/>
      <c r="AF337" s="101"/>
      <c r="AG337" s="101"/>
      <c r="AH337" s="101"/>
      <c r="AI337" s="101"/>
      <c r="AJ337" s="101"/>
      <c r="AK337" s="101"/>
      <c r="AL337" s="101"/>
    </row>
    <row r="338">
      <c r="A338" s="52"/>
      <c r="B338" s="602"/>
      <c r="C338" s="52"/>
      <c r="D338" s="603"/>
      <c r="E338" s="604"/>
      <c r="F338" s="603"/>
      <c r="G338" s="605"/>
      <c r="H338" s="605"/>
      <c r="I338" s="606"/>
      <c r="J338" s="606"/>
      <c r="K338" s="606"/>
      <c r="L338" s="606"/>
      <c r="M338" s="606"/>
      <c r="N338" s="606"/>
      <c r="O338" s="606"/>
      <c r="P338" s="606"/>
      <c r="Q338" s="606"/>
      <c r="R338" s="606"/>
      <c r="S338" s="606"/>
      <c r="T338" s="606"/>
      <c r="U338" s="606"/>
      <c r="V338" s="607"/>
      <c r="W338" s="461"/>
      <c r="X338" s="131"/>
      <c r="Y338" s="101"/>
      <c r="Z338" s="101"/>
      <c r="AA338" s="101"/>
      <c r="AB338" s="101"/>
      <c r="AC338" s="101"/>
      <c r="AD338" s="101"/>
      <c r="AE338" s="101"/>
      <c r="AF338" s="101"/>
      <c r="AG338" s="101"/>
      <c r="AH338" s="101"/>
      <c r="AI338" s="101"/>
      <c r="AJ338" s="101"/>
      <c r="AK338" s="101"/>
      <c r="AL338" s="101"/>
    </row>
    <row r="339">
      <c r="A339" s="52"/>
      <c r="B339" s="602"/>
      <c r="C339" s="52"/>
      <c r="D339" s="603"/>
      <c r="E339" s="604"/>
      <c r="F339" s="603"/>
      <c r="G339" s="605"/>
      <c r="H339" s="605"/>
      <c r="I339" s="606"/>
      <c r="J339" s="606"/>
      <c r="K339" s="606"/>
      <c r="L339" s="606"/>
      <c r="M339" s="606"/>
      <c r="N339" s="606"/>
      <c r="O339" s="606"/>
      <c r="P339" s="606"/>
      <c r="Q339" s="606"/>
      <c r="R339" s="606"/>
      <c r="S339" s="606"/>
      <c r="T339" s="606"/>
      <c r="U339" s="606"/>
      <c r="V339" s="607"/>
      <c r="W339" s="461"/>
      <c r="X339" s="131"/>
      <c r="Y339" s="101"/>
      <c r="Z339" s="101"/>
      <c r="AA339" s="101"/>
      <c r="AB339" s="101"/>
      <c r="AC339" s="101"/>
      <c r="AD339" s="101"/>
      <c r="AE339" s="101"/>
      <c r="AF339" s="101"/>
      <c r="AG339" s="101"/>
      <c r="AH339" s="101"/>
      <c r="AI339" s="101"/>
      <c r="AJ339" s="101"/>
      <c r="AK339" s="101"/>
      <c r="AL339" s="101"/>
    </row>
    <row r="340">
      <c r="A340" s="52"/>
      <c r="B340" s="602"/>
      <c r="C340" s="52"/>
      <c r="D340" s="603"/>
      <c r="E340" s="604"/>
      <c r="F340" s="603"/>
      <c r="G340" s="605"/>
      <c r="H340" s="605"/>
      <c r="I340" s="606"/>
      <c r="J340" s="606"/>
      <c r="K340" s="606"/>
      <c r="L340" s="606"/>
      <c r="M340" s="606"/>
      <c r="N340" s="606"/>
      <c r="O340" s="606"/>
      <c r="P340" s="606"/>
      <c r="Q340" s="606"/>
      <c r="R340" s="606"/>
      <c r="S340" s="606"/>
      <c r="T340" s="606"/>
      <c r="U340" s="606"/>
      <c r="V340" s="607"/>
      <c r="W340" s="461"/>
      <c r="X340" s="131"/>
      <c r="Y340" s="101"/>
      <c r="Z340" s="101"/>
      <c r="AA340" s="101"/>
      <c r="AB340" s="101"/>
      <c r="AC340" s="101"/>
      <c r="AD340" s="101"/>
      <c r="AE340" s="101"/>
      <c r="AF340" s="101"/>
      <c r="AG340" s="101"/>
      <c r="AH340" s="101"/>
      <c r="AI340" s="101"/>
      <c r="AJ340" s="101"/>
      <c r="AK340" s="101"/>
      <c r="AL340" s="101"/>
    </row>
    <row r="341">
      <c r="A341" s="52"/>
      <c r="B341" s="602"/>
      <c r="C341" s="52"/>
      <c r="D341" s="603"/>
      <c r="E341" s="604"/>
      <c r="F341" s="603"/>
      <c r="G341" s="605"/>
      <c r="H341" s="605"/>
      <c r="I341" s="606"/>
      <c r="J341" s="606"/>
      <c r="K341" s="606"/>
      <c r="L341" s="606"/>
      <c r="M341" s="606"/>
      <c r="N341" s="606"/>
      <c r="O341" s="606"/>
      <c r="P341" s="606"/>
      <c r="Q341" s="606"/>
      <c r="R341" s="606"/>
      <c r="S341" s="606"/>
      <c r="T341" s="606"/>
      <c r="U341" s="606"/>
      <c r="V341" s="607"/>
      <c r="W341" s="461"/>
      <c r="X341" s="131"/>
      <c r="Y341" s="101"/>
      <c r="Z341" s="101"/>
      <c r="AA341" s="101"/>
      <c r="AB341" s="101"/>
      <c r="AC341" s="101"/>
      <c r="AD341" s="101"/>
      <c r="AE341" s="101"/>
      <c r="AF341" s="101"/>
      <c r="AG341" s="101"/>
      <c r="AH341" s="101"/>
      <c r="AI341" s="101"/>
      <c r="AJ341" s="101"/>
      <c r="AK341" s="101"/>
      <c r="AL341" s="101"/>
    </row>
    <row r="342">
      <c r="A342" s="52"/>
      <c r="B342" s="602"/>
      <c r="C342" s="52"/>
      <c r="D342" s="603"/>
      <c r="E342" s="604"/>
      <c r="F342" s="603"/>
      <c r="G342" s="605"/>
      <c r="H342" s="605"/>
      <c r="I342" s="606"/>
      <c r="J342" s="606"/>
      <c r="K342" s="606"/>
      <c r="L342" s="606"/>
      <c r="M342" s="606"/>
      <c r="N342" s="606"/>
      <c r="O342" s="606"/>
      <c r="P342" s="606"/>
      <c r="Q342" s="606"/>
      <c r="R342" s="606"/>
      <c r="S342" s="606"/>
      <c r="T342" s="606"/>
      <c r="U342" s="606"/>
      <c r="V342" s="607"/>
      <c r="W342" s="461"/>
      <c r="X342" s="131"/>
      <c r="Y342" s="101"/>
      <c r="Z342" s="101"/>
      <c r="AA342" s="101"/>
      <c r="AB342" s="101"/>
      <c r="AC342" s="101"/>
      <c r="AD342" s="101"/>
      <c r="AE342" s="101"/>
      <c r="AF342" s="101"/>
      <c r="AG342" s="101"/>
      <c r="AH342" s="101"/>
      <c r="AI342" s="101"/>
      <c r="AJ342" s="101"/>
      <c r="AK342" s="101"/>
      <c r="AL342" s="101"/>
    </row>
    <row r="343">
      <c r="A343" s="52"/>
      <c r="B343" s="602"/>
      <c r="C343" s="52"/>
      <c r="D343" s="603"/>
      <c r="E343" s="604"/>
      <c r="F343" s="603"/>
      <c r="G343" s="605"/>
      <c r="H343" s="605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7"/>
      <c r="W343" s="461"/>
      <c r="X343" s="131"/>
      <c r="Y343" s="101"/>
      <c r="Z343" s="101"/>
      <c r="AA343" s="101"/>
      <c r="AB343" s="101"/>
      <c r="AC343" s="101"/>
      <c r="AD343" s="101"/>
      <c r="AE343" s="101"/>
      <c r="AF343" s="101"/>
      <c r="AG343" s="101"/>
      <c r="AH343" s="101"/>
      <c r="AI343" s="101"/>
      <c r="AJ343" s="101"/>
      <c r="AK343" s="101"/>
      <c r="AL343" s="101"/>
    </row>
    <row r="344">
      <c r="A344" s="52"/>
      <c r="B344" s="602"/>
      <c r="C344" s="52"/>
      <c r="D344" s="603"/>
      <c r="E344" s="604"/>
      <c r="F344" s="603"/>
      <c r="G344" s="605"/>
      <c r="H344" s="605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7"/>
      <c r="W344" s="461"/>
      <c r="X344" s="131"/>
      <c r="Y344" s="101"/>
      <c r="Z344" s="101"/>
      <c r="AA344" s="101"/>
      <c r="AB344" s="101"/>
      <c r="AC344" s="101"/>
      <c r="AD344" s="101"/>
      <c r="AE344" s="101"/>
      <c r="AF344" s="101"/>
      <c r="AG344" s="101"/>
      <c r="AH344" s="101"/>
      <c r="AI344" s="101"/>
      <c r="AJ344" s="101"/>
      <c r="AK344" s="101"/>
      <c r="AL344" s="101"/>
    </row>
    <row r="345">
      <c r="A345" s="52"/>
      <c r="B345" s="602"/>
      <c r="C345" s="52"/>
      <c r="D345" s="603"/>
      <c r="E345" s="604"/>
      <c r="F345" s="603"/>
      <c r="G345" s="605"/>
      <c r="H345" s="605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7"/>
      <c r="W345" s="461"/>
      <c r="X345" s="131"/>
      <c r="Y345" s="101"/>
      <c r="Z345" s="101"/>
      <c r="AA345" s="101"/>
      <c r="AB345" s="101"/>
      <c r="AC345" s="101"/>
      <c r="AD345" s="101"/>
      <c r="AE345" s="101"/>
      <c r="AF345" s="101"/>
      <c r="AG345" s="101"/>
      <c r="AH345" s="101"/>
      <c r="AI345" s="101"/>
      <c r="AJ345" s="101"/>
      <c r="AK345" s="101"/>
      <c r="AL345" s="101"/>
    </row>
    <row r="346">
      <c r="A346" s="52"/>
      <c r="B346" s="602"/>
      <c r="C346" s="52"/>
      <c r="D346" s="603"/>
      <c r="E346" s="604"/>
      <c r="F346" s="603"/>
      <c r="G346" s="605"/>
      <c r="H346" s="605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7"/>
      <c r="W346" s="461"/>
      <c r="X346" s="131"/>
      <c r="Y346" s="101"/>
      <c r="Z346" s="101"/>
      <c r="AA346" s="101"/>
      <c r="AB346" s="101"/>
      <c r="AC346" s="101"/>
      <c r="AD346" s="101"/>
      <c r="AE346" s="101"/>
      <c r="AF346" s="101"/>
      <c r="AG346" s="101"/>
      <c r="AH346" s="101"/>
      <c r="AI346" s="101"/>
      <c r="AJ346" s="101"/>
      <c r="AK346" s="101"/>
      <c r="AL346" s="101"/>
    </row>
    <row r="347">
      <c r="A347" s="52"/>
      <c r="B347" s="602"/>
      <c r="C347" s="52"/>
      <c r="D347" s="603"/>
      <c r="E347" s="604"/>
      <c r="F347" s="603"/>
      <c r="G347" s="605"/>
      <c r="H347" s="605"/>
      <c r="I347" s="606"/>
      <c r="J347" s="606"/>
      <c r="K347" s="606"/>
      <c r="L347" s="606"/>
      <c r="M347" s="606"/>
      <c r="N347" s="606"/>
      <c r="O347" s="606"/>
      <c r="P347" s="606"/>
      <c r="Q347" s="606"/>
      <c r="R347" s="606"/>
      <c r="S347" s="606"/>
      <c r="T347" s="606"/>
      <c r="U347" s="606"/>
      <c r="V347" s="607"/>
      <c r="W347" s="461"/>
      <c r="X347" s="131"/>
      <c r="Y347" s="101"/>
      <c r="Z347" s="101"/>
      <c r="AA347" s="101"/>
      <c r="AB347" s="101"/>
      <c r="AC347" s="101"/>
      <c r="AD347" s="101"/>
      <c r="AE347" s="101"/>
      <c r="AF347" s="101"/>
      <c r="AG347" s="101"/>
      <c r="AH347" s="101"/>
      <c r="AI347" s="101"/>
      <c r="AJ347" s="101"/>
      <c r="AK347" s="101"/>
      <c r="AL347" s="101"/>
    </row>
    <row r="348">
      <c r="A348" s="52"/>
      <c r="B348" s="602"/>
      <c r="C348" s="52"/>
      <c r="D348" s="603"/>
      <c r="E348" s="604"/>
      <c r="F348" s="603"/>
      <c r="G348" s="605"/>
      <c r="H348" s="605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7"/>
      <c r="W348" s="461"/>
      <c r="X348" s="13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1"/>
      <c r="AJ348" s="101"/>
      <c r="AK348" s="101"/>
      <c r="AL348" s="101"/>
    </row>
    <row r="349">
      <c r="A349" s="52"/>
      <c r="B349" s="602"/>
      <c r="C349" s="52"/>
      <c r="D349" s="603"/>
      <c r="E349" s="604"/>
      <c r="F349" s="603"/>
      <c r="G349" s="605"/>
      <c r="H349" s="605"/>
      <c r="I349" s="606"/>
      <c r="J349" s="606"/>
      <c r="K349" s="606"/>
      <c r="L349" s="606"/>
      <c r="M349" s="606"/>
      <c r="N349" s="606"/>
      <c r="O349" s="606"/>
      <c r="P349" s="606"/>
      <c r="Q349" s="606"/>
      <c r="R349" s="606"/>
      <c r="S349" s="606"/>
      <c r="T349" s="606"/>
      <c r="U349" s="606"/>
      <c r="V349" s="607"/>
      <c r="W349" s="461"/>
      <c r="X349" s="13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1"/>
      <c r="AI349" s="101"/>
      <c r="AJ349" s="101"/>
      <c r="AK349" s="101"/>
      <c r="AL349" s="101"/>
    </row>
    <row r="350">
      <c r="A350" s="52"/>
      <c r="B350" s="602"/>
      <c r="C350" s="52"/>
      <c r="D350" s="603"/>
      <c r="E350" s="604"/>
      <c r="F350" s="603"/>
      <c r="G350" s="605"/>
      <c r="H350" s="605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06"/>
      <c r="T350" s="606"/>
      <c r="U350" s="606"/>
      <c r="V350" s="607"/>
      <c r="W350" s="461"/>
      <c r="X350" s="131"/>
      <c r="Y350" s="101"/>
      <c r="Z350" s="101"/>
      <c r="AA350" s="101"/>
      <c r="AB350" s="101"/>
      <c r="AC350" s="101"/>
      <c r="AD350" s="101"/>
      <c r="AE350" s="101"/>
      <c r="AF350" s="101"/>
      <c r="AG350" s="101"/>
      <c r="AH350" s="101"/>
      <c r="AI350" s="101"/>
      <c r="AJ350" s="101"/>
      <c r="AK350" s="101"/>
      <c r="AL350" s="101"/>
    </row>
    <row r="351">
      <c r="A351" s="52"/>
      <c r="B351" s="602"/>
      <c r="C351" s="52"/>
      <c r="D351" s="603"/>
      <c r="E351" s="604"/>
      <c r="F351" s="603"/>
      <c r="G351" s="605"/>
      <c r="H351" s="605"/>
      <c r="I351" s="606"/>
      <c r="J351" s="606"/>
      <c r="K351" s="606"/>
      <c r="L351" s="606"/>
      <c r="M351" s="606"/>
      <c r="N351" s="606"/>
      <c r="O351" s="606"/>
      <c r="P351" s="606"/>
      <c r="Q351" s="606"/>
      <c r="R351" s="606"/>
      <c r="S351" s="606"/>
      <c r="T351" s="606"/>
      <c r="U351" s="606"/>
      <c r="V351" s="607"/>
      <c r="W351" s="461"/>
      <c r="X351" s="131"/>
      <c r="Y351" s="101"/>
      <c r="Z351" s="101"/>
      <c r="AA351" s="101"/>
      <c r="AB351" s="101"/>
      <c r="AC351" s="101"/>
      <c r="AD351" s="101"/>
      <c r="AE351" s="101"/>
      <c r="AF351" s="101"/>
      <c r="AG351" s="101"/>
      <c r="AH351" s="101"/>
      <c r="AI351" s="101"/>
      <c r="AJ351" s="101"/>
      <c r="AK351" s="101"/>
      <c r="AL351" s="101"/>
    </row>
    <row r="352">
      <c r="A352" s="52"/>
      <c r="B352" s="602"/>
      <c r="C352" s="52"/>
      <c r="D352" s="603"/>
      <c r="E352" s="604"/>
      <c r="F352" s="603"/>
      <c r="G352" s="605"/>
      <c r="H352" s="605"/>
      <c r="I352" s="606"/>
      <c r="J352" s="606"/>
      <c r="K352" s="606"/>
      <c r="L352" s="606"/>
      <c r="M352" s="606"/>
      <c r="N352" s="606"/>
      <c r="O352" s="606"/>
      <c r="P352" s="606"/>
      <c r="Q352" s="606"/>
      <c r="R352" s="606"/>
      <c r="S352" s="606"/>
      <c r="T352" s="606"/>
      <c r="U352" s="606"/>
      <c r="V352" s="607"/>
      <c r="W352" s="461"/>
      <c r="X352" s="131"/>
      <c r="Y352" s="101"/>
      <c r="Z352" s="101"/>
      <c r="AA352" s="101"/>
      <c r="AB352" s="101"/>
      <c r="AC352" s="101"/>
      <c r="AD352" s="101"/>
      <c r="AE352" s="101"/>
      <c r="AF352" s="101"/>
      <c r="AG352" s="101"/>
      <c r="AH352" s="101"/>
      <c r="AI352" s="101"/>
      <c r="AJ352" s="101"/>
      <c r="AK352" s="101"/>
      <c r="AL352" s="101"/>
    </row>
    <row r="353">
      <c r="A353" s="52"/>
      <c r="B353" s="602"/>
      <c r="C353" s="52"/>
      <c r="D353" s="603"/>
      <c r="E353" s="604"/>
      <c r="F353" s="603"/>
      <c r="G353" s="605"/>
      <c r="H353" s="605"/>
      <c r="I353" s="606"/>
      <c r="J353" s="606"/>
      <c r="K353" s="606"/>
      <c r="L353" s="606"/>
      <c r="M353" s="606"/>
      <c r="N353" s="606"/>
      <c r="O353" s="606"/>
      <c r="P353" s="606"/>
      <c r="Q353" s="606"/>
      <c r="R353" s="606"/>
      <c r="S353" s="606"/>
      <c r="T353" s="606"/>
      <c r="U353" s="606"/>
      <c r="V353" s="607"/>
      <c r="W353" s="461"/>
      <c r="X353" s="131"/>
      <c r="Y353" s="101"/>
      <c r="Z353" s="101"/>
      <c r="AA353" s="101"/>
      <c r="AB353" s="101"/>
      <c r="AC353" s="101"/>
      <c r="AD353" s="101"/>
      <c r="AE353" s="101"/>
      <c r="AF353" s="101"/>
      <c r="AG353" s="101"/>
      <c r="AH353" s="101"/>
      <c r="AI353" s="101"/>
      <c r="AJ353" s="101"/>
      <c r="AK353" s="101"/>
      <c r="AL353" s="101"/>
    </row>
    <row r="354">
      <c r="A354" s="52"/>
      <c r="B354" s="602"/>
      <c r="C354" s="52"/>
      <c r="D354" s="603"/>
      <c r="E354" s="604"/>
      <c r="F354" s="603"/>
      <c r="G354" s="605"/>
      <c r="H354" s="605"/>
      <c r="I354" s="606"/>
      <c r="J354" s="606"/>
      <c r="K354" s="606"/>
      <c r="L354" s="606"/>
      <c r="M354" s="606"/>
      <c r="N354" s="606"/>
      <c r="O354" s="606"/>
      <c r="P354" s="606"/>
      <c r="Q354" s="606"/>
      <c r="R354" s="606"/>
      <c r="S354" s="606"/>
      <c r="T354" s="606"/>
      <c r="U354" s="606"/>
      <c r="V354" s="607"/>
      <c r="W354" s="461"/>
      <c r="X354" s="131"/>
      <c r="Y354" s="101"/>
      <c r="Z354" s="101"/>
      <c r="AA354" s="101"/>
      <c r="AB354" s="101"/>
      <c r="AC354" s="101"/>
      <c r="AD354" s="101"/>
      <c r="AE354" s="101"/>
      <c r="AF354" s="101"/>
      <c r="AG354" s="101"/>
      <c r="AH354" s="101"/>
      <c r="AI354" s="101"/>
      <c r="AJ354" s="101"/>
      <c r="AK354" s="101"/>
      <c r="AL354" s="101"/>
    </row>
    <row r="355">
      <c r="A355" s="52"/>
      <c r="B355" s="602"/>
      <c r="C355" s="52"/>
      <c r="D355" s="603"/>
      <c r="E355" s="604"/>
      <c r="F355" s="603"/>
      <c r="G355" s="605"/>
      <c r="H355" s="605"/>
      <c r="I355" s="606"/>
      <c r="J355" s="606"/>
      <c r="K355" s="606"/>
      <c r="L355" s="606"/>
      <c r="M355" s="606"/>
      <c r="N355" s="606"/>
      <c r="O355" s="606"/>
      <c r="P355" s="606"/>
      <c r="Q355" s="606"/>
      <c r="R355" s="606"/>
      <c r="S355" s="606"/>
      <c r="T355" s="606"/>
      <c r="U355" s="606"/>
      <c r="V355" s="607"/>
      <c r="W355" s="461"/>
      <c r="X355" s="131"/>
      <c r="Y355" s="101"/>
      <c r="Z355" s="101"/>
      <c r="AA355" s="101"/>
      <c r="AB355" s="101"/>
      <c r="AC355" s="101"/>
      <c r="AD355" s="101"/>
      <c r="AE355" s="101"/>
      <c r="AF355" s="101"/>
      <c r="AG355" s="101"/>
      <c r="AH355" s="101"/>
      <c r="AI355" s="101"/>
      <c r="AJ355" s="101"/>
      <c r="AK355" s="101"/>
      <c r="AL355" s="101"/>
    </row>
    <row r="356">
      <c r="A356" s="52"/>
      <c r="B356" s="602"/>
      <c r="C356" s="52"/>
      <c r="D356" s="603"/>
      <c r="E356" s="604"/>
      <c r="F356" s="603"/>
      <c r="G356" s="605"/>
      <c r="H356" s="605"/>
      <c r="I356" s="606"/>
      <c r="J356" s="606"/>
      <c r="K356" s="606"/>
      <c r="L356" s="606"/>
      <c r="M356" s="606"/>
      <c r="N356" s="606"/>
      <c r="O356" s="606"/>
      <c r="P356" s="606"/>
      <c r="Q356" s="606"/>
      <c r="R356" s="606"/>
      <c r="S356" s="606"/>
      <c r="T356" s="606"/>
      <c r="U356" s="606"/>
      <c r="V356" s="607"/>
      <c r="W356" s="461"/>
      <c r="X356" s="131"/>
      <c r="Y356" s="101"/>
      <c r="Z356" s="101"/>
      <c r="AA356" s="101"/>
      <c r="AB356" s="101"/>
      <c r="AC356" s="101"/>
      <c r="AD356" s="101"/>
      <c r="AE356" s="101"/>
      <c r="AF356" s="101"/>
      <c r="AG356" s="101"/>
      <c r="AH356" s="101"/>
      <c r="AI356" s="101"/>
      <c r="AJ356" s="101"/>
      <c r="AK356" s="101"/>
      <c r="AL356" s="101"/>
    </row>
    <row r="357">
      <c r="A357" s="52"/>
      <c r="B357" s="602"/>
      <c r="C357" s="52"/>
      <c r="D357" s="603"/>
      <c r="E357" s="604"/>
      <c r="F357" s="603"/>
      <c r="G357" s="605"/>
      <c r="H357" s="605"/>
      <c r="I357" s="606"/>
      <c r="J357" s="606"/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7"/>
      <c r="W357" s="461"/>
      <c r="X357" s="131"/>
      <c r="Y357" s="101"/>
      <c r="Z357" s="101"/>
      <c r="AA357" s="101"/>
      <c r="AB357" s="101"/>
      <c r="AC357" s="101"/>
      <c r="AD357" s="101"/>
      <c r="AE357" s="101"/>
      <c r="AF357" s="101"/>
      <c r="AG357" s="101"/>
      <c r="AH357" s="101"/>
      <c r="AI357" s="101"/>
      <c r="AJ357" s="101"/>
      <c r="AK357" s="101"/>
      <c r="AL357" s="101"/>
    </row>
    <row r="358">
      <c r="A358" s="52"/>
      <c r="B358" s="602"/>
      <c r="C358" s="52"/>
      <c r="D358" s="603"/>
      <c r="E358" s="604"/>
      <c r="F358" s="603"/>
      <c r="G358" s="605"/>
      <c r="H358" s="605"/>
      <c r="I358" s="606"/>
      <c r="J358" s="606"/>
      <c r="K358" s="606"/>
      <c r="L358" s="606"/>
      <c r="M358" s="606"/>
      <c r="N358" s="606"/>
      <c r="O358" s="606"/>
      <c r="P358" s="606"/>
      <c r="Q358" s="606"/>
      <c r="R358" s="606"/>
      <c r="S358" s="606"/>
      <c r="T358" s="606"/>
      <c r="U358" s="606"/>
      <c r="V358" s="607"/>
      <c r="W358" s="461"/>
      <c r="X358" s="131"/>
      <c r="Y358" s="101"/>
      <c r="Z358" s="101"/>
      <c r="AA358" s="101"/>
      <c r="AB358" s="101"/>
      <c r="AC358" s="101"/>
      <c r="AD358" s="101"/>
      <c r="AE358" s="101"/>
      <c r="AF358" s="101"/>
      <c r="AG358" s="101"/>
      <c r="AH358" s="101"/>
      <c r="AI358" s="101"/>
      <c r="AJ358" s="101"/>
      <c r="AK358" s="101"/>
      <c r="AL358" s="101"/>
    </row>
    <row r="359">
      <c r="A359" s="52"/>
      <c r="B359" s="602"/>
      <c r="C359" s="52"/>
      <c r="D359" s="603"/>
      <c r="E359" s="604"/>
      <c r="F359" s="603"/>
      <c r="G359" s="605"/>
      <c r="H359" s="605"/>
      <c r="I359" s="606"/>
      <c r="J359" s="606"/>
      <c r="K359" s="606"/>
      <c r="L359" s="606"/>
      <c r="M359" s="606"/>
      <c r="N359" s="606"/>
      <c r="O359" s="606"/>
      <c r="P359" s="606"/>
      <c r="Q359" s="606"/>
      <c r="R359" s="606"/>
      <c r="S359" s="606"/>
      <c r="T359" s="606"/>
      <c r="U359" s="606"/>
      <c r="V359" s="607"/>
      <c r="W359" s="461"/>
      <c r="X359" s="131"/>
      <c r="Y359" s="101"/>
      <c r="Z359" s="101"/>
      <c r="AA359" s="101"/>
      <c r="AB359" s="101"/>
      <c r="AC359" s="101"/>
      <c r="AD359" s="101"/>
      <c r="AE359" s="101"/>
      <c r="AF359" s="101"/>
      <c r="AG359" s="101"/>
      <c r="AH359" s="101"/>
      <c r="AI359" s="101"/>
      <c r="AJ359" s="101"/>
      <c r="AK359" s="101"/>
      <c r="AL359" s="101"/>
    </row>
    <row r="360">
      <c r="A360" s="52"/>
      <c r="B360" s="602"/>
      <c r="C360" s="52"/>
      <c r="D360" s="603"/>
      <c r="E360" s="604"/>
      <c r="F360" s="603"/>
      <c r="G360" s="605"/>
      <c r="H360" s="605"/>
      <c r="I360" s="606"/>
      <c r="J360" s="606"/>
      <c r="K360" s="606"/>
      <c r="L360" s="606"/>
      <c r="M360" s="606"/>
      <c r="N360" s="606"/>
      <c r="O360" s="606"/>
      <c r="P360" s="606"/>
      <c r="Q360" s="606"/>
      <c r="R360" s="606"/>
      <c r="S360" s="606"/>
      <c r="T360" s="606"/>
      <c r="U360" s="606"/>
      <c r="V360" s="607"/>
      <c r="W360" s="461"/>
      <c r="X360" s="131"/>
      <c r="Y360" s="101"/>
      <c r="Z360" s="101"/>
      <c r="AA360" s="101"/>
      <c r="AB360" s="101"/>
      <c r="AC360" s="101"/>
      <c r="AD360" s="101"/>
      <c r="AE360" s="101"/>
      <c r="AF360" s="101"/>
      <c r="AG360" s="101"/>
      <c r="AH360" s="101"/>
      <c r="AI360" s="101"/>
      <c r="AJ360" s="101"/>
      <c r="AK360" s="101"/>
      <c r="AL360" s="101"/>
    </row>
    <row r="361">
      <c r="A361" s="52"/>
      <c r="B361" s="602"/>
      <c r="C361" s="52"/>
      <c r="D361" s="603"/>
      <c r="E361" s="604"/>
      <c r="F361" s="603"/>
      <c r="G361" s="605"/>
      <c r="H361" s="605"/>
      <c r="I361" s="606"/>
      <c r="J361" s="606"/>
      <c r="K361" s="606"/>
      <c r="L361" s="606"/>
      <c r="M361" s="606"/>
      <c r="N361" s="606"/>
      <c r="O361" s="606"/>
      <c r="P361" s="606"/>
      <c r="Q361" s="606"/>
      <c r="R361" s="606"/>
      <c r="S361" s="606"/>
      <c r="T361" s="606"/>
      <c r="U361" s="606"/>
      <c r="V361" s="607"/>
      <c r="W361" s="461"/>
      <c r="X361" s="131"/>
      <c r="Y361" s="101"/>
      <c r="Z361" s="101"/>
      <c r="AA361" s="101"/>
      <c r="AB361" s="101"/>
      <c r="AC361" s="101"/>
      <c r="AD361" s="101"/>
      <c r="AE361" s="101"/>
      <c r="AF361" s="101"/>
      <c r="AG361" s="101"/>
      <c r="AH361" s="101"/>
      <c r="AI361" s="101"/>
      <c r="AJ361" s="101"/>
      <c r="AK361" s="101"/>
      <c r="AL361" s="101"/>
    </row>
    <row r="362">
      <c r="A362" s="52"/>
      <c r="B362" s="602"/>
      <c r="C362" s="52"/>
      <c r="D362" s="603"/>
      <c r="E362" s="604"/>
      <c r="F362" s="603"/>
      <c r="G362" s="605"/>
      <c r="H362" s="605"/>
      <c r="I362" s="606"/>
      <c r="J362" s="606"/>
      <c r="K362" s="606"/>
      <c r="L362" s="606"/>
      <c r="M362" s="606"/>
      <c r="N362" s="606"/>
      <c r="O362" s="606"/>
      <c r="P362" s="606"/>
      <c r="Q362" s="606"/>
      <c r="R362" s="606"/>
      <c r="S362" s="606"/>
      <c r="T362" s="606"/>
      <c r="U362" s="606"/>
      <c r="V362" s="607"/>
      <c r="W362" s="461"/>
      <c r="X362" s="131"/>
      <c r="Y362" s="101"/>
      <c r="Z362" s="101"/>
      <c r="AA362" s="101"/>
      <c r="AB362" s="101"/>
      <c r="AC362" s="101"/>
      <c r="AD362" s="101"/>
      <c r="AE362" s="101"/>
      <c r="AF362" s="101"/>
      <c r="AG362" s="101"/>
      <c r="AH362" s="101"/>
      <c r="AI362" s="101"/>
      <c r="AJ362" s="101"/>
      <c r="AK362" s="101"/>
      <c r="AL362" s="101"/>
    </row>
    <row r="363">
      <c r="A363" s="52"/>
      <c r="B363" s="602"/>
      <c r="C363" s="52"/>
      <c r="D363" s="603"/>
      <c r="E363" s="604"/>
      <c r="F363" s="603"/>
      <c r="G363" s="605"/>
      <c r="H363" s="605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7"/>
      <c r="W363" s="461"/>
      <c r="X363" s="131"/>
      <c r="Y363" s="101"/>
      <c r="Z363" s="101"/>
      <c r="AA363" s="101"/>
      <c r="AB363" s="101"/>
      <c r="AC363" s="101"/>
      <c r="AD363" s="101"/>
      <c r="AE363" s="101"/>
      <c r="AF363" s="101"/>
      <c r="AG363" s="101"/>
      <c r="AH363" s="101"/>
      <c r="AI363" s="101"/>
      <c r="AJ363" s="101"/>
      <c r="AK363" s="101"/>
      <c r="AL363" s="101"/>
    </row>
    <row r="364">
      <c r="A364" s="52"/>
      <c r="B364" s="602"/>
      <c r="C364" s="52"/>
      <c r="D364" s="603"/>
      <c r="E364" s="604"/>
      <c r="F364" s="603"/>
      <c r="G364" s="605"/>
      <c r="H364" s="605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7"/>
      <c r="W364" s="461"/>
      <c r="X364" s="131"/>
      <c r="Y364" s="101"/>
      <c r="Z364" s="101"/>
      <c r="AA364" s="101"/>
      <c r="AB364" s="101"/>
      <c r="AC364" s="101"/>
      <c r="AD364" s="101"/>
      <c r="AE364" s="101"/>
      <c r="AF364" s="101"/>
      <c r="AG364" s="101"/>
      <c r="AH364" s="101"/>
      <c r="AI364" s="101"/>
      <c r="AJ364" s="101"/>
      <c r="AK364" s="101"/>
      <c r="AL364" s="101"/>
    </row>
    <row r="365">
      <c r="A365" s="52"/>
      <c r="B365" s="602"/>
      <c r="C365" s="52"/>
      <c r="D365" s="603"/>
      <c r="E365" s="604"/>
      <c r="F365" s="603"/>
      <c r="G365" s="605"/>
      <c r="H365" s="605"/>
      <c r="I365" s="606"/>
      <c r="J365" s="606"/>
      <c r="K365" s="606"/>
      <c r="L365" s="606"/>
      <c r="M365" s="606"/>
      <c r="N365" s="606"/>
      <c r="O365" s="606"/>
      <c r="P365" s="606"/>
      <c r="Q365" s="606"/>
      <c r="R365" s="606"/>
      <c r="S365" s="606"/>
      <c r="T365" s="606"/>
      <c r="U365" s="606"/>
      <c r="V365" s="607"/>
      <c r="W365" s="461"/>
      <c r="X365" s="131"/>
      <c r="Y365" s="101"/>
      <c r="Z365" s="101"/>
      <c r="AA365" s="101"/>
      <c r="AB365" s="101"/>
      <c r="AC365" s="101"/>
      <c r="AD365" s="101"/>
      <c r="AE365" s="101"/>
      <c r="AF365" s="101"/>
      <c r="AG365" s="101"/>
      <c r="AH365" s="101"/>
      <c r="AI365" s="101"/>
      <c r="AJ365" s="101"/>
      <c r="AK365" s="101"/>
      <c r="AL365" s="101"/>
    </row>
    <row r="366">
      <c r="A366" s="52"/>
      <c r="B366" s="602"/>
      <c r="C366" s="52"/>
      <c r="D366" s="603"/>
      <c r="E366" s="604"/>
      <c r="F366" s="603"/>
      <c r="G366" s="605"/>
      <c r="H366" s="605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7"/>
      <c r="W366" s="461"/>
      <c r="X366" s="131"/>
      <c r="Y366" s="101"/>
      <c r="Z366" s="101"/>
      <c r="AA366" s="101"/>
      <c r="AB366" s="101"/>
      <c r="AC366" s="101"/>
      <c r="AD366" s="101"/>
      <c r="AE366" s="101"/>
      <c r="AF366" s="101"/>
      <c r="AG366" s="101"/>
      <c r="AH366" s="101"/>
      <c r="AI366" s="101"/>
      <c r="AJ366" s="101"/>
      <c r="AK366" s="101"/>
      <c r="AL366" s="101"/>
    </row>
    <row r="367">
      <c r="A367" s="52"/>
      <c r="B367" s="602"/>
      <c r="C367" s="52"/>
      <c r="D367" s="603"/>
      <c r="E367" s="604"/>
      <c r="F367" s="603"/>
      <c r="G367" s="605"/>
      <c r="H367" s="605"/>
      <c r="I367" s="606"/>
      <c r="J367" s="606"/>
      <c r="K367" s="606"/>
      <c r="L367" s="606"/>
      <c r="M367" s="606"/>
      <c r="N367" s="606"/>
      <c r="O367" s="606"/>
      <c r="P367" s="606"/>
      <c r="Q367" s="606"/>
      <c r="R367" s="606"/>
      <c r="S367" s="606"/>
      <c r="T367" s="606"/>
      <c r="U367" s="606"/>
      <c r="V367" s="607"/>
      <c r="W367" s="461"/>
      <c r="X367" s="131"/>
      <c r="Y367" s="101"/>
      <c r="Z367" s="101"/>
      <c r="AA367" s="101"/>
      <c r="AB367" s="101"/>
      <c r="AC367" s="101"/>
      <c r="AD367" s="101"/>
      <c r="AE367" s="101"/>
      <c r="AF367" s="101"/>
      <c r="AG367" s="101"/>
      <c r="AH367" s="101"/>
      <c r="AI367" s="101"/>
      <c r="AJ367" s="101"/>
      <c r="AK367" s="101"/>
      <c r="AL367" s="101"/>
    </row>
    <row r="368">
      <c r="A368" s="52"/>
      <c r="B368" s="602"/>
      <c r="C368" s="52"/>
      <c r="D368" s="603"/>
      <c r="E368" s="604"/>
      <c r="F368" s="603"/>
      <c r="G368" s="605"/>
      <c r="H368" s="605"/>
      <c r="I368" s="606"/>
      <c r="J368" s="606"/>
      <c r="K368" s="606"/>
      <c r="L368" s="606"/>
      <c r="M368" s="606"/>
      <c r="N368" s="606"/>
      <c r="O368" s="606"/>
      <c r="P368" s="606"/>
      <c r="Q368" s="606"/>
      <c r="R368" s="606"/>
      <c r="S368" s="606"/>
      <c r="T368" s="606"/>
      <c r="U368" s="606"/>
      <c r="V368" s="607"/>
      <c r="W368" s="461"/>
      <c r="X368" s="131"/>
      <c r="Y368" s="101"/>
      <c r="Z368" s="101"/>
      <c r="AA368" s="101"/>
      <c r="AB368" s="101"/>
      <c r="AC368" s="101"/>
      <c r="AD368" s="101"/>
      <c r="AE368" s="101"/>
      <c r="AF368" s="101"/>
      <c r="AG368" s="101"/>
      <c r="AH368" s="101"/>
      <c r="AI368" s="101"/>
      <c r="AJ368" s="101"/>
      <c r="AK368" s="101"/>
      <c r="AL368" s="101"/>
    </row>
    <row r="369">
      <c r="A369" s="52"/>
      <c r="B369" s="602"/>
      <c r="C369" s="52"/>
      <c r="D369" s="603"/>
      <c r="E369" s="604"/>
      <c r="F369" s="603"/>
      <c r="G369" s="605"/>
      <c r="H369" s="605"/>
      <c r="I369" s="606"/>
      <c r="J369" s="606"/>
      <c r="K369" s="606"/>
      <c r="L369" s="606"/>
      <c r="M369" s="606"/>
      <c r="N369" s="606"/>
      <c r="O369" s="606"/>
      <c r="P369" s="606"/>
      <c r="Q369" s="606"/>
      <c r="R369" s="606"/>
      <c r="S369" s="606"/>
      <c r="T369" s="606"/>
      <c r="U369" s="606"/>
      <c r="V369" s="607"/>
      <c r="W369" s="461"/>
      <c r="X369" s="131"/>
      <c r="Y369" s="101"/>
      <c r="Z369" s="101"/>
      <c r="AA369" s="101"/>
      <c r="AB369" s="101"/>
      <c r="AC369" s="101"/>
      <c r="AD369" s="101"/>
      <c r="AE369" s="101"/>
      <c r="AF369" s="101"/>
      <c r="AG369" s="101"/>
      <c r="AH369" s="101"/>
      <c r="AI369" s="101"/>
      <c r="AJ369" s="101"/>
      <c r="AK369" s="101"/>
      <c r="AL369" s="101"/>
    </row>
    <row r="370">
      <c r="A370" s="52"/>
      <c r="B370" s="602"/>
      <c r="C370" s="52"/>
      <c r="D370" s="603"/>
      <c r="E370" s="604"/>
      <c r="F370" s="603"/>
      <c r="G370" s="605"/>
      <c r="H370" s="605"/>
      <c r="I370" s="606"/>
      <c r="J370" s="606"/>
      <c r="K370" s="606"/>
      <c r="L370" s="606"/>
      <c r="M370" s="606"/>
      <c r="N370" s="606"/>
      <c r="O370" s="606"/>
      <c r="P370" s="606"/>
      <c r="Q370" s="606"/>
      <c r="R370" s="606"/>
      <c r="S370" s="606"/>
      <c r="T370" s="606"/>
      <c r="U370" s="606"/>
      <c r="V370" s="607"/>
      <c r="W370" s="461"/>
      <c r="X370" s="131"/>
      <c r="Y370" s="101"/>
      <c r="Z370" s="101"/>
      <c r="AA370" s="101"/>
      <c r="AB370" s="101"/>
      <c r="AC370" s="101"/>
      <c r="AD370" s="101"/>
      <c r="AE370" s="101"/>
      <c r="AF370" s="101"/>
      <c r="AG370" s="101"/>
      <c r="AH370" s="101"/>
      <c r="AI370" s="101"/>
      <c r="AJ370" s="101"/>
      <c r="AK370" s="101"/>
      <c r="AL370" s="101"/>
    </row>
    <row r="371">
      <c r="A371" s="52"/>
      <c r="B371" s="602"/>
      <c r="C371" s="52"/>
      <c r="D371" s="603"/>
      <c r="E371" s="604"/>
      <c r="F371" s="603"/>
      <c r="G371" s="605"/>
      <c r="H371" s="605"/>
      <c r="I371" s="606"/>
      <c r="J371" s="606"/>
      <c r="K371" s="606"/>
      <c r="L371" s="606"/>
      <c r="M371" s="606"/>
      <c r="N371" s="606"/>
      <c r="O371" s="606"/>
      <c r="P371" s="606"/>
      <c r="Q371" s="606"/>
      <c r="R371" s="606"/>
      <c r="S371" s="606"/>
      <c r="T371" s="606"/>
      <c r="U371" s="606"/>
      <c r="V371" s="607"/>
      <c r="W371" s="461"/>
      <c r="X371" s="13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1"/>
      <c r="AJ371" s="101"/>
      <c r="AK371" s="101"/>
      <c r="AL371" s="101"/>
    </row>
    <row r="372">
      <c r="A372" s="52"/>
      <c r="B372" s="602"/>
      <c r="C372" s="52"/>
      <c r="D372" s="603"/>
      <c r="E372" s="604"/>
      <c r="F372" s="603"/>
      <c r="G372" s="605"/>
      <c r="H372" s="605"/>
      <c r="I372" s="606"/>
      <c r="J372" s="606"/>
      <c r="K372" s="606"/>
      <c r="L372" s="606"/>
      <c r="M372" s="606"/>
      <c r="N372" s="606"/>
      <c r="O372" s="606"/>
      <c r="P372" s="606"/>
      <c r="Q372" s="606"/>
      <c r="R372" s="606"/>
      <c r="S372" s="606"/>
      <c r="T372" s="606"/>
      <c r="U372" s="606"/>
      <c r="V372" s="607"/>
      <c r="W372" s="461"/>
      <c r="X372" s="13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1"/>
      <c r="AI372" s="101"/>
      <c r="AJ372" s="101"/>
      <c r="AK372" s="101"/>
      <c r="AL372" s="101"/>
    </row>
    <row r="373">
      <c r="A373" s="52"/>
      <c r="B373" s="602"/>
      <c r="C373" s="52"/>
      <c r="D373" s="603"/>
      <c r="E373" s="604"/>
      <c r="F373" s="603"/>
      <c r="G373" s="605"/>
      <c r="H373" s="605"/>
      <c r="I373" s="606"/>
      <c r="J373" s="606"/>
      <c r="K373" s="606"/>
      <c r="L373" s="606"/>
      <c r="M373" s="606"/>
      <c r="N373" s="606"/>
      <c r="O373" s="606"/>
      <c r="P373" s="606"/>
      <c r="Q373" s="606"/>
      <c r="R373" s="606"/>
      <c r="S373" s="606"/>
      <c r="T373" s="606"/>
      <c r="U373" s="606"/>
      <c r="V373" s="607"/>
      <c r="W373" s="461"/>
      <c r="X373" s="131"/>
      <c r="Y373" s="101"/>
      <c r="Z373" s="101"/>
      <c r="AA373" s="101"/>
      <c r="AB373" s="101"/>
      <c r="AC373" s="101"/>
      <c r="AD373" s="101"/>
      <c r="AE373" s="101"/>
      <c r="AF373" s="101"/>
      <c r="AG373" s="101"/>
      <c r="AH373" s="101"/>
      <c r="AI373" s="101"/>
      <c r="AJ373" s="101"/>
      <c r="AK373" s="101"/>
      <c r="AL373" s="101"/>
    </row>
    <row r="374">
      <c r="A374" s="52"/>
      <c r="B374" s="602"/>
      <c r="C374" s="52"/>
      <c r="D374" s="603"/>
      <c r="E374" s="604"/>
      <c r="F374" s="603"/>
      <c r="G374" s="605"/>
      <c r="H374" s="605"/>
      <c r="I374" s="606"/>
      <c r="J374" s="606"/>
      <c r="K374" s="606"/>
      <c r="L374" s="606"/>
      <c r="M374" s="606"/>
      <c r="N374" s="606"/>
      <c r="O374" s="606"/>
      <c r="P374" s="606"/>
      <c r="Q374" s="606"/>
      <c r="R374" s="606"/>
      <c r="S374" s="606"/>
      <c r="T374" s="606"/>
      <c r="U374" s="606"/>
      <c r="V374" s="607"/>
      <c r="W374" s="461"/>
      <c r="X374" s="131"/>
      <c r="Y374" s="101"/>
      <c r="Z374" s="101"/>
      <c r="AA374" s="101"/>
      <c r="AB374" s="101"/>
      <c r="AC374" s="101"/>
      <c r="AD374" s="101"/>
      <c r="AE374" s="101"/>
      <c r="AF374" s="101"/>
      <c r="AG374" s="101"/>
      <c r="AH374" s="101"/>
      <c r="AI374" s="101"/>
      <c r="AJ374" s="101"/>
      <c r="AK374" s="101"/>
      <c r="AL374" s="101"/>
    </row>
    <row r="375">
      <c r="A375" s="52"/>
      <c r="B375" s="602"/>
      <c r="C375" s="52"/>
      <c r="D375" s="603"/>
      <c r="E375" s="604"/>
      <c r="F375" s="603"/>
      <c r="G375" s="605"/>
      <c r="H375" s="605"/>
      <c r="I375" s="606"/>
      <c r="J375" s="606"/>
      <c r="K375" s="606"/>
      <c r="L375" s="606"/>
      <c r="M375" s="606"/>
      <c r="N375" s="606"/>
      <c r="O375" s="606"/>
      <c r="P375" s="606"/>
      <c r="Q375" s="606"/>
      <c r="R375" s="606"/>
      <c r="S375" s="606"/>
      <c r="T375" s="606"/>
      <c r="U375" s="606"/>
      <c r="V375" s="607"/>
      <c r="W375" s="461"/>
      <c r="X375" s="131"/>
      <c r="Y375" s="101"/>
      <c r="Z375" s="101"/>
      <c r="AA375" s="101"/>
      <c r="AB375" s="101"/>
      <c r="AC375" s="101"/>
      <c r="AD375" s="101"/>
      <c r="AE375" s="101"/>
      <c r="AF375" s="101"/>
      <c r="AG375" s="101"/>
      <c r="AH375" s="101"/>
      <c r="AI375" s="101"/>
      <c r="AJ375" s="101"/>
      <c r="AK375" s="101"/>
      <c r="AL375" s="101"/>
    </row>
    <row r="376">
      <c r="A376" s="52"/>
      <c r="B376" s="602"/>
      <c r="C376" s="52"/>
      <c r="D376" s="603"/>
      <c r="E376" s="604"/>
      <c r="F376" s="603"/>
      <c r="G376" s="605"/>
      <c r="H376" s="605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7"/>
      <c r="W376" s="461"/>
      <c r="X376" s="131"/>
      <c r="Y376" s="101"/>
      <c r="Z376" s="101"/>
      <c r="AA376" s="101"/>
      <c r="AB376" s="101"/>
      <c r="AC376" s="101"/>
      <c r="AD376" s="101"/>
      <c r="AE376" s="101"/>
      <c r="AF376" s="101"/>
      <c r="AG376" s="101"/>
      <c r="AH376" s="101"/>
      <c r="AI376" s="101"/>
      <c r="AJ376" s="101"/>
      <c r="AK376" s="101"/>
      <c r="AL376" s="101"/>
    </row>
    <row r="377">
      <c r="A377" s="52"/>
      <c r="B377" s="602"/>
      <c r="C377" s="52"/>
      <c r="D377" s="603"/>
      <c r="E377" s="604"/>
      <c r="F377" s="603"/>
      <c r="G377" s="605"/>
      <c r="H377" s="605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7"/>
      <c r="W377" s="461"/>
      <c r="X377" s="131"/>
      <c r="Y377" s="101"/>
      <c r="Z377" s="101"/>
      <c r="AA377" s="101"/>
      <c r="AB377" s="101"/>
      <c r="AC377" s="101"/>
      <c r="AD377" s="101"/>
      <c r="AE377" s="101"/>
      <c r="AF377" s="101"/>
      <c r="AG377" s="101"/>
      <c r="AH377" s="101"/>
      <c r="AI377" s="101"/>
      <c r="AJ377" s="101"/>
      <c r="AK377" s="101"/>
      <c r="AL377" s="101"/>
    </row>
    <row r="378">
      <c r="A378" s="101"/>
      <c r="B378" s="644"/>
      <c r="C378" s="101"/>
      <c r="D378" s="605"/>
      <c r="E378" s="645"/>
      <c r="F378" s="101"/>
      <c r="G378" s="101"/>
      <c r="H378" s="101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461"/>
      <c r="W378" s="461"/>
      <c r="X378" s="131"/>
      <c r="Y378" s="101"/>
      <c r="Z378" s="101"/>
      <c r="AA378" s="101"/>
      <c r="AB378" s="101"/>
      <c r="AC378" s="101"/>
      <c r="AD378" s="101"/>
      <c r="AE378" s="101"/>
      <c r="AF378" s="101"/>
      <c r="AG378" s="101"/>
      <c r="AH378" s="101"/>
      <c r="AI378" s="101"/>
      <c r="AJ378" s="101"/>
      <c r="AK378" s="101"/>
      <c r="AL378" s="101"/>
    </row>
    <row r="379">
      <c r="A379" s="101"/>
      <c r="B379" s="644"/>
      <c r="C379" s="101"/>
      <c r="D379" s="605"/>
      <c r="E379" s="645"/>
      <c r="F379" s="101"/>
      <c r="G379" s="101"/>
      <c r="H379" s="101"/>
      <c r="I379" s="606"/>
      <c r="J379" s="606"/>
      <c r="K379" s="606"/>
      <c r="L379" s="606"/>
      <c r="M379" s="606"/>
      <c r="N379" s="606"/>
      <c r="O379" s="606"/>
      <c r="P379" s="606"/>
      <c r="Q379" s="606"/>
      <c r="R379" s="606"/>
      <c r="S379" s="606"/>
      <c r="T379" s="606"/>
      <c r="U379" s="606"/>
      <c r="V379" s="461"/>
      <c r="W379" s="461"/>
      <c r="X379" s="131"/>
      <c r="Y379" s="101"/>
      <c r="Z379" s="101"/>
      <c r="AA379" s="101"/>
      <c r="AB379" s="101"/>
      <c r="AC379" s="101"/>
      <c r="AD379" s="101"/>
      <c r="AE379" s="101"/>
      <c r="AF379" s="101"/>
      <c r="AG379" s="101"/>
      <c r="AH379" s="101"/>
      <c r="AI379" s="101"/>
      <c r="AJ379" s="101"/>
      <c r="AK379" s="101"/>
      <c r="AL379" s="101"/>
    </row>
    <row r="380">
      <c r="A380" s="101"/>
      <c r="B380" s="644"/>
      <c r="C380" s="101"/>
      <c r="D380" s="605"/>
      <c r="E380" s="645"/>
      <c r="F380" s="101"/>
      <c r="G380" s="101"/>
      <c r="H380" s="101"/>
      <c r="I380" s="606"/>
      <c r="J380" s="606"/>
      <c r="K380" s="606"/>
      <c r="L380" s="606"/>
      <c r="M380" s="606"/>
      <c r="N380" s="606"/>
      <c r="O380" s="606"/>
      <c r="P380" s="606"/>
      <c r="Q380" s="606"/>
      <c r="R380" s="606"/>
      <c r="S380" s="606"/>
      <c r="T380" s="606"/>
      <c r="U380" s="606"/>
      <c r="V380" s="461"/>
      <c r="W380" s="461"/>
      <c r="X380" s="131"/>
      <c r="Y380" s="101"/>
      <c r="Z380" s="101"/>
      <c r="AA380" s="101"/>
      <c r="AB380" s="101"/>
      <c r="AC380" s="101"/>
      <c r="AD380" s="101"/>
      <c r="AE380" s="101"/>
      <c r="AF380" s="101"/>
      <c r="AG380" s="101"/>
      <c r="AH380" s="101"/>
      <c r="AI380" s="101"/>
      <c r="AJ380" s="101"/>
      <c r="AK380" s="101"/>
      <c r="AL380" s="101"/>
    </row>
    <row r="381">
      <c r="A381" s="101"/>
      <c r="B381" s="644"/>
      <c r="C381" s="101"/>
      <c r="D381" s="605"/>
      <c r="E381" s="645"/>
      <c r="F381" s="101"/>
      <c r="G381" s="101"/>
      <c r="H381" s="101"/>
      <c r="I381" s="606"/>
      <c r="J381" s="606"/>
      <c r="K381" s="606"/>
      <c r="L381" s="606"/>
      <c r="M381" s="606"/>
      <c r="N381" s="606"/>
      <c r="O381" s="606"/>
      <c r="P381" s="606"/>
      <c r="Q381" s="606"/>
      <c r="R381" s="606"/>
      <c r="S381" s="606"/>
      <c r="T381" s="606"/>
      <c r="U381" s="606"/>
      <c r="V381" s="461"/>
      <c r="W381" s="461"/>
      <c r="X381" s="131"/>
      <c r="Y381" s="101"/>
      <c r="Z381" s="101"/>
      <c r="AA381" s="101"/>
      <c r="AB381" s="101"/>
      <c r="AC381" s="101"/>
      <c r="AD381" s="101"/>
      <c r="AE381" s="101"/>
      <c r="AF381" s="101"/>
      <c r="AG381" s="101"/>
      <c r="AH381" s="101"/>
      <c r="AI381" s="101"/>
      <c r="AJ381" s="101"/>
      <c r="AK381" s="101"/>
      <c r="AL381" s="101"/>
    </row>
    <row r="382">
      <c r="A382" s="101"/>
      <c r="B382" s="644"/>
      <c r="C382" s="101"/>
      <c r="D382" s="605"/>
      <c r="E382" s="645"/>
      <c r="F382" s="101"/>
      <c r="G382" s="101"/>
      <c r="H382" s="101"/>
      <c r="I382" s="606"/>
      <c r="J382" s="606"/>
      <c r="K382" s="606"/>
      <c r="L382" s="606"/>
      <c r="M382" s="606"/>
      <c r="N382" s="606"/>
      <c r="O382" s="606"/>
      <c r="P382" s="606"/>
      <c r="Q382" s="606"/>
      <c r="R382" s="606"/>
      <c r="S382" s="606"/>
      <c r="T382" s="606"/>
      <c r="U382" s="606"/>
      <c r="V382" s="461"/>
      <c r="W382" s="461"/>
      <c r="X382" s="131"/>
      <c r="Y382" s="101"/>
      <c r="Z382" s="101"/>
      <c r="AA382" s="101"/>
      <c r="AB382" s="101"/>
      <c r="AC382" s="101"/>
      <c r="AD382" s="101"/>
      <c r="AE382" s="101"/>
      <c r="AF382" s="101"/>
      <c r="AG382" s="101"/>
      <c r="AH382" s="101"/>
      <c r="AI382" s="101"/>
      <c r="AJ382" s="101"/>
      <c r="AK382" s="101"/>
      <c r="AL382" s="101"/>
    </row>
    <row r="383">
      <c r="A383" s="101"/>
      <c r="B383" s="644"/>
      <c r="C383" s="101"/>
      <c r="D383" s="605"/>
      <c r="E383" s="645"/>
      <c r="F383" s="101"/>
      <c r="G383" s="101"/>
      <c r="H383" s="101"/>
      <c r="I383" s="606"/>
      <c r="J383" s="606"/>
      <c r="K383" s="606"/>
      <c r="L383" s="606"/>
      <c r="M383" s="606"/>
      <c r="N383" s="606"/>
      <c r="O383" s="606"/>
      <c r="P383" s="606"/>
      <c r="Q383" s="606"/>
      <c r="R383" s="606"/>
      <c r="S383" s="606"/>
      <c r="T383" s="606"/>
      <c r="U383" s="606"/>
      <c r="V383" s="461"/>
      <c r="W383" s="461"/>
      <c r="X383" s="131"/>
      <c r="Y383" s="101"/>
      <c r="Z383" s="101"/>
      <c r="AA383" s="101"/>
      <c r="AB383" s="101"/>
      <c r="AC383" s="101"/>
      <c r="AD383" s="101"/>
      <c r="AE383" s="101"/>
      <c r="AF383" s="101"/>
      <c r="AG383" s="101"/>
      <c r="AH383" s="101"/>
      <c r="AI383" s="101"/>
      <c r="AJ383" s="101"/>
      <c r="AK383" s="101"/>
      <c r="AL383" s="101"/>
    </row>
    <row r="384">
      <c r="A384" s="101"/>
      <c r="B384" s="644"/>
      <c r="C384" s="101"/>
      <c r="D384" s="605"/>
      <c r="E384" s="645"/>
      <c r="F384" s="101"/>
      <c r="G384" s="101"/>
      <c r="H384" s="101"/>
      <c r="I384" s="606"/>
      <c r="J384" s="606"/>
      <c r="K384" s="606"/>
      <c r="L384" s="606"/>
      <c r="M384" s="606"/>
      <c r="N384" s="606"/>
      <c r="O384" s="606"/>
      <c r="P384" s="606"/>
      <c r="Q384" s="606"/>
      <c r="R384" s="606"/>
      <c r="S384" s="606"/>
      <c r="T384" s="606"/>
      <c r="U384" s="606"/>
      <c r="V384" s="461"/>
      <c r="W384" s="461"/>
      <c r="X384" s="131"/>
      <c r="Y384" s="101"/>
      <c r="Z384" s="101"/>
      <c r="AA384" s="101"/>
      <c r="AB384" s="101"/>
      <c r="AC384" s="101"/>
      <c r="AD384" s="101"/>
      <c r="AE384" s="101"/>
      <c r="AF384" s="101"/>
      <c r="AG384" s="101"/>
      <c r="AH384" s="101"/>
      <c r="AI384" s="101"/>
      <c r="AJ384" s="101"/>
      <c r="AK384" s="101"/>
      <c r="AL384" s="101"/>
    </row>
    <row r="385">
      <c r="A385" s="101"/>
      <c r="B385" s="644"/>
      <c r="C385" s="101"/>
      <c r="D385" s="605"/>
      <c r="E385" s="645"/>
      <c r="F385" s="101"/>
      <c r="G385" s="101"/>
      <c r="H385" s="101"/>
      <c r="I385" s="606"/>
      <c r="J385" s="606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461"/>
      <c r="W385" s="461"/>
      <c r="X385" s="131"/>
      <c r="Y385" s="101"/>
      <c r="Z385" s="101"/>
      <c r="AA385" s="101"/>
      <c r="AB385" s="101"/>
      <c r="AC385" s="101"/>
      <c r="AD385" s="101"/>
      <c r="AE385" s="101"/>
      <c r="AF385" s="101"/>
      <c r="AG385" s="101"/>
      <c r="AH385" s="101"/>
      <c r="AI385" s="101"/>
      <c r="AJ385" s="101"/>
      <c r="AK385" s="101"/>
      <c r="AL385" s="101"/>
    </row>
    <row r="386">
      <c r="A386" s="101"/>
      <c r="B386" s="644"/>
      <c r="C386" s="101"/>
      <c r="D386" s="605"/>
      <c r="E386" s="645"/>
      <c r="F386" s="101"/>
      <c r="G386" s="101"/>
      <c r="H386" s="101"/>
      <c r="I386" s="606"/>
      <c r="J386" s="606"/>
      <c r="K386" s="606"/>
      <c r="L386" s="606"/>
      <c r="M386" s="606"/>
      <c r="N386" s="606"/>
      <c r="O386" s="606"/>
      <c r="P386" s="606"/>
      <c r="Q386" s="606"/>
      <c r="R386" s="606"/>
      <c r="S386" s="606"/>
      <c r="T386" s="606"/>
      <c r="U386" s="606"/>
      <c r="V386" s="461"/>
      <c r="W386" s="461"/>
      <c r="X386" s="131"/>
      <c r="Y386" s="101"/>
      <c r="Z386" s="101"/>
      <c r="AA386" s="101"/>
      <c r="AB386" s="101"/>
      <c r="AC386" s="101"/>
      <c r="AD386" s="101"/>
      <c r="AE386" s="101"/>
      <c r="AF386" s="101"/>
      <c r="AG386" s="101"/>
      <c r="AH386" s="101"/>
      <c r="AI386" s="101"/>
      <c r="AJ386" s="101"/>
      <c r="AK386" s="101"/>
      <c r="AL386" s="101"/>
    </row>
    <row r="387">
      <c r="A387" s="101"/>
      <c r="B387" s="644"/>
      <c r="C387" s="101"/>
      <c r="D387" s="605"/>
      <c r="E387" s="645"/>
      <c r="F387" s="101"/>
      <c r="G387" s="101"/>
      <c r="H387" s="101"/>
      <c r="I387" s="606"/>
      <c r="J387" s="606"/>
      <c r="K387" s="606"/>
      <c r="L387" s="606"/>
      <c r="M387" s="606"/>
      <c r="N387" s="606"/>
      <c r="O387" s="606"/>
      <c r="P387" s="606"/>
      <c r="Q387" s="606"/>
      <c r="R387" s="606"/>
      <c r="S387" s="606"/>
      <c r="T387" s="606"/>
      <c r="U387" s="606"/>
      <c r="V387" s="461"/>
      <c r="W387" s="461"/>
      <c r="X387" s="131"/>
      <c r="Y387" s="101"/>
      <c r="Z387" s="101"/>
      <c r="AA387" s="101"/>
      <c r="AB387" s="101"/>
      <c r="AC387" s="101"/>
      <c r="AD387" s="101"/>
      <c r="AE387" s="101"/>
      <c r="AF387" s="101"/>
      <c r="AG387" s="101"/>
      <c r="AH387" s="101"/>
      <c r="AI387" s="101"/>
      <c r="AJ387" s="101"/>
      <c r="AK387" s="101"/>
      <c r="AL387" s="101"/>
    </row>
    <row r="388">
      <c r="A388" s="101"/>
      <c r="B388" s="644"/>
      <c r="C388" s="101"/>
      <c r="D388" s="605"/>
      <c r="E388" s="645"/>
      <c r="F388" s="101"/>
      <c r="G388" s="101"/>
      <c r="H388" s="101"/>
      <c r="I388" s="606"/>
      <c r="J388" s="606"/>
      <c r="K388" s="606"/>
      <c r="L388" s="606"/>
      <c r="M388" s="606"/>
      <c r="N388" s="606"/>
      <c r="O388" s="606"/>
      <c r="P388" s="606"/>
      <c r="Q388" s="606"/>
      <c r="R388" s="606"/>
      <c r="S388" s="606"/>
      <c r="T388" s="606"/>
      <c r="U388" s="606"/>
      <c r="V388" s="461"/>
      <c r="W388" s="461"/>
      <c r="X388" s="131"/>
      <c r="Y388" s="101"/>
      <c r="Z388" s="101"/>
      <c r="AA388" s="101"/>
      <c r="AB388" s="101"/>
      <c r="AC388" s="101"/>
      <c r="AD388" s="101"/>
      <c r="AE388" s="101"/>
      <c r="AF388" s="101"/>
      <c r="AG388" s="101"/>
      <c r="AH388" s="101"/>
      <c r="AI388" s="101"/>
      <c r="AJ388" s="101"/>
      <c r="AK388" s="101"/>
      <c r="AL388" s="101"/>
    </row>
    <row r="389">
      <c r="A389" s="101"/>
      <c r="B389" s="644"/>
      <c r="C389" s="101"/>
      <c r="D389" s="605"/>
      <c r="E389" s="645"/>
      <c r="F389" s="101"/>
      <c r="G389" s="101"/>
      <c r="H389" s="101"/>
      <c r="I389" s="606"/>
      <c r="J389" s="606"/>
      <c r="K389" s="606"/>
      <c r="L389" s="606"/>
      <c r="M389" s="606"/>
      <c r="N389" s="606"/>
      <c r="O389" s="606"/>
      <c r="P389" s="606"/>
      <c r="Q389" s="606"/>
      <c r="R389" s="606"/>
      <c r="S389" s="606"/>
      <c r="T389" s="606"/>
      <c r="U389" s="606"/>
      <c r="V389" s="461"/>
      <c r="W389" s="461"/>
      <c r="X389" s="131"/>
      <c r="Y389" s="101"/>
      <c r="Z389" s="101"/>
      <c r="AA389" s="101"/>
      <c r="AB389" s="101"/>
      <c r="AC389" s="101"/>
      <c r="AD389" s="101"/>
      <c r="AE389" s="101"/>
      <c r="AF389" s="101"/>
      <c r="AG389" s="101"/>
      <c r="AH389" s="101"/>
      <c r="AI389" s="101"/>
      <c r="AJ389" s="101"/>
      <c r="AK389" s="101"/>
      <c r="AL389" s="101"/>
    </row>
    <row r="390">
      <c r="A390" s="101"/>
      <c r="B390" s="644"/>
      <c r="C390" s="101"/>
      <c r="D390" s="605"/>
      <c r="E390" s="645"/>
      <c r="F390" s="101"/>
      <c r="G390" s="101"/>
      <c r="H390" s="101"/>
      <c r="I390" s="606"/>
      <c r="J390" s="606"/>
      <c r="K390" s="606"/>
      <c r="L390" s="606"/>
      <c r="M390" s="606"/>
      <c r="N390" s="606"/>
      <c r="O390" s="606"/>
      <c r="P390" s="606"/>
      <c r="Q390" s="606"/>
      <c r="R390" s="606"/>
      <c r="S390" s="606"/>
      <c r="T390" s="606"/>
      <c r="U390" s="606"/>
      <c r="V390" s="461"/>
      <c r="W390" s="461"/>
      <c r="X390" s="131"/>
      <c r="Y390" s="101"/>
      <c r="Z390" s="101"/>
      <c r="AA390" s="101"/>
      <c r="AB390" s="101"/>
      <c r="AC390" s="101"/>
      <c r="AD390" s="101"/>
      <c r="AE390" s="101"/>
      <c r="AF390" s="101"/>
      <c r="AG390" s="101"/>
      <c r="AH390" s="101"/>
      <c r="AI390" s="101"/>
      <c r="AJ390" s="101"/>
      <c r="AK390" s="101"/>
      <c r="AL390" s="101"/>
    </row>
    <row r="391">
      <c r="A391" s="101"/>
      <c r="B391" s="644"/>
      <c r="C391" s="101"/>
      <c r="D391" s="605"/>
      <c r="E391" s="645"/>
      <c r="F391" s="101"/>
      <c r="G391" s="101"/>
      <c r="H391" s="101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461"/>
      <c r="W391" s="461"/>
      <c r="X391" s="131"/>
      <c r="Y391" s="101"/>
      <c r="Z391" s="101"/>
      <c r="AA391" s="101"/>
      <c r="AB391" s="101"/>
      <c r="AC391" s="101"/>
      <c r="AD391" s="101"/>
      <c r="AE391" s="101"/>
      <c r="AF391" s="101"/>
      <c r="AG391" s="101"/>
      <c r="AH391" s="101"/>
      <c r="AI391" s="101"/>
      <c r="AJ391" s="101"/>
      <c r="AK391" s="101"/>
      <c r="AL391" s="101"/>
    </row>
    <row r="392">
      <c r="A392" s="101"/>
      <c r="B392" s="644"/>
      <c r="C392" s="101"/>
      <c r="D392" s="605"/>
      <c r="E392" s="645"/>
      <c r="F392" s="101"/>
      <c r="G392" s="101"/>
      <c r="H392" s="101"/>
      <c r="I392" s="606"/>
      <c r="J392" s="606"/>
      <c r="K392" s="606"/>
      <c r="L392" s="606"/>
      <c r="M392" s="606"/>
      <c r="N392" s="606"/>
      <c r="O392" s="606"/>
      <c r="P392" s="606"/>
      <c r="Q392" s="606"/>
      <c r="R392" s="606"/>
      <c r="S392" s="606"/>
      <c r="T392" s="606"/>
      <c r="U392" s="606"/>
      <c r="V392" s="461"/>
      <c r="W392" s="461"/>
      <c r="X392" s="131"/>
      <c r="Y392" s="101"/>
      <c r="Z392" s="101"/>
      <c r="AA392" s="101"/>
      <c r="AB392" s="101"/>
      <c r="AC392" s="101"/>
      <c r="AD392" s="101"/>
      <c r="AE392" s="101"/>
      <c r="AF392" s="101"/>
      <c r="AG392" s="101"/>
      <c r="AH392" s="101"/>
      <c r="AI392" s="101"/>
      <c r="AJ392" s="101"/>
      <c r="AK392" s="101"/>
      <c r="AL392" s="101"/>
    </row>
    <row r="393">
      <c r="A393" s="101"/>
      <c r="B393" s="644"/>
      <c r="C393" s="101"/>
      <c r="D393" s="605"/>
      <c r="E393" s="645"/>
      <c r="F393" s="101"/>
      <c r="G393" s="101"/>
      <c r="H393" s="101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461"/>
      <c r="W393" s="461"/>
      <c r="X393" s="131"/>
      <c r="Y393" s="101"/>
      <c r="Z393" s="101"/>
      <c r="AA393" s="101"/>
      <c r="AB393" s="101"/>
      <c r="AC393" s="101"/>
      <c r="AD393" s="101"/>
      <c r="AE393" s="101"/>
      <c r="AF393" s="101"/>
      <c r="AG393" s="101"/>
      <c r="AH393" s="101"/>
      <c r="AI393" s="101"/>
      <c r="AJ393" s="101"/>
      <c r="AK393" s="101"/>
      <c r="AL393" s="101"/>
    </row>
    <row r="394">
      <c r="A394" s="101"/>
      <c r="B394" s="644"/>
      <c r="C394" s="101"/>
      <c r="D394" s="605"/>
      <c r="E394" s="645"/>
      <c r="F394" s="101"/>
      <c r="G394" s="101"/>
      <c r="H394" s="101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461"/>
      <c r="W394" s="461"/>
      <c r="X394" s="13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1"/>
      <c r="AJ394" s="101"/>
      <c r="AK394" s="101"/>
      <c r="AL394" s="101"/>
    </row>
    <row r="395">
      <c r="A395" s="101"/>
      <c r="B395" s="644"/>
      <c r="C395" s="101"/>
      <c r="D395" s="605"/>
      <c r="E395" s="645"/>
      <c r="F395" s="101"/>
      <c r="G395" s="101"/>
      <c r="H395" s="101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461"/>
      <c r="W395" s="461"/>
      <c r="X395" s="13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1"/>
      <c r="AI395" s="101"/>
      <c r="AJ395" s="101"/>
      <c r="AK395" s="101"/>
      <c r="AL395" s="101"/>
    </row>
    <row r="396">
      <c r="A396" s="101"/>
      <c r="B396" s="644"/>
      <c r="C396" s="101"/>
      <c r="D396" s="605"/>
      <c r="E396" s="645"/>
      <c r="F396" s="101"/>
      <c r="G396" s="101"/>
      <c r="H396" s="101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461"/>
      <c r="W396" s="461"/>
      <c r="X396" s="131"/>
      <c r="Y396" s="101"/>
      <c r="Z396" s="101"/>
      <c r="AA396" s="101"/>
      <c r="AB396" s="101"/>
      <c r="AC396" s="101"/>
      <c r="AD396" s="101"/>
      <c r="AE396" s="101"/>
      <c r="AF396" s="101"/>
      <c r="AG396" s="101"/>
      <c r="AH396" s="101"/>
      <c r="AI396" s="101"/>
      <c r="AJ396" s="101"/>
      <c r="AK396" s="101"/>
      <c r="AL396" s="101"/>
    </row>
    <row r="397">
      <c r="A397" s="101"/>
      <c r="B397" s="644"/>
      <c r="C397" s="101"/>
      <c r="D397" s="605"/>
      <c r="E397" s="645"/>
      <c r="F397" s="101"/>
      <c r="G397" s="101"/>
      <c r="H397" s="101"/>
      <c r="I397" s="606"/>
      <c r="J397" s="606"/>
      <c r="K397" s="606"/>
      <c r="L397" s="606"/>
      <c r="M397" s="606"/>
      <c r="N397" s="606"/>
      <c r="O397" s="606"/>
      <c r="P397" s="606"/>
      <c r="Q397" s="606"/>
      <c r="R397" s="606"/>
      <c r="S397" s="606"/>
      <c r="T397" s="606"/>
      <c r="U397" s="606"/>
      <c r="V397" s="461"/>
      <c r="W397" s="461"/>
      <c r="X397" s="131"/>
      <c r="Y397" s="101"/>
      <c r="Z397" s="101"/>
      <c r="AA397" s="101"/>
      <c r="AB397" s="101"/>
      <c r="AC397" s="101"/>
      <c r="AD397" s="101"/>
      <c r="AE397" s="101"/>
      <c r="AF397" s="101"/>
      <c r="AG397" s="101"/>
      <c r="AH397" s="101"/>
      <c r="AI397" s="101"/>
      <c r="AJ397" s="101"/>
      <c r="AK397" s="101"/>
      <c r="AL397" s="101"/>
    </row>
    <row r="398">
      <c r="A398" s="101"/>
      <c r="B398" s="644"/>
      <c r="C398" s="101"/>
      <c r="D398" s="605"/>
      <c r="E398" s="645"/>
      <c r="F398" s="101"/>
      <c r="G398" s="101"/>
      <c r="H398" s="101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461"/>
      <c r="W398" s="461"/>
      <c r="X398" s="131"/>
      <c r="Y398" s="101"/>
      <c r="Z398" s="101"/>
      <c r="AA398" s="101"/>
      <c r="AB398" s="101"/>
      <c r="AC398" s="101"/>
      <c r="AD398" s="101"/>
      <c r="AE398" s="101"/>
      <c r="AF398" s="101"/>
      <c r="AG398" s="101"/>
      <c r="AH398" s="101"/>
      <c r="AI398" s="101"/>
      <c r="AJ398" s="101"/>
      <c r="AK398" s="101"/>
      <c r="AL398" s="101"/>
    </row>
    <row r="399">
      <c r="A399" s="101"/>
      <c r="B399" s="644"/>
      <c r="C399" s="101"/>
      <c r="D399" s="605"/>
      <c r="E399" s="645"/>
      <c r="F399" s="101"/>
      <c r="G399" s="101"/>
      <c r="H399" s="101"/>
      <c r="I399" s="606"/>
      <c r="J399" s="606"/>
      <c r="K399" s="606"/>
      <c r="L399" s="606"/>
      <c r="M399" s="606"/>
      <c r="N399" s="606"/>
      <c r="O399" s="606"/>
      <c r="P399" s="606"/>
      <c r="Q399" s="606"/>
      <c r="R399" s="606"/>
      <c r="S399" s="606"/>
      <c r="T399" s="606"/>
      <c r="U399" s="606"/>
      <c r="V399" s="461"/>
      <c r="W399" s="461"/>
      <c r="X399" s="131"/>
      <c r="Y399" s="101"/>
      <c r="Z399" s="101"/>
      <c r="AA399" s="101"/>
      <c r="AB399" s="101"/>
      <c r="AC399" s="101"/>
      <c r="AD399" s="101"/>
      <c r="AE399" s="101"/>
      <c r="AF399" s="101"/>
      <c r="AG399" s="101"/>
      <c r="AH399" s="101"/>
      <c r="AI399" s="101"/>
      <c r="AJ399" s="101"/>
      <c r="AK399" s="101"/>
      <c r="AL399" s="101"/>
    </row>
    <row r="400">
      <c r="A400" s="101"/>
      <c r="B400" s="644"/>
      <c r="C400" s="101"/>
      <c r="D400" s="605"/>
      <c r="E400" s="645"/>
      <c r="F400" s="101"/>
      <c r="G400" s="101"/>
      <c r="H400" s="101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06"/>
      <c r="T400" s="606"/>
      <c r="U400" s="606"/>
      <c r="V400" s="461"/>
      <c r="W400" s="461"/>
      <c r="X400" s="131"/>
      <c r="Y400" s="101"/>
      <c r="Z400" s="101"/>
      <c r="AA400" s="101"/>
      <c r="AB400" s="101"/>
      <c r="AC400" s="101"/>
      <c r="AD400" s="101"/>
      <c r="AE400" s="101"/>
      <c r="AF400" s="101"/>
      <c r="AG400" s="101"/>
      <c r="AH400" s="101"/>
      <c r="AI400" s="101"/>
      <c r="AJ400" s="101"/>
      <c r="AK400" s="101"/>
      <c r="AL400" s="101"/>
    </row>
    <row r="401">
      <c r="A401" s="101"/>
      <c r="B401" s="644"/>
      <c r="C401" s="101"/>
      <c r="D401" s="605"/>
      <c r="E401" s="645"/>
      <c r="F401" s="101"/>
      <c r="G401" s="101"/>
      <c r="H401" s="101"/>
      <c r="I401" s="606"/>
      <c r="J401" s="606"/>
      <c r="K401" s="606"/>
      <c r="L401" s="606"/>
      <c r="M401" s="606"/>
      <c r="N401" s="606"/>
      <c r="O401" s="606"/>
      <c r="P401" s="606"/>
      <c r="Q401" s="606"/>
      <c r="R401" s="606"/>
      <c r="S401" s="606"/>
      <c r="T401" s="606"/>
      <c r="U401" s="606"/>
      <c r="V401" s="461"/>
      <c r="W401" s="461"/>
      <c r="X401" s="131"/>
      <c r="Y401" s="101"/>
      <c r="Z401" s="101"/>
      <c r="AA401" s="101"/>
      <c r="AB401" s="101"/>
      <c r="AC401" s="101"/>
      <c r="AD401" s="101"/>
      <c r="AE401" s="101"/>
      <c r="AF401" s="101"/>
      <c r="AG401" s="101"/>
      <c r="AH401" s="101"/>
      <c r="AI401" s="101"/>
      <c r="AJ401" s="101"/>
      <c r="AK401" s="101"/>
      <c r="AL401" s="101"/>
    </row>
    <row r="402">
      <c r="A402" s="101"/>
      <c r="B402" s="644"/>
      <c r="C402" s="101"/>
      <c r="D402" s="605"/>
      <c r="E402" s="645"/>
      <c r="F402" s="101"/>
      <c r="G402" s="101"/>
      <c r="H402" s="101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461"/>
      <c r="W402" s="461"/>
      <c r="X402" s="131"/>
      <c r="Y402" s="101"/>
      <c r="Z402" s="101"/>
      <c r="AA402" s="101"/>
      <c r="AB402" s="101"/>
      <c r="AC402" s="101"/>
      <c r="AD402" s="101"/>
      <c r="AE402" s="101"/>
      <c r="AF402" s="101"/>
      <c r="AG402" s="101"/>
      <c r="AH402" s="101"/>
      <c r="AI402" s="101"/>
      <c r="AJ402" s="101"/>
      <c r="AK402" s="101"/>
      <c r="AL402" s="101"/>
    </row>
    <row r="403">
      <c r="A403" s="101"/>
      <c r="B403" s="644"/>
      <c r="C403" s="101"/>
      <c r="D403" s="605"/>
      <c r="E403" s="645"/>
      <c r="F403" s="101"/>
      <c r="G403" s="101"/>
      <c r="H403" s="101"/>
      <c r="I403" s="606"/>
      <c r="J403" s="606"/>
      <c r="K403" s="606"/>
      <c r="L403" s="606"/>
      <c r="M403" s="606"/>
      <c r="N403" s="606"/>
      <c r="O403" s="606"/>
      <c r="P403" s="606"/>
      <c r="Q403" s="606"/>
      <c r="R403" s="606"/>
      <c r="S403" s="606"/>
      <c r="T403" s="606"/>
      <c r="U403" s="606"/>
      <c r="V403" s="461"/>
      <c r="W403" s="461"/>
      <c r="X403" s="131"/>
      <c r="Y403" s="101"/>
      <c r="Z403" s="101"/>
      <c r="AA403" s="101"/>
      <c r="AB403" s="101"/>
      <c r="AC403" s="101"/>
      <c r="AD403" s="101"/>
      <c r="AE403" s="101"/>
      <c r="AF403" s="101"/>
      <c r="AG403" s="101"/>
      <c r="AH403" s="101"/>
      <c r="AI403" s="101"/>
      <c r="AJ403" s="101"/>
      <c r="AK403" s="101"/>
      <c r="AL403" s="101"/>
    </row>
    <row r="404">
      <c r="A404" s="101"/>
      <c r="B404" s="644"/>
      <c r="C404" s="101"/>
      <c r="D404" s="605"/>
      <c r="E404" s="645"/>
      <c r="F404" s="101"/>
      <c r="G404" s="101"/>
      <c r="H404" s="101"/>
      <c r="I404" s="606"/>
      <c r="J404" s="606"/>
      <c r="K404" s="606"/>
      <c r="L404" s="606"/>
      <c r="M404" s="606"/>
      <c r="N404" s="606"/>
      <c r="O404" s="606"/>
      <c r="P404" s="606"/>
      <c r="Q404" s="606"/>
      <c r="R404" s="606"/>
      <c r="S404" s="606"/>
      <c r="T404" s="606"/>
      <c r="U404" s="606"/>
      <c r="V404" s="461"/>
      <c r="W404" s="461"/>
      <c r="X404" s="131"/>
      <c r="Y404" s="101"/>
      <c r="Z404" s="101"/>
      <c r="AA404" s="101"/>
      <c r="AB404" s="101"/>
      <c r="AC404" s="101"/>
      <c r="AD404" s="101"/>
      <c r="AE404" s="101"/>
      <c r="AF404" s="101"/>
      <c r="AG404" s="101"/>
      <c r="AH404" s="101"/>
      <c r="AI404" s="101"/>
      <c r="AJ404" s="101"/>
      <c r="AK404" s="101"/>
      <c r="AL404" s="101"/>
    </row>
    <row r="405">
      <c r="A405" s="101"/>
      <c r="B405" s="644"/>
      <c r="C405" s="101"/>
      <c r="D405" s="605"/>
      <c r="E405" s="645"/>
      <c r="F405" s="101"/>
      <c r="G405" s="101"/>
      <c r="H405" s="101"/>
      <c r="I405" s="606"/>
      <c r="J405" s="606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461"/>
      <c r="W405" s="461"/>
      <c r="X405" s="131"/>
      <c r="Y405" s="101"/>
      <c r="Z405" s="101"/>
      <c r="AA405" s="101"/>
      <c r="AB405" s="101"/>
      <c r="AC405" s="101"/>
      <c r="AD405" s="101"/>
      <c r="AE405" s="101"/>
      <c r="AF405" s="101"/>
      <c r="AG405" s="101"/>
      <c r="AH405" s="101"/>
      <c r="AI405" s="101"/>
      <c r="AJ405" s="101"/>
      <c r="AK405" s="101"/>
      <c r="AL405" s="101"/>
    </row>
    <row r="406">
      <c r="A406" s="101"/>
      <c r="B406" s="644"/>
      <c r="C406" s="101"/>
      <c r="D406" s="605"/>
      <c r="E406" s="645"/>
      <c r="F406" s="101"/>
      <c r="G406" s="101"/>
      <c r="H406" s="101"/>
      <c r="I406" s="606"/>
      <c r="J406" s="606"/>
      <c r="K406" s="606"/>
      <c r="L406" s="606"/>
      <c r="M406" s="606"/>
      <c r="N406" s="606"/>
      <c r="O406" s="606"/>
      <c r="P406" s="606"/>
      <c r="Q406" s="606"/>
      <c r="R406" s="606"/>
      <c r="S406" s="606"/>
      <c r="T406" s="606"/>
      <c r="U406" s="606"/>
      <c r="V406" s="461"/>
      <c r="W406" s="461"/>
      <c r="X406" s="131"/>
      <c r="Y406" s="101"/>
      <c r="Z406" s="101"/>
      <c r="AA406" s="101"/>
      <c r="AB406" s="101"/>
      <c r="AC406" s="101"/>
      <c r="AD406" s="101"/>
      <c r="AE406" s="101"/>
      <c r="AF406" s="101"/>
      <c r="AG406" s="101"/>
      <c r="AH406" s="101"/>
      <c r="AI406" s="101"/>
      <c r="AJ406" s="101"/>
      <c r="AK406" s="101"/>
      <c r="AL406" s="101"/>
    </row>
    <row r="407">
      <c r="A407" s="101"/>
      <c r="B407" s="644"/>
      <c r="C407" s="101"/>
      <c r="D407" s="605"/>
      <c r="E407" s="645"/>
      <c r="F407" s="101"/>
      <c r="G407" s="101"/>
      <c r="H407" s="101"/>
      <c r="I407" s="606"/>
      <c r="J407" s="606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461"/>
      <c r="W407" s="461"/>
      <c r="X407" s="131"/>
      <c r="Y407" s="101"/>
      <c r="Z407" s="101"/>
      <c r="AA407" s="101"/>
      <c r="AB407" s="101"/>
      <c r="AC407" s="101"/>
      <c r="AD407" s="101"/>
      <c r="AE407" s="101"/>
      <c r="AF407" s="101"/>
      <c r="AG407" s="101"/>
      <c r="AH407" s="101"/>
      <c r="AI407" s="101"/>
      <c r="AJ407" s="101"/>
      <c r="AK407" s="101"/>
      <c r="AL407" s="101"/>
    </row>
    <row r="408">
      <c r="A408" s="101"/>
      <c r="B408" s="644"/>
      <c r="C408" s="101"/>
      <c r="D408" s="605"/>
      <c r="E408" s="645"/>
      <c r="F408" s="101"/>
      <c r="G408" s="101"/>
      <c r="H408" s="101"/>
      <c r="I408" s="606"/>
      <c r="J408" s="606"/>
      <c r="K408" s="606"/>
      <c r="L408" s="606"/>
      <c r="M408" s="606"/>
      <c r="N408" s="606"/>
      <c r="O408" s="606"/>
      <c r="P408" s="606"/>
      <c r="Q408" s="606"/>
      <c r="R408" s="606"/>
      <c r="S408" s="606"/>
      <c r="T408" s="606"/>
      <c r="U408" s="606"/>
      <c r="V408" s="461"/>
      <c r="W408" s="461"/>
      <c r="X408" s="131"/>
      <c r="Y408" s="101"/>
      <c r="Z408" s="101"/>
      <c r="AA408" s="101"/>
      <c r="AB408" s="101"/>
      <c r="AC408" s="101"/>
      <c r="AD408" s="101"/>
      <c r="AE408" s="101"/>
      <c r="AF408" s="101"/>
      <c r="AG408" s="101"/>
      <c r="AH408" s="101"/>
      <c r="AI408" s="101"/>
      <c r="AJ408" s="101"/>
      <c r="AK408" s="101"/>
      <c r="AL408" s="101"/>
    </row>
    <row r="409">
      <c r="A409" s="101"/>
      <c r="B409" s="644"/>
      <c r="C409" s="101"/>
      <c r="D409" s="605"/>
      <c r="E409" s="645"/>
      <c r="F409" s="101"/>
      <c r="G409" s="101"/>
      <c r="H409" s="101"/>
      <c r="I409" s="606"/>
      <c r="J409" s="606"/>
      <c r="K409" s="606"/>
      <c r="L409" s="606"/>
      <c r="M409" s="606"/>
      <c r="N409" s="606"/>
      <c r="O409" s="606"/>
      <c r="P409" s="606"/>
      <c r="Q409" s="606"/>
      <c r="R409" s="606"/>
      <c r="S409" s="606"/>
      <c r="T409" s="606"/>
      <c r="U409" s="606"/>
      <c r="V409" s="461"/>
      <c r="W409" s="461"/>
      <c r="X409" s="131"/>
      <c r="Y409" s="101"/>
      <c r="Z409" s="101"/>
      <c r="AA409" s="101"/>
      <c r="AB409" s="101"/>
      <c r="AC409" s="101"/>
      <c r="AD409" s="101"/>
      <c r="AE409" s="101"/>
      <c r="AF409" s="101"/>
      <c r="AG409" s="101"/>
      <c r="AH409" s="101"/>
      <c r="AI409" s="101"/>
      <c r="AJ409" s="101"/>
      <c r="AK409" s="101"/>
      <c r="AL409" s="101"/>
    </row>
    <row r="410">
      <c r="A410" s="101"/>
      <c r="B410" s="644"/>
      <c r="C410" s="101"/>
      <c r="D410" s="605"/>
      <c r="E410" s="645"/>
      <c r="F410" s="101"/>
      <c r="G410" s="101"/>
      <c r="H410" s="101"/>
      <c r="I410" s="606"/>
      <c r="J410" s="606"/>
      <c r="K410" s="606"/>
      <c r="L410" s="606"/>
      <c r="M410" s="606"/>
      <c r="N410" s="606"/>
      <c r="O410" s="606"/>
      <c r="P410" s="606"/>
      <c r="Q410" s="606"/>
      <c r="R410" s="606"/>
      <c r="S410" s="606"/>
      <c r="T410" s="606"/>
      <c r="U410" s="606"/>
      <c r="V410" s="461"/>
      <c r="W410" s="461"/>
      <c r="X410" s="131"/>
      <c r="Y410" s="101"/>
      <c r="Z410" s="101"/>
      <c r="AA410" s="101"/>
      <c r="AB410" s="101"/>
      <c r="AC410" s="101"/>
      <c r="AD410" s="101"/>
      <c r="AE410" s="101"/>
      <c r="AF410" s="101"/>
      <c r="AG410" s="101"/>
      <c r="AH410" s="101"/>
      <c r="AI410" s="101"/>
      <c r="AJ410" s="101"/>
      <c r="AK410" s="101"/>
      <c r="AL410" s="101"/>
    </row>
    <row r="411">
      <c r="A411" s="101"/>
      <c r="B411" s="644"/>
      <c r="C411" s="101"/>
      <c r="D411" s="605"/>
      <c r="E411" s="645"/>
      <c r="F411" s="101"/>
      <c r="G411" s="101"/>
      <c r="H411" s="101"/>
      <c r="I411" s="606"/>
      <c r="J411" s="606"/>
      <c r="K411" s="606"/>
      <c r="L411" s="606"/>
      <c r="M411" s="606"/>
      <c r="N411" s="606"/>
      <c r="O411" s="606"/>
      <c r="P411" s="606"/>
      <c r="Q411" s="606"/>
      <c r="R411" s="606"/>
      <c r="S411" s="606"/>
      <c r="T411" s="606"/>
      <c r="U411" s="606"/>
      <c r="V411" s="461"/>
      <c r="W411" s="461"/>
      <c r="X411" s="131"/>
      <c r="Y411" s="101"/>
      <c r="Z411" s="101"/>
      <c r="AA411" s="101"/>
      <c r="AB411" s="101"/>
      <c r="AC411" s="101"/>
      <c r="AD411" s="101"/>
      <c r="AE411" s="101"/>
      <c r="AF411" s="101"/>
      <c r="AG411" s="101"/>
      <c r="AH411" s="101"/>
      <c r="AI411" s="101"/>
      <c r="AJ411" s="101"/>
      <c r="AK411" s="101"/>
      <c r="AL411" s="101"/>
    </row>
    <row r="412">
      <c r="A412" s="101"/>
      <c r="B412" s="644"/>
      <c r="C412" s="101"/>
      <c r="D412" s="605"/>
      <c r="E412" s="645"/>
      <c r="F412" s="101"/>
      <c r="G412" s="101"/>
      <c r="H412" s="101"/>
      <c r="I412" s="606"/>
      <c r="J412" s="606"/>
      <c r="K412" s="606"/>
      <c r="L412" s="606"/>
      <c r="M412" s="606"/>
      <c r="N412" s="606"/>
      <c r="O412" s="606"/>
      <c r="P412" s="606"/>
      <c r="Q412" s="606"/>
      <c r="R412" s="606"/>
      <c r="S412" s="606"/>
      <c r="T412" s="606"/>
      <c r="U412" s="606"/>
      <c r="V412" s="461"/>
      <c r="W412" s="461"/>
      <c r="X412" s="131"/>
      <c r="Y412" s="101"/>
      <c r="Z412" s="101"/>
      <c r="AA412" s="101"/>
      <c r="AB412" s="101"/>
      <c r="AC412" s="101"/>
      <c r="AD412" s="101"/>
      <c r="AE412" s="101"/>
      <c r="AF412" s="101"/>
      <c r="AG412" s="101"/>
      <c r="AH412" s="101"/>
      <c r="AI412" s="101"/>
      <c r="AJ412" s="101"/>
      <c r="AK412" s="101"/>
      <c r="AL412" s="101"/>
    </row>
    <row r="413">
      <c r="A413" s="101"/>
      <c r="B413" s="644"/>
      <c r="C413" s="101"/>
      <c r="D413" s="605"/>
      <c r="E413" s="645"/>
      <c r="F413" s="101"/>
      <c r="G413" s="101"/>
      <c r="H413" s="101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461"/>
      <c r="W413" s="461"/>
      <c r="X413" s="131"/>
      <c r="Y413" s="101"/>
      <c r="Z413" s="101"/>
      <c r="AA413" s="101"/>
      <c r="AB413" s="101"/>
      <c r="AC413" s="101"/>
      <c r="AD413" s="101"/>
      <c r="AE413" s="101"/>
      <c r="AF413" s="101"/>
      <c r="AG413" s="101"/>
      <c r="AH413" s="101"/>
      <c r="AI413" s="101"/>
      <c r="AJ413" s="101"/>
      <c r="AK413" s="101"/>
      <c r="AL413" s="101"/>
    </row>
    <row r="414">
      <c r="A414" s="101"/>
      <c r="B414" s="644"/>
      <c r="C414" s="101"/>
      <c r="D414" s="605"/>
      <c r="E414" s="645"/>
      <c r="F414" s="101"/>
      <c r="G414" s="101"/>
      <c r="H414" s="101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461"/>
      <c r="W414" s="461"/>
      <c r="X414" s="131"/>
      <c r="Y414" s="101"/>
      <c r="Z414" s="101"/>
      <c r="AA414" s="101"/>
      <c r="AB414" s="101"/>
      <c r="AC414" s="101"/>
      <c r="AD414" s="101"/>
      <c r="AE414" s="101"/>
      <c r="AF414" s="101"/>
      <c r="AG414" s="101"/>
      <c r="AH414" s="101"/>
      <c r="AI414" s="101"/>
      <c r="AJ414" s="101"/>
      <c r="AK414" s="101"/>
      <c r="AL414" s="101"/>
    </row>
    <row r="415">
      <c r="A415" s="101"/>
      <c r="B415" s="644"/>
      <c r="C415" s="101"/>
      <c r="D415" s="605"/>
      <c r="E415" s="645"/>
      <c r="F415" s="101"/>
      <c r="G415" s="101"/>
      <c r="H415" s="101"/>
      <c r="I415" s="606"/>
      <c r="J415" s="606"/>
      <c r="K415" s="606"/>
      <c r="L415" s="606"/>
      <c r="M415" s="606"/>
      <c r="N415" s="606"/>
      <c r="O415" s="606"/>
      <c r="P415" s="606"/>
      <c r="Q415" s="606"/>
      <c r="R415" s="606"/>
      <c r="S415" s="606"/>
      <c r="T415" s="606"/>
      <c r="U415" s="606"/>
      <c r="V415" s="461"/>
      <c r="W415" s="461"/>
      <c r="X415" s="131"/>
      <c r="Y415" s="101"/>
      <c r="Z415" s="101"/>
      <c r="AA415" s="101"/>
      <c r="AB415" s="101"/>
      <c r="AC415" s="101"/>
      <c r="AD415" s="101"/>
      <c r="AE415" s="101"/>
      <c r="AF415" s="101"/>
      <c r="AG415" s="101"/>
      <c r="AH415" s="101"/>
      <c r="AI415" s="101"/>
      <c r="AJ415" s="101"/>
      <c r="AK415" s="101"/>
      <c r="AL415" s="101"/>
    </row>
    <row r="416">
      <c r="A416" s="101"/>
      <c r="B416" s="644"/>
      <c r="C416" s="101"/>
      <c r="D416" s="605"/>
      <c r="E416" s="645"/>
      <c r="F416" s="101"/>
      <c r="G416" s="101"/>
      <c r="H416" s="101"/>
      <c r="I416" s="606"/>
      <c r="J416" s="606"/>
      <c r="K416" s="606"/>
      <c r="L416" s="606"/>
      <c r="M416" s="606"/>
      <c r="N416" s="606"/>
      <c r="O416" s="606"/>
      <c r="P416" s="606"/>
      <c r="Q416" s="606"/>
      <c r="R416" s="606"/>
      <c r="S416" s="606"/>
      <c r="T416" s="606"/>
      <c r="U416" s="606"/>
      <c r="V416" s="461"/>
      <c r="W416" s="461"/>
      <c r="X416" s="131"/>
      <c r="Y416" s="101"/>
      <c r="Z416" s="101"/>
      <c r="AA416" s="101"/>
      <c r="AB416" s="101"/>
      <c r="AC416" s="101"/>
      <c r="AD416" s="101"/>
      <c r="AE416" s="101"/>
      <c r="AF416" s="101"/>
      <c r="AG416" s="101"/>
      <c r="AH416" s="101"/>
      <c r="AI416" s="101"/>
      <c r="AJ416" s="101"/>
      <c r="AK416" s="101"/>
      <c r="AL416" s="101"/>
    </row>
    <row r="417">
      <c r="A417" s="101"/>
      <c r="B417" s="644"/>
      <c r="C417" s="101"/>
      <c r="D417" s="605"/>
      <c r="E417" s="645"/>
      <c r="F417" s="101"/>
      <c r="G417" s="101"/>
      <c r="H417" s="101"/>
      <c r="I417" s="606"/>
      <c r="J417" s="606"/>
      <c r="K417" s="606"/>
      <c r="L417" s="606"/>
      <c r="M417" s="606"/>
      <c r="N417" s="606"/>
      <c r="O417" s="606"/>
      <c r="P417" s="606"/>
      <c r="Q417" s="606"/>
      <c r="R417" s="606"/>
      <c r="S417" s="606"/>
      <c r="T417" s="606"/>
      <c r="U417" s="606"/>
      <c r="V417" s="461"/>
      <c r="W417" s="461"/>
      <c r="X417" s="13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1"/>
      <c r="AJ417" s="101"/>
      <c r="AK417" s="101"/>
      <c r="AL417" s="101"/>
    </row>
    <row r="418">
      <c r="A418" s="101"/>
      <c r="B418" s="644"/>
      <c r="C418" s="101"/>
      <c r="D418" s="605"/>
      <c r="E418" s="645"/>
      <c r="F418" s="101"/>
      <c r="G418" s="101"/>
      <c r="H418" s="101"/>
      <c r="I418" s="606"/>
      <c r="J418" s="606"/>
      <c r="K418" s="606"/>
      <c r="L418" s="606"/>
      <c r="M418" s="606"/>
      <c r="N418" s="606"/>
      <c r="O418" s="606"/>
      <c r="P418" s="606"/>
      <c r="Q418" s="606"/>
      <c r="R418" s="606"/>
      <c r="S418" s="606"/>
      <c r="T418" s="606"/>
      <c r="U418" s="606"/>
      <c r="V418" s="461"/>
      <c r="W418" s="461"/>
      <c r="X418" s="13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1"/>
      <c r="AI418" s="101"/>
      <c r="AJ418" s="101"/>
      <c r="AK418" s="101"/>
      <c r="AL418" s="101"/>
    </row>
    <row r="419">
      <c r="A419" s="101"/>
      <c r="B419" s="644"/>
      <c r="C419" s="101"/>
      <c r="D419" s="605"/>
      <c r="E419" s="645"/>
      <c r="F419" s="101"/>
      <c r="G419" s="101"/>
      <c r="H419" s="101"/>
      <c r="I419" s="606"/>
      <c r="J419" s="606"/>
      <c r="K419" s="606"/>
      <c r="L419" s="606"/>
      <c r="M419" s="606"/>
      <c r="N419" s="606"/>
      <c r="O419" s="606"/>
      <c r="P419" s="606"/>
      <c r="Q419" s="606"/>
      <c r="R419" s="606"/>
      <c r="S419" s="606"/>
      <c r="T419" s="606"/>
      <c r="U419" s="606"/>
      <c r="V419" s="461"/>
      <c r="W419" s="461"/>
      <c r="X419" s="131"/>
      <c r="Y419" s="101"/>
      <c r="Z419" s="101"/>
      <c r="AA419" s="101"/>
      <c r="AB419" s="101"/>
      <c r="AC419" s="101"/>
      <c r="AD419" s="101"/>
      <c r="AE419" s="101"/>
      <c r="AF419" s="101"/>
      <c r="AG419" s="101"/>
      <c r="AH419" s="101"/>
      <c r="AI419" s="101"/>
      <c r="AJ419" s="101"/>
      <c r="AK419" s="101"/>
      <c r="AL419" s="101"/>
    </row>
    <row r="420">
      <c r="A420" s="101"/>
      <c r="B420" s="644"/>
      <c r="C420" s="101"/>
      <c r="D420" s="605"/>
      <c r="E420" s="645"/>
      <c r="F420" s="101"/>
      <c r="G420" s="101"/>
      <c r="H420" s="101"/>
      <c r="I420" s="606"/>
      <c r="J420" s="606"/>
      <c r="K420" s="606"/>
      <c r="L420" s="606"/>
      <c r="M420" s="606"/>
      <c r="N420" s="606"/>
      <c r="O420" s="606"/>
      <c r="P420" s="606"/>
      <c r="Q420" s="606"/>
      <c r="R420" s="606"/>
      <c r="S420" s="606"/>
      <c r="T420" s="606"/>
      <c r="U420" s="606"/>
      <c r="V420" s="461"/>
      <c r="W420" s="461"/>
      <c r="X420" s="131"/>
      <c r="Y420" s="101"/>
      <c r="Z420" s="101"/>
      <c r="AA420" s="101"/>
      <c r="AB420" s="101"/>
      <c r="AC420" s="101"/>
      <c r="AD420" s="101"/>
      <c r="AE420" s="101"/>
      <c r="AF420" s="101"/>
      <c r="AG420" s="101"/>
      <c r="AH420" s="101"/>
      <c r="AI420" s="101"/>
      <c r="AJ420" s="101"/>
      <c r="AK420" s="101"/>
      <c r="AL420" s="101"/>
    </row>
    <row r="421">
      <c r="A421" s="101"/>
      <c r="B421" s="644"/>
      <c r="C421" s="101"/>
      <c r="D421" s="605"/>
      <c r="E421" s="645"/>
      <c r="F421" s="101"/>
      <c r="G421" s="101"/>
      <c r="H421" s="101"/>
      <c r="I421" s="606"/>
      <c r="J421" s="606"/>
      <c r="K421" s="606"/>
      <c r="L421" s="606"/>
      <c r="M421" s="606"/>
      <c r="N421" s="606"/>
      <c r="O421" s="606"/>
      <c r="P421" s="606"/>
      <c r="Q421" s="606"/>
      <c r="R421" s="606"/>
      <c r="S421" s="606"/>
      <c r="T421" s="606"/>
      <c r="U421" s="606"/>
      <c r="V421" s="461"/>
      <c r="W421" s="461"/>
      <c r="X421" s="131"/>
      <c r="Y421" s="101"/>
      <c r="Z421" s="101"/>
      <c r="AA421" s="101"/>
      <c r="AB421" s="101"/>
      <c r="AC421" s="101"/>
      <c r="AD421" s="101"/>
      <c r="AE421" s="101"/>
      <c r="AF421" s="101"/>
      <c r="AG421" s="101"/>
      <c r="AH421" s="101"/>
      <c r="AI421" s="101"/>
      <c r="AJ421" s="101"/>
      <c r="AK421" s="101"/>
      <c r="AL421" s="101"/>
    </row>
    <row r="422">
      <c r="A422" s="101"/>
      <c r="B422" s="644"/>
      <c r="C422" s="101"/>
      <c r="D422" s="605"/>
      <c r="E422" s="645"/>
      <c r="F422" s="101"/>
      <c r="G422" s="101"/>
      <c r="H422" s="101"/>
      <c r="I422" s="606"/>
      <c r="J422" s="606"/>
      <c r="K422" s="606"/>
      <c r="L422" s="606"/>
      <c r="M422" s="606"/>
      <c r="N422" s="606"/>
      <c r="O422" s="606"/>
      <c r="P422" s="606"/>
      <c r="Q422" s="606"/>
      <c r="R422" s="606"/>
      <c r="S422" s="606"/>
      <c r="T422" s="606"/>
      <c r="U422" s="606"/>
      <c r="V422" s="461"/>
      <c r="W422" s="461"/>
      <c r="X422" s="131"/>
      <c r="Y422" s="101"/>
      <c r="Z422" s="101"/>
      <c r="AA422" s="101"/>
      <c r="AB422" s="101"/>
      <c r="AC422" s="101"/>
      <c r="AD422" s="101"/>
      <c r="AE422" s="101"/>
      <c r="AF422" s="101"/>
      <c r="AG422" s="101"/>
      <c r="AH422" s="101"/>
      <c r="AI422" s="101"/>
      <c r="AJ422" s="101"/>
      <c r="AK422" s="101"/>
      <c r="AL422" s="101"/>
    </row>
    <row r="423">
      <c r="A423" s="101"/>
      <c r="B423" s="644"/>
      <c r="C423" s="101"/>
      <c r="D423" s="605"/>
      <c r="E423" s="645"/>
      <c r="F423" s="101"/>
      <c r="G423" s="101"/>
      <c r="H423" s="101"/>
      <c r="I423" s="606"/>
      <c r="J423" s="606"/>
      <c r="K423" s="606"/>
      <c r="L423" s="606"/>
      <c r="M423" s="606"/>
      <c r="N423" s="606"/>
      <c r="O423" s="606"/>
      <c r="P423" s="606"/>
      <c r="Q423" s="606"/>
      <c r="R423" s="606"/>
      <c r="S423" s="606"/>
      <c r="T423" s="606"/>
      <c r="U423" s="606"/>
      <c r="V423" s="461"/>
      <c r="W423" s="461"/>
      <c r="X423" s="131"/>
      <c r="Y423" s="101"/>
      <c r="Z423" s="101"/>
      <c r="AA423" s="101"/>
      <c r="AB423" s="101"/>
      <c r="AC423" s="101"/>
      <c r="AD423" s="101"/>
      <c r="AE423" s="101"/>
      <c r="AF423" s="101"/>
      <c r="AG423" s="101"/>
      <c r="AH423" s="101"/>
      <c r="AI423" s="101"/>
      <c r="AJ423" s="101"/>
      <c r="AK423" s="101"/>
      <c r="AL423" s="101"/>
    </row>
    <row r="424">
      <c r="A424" s="101"/>
      <c r="B424" s="644"/>
      <c r="C424" s="101"/>
      <c r="D424" s="605"/>
      <c r="E424" s="645"/>
      <c r="F424" s="101"/>
      <c r="G424" s="101"/>
      <c r="H424" s="101"/>
      <c r="I424" s="606"/>
      <c r="J424" s="606"/>
      <c r="K424" s="606"/>
      <c r="L424" s="606"/>
      <c r="M424" s="606"/>
      <c r="N424" s="606"/>
      <c r="O424" s="606"/>
      <c r="P424" s="606"/>
      <c r="Q424" s="606"/>
      <c r="R424" s="606"/>
      <c r="S424" s="606"/>
      <c r="T424" s="606"/>
      <c r="U424" s="606"/>
      <c r="V424" s="461"/>
      <c r="W424" s="461"/>
      <c r="X424" s="131"/>
      <c r="Y424" s="101"/>
      <c r="Z424" s="101"/>
      <c r="AA424" s="101"/>
      <c r="AB424" s="101"/>
      <c r="AC424" s="101"/>
      <c r="AD424" s="101"/>
      <c r="AE424" s="101"/>
      <c r="AF424" s="101"/>
      <c r="AG424" s="101"/>
      <c r="AH424" s="101"/>
      <c r="AI424" s="101"/>
      <c r="AJ424" s="101"/>
      <c r="AK424" s="101"/>
      <c r="AL424" s="101"/>
    </row>
    <row r="425">
      <c r="A425" s="101"/>
      <c r="B425" s="644"/>
      <c r="C425" s="101"/>
      <c r="D425" s="605"/>
      <c r="E425" s="645"/>
      <c r="F425" s="101"/>
      <c r="G425" s="101"/>
      <c r="H425" s="101"/>
      <c r="I425" s="606"/>
      <c r="J425" s="606"/>
      <c r="K425" s="606"/>
      <c r="L425" s="606"/>
      <c r="M425" s="606"/>
      <c r="N425" s="606"/>
      <c r="O425" s="606"/>
      <c r="P425" s="606"/>
      <c r="Q425" s="606"/>
      <c r="R425" s="606"/>
      <c r="S425" s="606"/>
      <c r="T425" s="606"/>
      <c r="U425" s="606"/>
      <c r="V425" s="461"/>
      <c r="W425" s="461"/>
      <c r="X425" s="131"/>
      <c r="Y425" s="101"/>
      <c r="Z425" s="101"/>
      <c r="AA425" s="101"/>
      <c r="AB425" s="101"/>
      <c r="AC425" s="101"/>
      <c r="AD425" s="101"/>
      <c r="AE425" s="101"/>
      <c r="AF425" s="101"/>
      <c r="AG425" s="101"/>
      <c r="AH425" s="101"/>
      <c r="AI425" s="101"/>
      <c r="AJ425" s="101"/>
      <c r="AK425" s="101"/>
      <c r="AL425" s="101"/>
    </row>
    <row r="426">
      <c r="A426" s="101"/>
      <c r="B426" s="644"/>
      <c r="C426" s="101"/>
      <c r="D426" s="605"/>
      <c r="E426" s="645"/>
      <c r="F426" s="101"/>
      <c r="G426" s="101"/>
      <c r="H426" s="101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461"/>
      <c r="W426" s="461"/>
      <c r="X426" s="131"/>
      <c r="Y426" s="101"/>
      <c r="Z426" s="101"/>
      <c r="AA426" s="101"/>
      <c r="AB426" s="101"/>
      <c r="AC426" s="101"/>
      <c r="AD426" s="101"/>
      <c r="AE426" s="101"/>
      <c r="AF426" s="101"/>
      <c r="AG426" s="101"/>
      <c r="AH426" s="101"/>
      <c r="AI426" s="101"/>
      <c r="AJ426" s="101"/>
      <c r="AK426" s="101"/>
      <c r="AL426" s="101"/>
    </row>
    <row r="427">
      <c r="A427" s="101"/>
      <c r="B427" s="644"/>
      <c r="C427" s="101"/>
      <c r="D427" s="605"/>
      <c r="E427" s="645"/>
      <c r="F427" s="101"/>
      <c r="G427" s="101"/>
      <c r="H427" s="101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461"/>
      <c r="W427" s="461"/>
      <c r="X427" s="131"/>
      <c r="Y427" s="101"/>
      <c r="Z427" s="101"/>
      <c r="AA427" s="101"/>
      <c r="AB427" s="101"/>
      <c r="AC427" s="101"/>
      <c r="AD427" s="101"/>
      <c r="AE427" s="101"/>
      <c r="AF427" s="101"/>
      <c r="AG427" s="101"/>
      <c r="AH427" s="101"/>
      <c r="AI427" s="101"/>
      <c r="AJ427" s="101"/>
      <c r="AK427" s="101"/>
      <c r="AL427" s="101"/>
    </row>
    <row r="428">
      <c r="A428" s="101"/>
      <c r="B428" s="644"/>
      <c r="C428" s="101"/>
      <c r="D428" s="605"/>
      <c r="E428" s="645"/>
      <c r="F428" s="101"/>
      <c r="G428" s="101"/>
      <c r="H428" s="101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461"/>
      <c r="W428" s="461"/>
      <c r="X428" s="131"/>
      <c r="Y428" s="101"/>
      <c r="Z428" s="101"/>
      <c r="AA428" s="101"/>
      <c r="AB428" s="101"/>
      <c r="AC428" s="101"/>
      <c r="AD428" s="101"/>
      <c r="AE428" s="101"/>
      <c r="AF428" s="101"/>
      <c r="AG428" s="101"/>
      <c r="AH428" s="101"/>
      <c r="AI428" s="101"/>
      <c r="AJ428" s="101"/>
      <c r="AK428" s="101"/>
      <c r="AL428" s="101"/>
    </row>
    <row r="429">
      <c r="A429" s="101"/>
      <c r="B429" s="644"/>
      <c r="C429" s="101"/>
      <c r="D429" s="605"/>
      <c r="E429" s="645"/>
      <c r="F429" s="101"/>
      <c r="G429" s="101"/>
      <c r="H429" s="101"/>
      <c r="I429" s="606"/>
      <c r="J429" s="606"/>
      <c r="K429" s="606"/>
      <c r="L429" s="606"/>
      <c r="M429" s="606"/>
      <c r="N429" s="606"/>
      <c r="O429" s="606"/>
      <c r="P429" s="606"/>
      <c r="Q429" s="606"/>
      <c r="R429" s="606"/>
      <c r="S429" s="606"/>
      <c r="T429" s="606"/>
      <c r="U429" s="606"/>
      <c r="V429" s="461"/>
      <c r="W429" s="461"/>
      <c r="X429" s="131"/>
      <c r="Y429" s="101"/>
      <c r="Z429" s="101"/>
      <c r="AA429" s="101"/>
      <c r="AB429" s="101"/>
      <c r="AC429" s="101"/>
      <c r="AD429" s="101"/>
      <c r="AE429" s="101"/>
      <c r="AF429" s="101"/>
      <c r="AG429" s="101"/>
      <c r="AH429" s="101"/>
      <c r="AI429" s="101"/>
      <c r="AJ429" s="101"/>
      <c r="AK429" s="101"/>
      <c r="AL429" s="101"/>
    </row>
    <row r="430">
      <c r="A430" s="101"/>
      <c r="B430" s="644"/>
      <c r="C430" s="101"/>
      <c r="D430" s="605"/>
      <c r="E430" s="645"/>
      <c r="F430" s="101"/>
      <c r="G430" s="101"/>
      <c r="H430" s="101"/>
      <c r="I430" s="606"/>
      <c r="J430" s="606"/>
      <c r="K430" s="606"/>
      <c r="L430" s="606"/>
      <c r="M430" s="606"/>
      <c r="N430" s="606"/>
      <c r="O430" s="606"/>
      <c r="P430" s="606"/>
      <c r="Q430" s="606"/>
      <c r="R430" s="606"/>
      <c r="S430" s="606"/>
      <c r="T430" s="606"/>
      <c r="U430" s="606"/>
      <c r="V430" s="461"/>
      <c r="W430" s="461"/>
      <c r="X430" s="131"/>
      <c r="Y430" s="101"/>
      <c r="Z430" s="101"/>
      <c r="AA430" s="101"/>
      <c r="AB430" s="101"/>
      <c r="AC430" s="101"/>
      <c r="AD430" s="101"/>
      <c r="AE430" s="101"/>
      <c r="AF430" s="101"/>
      <c r="AG430" s="101"/>
      <c r="AH430" s="101"/>
      <c r="AI430" s="101"/>
      <c r="AJ430" s="101"/>
      <c r="AK430" s="101"/>
      <c r="AL430" s="101"/>
    </row>
    <row r="431">
      <c r="A431" s="101"/>
      <c r="B431" s="644"/>
      <c r="C431" s="101"/>
      <c r="D431" s="605"/>
      <c r="E431" s="645"/>
      <c r="F431" s="101"/>
      <c r="G431" s="101"/>
      <c r="H431" s="101"/>
      <c r="I431" s="606"/>
      <c r="J431" s="606"/>
      <c r="K431" s="606"/>
      <c r="L431" s="606"/>
      <c r="M431" s="606"/>
      <c r="N431" s="606"/>
      <c r="O431" s="606"/>
      <c r="P431" s="606"/>
      <c r="Q431" s="606"/>
      <c r="R431" s="606"/>
      <c r="S431" s="606"/>
      <c r="T431" s="606"/>
      <c r="U431" s="606"/>
      <c r="V431" s="461"/>
      <c r="W431" s="461"/>
      <c r="X431" s="131"/>
      <c r="Y431" s="101"/>
      <c r="Z431" s="101"/>
      <c r="AA431" s="101"/>
      <c r="AB431" s="101"/>
      <c r="AC431" s="101"/>
      <c r="AD431" s="101"/>
      <c r="AE431" s="101"/>
      <c r="AF431" s="101"/>
      <c r="AG431" s="101"/>
      <c r="AH431" s="101"/>
      <c r="AI431" s="101"/>
      <c r="AJ431" s="101"/>
      <c r="AK431" s="101"/>
      <c r="AL431" s="101"/>
    </row>
    <row r="432">
      <c r="A432" s="101"/>
      <c r="B432" s="644"/>
      <c r="C432" s="101"/>
      <c r="D432" s="605"/>
      <c r="E432" s="645"/>
      <c r="F432" s="101"/>
      <c r="G432" s="101"/>
      <c r="H432" s="101"/>
      <c r="I432" s="606"/>
      <c r="J432" s="606"/>
      <c r="K432" s="606"/>
      <c r="L432" s="606"/>
      <c r="M432" s="606"/>
      <c r="N432" s="606"/>
      <c r="O432" s="606"/>
      <c r="P432" s="606"/>
      <c r="Q432" s="606"/>
      <c r="R432" s="606"/>
      <c r="S432" s="606"/>
      <c r="T432" s="606"/>
      <c r="U432" s="606"/>
      <c r="V432" s="461"/>
      <c r="W432" s="461"/>
      <c r="X432" s="131"/>
      <c r="Y432" s="101"/>
      <c r="Z432" s="101"/>
      <c r="AA432" s="101"/>
      <c r="AB432" s="101"/>
      <c r="AC432" s="101"/>
      <c r="AD432" s="101"/>
      <c r="AE432" s="101"/>
      <c r="AF432" s="101"/>
      <c r="AG432" s="101"/>
      <c r="AH432" s="101"/>
      <c r="AI432" s="101"/>
      <c r="AJ432" s="101"/>
      <c r="AK432" s="101"/>
      <c r="AL432" s="101"/>
    </row>
    <row r="433">
      <c r="A433" s="101"/>
      <c r="B433" s="644"/>
      <c r="C433" s="101"/>
      <c r="D433" s="605"/>
      <c r="E433" s="645"/>
      <c r="F433" s="101"/>
      <c r="G433" s="101"/>
      <c r="H433" s="101"/>
      <c r="I433" s="606"/>
      <c r="J433" s="606"/>
      <c r="K433" s="606"/>
      <c r="L433" s="606"/>
      <c r="M433" s="606"/>
      <c r="N433" s="606"/>
      <c r="O433" s="606"/>
      <c r="P433" s="606"/>
      <c r="Q433" s="606"/>
      <c r="R433" s="606"/>
      <c r="S433" s="606"/>
      <c r="T433" s="606"/>
      <c r="U433" s="606"/>
      <c r="V433" s="461"/>
      <c r="W433" s="461"/>
      <c r="X433" s="131"/>
      <c r="Y433" s="101"/>
      <c r="Z433" s="101"/>
      <c r="AA433" s="101"/>
      <c r="AB433" s="101"/>
      <c r="AC433" s="101"/>
      <c r="AD433" s="101"/>
      <c r="AE433" s="101"/>
      <c r="AF433" s="101"/>
      <c r="AG433" s="101"/>
      <c r="AH433" s="101"/>
      <c r="AI433" s="101"/>
      <c r="AJ433" s="101"/>
      <c r="AK433" s="101"/>
      <c r="AL433" s="101"/>
    </row>
    <row r="434">
      <c r="A434" s="101"/>
      <c r="B434" s="644"/>
      <c r="C434" s="101"/>
      <c r="D434" s="605"/>
      <c r="E434" s="645"/>
      <c r="F434" s="101"/>
      <c r="G434" s="101"/>
      <c r="H434" s="101"/>
      <c r="I434" s="606"/>
      <c r="J434" s="606"/>
      <c r="K434" s="606"/>
      <c r="L434" s="606"/>
      <c r="M434" s="606"/>
      <c r="N434" s="606"/>
      <c r="O434" s="606"/>
      <c r="P434" s="606"/>
      <c r="Q434" s="606"/>
      <c r="R434" s="606"/>
      <c r="S434" s="606"/>
      <c r="T434" s="606"/>
      <c r="U434" s="606"/>
      <c r="V434" s="461"/>
      <c r="W434" s="461"/>
      <c r="X434" s="131"/>
      <c r="Y434" s="101"/>
      <c r="Z434" s="101"/>
      <c r="AA434" s="101"/>
      <c r="AB434" s="101"/>
      <c r="AC434" s="101"/>
      <c r="AD434" s="101"/>
      <c r="AE434" s="101"/>
      <c r="AF434" s="101"/>
      <c r="AG434" s="101"/>
      <c r="AH434" s="101"/>
      <c r="AI434" s="101"/>
      <c r="AJ434" s="101"/>
      <c r="AK434" s="101"/>
      <c r="AL434" s="101"/>
    </row>
    <row r="435">
      <c r="A435" s="101"/>
      <c r="B435" s="644"/>
      <c r="C435" s="101"/>
      <c r="D435" s="605"/>
      <c r="E435" s="645"/>
      <c r="F435" s="101"/>
      <c r="G435" s="101"/>
      <c r="H435" s="101"/>
      <c r="I435" s="606"/>
      <c r="J435" s="606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461"/>
      <c r="W435" s="461"/>
      <c r="X435" s="131"/>
      <c r="Y435" s="101"/>
      <c r="Z435" s="101"/>
      <c r="AA435" s="101"/>
      <c r="AB435" s="101"/>
      <c r="AC435" s="101"/>
      <c r="AD435" s="101"/>
      <c r="AE435" s="101"/>
      <c r="AF435" s="101"/>
      <c r="AG435" s="101"/>
      <c r="AH435" s="101"/>
      <c r="AI435" s="101"/>
      <c r="AJ435" s="101"/>
      <c r="AK435" s="101"/>
      <c r="AL435" s="101"/>
    </row>
    <row r="436">
      <c r="A436" s="101"/>
      <c r="B436" s="644"/>
      <c r="C436" s="101"/>
      <c r="D436" s="605"/>
      <c r="E436" s="645"/>
      <c r="F436" s="101"/>
      <c r="G436" s="101"/>
      <c r="H436" s="101"/>
      <c r="I436" s="606"/>
      <c r="J436" s="606"/>
      <c r="K436" s="606"/>
      <c r="L436" s="606"/>
      <c r="M436" s="606"/>
      <c r="N436" s="606"/>
      <c r="O436" s="606"/>
      <c r="P436" s="606"/>
      <c r="Q436" s="606"/>
      <c r="R436" s="606"/>
      <c r="S436" s="606"/>
      <c r="T436" s="606"/>
      <c r="U436" s="606"/>
      <c r="V436" s="461"/>
      <c r="W436" s="461"/>
      <c r="X436" s="131"/>
      <c r="Y436" s="101"/>
      <c r="Z436" s="101"/>
      <c r="AA436" s="101"/>
      <c r="AB436" s="101"/>
      <c r="AC436" s="101"/>
      <c r="AD436" s="101"/>
      <c r="AE436" s="101"/>
      <c r="AF436" s="101"/>
      <c r="AG436" s="101"/>
      <c r="AH436" s="101"/>
      <c r="AI436" s="101"/>
      <c r="AJ436" s="101"/>
      <c r="AK436" s="101"/>
      <c r="AL436" s="101"/>
    </row>
    <row r="437">
      <c r="A437" s="101"/>
      <c r="B437" s="644"/>
      <c r="C437" s="101"/>
      <c r="D437" s="605"/>
      <c r="E437" s="645"/>
      <c r="F437" s="101"/>
      <c r="G437" s="101"/>
      <c r="H437" s="101"/>
      <c r="I437" s="606"/>
      <c r="J437" s="606"/>
      <c r="K437" s="606"/>
      <c r="L437" s="606"/>
      <c r="M437" s="606"/>
      <c r="N437" s="606"/>
      <c r="O437" s="606"/>
      <c r="P437" s="606"/>
      <c r="Q437" s="606"/>
      <c r="R437" s="606"/>
      <c r="S437" s="606"/>
      <c r="T437" s="606"/>
      <c r="U437" s="606"/>
      <c r="V437" s="461"/>
      <c r="W437" s="461"/>
      <c r="X437" s="131"/>
      <c r="Y437" s="101"/>
      <c r="Z437" s="101"/>
      <c r="AA437" s="101"/>
      <c r="AB437" s="101"/>
      <c r="AC437" s="101"/>
      <c r="AD437" s="101"/>
      <c r="AE437" s="101"/>
      <c r="AF437" s="101"/>
      <c r="AG437" s="101"/>
      <c r="AH437" s="101"/>
      <c r="AI437" s="101"/>
      <c r="AJ437" s="101"/>
      <c r="AK437" s="101"/>
      <c r="AL437" s="101"/>
    </row>
    <row r="438">
      <c r="A438" s="101"/>
      <c r="B438" s="644"/>
      <c r="C438" s="101"/>
      <c r="D438" s="605"/>
      <c r="E438" s="645"/>
      <c r="F438" s="101"/>
      <c r="G438" s="101"/>
      <c r="H438" s="101"/>
      <c r="I438" s="606"/>
      <c r="J438" s="606"/>
      <c r="K438" s="606"/>
      <c r="L438" s="606"/>
      <c r="M438" s="606"/>
      <c r="N438" s="606"/>
      <c r="O438" s="606"/>
      <c r="P438" s="606"/>
      <c r="Q438" s="606"/>
      <c r="R438" s="606"/>
      <c r="S438" s="606"/>
      <c r="T438" s="606"/>
      <c r="U438" s="606"/>
      <c r="V438" s="461"/>
      <c r="W438" s="461"/>
      <c r="X438" s="131"/>
      <c r="Y438" s="101"/>
      <c r="Z438" s="101"/>
      <c r="AA438" s="101"/>
      <c r="AB438" s="101"/>
      <c r="AC438" s="101"/>
      <c r="AD438" s="101"/>
      <c r="AE438" s="101"/>
      <c r="AF438" s="101"/>
      <c r="AG438" s="101"/>
      <c r="AH438" s="101"/>
      <c r="AI438" s="101"/>
      <c r="AJ438" s="101"/>
      <c r="AK438" s="101"/>
      <c r="AL438" s="101"/>
    </row>
    <row r="439">
      <c r="A439" s="101"/>
      <c r="B439" s="644"/>
      <c r="C439" s="101"/>
      <c r="D439" s="605"/>
      <c r="E439" s="645"/>
      <c r="F439" s="101"/>
      <c r="G439" s="101"/>
      <c r="H439" s="101"/>
      <c r="I439" s="606"/>
      <c r="J439" s="606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461"/>
      <c r="W439" s="461"/>
      <c r="X439" s="131"/>
      <c r="Y439" s="101"/>
      <c r="Z439" s="101"/>
      <c r="AA439" s="101"/>
      <c r="AB439" s="101"/>
      <c r="AC439" s="101"/>
      <c r="AD439" s="101"/>
      <c r="AE439" s="101"/>
      <c r="AF439" s="101"/>
      <c r="AG439" s="101"/>
      <c r="AH439" s="101"/>
      <c r="AI439" s="101"/>
      <c r="AJ439" s="101"/>
      <c r="AK439" s="101"/>
      <c r="AL439" s="101"/>
    </row>
    <row r="440">
      <c r="A440" s="101"/>
      <c r="B440" s="644"/>
      <c r="C440" s="101"/>
      <c r="D440" s="605"/>
      <c r="E440" s="645"/>
      <c r="F440" s="101"/>
      <c r="G440" s="101"/>
      <c r="H440" s="101"/>
      <c r="I440" s="606"/>
      <c r="J440" s="606"/>
      <c r="K440" s="606"/>
      <c r="L440" s="606"/>
      <c r="M440" s="606"/>
      <c r="N440" s="606"/>
      <c r="O440" s="606"/>
      <c r="P440" s="606"/>
      <c r="Q440" s="606"/>
      <c r="R440" s="606"/>
      <c r="S440" s="606"/>
      <c r="T440" s="606"/>
      <c r="U440" s="606"/>
      <c r="V440" s="461"/>
      <c r="W440" s="461"/>
      <c r="X440" s="131"/>
      <c r="Y440" s="101"/>
      <c r="Z440" s="101"/>
      <c r="AA440" s="101"/>
      <c r="AB440" s="101"/>
      <c r="AC440" s="101"/>
      <c r="AD440" s="101"/>
      <c r="AE440" s="101"/>
      <c r="AF440" s="101"/>
      <c r="AG440" s="101"/>
      <c r="AH440" s="101"/>
      <c r="AI440" s="101"/>
      <c r="AJ440" s="101"/>
      <c r="AK440" s="101"/>
      <c r="AL440" s="101"/>
    </row>
    <row r="441">
      <c r="A441" s="101"/>
      <c r="B441" s="644"/>
      <c r="C441" s="101"/>
      <c r="D441" s="605"/>
      <c r="E441" s="645"/>
      <c r="F441" s="101"/>
      <c r="G441" s="101"/>
      <c r="H441" s="101"/>
      <c r="I441" s="606"/>
      <c r="J441" s="606"/>
      <c r="K441" s="606"/>
      <c r="L441" s="606"/>
      <c r="M441" s="606"/>
      <c r="N441" s="606"/>
      <c r="O441" s="606"/>
      <c r="P441" s="606"/>
      <c r="Q441" s="606"/>
      <c r="R441" s="606"/>
      <c r="S441" s="606"/>
      <c r="T441" s="606"/>
      <c r="U441" s="606"/>
      <c r="V441" s="461"/>
      <c r="W441" s="461"/>
      <c r="X441" s="131"/>
      <c r="Y441" s="101"/>
      <c r="Z441" s="101"/>
      <c r="AA441" s="101"/>
      <c r="AB441" s="101"/>
      <c r="AC441" s="101"/>
      <c r="AD441" s="101"/>
      <c r="AE441" s="101"/>
      <c r="AF441" s="101"/>
      <c r="AG441" s="101"/>
      <c r="AH441" s="101"/>
      <c r="AI441" s="101"/>
      <c r="AJ441" s="101"/>
      <c r="AK441" s="101"/>
      <c r="AL441" s="101"/>
    </row>
    <row r="442">
      <c r="A442" s="101"/>
      <c r="B442" s="644"/>
      <c r="C442" s="101"/>
      <c r="D442" s="605"/>
      <c r="E442" s="645"/>
      <c r="F442" s="101"/>
      <c r="G442" s="101"/>
      <c r="H442" s="101"/>
      <c r="I442" s="606"/>
      <c r="J442" s="606"/>
      <c r="K442" s="606"/>
      <c r="L442" s="606"/>
      <c r="M442" s="606"/>
      <c r="N442" s="606"/>
      <c r="O442" s="606"/>
      <c r="P442" s="606"/>
      <c r="Q442" s="606"/>
      <c r="R442" s="606"/>
      <c r="S442" s="606"/>
      <c r="T442" s="606"/>
      <c r="U442" s="606"/>
      <c r="V442" s="461"/>
      <c r="W442" s="461"/>
      <c r="X442" s="131"/>
      <c r="Y442" s="101"/>
      <c r="Z442" s="101"/>
      <c r="AA442" s="101"/>
      <c r="AB442" s="101"/>
      <c r="AC442" s="101"/>
      <c r="AD442" s="101"/>
      <c r="AE442" s="101"/>
      <c r="AF442" s="101"/>
      <c r="AG442" s="101"/>
      <c r="AH442" s="101"/>
      <c r="AI442" s="101"/>
      <c r="AJ442" s="101"/>
      <c r="AK442" s="101"/>
      <c r="AL442" s="101"/>
    </row>
    <row r="443">
      <c r="A443" s="101"/>
      <c r="B443" s="644"/>
      <c r="C443" s="101"/>
      <c r="D443" s="605"/>
      <c r="E443" s="645"/>
      <c r="F443" s="101"/>
      <c r="G443" s="101"/>
      <c r="H443" s="101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461"/>
      <c r="W443" s="461"/>
      <c r="X443" s="131"/>
      <c r="Y443" s="101"/>
      <c r="Z443" s="101"/>
      <c r="AA443" s="101"/>
      <c r="AB443" s="101"/>
      <c r="AC443" s="101"/>
      <c r="AD443" s="101"/>
      <c r="AE443" s="101"/>
      <c r="AF443" s="101"/>
      <c r="AG443" s="101"/>
      <c r="AH443" s="101"/>
      <c r="AI443" s="101"/>
      <c r="AJ443" s="101"/>
      <c r="AK443" s="101"/>
      <c r="AL443" s="101"/>
    </row>
    <row r="444">
      <c r="A444" s="101"/>
      <c r="B444" s="644"/>
      <c r="C444" s="101"/>
      <c r="D444" s="605"/>
      <c r="E444" s="645"/>
      <c r="F444" s="101"/>
      <c r="G444" s="101"/>
      <c r="H444" s="101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461"/>
      <c r="W444" s="461"/>
      <c r="X444" s="131"/>
      <c r="Y444" s="101"/>
      <c r="Z444" s="101"/>
      <c r="AA444" s="101"/>
      <c r="AB444" s="101"/>
      <c r="AC444" s="101"/>
      <c r="AD444" s="101"/>
      <c r="AE444" s="101"/>
      <c r="AF444" s="101"/>
      <c r="AG444" s="101"/>
      <c r="AH444" s="101"/>
      <c r="AI444" s="101"/>
      <c r="AJ444" s="101"/>
      <c r="AK444" s="101"/>
      <c r="AL444" s="101"/>
    </row>
    <row r="445">
      <c r="A445" s="101"/>
      <c r="B445" s="644"/>
      <c r="C445" s="101"/>
      <c r="D445" s="605"/>
      <c r="E445" s="645"/>
      <c r="F445" s="101"/>
      <c r="G445" s="101"/>
      <c r="H445" s="101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461"/>
      <c r="W445" s="461"/>
      <c r="X445" s="131"/>
      <c r="Y445" s="101"/>
      <c r="Z445" s="101"/>
      <c r="AA445" s="101"/>
      <c r="AB445" s="101"/>
      <c r="AC445" s="101"/>
      <c r="AD445" s="101"/>
      <c r="AE445" s="101"/>
      <c r="AF445" s="101"/>
      <c r="AG445" s="101"/>
      <c r="AH445" s="101"/>
      <c r="AI445" s="101"/>
      <c r="AJ445" s="101"/>
      <c r="AK445" s="101"/>
      <c r="AL445" s="101"/>
    </row>
    <row r="446">
      <c r="A446" s="101"/>
      <c r="B446" s="644"/>
      <c r="C446" s="101"/>
      <c r="D446" s="605"/>
      <c r="E446" s="645"/>
      <c r="F446" s="101"/>
      <c r="G446" s="101"/>
      <c r="H446" s="101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461"/>
      <c r="W446" s="461"/>
      <c r="X446" s="131"/>
      <c r="Y446" s="101"/>
      <c r="Z446" s="101"/>
      <c r="AA446" s="101"/>
      <c r="AB446" s="101"/>
      <c r="AC446" s="101"/>
      <c r="AD446" s="101"/>
      <c r="AE446" s="101"/>
      <c r="AF446" s="101"/>
      <c r="AG446" s="101"/>
      <c r="AH446" s="101"/>
      <c r="AI446" s="101"/>
      <c r="AJ446" s="101"/>
      <c r="AK446" s="101"/>
      <c r="AL446" s="101"/>
    </row>
    <row r="447">
      <c r="A447" s="101"/>
      <c r="B447" s="644"/>
      <c r="C447" s="101"/>
      <c r="D447" s="605"/>
      <c r="E447" s="645"/>
      <c r="F447" s="101"/>
      <c r="G447" s="101"/>
      <c r="H447" s="101"/>
      <c r="I447" s="606"/>
      <c r="J447" s="606"/>
      <c r="K447" s="606"/>
      <c r="L447" s="606"/>
      <c r="M447" s="606"/>
      <c r="N447" s="606"/>
      <c r="O447" s="606"/>
      <c r="P447" s="606"/>
      <c r="Q447" s="606"/>
      <c r="R447" s="606"/>
      <c r="S447" s="606"/>
      <c r="T447" s="606"/>
      <c r="U447" s="606"/>
      <c r="V447" s="461"/>
      <c r="W447" s="461"/>
      <c r="X447" s="131"/>
      <c r="Y447" s="101"/>
      <c r="Z447" s="101"/>
      <c r="AA447" s="101"/>
      <c r="AB447" s="101"/>
      <c r="AC447" s="101"/>
      <c r="AD447" s="101"/>
      <c r="AE447" s="101"/>
      <c r="AF447" s="101"/>
      <c r="AG447" s="101"/>
      <c r="AH447" s="101"/>
      <c r="AI447" s="101"/>
      <c r="AJ447" s="101"/>
      <c r="AK447" s="101"/>
      <c r="AL447" s="101"/>
    </row>
    <row r="448">
      <c r="A448" s="101"/>
      <c r="B448" s="644"/>
      <c r="C448" s="101"/>
      <c r="D448" s="605"/>
      <c r="E448" s="645"/>
      <c r="F448" s="101"/>
      <c r="G448" s="101"/>
      <c r="H448" s="101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461"/>
      <c r="W448" s="461"/>
      <c r="X448" s="131"/>
      <c r="Y448" s="101"/>
      <c r="Z448" s="101"/>
      <c r="AA448" s="101"/>
      <c r="AB448" s="101"/>
      <c r="AC448" s="101"/>
      <c r="AD448" s="101"/>
      <c r="AE448" s="101"/>
      <c r="AF448" s="101"/>
      <c r="AG448" s="101"/>
      <c r="AH448" s="101"/>
      <c r="AI448" s="101"/>
      <c r="AJ448" s="101"/>
      <c r="AK448" s="101"/>
      <c r="AL448" s="101"/>
    </row>
    <row r="449">
      <c r="A449" s="101"/>
      <c r="B449" s="644"/>
      <c r="C449" s="101"/>
      <c r="D449" s="605"/>
      <c r="E449" s="645"/>
      <c r="F449" s="101"/>
      <c r="G449" s="101"/>
      <c r="H449" s="101"/>
      <c r="I449" s="606"/>
      <c r="J449" s="606"/>
      <c r="K449" s="606"/>
      <c r="L449" s="606"/>
      <c r="M449" s="606"/>
      <c r="N449" s="606"/>
      <c r="O449" s="606"/>
      <c r="P449" s="606"/>
      <c r="Q449" s="606"/>
      <c r="R449" s="606"/>
      <c r="S449" s="606"/>
      <c r="T449" s="606"/>
      <c r="U449" s="606"/>
      <c r="V449" s="461"/>
      <c r="W449" s="461"/>
      <c r="X449" s="131"/>
      <c r="Y449" s="101"/>
      <c r="Z449" s="101"/>
      <c r="AA449" s="101"/>
      <c r="AB449" s="101"/>
      <c r="AC449" s="101"/>
      <c r="AD449" s="101"/>
      <c r="AE449" s="101"/>
      <c r="AF449" s="101"/>
      <c r="AG449" s="101"/>
      <c r="AH449" s="101"/>
      <c r="AI449" s="101"/>
      <c r="AJ449" s="101"/>
      <c r="AK449" s="101"/>
      <c r="AL449" s="101"/>
    </row>
    <row r="450">
      <c r="A450" s="101"/>
      <c r="B450" s="644"/>
      <c r="C450" s="101"/>
      <c r="D450" s="605"/>
      <c r="E450" s="645"/>
      <c r="F450" s="101"/>
      <c r="G450" s="101"/>
      <c r="H450" s="101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06"/>
      <c r="T450" s="606"/>
      <c r="U450" s="606"/>
      <c r="V450" s="461"/>
      <c r="W450" s="461"/>
      <c r="X450" s="131"/>
      <c r="Y450" s="101"/>
      <c r="Z450" s="101"/>
      <c r="AA450" s="101"/>
      <c r="AB450" s="101"/>
      <c r="AC450" s="101"/>
      <c r="AD450" s="101"/>
      <c r="AE450" s="101"/>
      <c r="AF450" s="101"/>
      <c r="AG450" s="101"/>
      <c r="AH450" s="101"/>
      <c r="AI450" s="101"/>
      <c r="AJ450" s="101"/>
      <c r="AK450" s="101"/>
      <c r="AL450" s="101"/>
    </row>
    <row r="451">
      <c r="A451" s="101"/>
      <c r="B451" s="644"/>
      <c r="C451" s="101"/>
      <c r="D451" s="605"/>
      <c r="E451" s="645"/>
      <c r="F451" s="101"/>
      <c r="G451" s="101"/>
      <c r="H451" s="101"/>
      <c r="I451" s="606"/>
      <c r="J451" s="606"/>
      <c r="K451" s="606"/>
      <c r="L451" s="606"/>
      <c r="M451" s="606"/>
      <c r="N451" s="606"/>
      <c r="O451" s="606"/>
      <c r="P451" s="606"/>
      <c r="Q451" s="606"/>
      <c r="R451" s="606"/>
      <c r="S451" s="606"/>
      <c r="T451" s="606"/>
      <c r="U451" s="606"/>
      <c r="V451" s="461"/>
      <c r="W451" s="461"/>
      <c r="X451" s="131"/>
      <c r="Y451" s="101"/>
      <c r="Z451" s="101"/>
      <c r="AA451" s="101"/>
      <c r="AB451" s="101"/>
      <c r="AC451" s="101"/>
      <c r="AD451" s="101"/>
      <c r="AE451" s="101"/>
      <c r="AF451" s="101"/>
      <c r="AG451" s="101"/>
      <c r="AH451" s="101"/>
      <c r="AI451" s="101"/>
      <c r="AJ451" s="101"/>
      <c r="AK451" s="101"/>
      <c r="AL451" s="101"/>
    </row>
    <row r="452">
      <c r="A452" s="101"/>
      <c r="B452" s="644"/>
      <c r="C452" s="101"/>
      <c r="D452" s="605"/>
      <c r="E452" s="645"/>
      <c r="F452" s="101"/>
      <c r="G452" s="101"/>
      <c r="H452" s="101"/>
      <c r="I452" s="606"/>
      <c r="J452" s="606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461"/>
      <c r="W452" s="461"/>
      <c r="X452" s="131"/>
      <c r="Y452" s="101"/>
      <c r="Z452" s="101"/>
      <c r="AA452" s="101"/>
      <c r="AB452" s="101"/>
      <c r="AC452" s="101"/>
      <c r="AD452" s="101"/>
      <c r="AE452" s="101"/>
      <c r="AF452" s="101"/>
      <c r="AG452" s="101"/>
      <c r="AH452" s="101"/>
      <c r="AI452" s="101"/>
      <c r="AJ452" s="101"/>
      <c r="AK452" s="101"/>
      <c r="AL452" s="101"/>
    </row>
    <row r="453">
      <c r="A453" s="101"/>
      <c r="B453" s="644"/>
      <c r="C453" s="101"/>
      <c r="D453" s="605"/>
      <c r="E453" s="645"/>
      <c r="F453" s="101"/>
      <c r="G453" s="101"/>
      <c r="H453" s="101"/>
      <c r="I453" s="606"/>
      <c r="J453" s="606"/>
      <c r="K453" s="606"/>
      <c r="L453" s="606"/>
      <c r="M453" s="606"/>
      <c r="N453" s="606"/>
      <c r="O453" s="606"/>
      <c r="P453" s="606"/>
      <c r="Q453" s="606"/>
      <c r="R453" s="606"/>
      <c r="S453" s="606"/>
      <c r="T453" s="606"/>
      <c r="U453" s="606"/>
      <c r="V453" s="461"/>
      <c r="W453" s="461"/>
      <c r="X453" s="131"/>
      <c r="Y453" s="101"/>
      <c r="Z453" s="101"/>
      <c r="AA453" s="101"/>
      <c r="AB453" s="101"/>
      <c r="AC453" s="101"/>
      <c r="AD453" s="101"/>
      <c r="AE453" s="101"/>
      <c r="AF453" s="101"/>
      <c r="AG453" s="101"/>
      <c r="AH453" s="101"/>
      <c r="AI453" s="101"/>
      <c r="AJ453" s="101"/>
      <c r="AK453" s="101"/>
      <c r="AL453" s="101"/>
    </row>
    <row r="454">
      <c r="A454" s="101"/>
      <c r="B454" s="644"/>
      <c r="C454" s="101"/>
      <c r="D454" s="605"/>
      <c r="E454" s="645"/>
      <c r="F454" s="101"/>
      <c r="G454" s="101"/>
      <c r="H454" s="101"/>
      <c r="I454" s="606"/>
      <c r="J454" s="606"/>
      <c r="K454" s="606"/>
      <c r="L454" s="606"/>
      <c r="M454" s="606"/>
      <c r="N454" s="606"/>
      <c r="O454" s="606"/>
      <c r="P454" s="606"/>
      <c r="Q454" s="606"/>
      <c r="R454" s="606"/>
      <c r="S454" s="606"/>
      <c r="T454" s="606"/>
      <c r="U454" s="606"/>
      <c r="V454" s="461"/>
      <c r="W454" s="461"/>
      <c r="X454" s="131"/>
      <c r="Y454" s="101"/>
      <c r="Z454" s="101"/>
      <c r="AA454" s="101"/>
      <c r="AB454" s="101"/>
      <c r="AC454" s="101"/>
      <c r="AD454" s="101"/>
      <c r="AE454" s="101"/>
      <c r="AF454" s="101"/>
      <c r="AG454" s="101"/>
      <c r="AH454" s="101"/>
      <c r="AI454" s="101"/>
      <c r="AJ454" s="101"/>
      <c r="AK454" s="101"/>
      <c r="AL454" s="101"/>
    </row>
    <row r="455">
      <c r="A455" s="101"/>
      <c r="B455" s="644"/>
      <c r="C455" s="101"/>
      <c r="D455" s="605"/>
      <c r="E455" s="645"/>
      <c r="F455" s="101"/>
      <c r="G455" s="101"/>
      <c r="H455" s="101"/>
      <c r="I455" s="606"/>
      <c r="J455" s="606"/>
      <c r="K455" s="606"/>
      <c r="L455" s="606"/>
      <c r="M455" s="606"/>
      <c r="N455" s="606"/>
      <c r="O455" s="606"/>
      <c r="P455" s="606"/>
      <c r="Q455" s="606"/>
      <c r="R455" s="606"/>
      <c r="S455" s="606"/>
      <c r="T455" s="606"/>
      <c r="U455" s="606"/>
      <c r="V455" s="461"/>
      <c r="W455" s="461"/>
      <c r="X455" s="131"/>
      <c r="Y455" s="101"/>
      <c r="Z455" s="101"/>
      <c r="AA455" s="101"/>
      <c r="AB455" s="101"/>
      <c r="AC455" s="101"/>
      <c r="AD455" s="101"/>
      <c r="AE455" s="101"/>
      <c r="AF455" s="101"/>
      <c r="AG455" s="101"/>
      <c r="AH455" s="101"/>
      <c r="AI455" s="101"/>
      <c r="AJ455" s="101"/>
      <c r="AK455" s="101"/>
      <c r="AL455" s="101"/>
    </row>
    <row r="456">
      <c r="A456" s="101"/>
      <c r="B456" s="644"/>
      <c r="C456" s="101"/>
      <c r="D456" s="605"/>
      <c r="E456" s="645"/>
      <c r="F456" s="101"/>
      <c r="G456" s="101"/>
      <c r="H456" s="101"/>
      <c r="I456" s="606"/>
      <c r="J456" s="606"/>
      <c r="K456" s="606"/>
      <c r="L456" s="606"/>
      <c r="M456" s="606"/>
      <c r="N456" s="606"/>
      <c r="O456" s="606"/>
      <c r="P456" s="606"/>
      <c r="Q456" s="606"/>
      <c r="R456" s="606"/>
      <c r="S456" s="606"/>
      <c r="T456" s="606"/>
      <c r="U456" s="606"/>
      <c r="V456" s="461"/>
      <c r="W456" s="461"/>
      <c r="X456" s="131"/>
      <c r="Y456" s="101"/>
      <c r="Z456" s="101"/>
      <c r="AA456" s="101"/>
      <c r="AB456" s="101"/>
      <c r="AC456" s="101"/>
      <c r="AD456" s="101"/>
      <c r="AE456" s="101"/>
      <c r="AF456" s="101"/>
      <c r="AG456" s="101"/>
      <c r="AH456" s="101"/>
      <c r="AI456" s="101"/>
      <c r="AJ456" s="101"/>
      <c r="AK456" s="101"/>
      <c r="AL456" s="101"/>
    </row>
    <row r="457">
      <c r="A457" s="101"/>
      <c r="B457" s="644"/>
      <c r="C457" s="101"/>
      <c r="D457" s="605"/>
      <c r="E457" s="645"/>
      <c r="F457" s="101"/>
      <c r="G457" s="101"/>
      <c r="H457" s="101"/>
      <c r="I457" s="606"/>
      <c r="J457" s="606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461"/>
      <c r="W457" s="461"/>
      <c r="X457" s="131"/>
      <c r="Y457" s="101"/>
      <c r="Z457" s="101"/>
      <c r="AA457" s="101"/>
      <c r="AB457" s="101"/>
      <c r="AC457" s="101"/>
      <c r="AD457" s="101"/>
      <c r="AE457" s="101"/>
      <c r="AF457" s="101"/>
      <c r="AG457" s="101"/>
      <c r="AH457" s="101"/>
      <c r="AI457" s="101"/>
      <c r="AJ457" s="101"/>
      <c r="AK457" s="101"/>
      <c r="AL457" s="101"/>
    </row>
    <row r="458">
      <c r="A458" s="101"/>
      <c r="B458" s="644"/>
      <c r="C458" s="101"/>
      <c r="D458" s="605"/>
      <c r="E458" s="645"/>
      <c r="F458" s="101"/>
      <c r="G458" s="101"/>
      <c r="H458" s="101"/>
      <c r="I458" s="606"/>
      <c r="J458" s="606"/>
      <c r="K458" s="606"/>
      <c r="L458" s="606"/>
      <c r="M458" s="606"/>
      <c r="N458" s="606"/>
      <c r="O458" s="606"/>
      <c r="P458" s="606"/>
      <c r="Q458" s="606"/>
      <c r="R458" s="606"/>
      <c r="S458" s="606"/>
      <c r="T458" s="606"/>
      <c r="U458" s="606"/>
      <c r="V458" s="461"/>
      <c r="W458" s="461"/>
      <c r="X458" s="131"/>
      <c r="Y458" s="101"/>
      <c r="Z458" s="101"/>
      <c r="AA458" s="101"/>
      <c r="AB458" s="101"/>
      <c r="AC458" s="101"/>
      <c r="AD458" s="101"/>
      <c r="AE458" s="101"/>
      <c r="AF458" s="101"/>
      <c r="AG458" s="101"/>
      <c r="AH458" s="101"/>
      <c r="AI458" s="101"/>
      <c r="AJ458" s="101"/>
      <c r="AK458" s="101"/>
      <c r="AL458" s="101"/>
    </row>
    <row r="459">
      <c r="A459" s="101"/>
      <c r="B459" s="644"/>
      <c r="C459" s="101"/>
      <c r="D459" s="605"/>
      <c r="E459" s="645"/>
      <c r="F459" s="101"/>
      <c r="G459" s="101"/>
      <c r="H459" s="101"/>
      <c r="I459" s="606"/>
      <c r="J459" s="606"/>
      <c r="K459" s="606"/>
      <c r="L459" s="606"/>
      <c r="M459" s="606"/>
      <c r="N459" s="606"/>
      <c r="O459" s="606"/>
      <c r="P459" s="606"/>
      <c r="Q459" s="606"/>
      <c r="R459" s="606"/>
      <c r="S459" s="606"/>
      <c r="T459" s="606"/>
      <c r="U459" s="606"/>
      <c r="V459" s="461"/>
      <c r="W459" s="461"/>
      <c r="X459" s="131"/>
      <c r="Y459" s="101"/>
      <c r="Z459" s="101"/>
      <c r="AA459" s="101"/>
      <c r="AB459" s="101"/>
      <c r="AC459" s="101"/>
      <c r="AD459" s="101"/>
      <c r="AE459" s="101"/>
      <c r="AF459" s="101"/>
      <c r="AG459" s="101"/>
      <c r="AH459" s="101"/>
      <c r="AI459" s="101"/>
      <c r="AJ459" s="101"/>
      <c r="AK459" s="101"/>
      <c r="AL459" s="101"/>
    </row>
    <row r="460">
      <c r="A460" s="101"/>
      <c r="B460" s="644"/>
      <c r="C460" s="101"/>
      <c r="D460" s="605"/>
      <c r="E460" s="645"/>
      <c r="F460" s="101"/>
      <c r="G460" s="101"/>
      <c r="H460" s="101"/>
      <c r="I460" s="606"/>
      <c r="J460" s="606"/>
      <c r="K460" s="606"/>
      <c r="L460" s="606"/>
      <c r="M460" s="606"/>
      <c r="N460" s="606"/>
      <c r="O460" s="606"/>
      <c r="P460" s="606"/>
      <c r="Q460" s="606"/>
      <c r="R460" s="606"/>
      <c r="S460" s="606"/>
      <c r="T460" s="606"/>
      <c r="U460" s="606"/>
      <c r="V460" s="461"/>
      <c r="W460" s="461"/>
      <c r="X460" s="131"/>
      <c r="Y460" s="101"/>
      <c r="Z460" s="101"/>
      <c r="AA460" s="101"/>
      <c r="AB460" s="101"/>
      <c r="AC460" s="101"/>
      <c r="AD460" s="101"/>
      <c r="AE460" s="101"/>
      <c r="AF460" s="101"/>
      <c r="AG460" s="101"/>
      <c r="AH460" s="101"/>
      <c r="AI460" s="101"/>
      <c r="AJ460" s="101"/>
      <c r="AK460" s="101"/>
      <c r="AL460" s="101"/>
    </row>
    <row r="461">
      <c r="A461" s="101"/>
      <c r="B461" s="644"/>
      <c r="C461" s="101"/>
      <c r="D461" s="605"/>
      <c r="E461" s="645"/>
      <c r="F461" s="101"/>
      <c r="G461" s="101"/>
      <c r="H461" s="101"/>
      <c r="I461" s="606"/>
      <c r="J461" s="606"/>
      <c r="K461" s="606"/>
      <c r="L461" s="606"/>
      <c r="M461" s="606"/>
      <c r="N461" s="606"/>
      <c r="O461" s="606"/>
      <c r="P461" s="606"/>
      <c r="Q461" s="606"/>
      <c r="R461" s="606"/>
      <c r="S461" s="606"/>
      <c r="T461" s="606"/>
      <c r="U461" s="606"/>
      <c r="V461" s="461"/>
      <c r="W461" s="461"/>
      <c r="X461" s="131"/>
      <c r="Y461" s="101"/>
      <c r="Z461" s="101"/>
      <c r="AA461" s="101"/>
      <c r="AB461" s="101"/>
      <c r="AC461" s="101"/>
      <c r="AD461" s="101"/>
      <c r="AE461" s="101"/>
      <c r="AF461" s="101"/>
      <c r="AG461" s="101"/>
      <c r="AH461" s="101"/>
      <c r="AI461" s="101"/>
      <c r="AJ461" s="101"/>
      <c r="AK461" s="101"/>
      <c r="AL461" s="101"/>
    </row>
    <row r="462">
      <c r="A462" s="101"/>
      <c r="B462" s="644"/>
      <c r="C462" s="101"/>
      <c r="D462" s="605"/>
      <c r="E462" s="645"/>
      <c r="F462" s="101"/>
      <c r="G462" s="101"/>
      <c r="H462" s="101"/>
      <c r="I462" s="606"/>
      <c r="J462" s="606"/>
      <c r="K462" s="606"/>
      <c r="L462" s="606"/>
      <c r="M462" s="606"/>
      <c r="N462" s="606"/>
      <c r="O462" s="606"/>
      <c r="P462" s="606"/>
      <c r="Q462" s="606"/>
      <c r="R462" s="606"/>
      <c r="S462" s="606"/>
      <c r="T462" s="606"/>
      <c r="U462" s="606"/>
      <c r="V462" s="461"/>
      <c r="W462" s="461"/>
      <c r="X462" s="131"/>
      <c r="Y462" s="101"/>
      <c r="Z462" s="101"/>
      <c r="AA462" s="101"/>
      <c r="AB462" s="101"/>
      <c r="AC462" s="101"/>
      <c r="AD462" s="101"/>
      <c r="AE462" s="101"/>
      <c r="AF462" s="101"/>
      <c r="AG462" s="101"/>
      <c r="AH462" s="101"/>
      <c r="AI462" s="101"/>
      <c r="AJ462" s="101"/>
      <c r="AK462" s="101"/>
      <c r="AL462" s="101"/>
    </row>
    <row r="463">
      <c r="A463" s="101"/>
      <c r="B463" s="644"/>
      <c r="C463" s="101"/>
      <c r="D463" s="605"/>
      <c r="E463" s="645"/>
      <c r="F463" s="101"/>
      <c r="G463" s="101"/>
      <c r="H463" s="101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461"/>
      <c r="W463" s="461"/>
      <c r="X463" s="131"/>
      <c r="Y463" s="101"/>
      <c r="Z463" s="101"/>
      <c r="AA463" s="101"/>
      <c r="AB463" s="101"/>
      <c r="AC463" s="101"/>
      <c r="AD463" s="101"/>
      <c r="AE463" s="101"/>
      <c r="AF463" s="101"/>
      <c r="AG463" s="101"/>
      <c r="AH463" s="101"/>
      <c r="AI463" s="101"/>
      <c r="AJ463" s="101"/>
      <c r="AK463" s="101"/>
      <c r="AL463" s="101"/>
    </row>
    <row r="464">
      <c r="A464" s="101"/>
      <c r="B464" s="644"/>
      <c r="C464" s="101"/>
      <c r="D464" s="605"/>
      <c r="E464" s="645"/>
      <c r="F464" s="101"/>
      <c r="G464" s="101"/>
      <c r="H464" s="101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461"/>
      <c r="W464" s="461"/>
      <c r="X464" s="131"/>
      <c r="Y464" s="101"/>
      <c r="Z464" s="101"/>
      <c r="AA464" s="101"/>
      <c r="AB464" s="101"/>
      <c r="AC464" s="101"/>
      <c r="AD464" s="101"/>
      <c r="AE464" s="101"/>
      <c r="AF464" s="101"/>
      <c r="AG464" s="101"/>
      <c r="AH464" s="101"/>
      <c r="AI464" s="101"/>
      <c r="AJ464" s="101"/>
      <c r="AK464" s="101"/>
      <c r="AL464" s="101"/>
    </row>
    <row r="465">
      <c r="A465" s="101"/>
      <c r="B465" s="644"/>
      <c r="C465" s="101"/>
      <c r="D465" s="605"/>
      <c r="E465" s="645"/>
      <c r="F465" s="101"/>
      <c r="G465" s="101"/>
      <c r="H465" s="101"/>
      <c r="I465" s="606"/>
      <c r="J465" s="606"/>
      <c r="K465" s="606"/>
      <c r="L465" s="606"/>
      <c r="M465" s="606"/>
      <c r="N465" s="606"/>
      <c r="O465" s="606"/>
      <c r="P465" s="606"/>
      <c r="Q465" s="606"/>
      <c r="R465" s="606"/>
      <c r="S465" s="606"/>
      <c r="T465" s="606"/>
      <c r="U465" s="606"/>
      <c r="V465" s="461"/>
      <c r="W465" s="461"/>
      <c r="X465" s="131"/>
      <c r="Y465" s="101"/>
      <c r="Z465" s="101"/>
      <c r="AA465" s="101"/>
      <c r="AB465" s="101"/>
      <c r="AC465" s="101"/>
      <c r="AD465" s="101"/>
      <c r="AE465" s="101"/>
      <c r="AF465" s="101"/>
      <c r="AG465" s="101"/>
      <c r="AH465" s="101"/>
      <c r="AI465" s="101"/>
      <c r="AJ465" s="101"/>
      <c r="AK465" s="101"/>
      <c r="AL465" s="101"/>
    </row>
    <row r="466">
      <c r="A466" s="101"/>
      <c r="B466" s="644"/>
      <c r="C466" s="101"/>
      <c r="D466" s="605"/>
      <c r="E466" s="645"/>
      <c r="F466" s="101"/>
      <c r="G466" s="101"/>
      <c r="H466" s="101"/>
      <c r="I466" s="606"/>
      <c r="J466" s="606"/>
      <c r="K466" s="606"/>
      <c r="L466" s="606"/>
      <c r="M466" s="606"/>
      <c r="N466" s="606"/>
      <c r="O466" s="606"/>
      <c r="P466" s="606"/>
      <c r="Q466" s="606"/>
      <c r="R466" s="606"/>
      <c r="S466" s="606"/>
      <c r="T466" s="606"/>
      <c r="U466" s="606"/>
      <c r="V466" s="461"/>
      <c r="W466" s="461"/>
      <c r="X466" s="131"/>
      <c r="Y466" s="101"/>
      <c r="Z466" s="101"/>
      <c r="AA466" s="101"/>
      <c r="AB466" s="101"/>
      <c r="AC466" s="101"/>
      <c r="AD466" s="101"/>
      <c r="AE466" s="101"/>
      <c r="AF466" s="101"/>
      <c r="AG466" s="101"/>
      <c r="AH466" s="101"/>
      <c r="AI466" s="101"/>
      <c r="AJ466" s="101"/>
      <c r="AK466" s="101"/>
      <c r="AL466" s="101"/>
    </row>
    <row r="467">
      <c r="A467" s="101"/>
      <c r="B467" s="644"/>
      <c r="C467" s="101"/>
      <c r="D467" s="605"/>
      <c r="E467" s="645"/>
      <c r="F467" s="101"/>
      <c r="G467" s="101"/>
      <c r="H467" s="101"/>
      <c r="I467" s="606"/>
      <c r="J467" s="606"/>
      <c r="K467" s="606"/>
      <c r="L467" s="606"/>
      <c r="M467" s="606"/>
      <c r="N467" s="606"/>
      <c r="O467" s="606"/>
      <c r="P467" s="606"/>
      <c r="Q467" s="606"/>
      <c r="R467" s="606"/>
      <c r="S467" s="606"/>
      <c r="T467" s="606"/>
      <c r="U467" s="606"/>
      <c r="V467" s="461"/>
      <c r="W467" s="461"/>
      <c r="X467" s="131"/>
      <c r="Y467" s="101"/>
      <c r="Z467" s="101"/>
      <c r="AA467" s="101"/>
      <c r="AB467" s="101"/>
      <c r="AC467" s="101"/>
      <c r="AD467" s="101"/>
      <c r="AE467" s="101"/>
      <c r="AF467" s="101"/>
      <c r="AG467" s="101"/>
      <c r="AH467" s="101"/>
      <c r="AI467" s="101"/>
      <c r="AJ467" s="101"/>
      <c r="AK467" s="101"/>
      <c r="AL467" s="101"/>
    </row>
    <row r="468">
      <c r="A468" s="101"/>
      <c r="B468" s="644"/>
      <c r="C468" s="101"/>
      <c r="D468" s="605"/>
      <c r="E468" s="645"/>
      <c r="F468" s="101"/>
      <c r="G468" s="101"/>
      <c r="H468" s="101"/>
      <c r="I468" s="606"/>
      <c r="J468" s="606"/>
      <c r="K468" s="606"/>
      <c r="L468" s="606"/>
      <c r="M468" s="606"/>
      <c r="N468" s="606"/>
      <c r="O468" s="606"/>
      <c r="P468" s="606"/>
      <c r="Q468" s="606"/>
      <c r="R468" s="606"/>
      <c r="S468" s="606"/>
      <c r="T468" s="606"/>
      <c r="U468" s="606"/>
      <c r="V468" s="461"/>
      <c r="W468" s="461"/>
      <c r="X468" s="131"/>
      <c r="Y468" s="101"/>
      <c r="Z468" s="101"/>
      <c r="AA468" s="101"/>
      <c r="AB468" s="101"/>
      <c r="AC468" s="101"/>
      <c r="AD468" s="101"/>
      <c r="AE468" s="101"/>
      <c r="AF468" s="101"/>
      <c r="AG468" s="101"/>
      <c r="AH468" s="101"/>
      <c r="AI468" s="101"/>
      <c r="AJ468" s="101"/>
      <c r="AK468" s="101"/>
      <c r="AL468" s="101"/>
    </row>
    <row r="469">
      <c r="A469" s="101"/>
      <c r="B469" s="644"/>
      <c r="C469" s="101"/>
      <c r="D469" s="605"/>
      <c r="E469" s="645"/>
      <c r="F469" s="101"/>
      <c r="G469" s="101"/>
      <c r="H469" s="101"/>
      <c r="I469" s="606"/>
      <c r="J469" s="606"/>
      <c r="K469" s="606"/>
      <c r="L469" s="606"/>
      <c r="M469" s="606"/>
      <c r="N469" s="606"/>
      <c r="O469" s="606"/>
      <c r="P469" s="606"/>
      <c r="Q469" s="606"/>
      <c r="R469" s="606"/>
      <c r="S469" s="606"/>
      <c r="T469" s="606"/>
      <c r="U469" s="606"/>
      <c r="V469" s="461"/>
      <c r="W469" s="461"/>
      <c r="X469" s="131"/>
      <c r="Y469" s="101"/>
      <c r="Z469" s="101"/>
      <c r="AA469" s="101"/>
      <c r="AB469" s="101"/>
      <c r="AC469" s="101"/>
      <c r="AD469" s="101"/>
      <c r="AE469" s="101"/>
      <c r="AF469" s="101"/>
      <c r="AG469" s="101"/>
      <c r="AH469" s="101"/>
      <c r="AI469" s="101"/>
      <c r="AJ469" s="101"/>
      <c r="AK469" s="101"/>
      <c r="AL469" s="101"/>
    </row>
    <row r="470">
      <c r="A470" s="101"/>
      <c r="B470" s="644"/>
      <c r="C470" s="101"/>
      <c r="D470" s="605"/>
      <c r="E470" s="645"/>
      <c r="F470" s="101"/>
      <c r="G470" s="101"/>
      <c r="H470" s="101"/>
      <c r="I470" s="606"/>
      <c r="J470" s="606"/>
      <c r="K470" s="606"/>
      <c r="L470" s="606"/>
      <c r="M470" s="606"/>
      <c r="N470" s="606"/>
      <c r="O470" s="606"/>
      <c r="P470" s="606"/>
      <c r="Q470" s="606"/>
      <c r="R470" s="606"/>
      <c r="S470" s="606"/>
      <c r="T470" s="606"/>
      <c r="U470" s="606"/>
      <c r="V470" s="461"/>
      <c r="W470" s="461"/>
      <c r="X470" s="131"/>
      <c r="Y470" s="101"/>
      <c r="Z470" s="101"/>
      <c r="AA470" s="101"/>
      <c r="AB470" s="101"/>
      <c r="AC470" s="101"/>
      <c r="AD470" s="101"/>
      <c r="AE470" s="101"/>
      <c r="AF470" s="101"/>
      <c r="AG470" s="101"/>
      <c r="AH470" s="101"/>
      <c r="AI470" s="101"/>
      <c r="AJ470" s="101"/>
      <c r="AK470" s="101"/>
      <c r="AL470" s="101"/>
    </row>
    <row r="471">
      <c r="A471" s="101"/>
      <c r="B471" s="644"/>
      <c r="C471" s="101"/>
      <c r="D471" s="605"/>
      <c r="E471" s="645"/>
      <c r="F471" s="101"/>
      <c r="G471" s="101"/>
      <c r="H471" s="101"/>
      <c r="I471" s="606"/>
      <c r="J471" s="606"/>
      <c r="K471" s="606"/>
      <c r="L471" s="606"/>
      <c r="M471" s="606"/>
      <c r="N471" s="606"/>
      <c r="O471" s="606"/>
      <c r="P471" s="606"/>
      <c r="Q471" s="606"/>
      <c r="R471" s="606"/>
      <c r="S471" s="606"/>
      <c r="T471" s="606"/>
      <c r="U471" s="606"/>
      <c r="V471" s="461"/>
      <c r="W471" s="461"/>
      <c r="X471" s="131"/>
      <c r="Y471" s="101"/>
      <c r="Z471" s="101"/>
      <c r="AA471" s="101"/>
      <c r="AB471" s="101"/>
      <c r="AC471" s="101"/>
      <c r="AD471" s="101"/>
      <c r="AE471" s="101"/>
      <c r="AF471" s="101"/>
      <c r="AG471" s="101"/>
      <c r="AH471" s="101"/>
      <c r="AI471" s="101"/>
      <c r="AJ471" s="101"/>
      <c r="AK471" s="101"/>
      <c r="AL471" s="101"/>
    </row>
    <row r="472">
      <c r="A472" s="101"/>
      <c r="B472" s="644"/>
      <c r="C472" s="101"/>
      <c r="D472" s="605"/>
      <c r="E472" s="645"/>
      <c r="F472" s="101"/>
      <c r="G472" s="101"/>
      <c r="H472" s="101"/>
      <c r="I472" s="606"/>
      <c r="J472" s="606"/>
      <c r="K472" s="606"/>
      <c r="L472" s="606"/>
      <c r="M472" s="606"/>
      <c r="N472" s="606"/>
      <c r="O472" s="606"/>
      <c r="P472" s="606"/>
      <c r="Q472" s="606"/>
      <c r="R472" s="606"/>
      <c r="S472" s="606"/>
      <c r="T472" s="606"/>
      <c r="U472" s="606"/>
      <c r="V472" s="461"/>
      <c r="W472" s="461"/>
      <c r="X472" s="131"/>
      <c r="Y472" s="101"/>
      <c r="Z472" s="101"/>
      <c r="AA472" s="101"/>
      <c r="AB472" s="101"/>
      <c r="AC472" s="101"/>
      <c r="AD472" s="101"/>
      <c r="AE472" s="101"/>
      <c r="AF472" s="101"/>
      <c r="AG472" s="101"/>
      <c r="AH472" s="101"/>
      <c r="AI472" s="101"/>
      <c r="AJ472" s="101"/>
      <c r="AK472" s="101"/>
      <c r="AL472" s="101"/>
    </row>
    <row r="473">
      <c r="A473" s="101"/>
      <c r="B473" s="644"/>
      <c r="C473" s="101"/>
      <c r="D473" s="605"/>
      <c r="E473" s="645"/>
      <c r="F473" s="101"/>
      <c r="G473" s="101"/>
      <c r="H473" s="101"/>
      <c r="I473" s="606"/>
      <c r="J473" s="606"/>
      <c r="K473" s="606"/>
      <c r="L473" s="606"/>
      <c r="M473" s="606"/>
      <c r="N473" s="606"/>
      <c r="O473" s="606"/>
      <c r="P473" s="606"/>
      <c r="Q473" s="606"/>
      <c r="R473" s="606"/>
      <c r="S473" s="606"/>
      <c r="T473" s="606"/>
      <c r="U473" s="606"/>
      <c r="V473" s="461"/>
      <c r="W473" s="461"/>
      <c r="X473" s="131"/>
      <c r="Y473" s="101"/>
      <c r="Z473" s="101"/>
      <c r="AA473" s="101"/>
      <c r="AB473" s="101"/>
      <c r="AC473" s="101"/>
      <c r="AD473" s="101"/>
      <c r="AE473" s="101"/>
      <c r="AF473" s="101"/>
      <c r="AG473" s="101"/>
      <c r="AH473" s="101"/>
      <c r="AI473" s="101"/>
      <c r="AJ473" s="101"/>
      <c r="AK473" s="101"/>
      <c r="AL473" s="101"/>
    </row>
    <row r="474">
      <c r="A474" s="101"/>
      <c r="B474" s="644"/>
      <c r="C474" s="101"/>
      <c r="D474" s="605"/>
      <c r="E474" s="645"/>
      <c r="F474" s="101"/>
      <c r="G474" s="101"/>
      <c r="H474" s="101"/>
      <c r="I474" s="606"/>
      <c r="J474" s="606"/>
      <c r="K474" s="606"/>
      <c r="L474" s="606"/>
      <c r="M474" s="606"/>
      <c r="N474" s="606"/>
      <c r="O474" s="606"/>
      <c r="P474" s="606"/>
      <c r="Q474" s="606"/>
      <c r="R474" s="606"/>
      <c r="S474" s="606"/>
      <c r="T474" s="606"/>
      <c r="U474" s="606"/>
      <c r="V474" s="461"/>
      <c r="W474" s="461"/>
      <c r="X474" s="131"/>
      <c r="Y474" s="101"/>
      <c r="Z474" s="101"/>
      <c r="AA474" s="101"/>
      <c r="AB474" s="101"/>
      <c r="AC474" s="101"/>
      <c r="AD474" s="101"/>
      <c r="AE474" s="101"/>
      <c r="AF474" s="101"/>
      <c r="AG474" s="101"/>
      <c r="AH474" s="101"/>
      <c r="AI474" s="101"/>
      <c r="AJ474" s="101"/>
      <c r="AK474" s="101"/>
      <c r="AL474" s="101"/>
    </row>
    <row r="475">
      <c r="A475" s="101"/>
      <c r="B475" s="644"/>
      <c r="C475" s="101"/>
      <c r="D475" s="605"/>
      <c r="E475" s="645"/>
      <c r="F475" s="101"/>
      <c r="G475" s="101"/>
      <c r="H475" s="101"/>
      <c r="I475" s="606"/>
      <c r="J475" s="606"/>
      <c r="K475" s="606"/>
      <c r="L475" s="606"/>
      <c r="M475" s="606"/>
      <c r="N475" s="606"/>
      <c r="O475" s="606"/>
      <c r="P475" s="606"/>
      <c r="Q475" s="606"/>
      <c r="R475" s="606"/>
      <c r="S475" s="606"/>
      <c r="T475" s="606"/>
      <c r="U475" s="606"/>
      <c r="V475" s="461"/>
      <c r="W475" s="461"/>
      <c r="X475" s="131"/>
      <c r="Y475" s="101"/>
      <c r="Z475" s="101"/>
      <c r="AA475" s="101"/>
      <c r="AB475" s="101"/>
      <c r="AC475" s="101"/>
      <c r="AD475" s="101"/>
      <c r="AE475" s="101"/>
      <c r="AF475" s="101"/>
      <c r="AG475" s="101"/>
      <c r="AH475" s="101"/>
      <c r="AI475" s="101"/>
      <c r="AJ475" s="101"/>
      <c r="AK475" s="101"/>
      <c r="AL475" s="101"/>
    </row>
    <row r="476">
      <c r="A476" s="101"/>
      <c r="B476" s="644"/>
      <c r="C476" s="101"/>
      <c r="D476" s="605"/>
      <c r="E476" s="645"/>
      <c r="F476" s="101"/>
      <c r="G476" s="101"/>
      <c r="H476" s="101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461"/>
      <c r="W476" s="461"/>
      <c r="X476" s="131"/>
      <c r="Y476" s="101"/>
      <c r="Z476" s="101"/>
      <c r="AA476" s="101"/>
      <c r="AB476" s="101"/>
      <c r="AC476" s="101"/>
      <c r="AD476" s="101"/>
      <c r="AE476" s="101"/>
      <c r="AF476" s="101"/>
      <c r="AG476" s="101"/>
      <c r="AH476" s="101"/>
      <c r="AI476" s="101"/>
      <c r="AJ476" s="101"/>
      <c r="AK476" s="101"/>
      <c r="AL476" s="101"/>
    </row>
    <row r="477">
      <c r="A477" s="101"/>
      <c r="B477" s="644"/>
      <c r="C477" s="101"/>
      <c r="D477" s="605"/>
      <c r="E477" s="645"/>
      <c r="F477" s="101"/>
      <c r="G477" s="101"/>
      <c r="H477" s="101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461"/>
      <c r="W477" s="461"/>
      <c r="X477" s="131"/>
      <c r="Y477" s="101"/>
      <c r="Z477" s="101"/>
      <c r="AA477" s="101"/>
      <c r="AB477" s="101"/>
      <c r="AC477" s="101"/>
      <c r="AD477" s="101"/>
      <c r="AE477" s="101"/>
      <c r="AF477" s="101"/>
      <c r="AG477" s="101"/>
      <c r="AH477" s="101"/>
      <c r="AI477" s="101"/>
      <c r="AJ477" s="101"/>
      <c r="AK477" s="101"/>
      <c r="AL477" s="101"/>
    </row>
    <row r="478">
      <c r="A478" s="101"/>
      <c r="B478" s="644"/>
      <c r="C478" s="101"/>
      <c r="D478" s="605"/>
      <c r="E478" s="645"/>
      <c r="F478" s="101"/>
      <c r="G478" s="101"/>
      <c r="H478" s="101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461"/>
      <c r="W478" s="461"/>
      <c r="X478" s="131"/>
      <c r="Y478" s="101"/>
      <c r="Z478" s="101"/>
      <c r="AA478" s="101"/>
      <c r="AB478" s="101"/>
      <c r="AC478" s="101"/>
      <c r="AD478" s="101"/>
      <c r="AE478" s="101"/>
      <c r="AF478" s="101"/>
      <c r="AG478" s="101"/>
      <c r="AH478" s="101"/>
      <c r="AI478" s="101"/>
      <c r="AJ478" s="101"/>
      <c r="AK478" s="101"/>
      <c r="AL478" s="101"/>
    </row>
    <row r="479">
      <c r="A479" s="101"/>
      <c r="B479" s="644"/>
      <c r="C479" s="101"/>
      <c r="D479" s="605"/>
      <c r="E479" s="645"/>
      <c r="F479" s="101"/>
      <c r="G479" s="101"/>
      <c r="H479" s="101"/>
      <c r="I479" s="606"/>
      <c r="J479" s="606"/>
      <c r="K479" s="606"/>
      <c r="L479" s="606"/>
      <c r="M479" s="606"/>
      <c r="N479" s="606"/>
      <c r="O479" s="606"/>
      <c r="P479" s="606"/>
      <c r="Q479" s="606"/>
      <c r="R479" s="606"/>
      <c r="S479" s="606"/>
      <c r="T479" s="606"/>
      <c r="U479" s="606"/>
      <c r="V479" s="461"/>
      <c r="W479" s="461"/>
      <c r="X479" s="131"/>
      <c r="Y479" s="101"/>
      <c r="Z479" s="101"/>
      <c r="AA479" s="101"/>
      <c r="AB479" s="101"/>
      <c r="AC479" s="101"/>
      <c r="AD479" s="101"/>
      <c r="AE479" s="101"/>
      <c r="AF479" s="101"/>
      <c r="AG479" s="101"/>
      <c r="AH479" s="101"/>
      <c r="AI479" s="101"/>
      <c r="AJ479" s="101"/>
      <c r="AK479" s="101"/>
      <c r="AL479" s="101"/>
    </row>
    <row r="480">
      <c r="A480" s="101"/>
      <c r="B480" s="644"/>
      <c r="C480" s="101"/>
      <c r="D480" s="605"/>
      <c r="E480" s="645"/>
      <c r="F480" s="101"/>
      <c r="G480" s="101"/>
      <c r="H480" s="101"/>
      <c r="I480" s="606"/>
      <c r="J480" s="606"/>
      <c r="K480" s="606"/>
      <c r="L480" s="606"/>
      <c r="M480" s="606"/>
      <c r="N480" s="606"/>
      <c r="O480" s="606"/>
      <c r="P480" s="606"/>
      <c r="Q480" s="606"/>
      <c r="R480" s="606"/>
      <c r="S480" s="606"/>
      <c r="T480" s="606"/>
      <c r="U480" s="606"/>
      <c r="V480" s="461"/>
      <c r="W480" s="461"/>
      <c r="X480" s="131"/>
      <c r="Y480" s="101"/>
      <c r="Z480" s="101"/>
      <c r="AA480" s="101"/>
      <c r="AB480" s="101"/>
      <c r="AC480" s="101"/>
      <c r="AD480" s="101"/>
      <c r="AE480" s="101"/>
      <c r="AF480" s="101"/>
      <c r="AG480" s="101"/>
      <c r="AH480" s="101"/>
      <c r="AI480" s="101"/>
      <c r="AJ480" s="101"/>
      <c r="AK480" s="101"/>
      <c r="AL480" s="101"/>
    </row>
    <row r="481">
      <c r="A481" s="101"/>
      <c r="B481" s="644"/>
      <c r="C481" s="101"/>
      <c r="D481" s="605"/>
      <c r="E481" s="645"/>
      <c r="F481" s="101"/>
      <c r="G481" s="101"/>
      <c r="H481" s="101"/>
      <c r="I481" s="606"/>
      <c r="J481" s="606"/>
      <c r="K481" s="606"/>
      <c r="L481" s="606"/>
      <c r="M481" s="606"/>
      <c r="N481" s="606"/>
      <c r="O481" s="606"/>
      <c r="P481" s="606"/>
      <c r="Q481" s="606"/>
      <c r="R481" s="606"/>
      <c r="S481" s="606"/>
      <c r="T481" s="606"/>
      <c r="U481" s="606"/>
      <c r="V481" s="461"/>
      <c r="W481" s="461"/>
      <c r="X481" s="131"/>
      <c r="Y481" s="101"/>
      <c r="Z481" s="101"/>
      <c r="AA481" s="101"/>
      <c r="AB481" s="101"/>
      <c r="AC481" s="101"/>
      <c r="AD481" s="101"/>
      <c r="AE481" s="101"/>
      <c r="AF481" s="101"/>
      <c r="AG481" s="101"/>
      <c r="AH481" s="101"/>
      <c r="AI481" s="101"/>
      <c r="AJ481" s="101"/>
      <c r="AK481" s="101"/>
      <c r="AL481" s="101"/>
    </row>
    <row r="482">
      <c r="A482" s="101"/>
      <c r="B482" s="644"/>
      <c r="C482" s="101"/>
      <c r="D482" s="605"/>
      <c r="E482" s="645"/>
      <c r="F482" s="101"/>
      <c r="G482" s="101"/>
      <c r="H482" s="101"/>
      <c r="I482" s="606"/>
      <c r="J482" s="606"/>
      <c r="K482" s="606"/>
      <c r="L482" s="606"/>
      <c r="M482" s="606"/>
      <c r="N482" s="606"/>
      <c r="O482" s="606"/>
      <c r="P482" s="606"/>
      <c r="Q482" s="606"/>
      <c r="R482" s="606"/>
      <c r="S482" s="606"/>
      <c r="T482" s="606"/>
      <c r="U482" s="606"/>
      <c r="V482" s="461"/>
      <c r="W482" s="461"/>
      <c r="X482" s="131"/>
      <c r="Y482" s="101"/>
      <c r="Z482" s="101"/>
      <c r="AA482" s="101"/>
      <c r="AB482" s="101"/>
      <c r="AC482" s="101"/>
      <c r="AD482" s="101"/>
      <c r="AE482" s="101"/>
      <c r="AF482" s="101"/>
      <c r="AG482" s="101"/>
      <c r="AH482" s="101"/>
      <c r="AI482" s="101"/>
      <c r="AJ482" s="101"/>
      <c r="AK482" s="101"/>
      <c r="AL482" s="101"/>
    </row>
    <row r="483">
      <c r="A483" s="101"/>
      <c r="B483" s="644"/>
      <c r="C483" s="101"/>
      <c r="D483" s="605"/>
      <c r="E483" s="645"/>
      <c r="F483" s="101"/>
      <c r="G483" s="101"/>
      <c r="H483" s="101"/>
      <c r="I483" s="606"/>
      <c r="J483" s="606"/>
      <c r="K483" s="606"/>
      <c r="L483" s="606"/>
      <c r="M483" s="606"/>
      <c r="N483" s="606"/>
      <c r="O483" s="606"/>
      <c r="P483" s="606"/>
      <c r="Q483" s="606"/>
      <c r="R483" s="606"/>
      <c r="S483" s="606"/>
      <c r="T483" s="606"/>
      <c r="U483" s="606"/>
      <c r="V483" s="461"/>
      <c r="W483" s="461"/>
      <c r="X483" s="131"/>
      <c r="Y483" s="101"/>
      <c r="Z483" s="101"/>
      <c r="AA483" s="101"/>
      <c r="AB483" s="101"/>
      <c r="AC483" s="101"/>
      <c r="AD483" s="101"/>
      <c r="AE483" s="101"/>
      <c r="AF483" s="101"/>
      <c r="AG483" s="101"/>
      <c r="AH483" s="101"/>
      <c r="AI483" s="101"/>
      <c r="AJ483" s="101"/>
      <c r="AK483" s="101"/>
      <c r="AL483" s="101"/>
    </row>
    <row r="484">
      <c r="A484" s="101"/>
      <c r="B484" s="644"/>
      <c r="C484" s="101"/>
      <c r="D484" s="605"/>
      <c r="E484" s="645"/>
      <c r="F484" s="101"/>
      <c r="G484" s="101"/>
      <c r="H484" s="101"/>
      <c r="I484" s="606"/>
      <c r="J484" s="606"/>
      <c r="K484" s="606"/>
      <c r="L484" s="606"/>
      <c r="M484" s="606"/>
      <c r="N484" s="606"/>
      <c r="O484" s="606"/>
      <c r="P484" s="606"/>
      <c r="Q484" s="606"/>
      <c r="R484" s="606"/>
      <c r="S484" s="606"/>
      <c r="T484" s="606"/>
      <c r="U484" s="606"/>
      <c r="V484" s="461"/>
      <c r="W484" s="461"/>
      <c r="X484" s="131"/>
      <c r="Y484" s="101"/>
      <c r="Z484" s="101"/>
      <c r="AA484" s="101"/>
      <c r="AB484" s="101"/>
      <c r="AC484" s="101"/>
      <c r="AD484" s="101"/>
      <c r="AE484" s="101"/>
      <c r="AF484" s="101"/>
      <c r="AG484" s="101"/>
      <c r="AH484" s="101"/>
      <c r="AI484" s="101"/>
      <c r="AJ484" s="101"/>
      <c r="AK484" s="101"/>
      <c r="AL484" s="101"/>
    </row>
    <row r="485">
      <c r="A485" s="101"/>
      <c r="B485" s="644"/>
      <c r="C485" s="101"/>
      <c r="D485" s="605"/>
      <c r="E485" s="645"/>
      <c r="F485" s="101"/>
      <c r="G485" s="101"/>
      <c r="H485" s="101"/>
      <c r="I485" s="606"/>
      <c r="J485" s="606"/>
      <c r="K485" s="606"/>
      <c r="L485" s="606"/>
      <c r="M485" s="606"/>
      <c r="N485" s="606"/>
      <c r="O485" s="606"/>
      <c r="P485" s="606"/>
      <c r="Q485" s="606"/>
      <c r="R485" s="606"/>
      <c r="S485" s="606"/>
      <c r="T485" s="606"/>
      <c r="U485" s="606"/>
      <c r="V485" s="461"/>
      <c r="W485" s="461"/>
      <c r="X485" s="131"/>
      <c r="Y485" s="101"/>
      <c r="Z485" s="101"/>
      <c r="AA485" s="101"/>
      <c r="AB485" s="101"/>
      <c r="AC485" s="101"/>
      <c r="AD485" s="101"/>
      <c r="AE485" s="101"/>
      <c r="AF485" s="101"/>
      <c r="AG485" s="101"/>
      <c r="AH485" s="101"/>
      <c r="AI485" s="101"/>
      <c r="AJ485" s="101"/>
      <c r="AK485" s="101"/>
      <c r="AL485" s="101"/>
    </row>
    <row r="486">
      <c r="A486" s="101"/>
      <c r="B486" s="644"/>
      <c r="C486" s="101"/>
      <c r="D486" s="605"/>
      <c r="E486" s="645"/>
      <c r="F486" s="101"/>
      <c r="G486" s="101"/>
      <c r="H486" s="101"/>
      <c r="I486" s="606"/>
      <c r="J486" s="606"/>
      <c r="K486" s="606"/>
      <c r="L486" s="606"/>
      <c r="M486" s="606"/>
      <c r="N486" s="606"/>
      <c r="O486" s="606"/>
      <c r="P486" s="606"/>
      <c r="Q486" s="606"/>
      <c r="R486" s="606"/>
      <c r="S486" s="606"/>
      <c r="T486" s="606"/>
      <c r="U486" s="606"/>
      <c r="V486" s="461"/>
      <c r="W486" s="461"/>
      <c r="X486" s="131"/>
      <c r="Y486" s="101"/>
      <c r="Z486" s="101"/>
      <c r="AA486" s="101"/>
      <c r="AB486" s="101"/>
      <c r="AC486" s="101"/>
      <c r="AD486" s="101"/>
      <c r="AE486" s="101"/>
      <c r="AF486" s="101"/>
      <c r="AG486" s="101"/>
      <c r="AH486" s="101"/>
      <c r="AI486" s="101"/>
      <c r="AJ486" s="101"/>
      <c r="AK486" s="101"/>
      <c r="AL486" s="101"/>
    </row>
    <row r="487">
      <c r="A487" s="101"/>
      <c r="B487" s="644"/>
      <c r="C487" s="101"/>
      <c r="D487" s="605"/>
      <c r="E487" s="645"/>
      <c r="F487" s="101"/>
      <c r="G487" s="101"/>
      <c r="H487" s="101"/>
      <c r="I487" s="606"/>
      <c r="J487" s="606"/>
      <c r="K487" s="606"/>
      <c r="L487" s="606"/>
      <c r="M487" s="606"/>
      <c r="N487" s="606"/>
      <c r="O487" s="606"/>
      <c r="P487" s="606"/>
      <c r="Q487" s="606"/>
      <c r="R487" s="606"/>
      <c r="S487" s="606"/>
      <c r="T487" s="606"/>
      <c r="U487" s="606"/>
      <c r="V487" s="461"/>
      <c r="W487" s="461"/>
      <c r="X487" s="131"/>
      <c r="Y487" s="101"/>
      <c r="Z487" s="101"/>
      <c r="AA487" s="101"/>
      <c r="AB487" s="101"/>
      <c r="AC487" s="101"/>
      <c r="AD487" s="101"/>
      <c r="AE487" s="101"/>
      <c r="AF487" s="101"/>
      <c r="AG487" s="101"/>
      <c r="AH487" s="101"/>
      <c r="AI487" s="101"/>
      <c r="AJ487" s="101"/>
      <c r="AK487" s="101"/>
      <c r="AL487" s="101"/>
    </row>
    <row r="488">
      <c r="A488" s="101"/>
      <c r="B488" s="644"/>
      <c r="C488" s="101"/>
      <c r="D488" s="605"/>
      <c r="E488" s="645"/>
      <c r="F488" s="101"/>
      <c r="G488" s="101"/>
      <c r="H488" s="101"/>
      <c r="I488" s="606"/>
      <c r="J488" s="606"/>
      <c r="K488" s="606"/>
      <c r="L488" s="606"/>
      <c r="M488" s="606"/>
      <c r="N488" s="606"/>
      <c r="O488" s="606"/>
      <c r="P488" s="606"/>
      <c r="Q488" s="606"/>
      <c r="R488" s="606"/>
      <c r="S488" s="606"/>
      <c r="T488" s="606"/>
      <c r="U488" s="606"/>
      <c r="V488" s="461"/>
      <c r="W488" s="461"/>
      <c r="X488" s="131"/>
      <c r="Y488" s="101"/>
      <c r="Z488" s="101"/>
      <c r="AA488" s="101"/>
      <c r="AB488" s="101"/>
      <c r="AC488" s="101"/>
      <c r="AD488" s="101"/>
      <c r="AE488" s="101"/>
      <c r="AF488" s="101"/>
      <c r="AG488" s="101"/>
      <c r="AH488" s="101"/>
      <c r="AI488" s="101"/>
      <c r="AJ488" s="101"/>
      <c r="AK488" s="101"/>
      <c r="AL488" s="101"/>
    </row>
    <row r="489">
      <c r="A489" s="101"/>
      <c r="B489" s="644"/>
      <c r="C489" s="101"/>
      <c r="D489" s="605"/>
      <c r="E489" s="645"/>
      <c r="F489" s="101"/>
      <c r="G489" s="101"/>
      <c r="H489" s="101"/>
      <c r="I489" s="606"/>
      <c r="J489" s="606"/>
      <c r="K489" s="606"/>
      <c r="L489" s="606"/>
      <c r="M489" s="606"/>
      <c r="N489" s="606"/>
      <c r="O489" s="606"/>
      <c r="P489" s="606"/>
      <c r="Q489" s="606"/>
      <c r="R489" s="606"/>
      <c r="S489" s="606"/>
      <c r="T489" s="606"/>
      <c r="U489" s="606"/>
      <c r="V489" s="461"/>
      <c r="W489" s="461"/>
      <c r="X489" s="131"/>
      <c r="Y489" s="101"/>
      <c r="Z489" s="101"/>
      <c r="AA489" s="101"/>
      <c r="AB489" s="101"/>
      <c r="AC489" s="101"/>
      <c r="AD489" s="101"/>
      <c r="AE489" s="101"/>
      <c r="AF489" s="101"/>
      <c r="AG489" s="101"/>
      <c r="AH489" s="101"/>
      <c r="AI489" s="101"/>
      <c r="AJ489" s="101"/>
      <c r="AK489" s="101"/>
      <c r="AL489" s="101"/>
    </row>
    <row r="490">
      <c r="A490" s="101"/>
      <c r="B490" s="644"/>
      <c r="C490" s="101"/>
      <c r="D490" s="605"/>
      <c r="E490" s="645"/>
      <c r="F490" s="101"/>
      <c r="G490" s="101"/>
      <c r="H490" s="101"/>
      <c r="I490" s="606"/>
      <c r="J490" s="606"/>
      <c r="K490" s="606"/>
      <c r="L490" s="606"/>
      <c r="M490" s="606"/>
      <c r="N490" s="606"/>
      <c r="O490" s="606"/>
      <c r="P490" s="606"/>
      <c r="Q490" s="606"/>
      <c r="R490" s="606"/>
      <c r="S490" s="606"/>
      <c r="T490" s="606"/>
      <c r="U490" s="606"/>
      <c r="V490" s="461"/>
      <c r="W490" s="461"/>
      <c r="X490" s="131"/>
      <c r="Y490" s="101"/>
      <c r="Z490" s="101"/>
      <c r="AA490" s="101"/>
      <c r="AB490" s="101"/>
      <c r="AC490" s="101"/>
      <c r="AD490" s="101"/>
      <c r="AE490" s="101"/>
      <c r="AF490" s="101"/>
      <c r="AG490" s="101"/>
      <c r="AH490" s="101"/>
      <c r="AI490" s="101"/>
      <c r="AJ490" s="101"/>
      <c r="AK490" s="101"/>
      <c r="AL490" s="101"/>
    </row>
    <row r="491">
      <c r="A491" s="101"/>
      <c r="B491" s="644"/>
      <c r="C491" s="101"/>
      <c r="D491" s="605"/>
      <c r="E491" s="645"/>
      <c r="F491" s="101"/>
      <c r="G491" s="101"/>
      <c r="H491" s="101"/>
      <c r="I491" s="606"/>
      <c r="J491" s="606"/>
      <c r="K491" s="606"/>
      <c r="L491" s="606"/>
      <c r="M491" s="606"/>
      <c r="N491" s="606"/>
      <c r="O491" s="606"/>
      <c r="P491" s="606"/>
      <c r="Q491" s="606"/>
      <c r="R491" s="606"/>
      <c r="S491" s="606"/>
      <c r="T491" s="606"/>
      <c r="U491" s="606"/>
      <c r="V491" s="461"/>
      <c r="W491" s="461"/>
      <c r="X491" s="131"/>
      <c r="Y491" s="101"/>
      <c r="Z491" s="101"/>
      <c r="AA491" s="101"/>
      <c r="AB491" s="101"/>
      <c r="AC491" s="101"/>
      <c r="AD491" s="101"/>
      <c r="AE491" s="101"/>
      <c r="AF491" s="101"/>
      <c r="AG491" s="101"/>
      <c r="AH491" s="101"/>
      <c r="AI491" s="101"/>
      <c r="AJ491" s="101"/>
      <c r="AK491" s="101"/>
      <c r="AL491" s="101"/>
    </row>
    <row r="492">
      <c r="A492" s="101"/>
      <c r="B492" s="644"/>
      <c r="C492" s="101"/>
      <c r="D492" s="605"/>
      <c r="E492" s="645"/>
      <c r="F492" s="101"/>
      <c r="G492" s="101"/>
      <c r="H492" s="101"/>
      <c r="I492" s="606"/>
      <c r="J492" s="606"/>
      <c r="K492" s="606"/>
      <c r="L492" s="606"/>
      <c r="M492" s="606"/>
      <c r="N492" s="606"/>
      <c r="O492" s="606"/>
      <c r="P492" s="606"/>
      <c r="Q492" s="606"/>
      <c r="R492" s="606"/>
      <c r="S492" s="606"/>
      <c r="T492" s="606"/>
      <c r="U492" s="606"/>
      <c r="V492" s="461"/>
      <c r="W492" s="461"/>
      <c r="X492" s="131"/>
      <c r="Y492" s="101"/>
      <c r="Z492" s="101"/>
      <c r="AA492" s="101"/>
      <c r="AB492" s="101"/>
      <c r="AC492" s="101"/>
      <c r="AD492" s="101"/>
      <c r="AE492" s="101"/>
      <c r="AF492" s="101"/>
      <c r="AG492" s="101"/>
      <c r="AH492" s="101"/>
      <c r="AI492" s="101"/>
      <c r="AJ492" s="101"/>
      <c r="AK492" s="101"/>
      <c r="AL492" s="101"/>
    </row>
    <row r="493">
      <c r="A493" s="101"/>
      <c r="B493" s="644"/>
      <c r="C493" s="101"/>
      <c r="D493" s="605"/>
      <c r="E493" s="645"/>
      <c r="F493" s="101"/>
      <c r="G493" s="101"/>
      <c r="H493" s="101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461"/>
      <c r="W493" s="461"/>
      <c r="X493" s="131"/>
      <c r="Y493" s="101"/>
      <c r="Z493" s="101"/>
      <c r="AA493" s="101"/>
      <c r="AB493" s="101"/>
      <c r="AC493" s="101"/>
      <c r="AD493" s="101"/>
      <c r="AE493" s="101"/>
      <c r="AF493" s="101"/>
      <c r="AG493" s="101"/>
      <c r="AH493" s="101"/>
      <c r="AI493" s="101"/>
      <c r="AJ493" s="101"/>
      <c r="AK493" s="101"/>
      <c r="AL493" s="101"/>
    </row>
    <row r="494">
      <c r="A494" s="101"/>
      <c r="B494" s="644"/>
      <c r="C494" s="101"/>
      <c r="D494" s="605"/>
      <c r="E494" s="645"/>
      <c r="F494" s="101"/>
      <c r="G494" s="101"/>
      <c r="H494" s="101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461"/>
      <c r="W494" s="461"/>
      <c r="X494" s="131"/>
      <c r="Y494" s="101"/>
      <c r="Z494" s="101"/>
      <c r="AA494" s="101"/>
      <c r="AB494" s="101"/>
      <c r="AC494" s="101"/>
      <c r="AD494" s="101"/>
      <c r="AE494" s="101"/>
      <c r="AF494" s="101"/>
      <c r="AG494" s="101"/>
      <c r="AH494" s="101"/>
      <c r="AI494" s="101"/>
      <c r="AJ494" s="101"/>
      <c r="AK494" s="101"/>
      <c r="AL494" s="101"/>
    </row>
    <row r="495">
      <c r="A495" s="101"/>
      <c r="B495" s="644"/>
      <c r="C495" s="101"/>
      <c r="D495" s="605"/>
      <c r="E495" s="645"/>
      <c r="F495" s="101"/>
      <c r="G495" s="101"/>
      <c r="H495" s="101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461"/>
      <c r="W495" s="461"/>
      <c r="X495" s="131"/>
      <c r="Y495" s="101"/>
      <c r="Z495" s="101"/>
      <c r="AA495" s="101"/>
      <c r="AB495" s="101"/>
      <c r="AC495" s="101"/>
      <c r="AD495" s="101"/>
      <c r="AE495" s="101"/>
      <c r="AF495" s="101"/>
      <c r="AG495" s="101"/>
      <c r="AH495" s="101"/>
      <c r="AI495" s="101"/>
      <c r="AJ495" s="101"/>
      <c r="AK495" s="101"/>
      <c r="AL495" s="101"/>
    </row>
    <row r="496">
      <c r="A496" s="101"/>
      <c r="B496" s="644"/>
      <c r="C496" s="101"/>
      <c r="D496" s="605"/>
      <c r="E496" s="645"/>
      <c r="F496" s="101"/>
      <c r="G496" s="101"/>
      <c r="H496" s="101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461"/>
      <c r="W496" s="461"/>
      <c r="X496" s="131"/>
      <c r="Y496" s="101"/>
      <c r="Z496" s="101"/>
      <c r="AA496" s="101"/>
      <c r="AB496" s="101"/>
      <c r="AC496" s="101"/>
      <c r="AD496" s="101"/>
      <c r="AE496" s="101"/>
      <c r="AF496" s="101"/>
      <c r="AG496" s="101"/>
      <c r="AH496" s="101"/>
      <c r="AI496" s="101"/>
      <c r="AJ496" s="101"/>
      <c r="AK496" s="101"/>
      <c r="AL496" s="101"/>
    </row>
    <row r="497">
      <c r="A497" s="101"/>
      <c r="B497" s="644"/>
      <c r="C497" s="101"/>
      <c r="D497" s="605"/>
      <c r="E497" s="645"/>
      <c r="F497" s="101"/>
      <c r="G497" s="101"/>
      <c r="H497" s="101"/>
      <c r="I497" s="606"/>
      <c r="J497" s="606"/>
      <c r="K497" s="606"/>
      <c r="L497" s="606"/>
      <c r="M497" s="606"/>
      <c r="N497" s="606"/>
      <c r="O497" s="606"/>
      <c r="P497" s="606"/>
      <c r="Q497" s="606"/>
      <c r="R497" s="606"/>
      <c r="S497" s="606"/>
      <c r="T497" s="606"/>
      <c r="U497" s="606"/>
      <c r="V497" s="461"/>
      <c r="W497" s="461"/>
      <c r="X497" s="131"/>
      <c r="Y497" s="101"/>
      <c r="Z497" s="101"/>
      <c r="AA497" s="101"/>
      <c r="AB497" s="101"/>
      <c r="AC497" s="101"/>
      <c r="AD497" s="101"/>
      <c r="AE497" s="101"/>
      <c r="AF497" s="101"/>
      <c r="AG497" s="101"/>
      <c r="AH497" s="101"/>
      <c r="AI497" s="101"/>
      <c r="AJ497" s="101"/>
      <c r="AK497" s="101"/>
      <c r="AL497" s="101"/>
    </row>
    <row r="498">
      <c r="A498" s="101"/>
      <c r="B498" s="644"/>
      <c r="C498" s="101"/>
      <c r="D498" s="605"/>
      <c r="E498" s="645"/>
      <c r="F498" s="101"/>
      <c r="G498" s="101"/>
      <c r="H498" s="101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461"/>
      <c r="W498" s="461"/>
      <c r="X498" s="131"/>
      <c r="Y498" s="101"/>
      <c r="Z498" s="101"/>
      <c r="AA498" s="101"/>
      <c r="AB498" s="101"/>
      <c r="AC498" s="101"/>
      <c r="AD498" s="101"/>
      <c r="AE498" s="101"/>
      <c r="AF498" s="101"/>
      <c r="AG498" s="101"/>
      <c r="AH498" s="101"/>
      <c r="AI498" s="101"/>
      <c r="AJ498" s="101"/>
      <c r="AK498" s="101"/>
      <c r="AL498" s="101"/>
    </row>
    <row r="499">
      <c r="A499" s="101"/>
      <c r="B499" s="644"/>
      <c r="C499" s="101"/>
      <c r="D499" s="605"/>
      <c r="E499" s="645"/>
      <c r="F499" s="101"/>
      <c r="G499" s="101"/>
      <c r="H499" s="101"/>
      <c r="I499" s="606"/>
      <c r="J499" s="606"/>
      <c r="K499" s="606"/>
      <c r="L499" s="606"/>
      <c r="M499" s="606"/>
      <c r="N499" s="606"/>
      <c r="O499" s="606"/>
      <c r="P499" s="606"/>
      <c r="Q499" s="606"/>
      <c r="R499" s="606"/>
      <c r="S499" s="606"/>
      <c r="T499" s="606"/>
      <c r="U499" s="606"/>
      <c r="V499" s="461"/>
      <c r="W499" s="461"/>
      <c r="X499" s="131"/>
      <c r="Y499" s="101"/>
      <c r="Z499" s="101"/>
      <c r="AA499" s="101"/>
      <c r="AB499" s="101"/>
      <c r="AC499" s="101"/>
      <c r="AD499" s="101"/>
      <c r="AE499" s="101"/>
      <c r="AF499" s="101"/>
      <c r="AG499" s="101"/>
      <c r="AH499" s="101"/>
      <c r="AI499" s="101"/>
      <c r="AJ499" s="101"/>
      <c r="AK499" s="101"/>
      <c r="AL499" s="101"/>
    </row>
    <row r="500">
      <c r="A500" s="101"/>
      <c r="B500" s="644"/>
      <c r="C500" s="101"/>
      <c r="D500" s="605"/>
      <c r="E500" s="645"/>
      <c r="F500" s="101"/>
      <c r="G500" s="101"/>
      <c r="H500" s="101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06"/>
      <c r="T500" s="606"/>
      <c r="U500" s="606"/>
      <c r="V500" s="461"/>
      <c r="W500" s="461"/>
      <c r="X500" s="131"/>
      <c r="Y500" s="101"/>
      <c r="Z500" s="101"/>
      <c r="AA500" s="101"/>
      <c r="AB500" s="101"/>
      <c r="AC500" s="101"/>
      <c r="AD500" s="101"/>
      <c r="AE500" s="101"/>
      <c r="AF500" s="101"/>
      <c r="AG500" s="101"/>
      <c r="AH500" s="101"/>
      <c r="AI500" s="101"/>
      <c r="AJ500" s="101"/>
      <c r="AK500" s="101"/>
      <c r="AL500" s="101"/>
    </row>
    <row r="501">
      <c r="A501" s="101"/>
      <c r="B501" s="644"/>
      <c r="C501" s="101"/>
      <c r="D501" s="605"/>
      <c r="E501" s="645"/>
      <c r="F501" s="101"/>
      <c r="G501" s="101"/>
      <c r="H501" s="101"/>
      <c r="I501" s="606"/>
      <c r="J501" s="606"/>
      <c r="K501" s="606"/>
      <c r="L501" s="606"/>
      <c r="M501" s="606"/>
      <c r="N501" s="606"/>
      <c r="O501" s="606"/>
      <c r="P501" s="606"/>
      <c r="Q501" s="606"/>
      <c r="R501" s="606"/>
      <c r="S501" s="606"/>
      <c r="T501" s="606"/>
      <c r="U501" s="606"/>
      <c r="V501" s="461"/>
      <c r="W501" s="461"/>
      <c r="X501" s="131"/>
      <c r="Y501" s="101"/>
      <c r="Z501" s="101"/>
      <c r="AA501" s="101"/>
      <c r="AB501" s="101"/>
      <c r="AC501" s="101"/>
      <c r="AD501" s="101"/>
      <c r="AE501" s="101"/>
      <c r="AF501" s="101"/>
      <c r="AG501" s="101"/>
      <c r="AH501" s="101"/>
      <c r="AI501" s="101"/>
      <c r="AJ501" s="101"/>
      <c r="AK501" s="101"/>
      <c r="AL501" s="101"/>
    </row>
    <row r="502">
      <c r="A502" s="101"/>
      <c r="B502" s="644"/>
      <c r="C502" s="101"/>
      <c r="D502" s="605"/>
      <c r="E502" s="645"/>
      <c r="F502" s="101"/>
      <c r="G502" s="101"/>
      <c r="H502" s="101"/>
      <c r="I502" s="606"/>
      <c r="J502" s="606"/>
      <c r="K502" s="606"/>
      <c r="L502" s="606"/>
      <c r="M502" s="606"/>
      <c r="N502" s="606"/>
      <c r="O502" s="606"/>
      <c r="P502" s="606"/>
      <c r="Q502" s="606"/>
      <c r="R502" s="606"/>
      <c r="S502" s="606"/>
      <c r="T502" s="606"/>
      <c r="U502" s="606"/>
      <c r="V502" s="461"/>
      <c r="W502" s="461"/>
      <c r="X502" s="131"/>
      <c r="Y502" s="101"/>
      <c r="Z502" s="101"/>
      <c r="AA502" s="101"/>
      <c r="AB502" s="101"/>
      <c r="AC502" s="101"/>
      <c r="AD502" s="101"/>
      <c r="AE502" s="101"/>
      <c r="AF502" s="101"/>
      <c r="AG502" s="101"/>
      <c r="AH502" s="101"/>
      <c r="AI502" s="101"/>
      <c r="AJ502" s="101"/>
      <c r="AK502" s="101"/>
      <c r="AL502" s="101"/>
    </row>
    <row r="503">
      <c r="A503" s="101"/>
      <c r="B503" s="644"/>
      <c r="C503" s="101"/>
      <c r="D503" s="605"/>
      <c r="E503" s="645"/>
      <c r="F503" s="101"/>
      <c r="G503" s="101"/>
      <c r="H503" s="101"/>
      <c r="I503" s="606"/>
      <c r="J503" s="606"/>
      <c r="K503" s="606"/>
      <c r="L503" s="606"/>
      <c r="M503" s="606"/>
      <c r="N503" s="606"/>
      <c r="O503" s="606"/>
      <c r="P503" s="606"/>
      <c r="Q503" s="606"/>
      <c r="R503" s="606"/>
      <c r="S503" s="606"/>
      <c r="T503" s="606"/>
      <c r="U503" s="606"/>
      <c r="V503" s="461"/>
      <c r="W503" s="461"/>
      <c r="X503" s="131"/>
      <c r="Y503" s="101"/>
      <c r="Z503" s="101"/>
      <c r="AA503" s="101"/>
      <c r="AB503" s="101"/>
      <c r="AC503" s="101"/>
      <c r="AD503" s="101"/>
      <c r="AE503" s="101"/>
      <c r="AF503" s="101"/>
      <c r="AG503" s="101"/>
      <c r="AH503" s="101"/>
      <c r="AI503" s="101"/>
      <c r="AJ503" s="101"/>
      <c r="AK503" s="101"/>
      <c r="AL503" s="101"/>
    </row>
    <row r="504">
      <c r="A504" s="101"/>
      <c r="B504" s="644"/>
      <c r="C504" s="101"/>
      <c r="D504" s="605"/>
      <c r="E504" s="645"/>
      <c r="F504" s="101"/>
      <c r="G504" s="101"/>
      <c r="H504" s="101"/>
      <c r="I504" s="606"/>
      <c r="J504" s="606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461"/>
      <c r="W504" s="461"/>
      <c r="X504" s="131"/>
      <c r="Y504" s="101"/>
      <c r="Z504" s="101"/>
      <c r="AA504" s="101"/>
      <c r="AB504" s="101"/>
      <c r="AC504" s="101"/>
      <c r="AD504" s="101"/>
      <c r="AE504" s="101"/>
      <c r="AF504" s="101"/>
      <c r="AG504" s="101"/>
      <c r="AH504" s="101"/>
      <c r="AI504" s="101"/>
      <c r="AJ504" s="101"/>
      <c r="AK504" s="101"/>
      <c r="AL504" s="101"/>
    </row>
    <row r="505">
      <c r="A505" s="101"/>
      <c r="B505" s="644"/>
      <c r="C505" s="101"/>
      <c r="D505" s="605"/>
      <c r="E505" s="645"/>
      <c r="F505" s="101"/>
      <c r="G505" s="101"/>
      <c r="H505" s="101"/>
      <c r="I505" s="606"/>
      <c r="J505" s="606"/>
      <c r="K505" s="606"/>
      <c r="L505" s="606"/>
      <c r="M505" s="606"/>
      <c r="N505" s="606"/>
      <c r="O505" s="606"/>
      <c r="P505" s="606"/>
      <c r="Q505" s="606"/>
      <c r="R505" s="606"/>
      <c r="S505" s="606"/>
      <c r="T505" s="606"/>
      <c r="U505" s="606"/>
      <c r="V505" s="461"/>
      <c r="W505" s="461"/>
      <c r="X505" s="131"/>
      <c r="Y505" s="101"/>
      <c r="Z505" s="101"/>
      <c r="AA505" s="101"/>
      <c r="AB505" s="101"/>
      <c r="AC505" s="101"/>
      <c r="AD505" s="101"/>
      <c r="AE505" s="101"/>
      <c r="AF505" s="101"/>
      <c r="AG505" s="101"/>
      <c r="AH505" s="101"/>
      <c r="AI505" s="101"/>
      <c r="AJ505" s="101"/>
      <c r="AK505" s="101"/>
      <c r="AL505" s="101"/>
    </row>
    <row r="506">
      <c r="A506" s="101"/>
      <c r="B506" s="644"/>
      <c r="C506" s="101"/>
      <c r="D506" s="605"/>
      <c r="E506" s="645"/>
      <c r="F506" s="101"/>
      <c r="G506" s="101"/>
      <c r="H506" s="101"/>
      <c r="I506" s="606"/>
      <c r="J506" s="606"/>
      <c r="K506" s="606"/>
      <c r="L506" s="606"/>
      <c r="M506" s="606"/>
      <c r="N506" s="606"/>
      <c r="O506" s="606"/>
      <c r="P506" s="606"/>
      <c r="Q506" s="606"/>
      <c r="R506" s="606"/>
      <c r="S506" s="606"/>
      <c r="T506" s="606"/>
      <c r="U506" s="606"/>
      <c r="V506" s="461"/>
      <c r="W506" s="461"/>
      <c r="X506" s="131"/>
      <c r="Y506" s="101"/>
      <c r="Z506" s="101"/>
      <c r="AA506" s="101"/>
      <c r="AB506" s="101"/>
      <c r="AC506" s="101"/>
      <c r="AD506" s="101"/>
      <c r="AE506" s="101"/>
      <c r="AF506" s="101"/>
      <c r="AG506" s="101"/>
      <c r="AH506" s="101"/>
      <c r="AI506" s="101"/>
      <c r="AJ506" s="101"/>
      <c r="AK506" s="101"/>
      <c r="AL506" s="101"/>
    </row>
    <row r="507">
      <c r="A507" s="101"/>
      <c r="B507" s="644"/>
      <c r="C507" s="101"/>
      <c r="D507" s="605"/>
      <c r="E507" s="645"/>
      <c r="F507" s="101"/>
      <c r="G507" s="101"/>
      <c r="H507" s="101"/>
      <c r="I507" s="606"/>
      <c r="J507" s="606"/>
      <c r="K507" s="606"/>
      <c r="L507" s="606"/>
      <c r="M507" s="606"/>
      <c r="N507" s="606"/>
      <c r="O507" s="606"/>
      <c r="P507" s="606"/>
      <c r="Q507" s="606"/>
      <c r="R507" s="606"/>
      <c r="S507" s="606"/>
      <c r="T507" s="606"/>
      <c r="U507" s="606"/>
      <c r="V507" s="461"/>
      <c r="W507" s="461"/>
      <c r="X507" s="131"/>
      <c r="Y507" s="101"/>
      <c r="Z507" s="101"/>
      <c r="AA507" s="101"/>
      <c r="AB507" s="101"/>
      <c r="AC507" s="101"/>
      <c r="AD507" s="101"/>
      <c r="AE507" s="101"/>
      <c r="AF507" s="101"/>
      <c r="AG507" s="101"/>
      <c r="AH507" s="101"/>
      <c r="AI507" s="101"/>
      <c r="AJ507" s="101"/>
      <c r="AK507" s="101"/>
      <c r="AL507" s="101"/>
    </row>
    <row r="508">
      <c r="A508" s="101"/>
      <c r="B508" s="644"/>
      <c r="C508" s="101"/>
      <c r="D508" s="605"/>
      <c r="E508" s="645"/>
      <c r="F508" s="101"/>
      <c r="G508" s="101"/>
      <c r="H508" s="101"/>
      <c r="I508" s="606"/>
      <c r="J508" s="606"/>
      <c r="K508" s="606"/>
      <c r="L508" s="606"/>
      <c r="M508" s="606"/>
      <c r="N508" s="606"/>
      <c r="O508" s="606"/>
      <c r="P508" s="606"/>
      <c r="Q508" s="606"/>
      <c r="R508" s="606"/>
      <c r="S508" s="606"/>
      <c r="T508" s="606"/>
      <c r="U508" s="606"/>
      <c r="V508" s="461"/>
      <c r="W508" s="461"/>
      <c r="X508" s="131"/>
      <c r="Y508" s="101"/>
      <c r="Z508" s="101"/>
      <c r="AA508" s="101"/>
      <c r="AB508" s="101"/>
      <c r="AC508" s="101"/>
      <c r="AD508" s="101"/>
      <c r="AE508" s="101"/>
      <c r="AF508" s="101"/>
      <c r="AG508" s="101"/>
      <c r="AH508" s="101"/>
      <c r="AI508" s="101"/>
      <c r="AJ508" s="101"/>
      <c r="AK508" s="101"/>
      <c r="AL508" s="101"/>
    </row>
    <row r="509">
      <c r="A509" s="101"/>
      <c r="B509" s="644"/>
      <c r="C509" s="101"/>
      <c r="D509" s="605"/>
      <c r="E509" s="645"/>
      <c r="F509" s="101"/>
      <c r="G509" s="101"/>
      <c r="H509" s="101"/>
      <c r="I509" s="606"/>
      <c r="J509" s="606"/>
      <c r="K509" s="606"/>
      <c r="L509" s="606"/>
      <c r="M509" s="606"/>
      <c r="N509" s="606"/>
      <c r="O509" s="606"/>
      <c r="P509" s="606"/>
      <c r="Q509" s="606"/>
      <c r="R509" s="606"/>
      <c r="S509" s="606"/>
      <c r="T509" s="606"/>
      <c r="U509" s="606"/>
      <c r="V509" s="461"/>
      <c r="W509" s="461"/>
      <c r="X509" s="131"/>
      <c r="Y509" s="101"/>
      <c r="Z509" s="101"/>
      <c r="AA509" s="101"/>
      <c r="AB509" s="101"/>
      <c r="AC509" s="101"/>
      <c r="AD509" s="101"/>
      <c r="AE509" s="101"/>
      <c r="AF509" s="101"/>
      <c r="AG509" s="101"/>
      <c r="AH509" s="101"/>
      <c r="AI509" s="101"/>
      <c r="AJ509" s="101"/>
      <c r="AK509" s="101"/>
      <c r="AL509" s="101"/>
    </row>
    <row r="510">
      <c r="A510" s="101"/>
      <c r="B510" s="644"/>
      <c r="C510" s="101"/>
      <c r="D510" s="605"/>
      <c r="E510" s="645"/>
      <c r="F510" s="101"/>
      <c r="G510" s="101"/>
      <c r="H510" s="101"/>
      <c r="I510" s="606"/>
      <c r="J510" s="606"/>
      <c r="K510" s="606"/>
      <c r="L510" s="606"/>
      <c r="M510" s="606"/>
      <c r="N510" s="606"/>
      <c r="O510" s="606"/>
      <c r="P510" s="606"/>
      <c r="Q510" s="606"/>
      <c r="R510" s="606"/>
      <c r="S510" s="606"/>
      <c r="T510" s="606"/>
      <c r="U510" s="606"/>
      <c r="V510" s="461"/>
      <c r="W510" s="461"/>
      <c r="X510" s="131"/>
      <c r="Y510" s="101"/>
      <c r="Z510" s="101"/>
      <c r="AA510" s="101"/>
      <c r="AB510" s="101"/>
      <c r="AC510" s="101"/>
      <c r="AD510" s="101"/>
      <c r="AE510" s="101"/>
      <c r="AF510" s="101"/>
      <c r="AG510" s="101"/>
      <c r="AH510" s="101"/>
      <c r="AI510" s="101"/>
      <c r="AJ510" s="101"/>
      <c r="AK510" s="101"/>
      <c r="AL510" s="101"/>
    </row>
    <row r="511">
      <c r="A511" s="101"/>
      <c r="B511" s="644"/>
      <c r="C511" s="101"/>
      <c r="D511" s="605"/>
      <c r="E511" s="645"/>
      <c r="F511" s="101"/>
      <c r="G511" s="101"/>
      <c r="H511" s="101"/>
      <c r="I511" s="606"/>
      <c r="J511" s="606"/>
      <c r="K511" s="606"/>
      <c r="L511" s="606"/>
      <c r="M511" s="606"/>
      <c r="N511" s="606"/>
      <c r="O511" s="606"/>
      <c r="P511" s="606"/>
      <c r="Q511" s="606"/>
      <c r="R511" s="606"/>
      <c r="S511" s="606"/>
      <c r="T511" s="606"/>
      <c r="U511" s="606"/>
      <c r="V511" s="461"/>
      <c r="W511" s="461"/>
      <c r="X511" s="131"/>
      <c r="Y511" s="101"/>
      <c r="Z511" s="101"/>
      <c r="AA511" s="101"/>
      <c r="AB511" s="101"/>
      <c r="AC511" s="101"/>
      <c r="AD511" s="101"/>
      <c r="AE511" s="101"/>
      <c r="AF511" s="101"/>
      <c r="AG511" s="101"/>
      <c r="AH511" s="101"/>
      <c r="AI511" s="101"/>
      <c r="AJ511" s="101"/>
      <c r="AK511" s="101"/>
      <c r="AL511" s="101"/>
    </row>
    <row r="512">
      <c r="A512" s="101"/>
      <c r="B512" s="644"/>
      <c r="C512" s="101"/>
      <c r="D512" s="605"/>
      <c r="E512" s="645"/>
      <c r="F512" s="101"/>
      <c r="G512" s="101"/>
      <c r="H512" s="101"/>
      <c r="I512" s="606"/>
      <c r="J512" s="606"/>
      <c r="K512" s="606"/>
      <c r="L512" s="606"/>
      <c r="M512" s="606"/>
      <c r="N512" s="606"/>
      <c r="O512" s="606"/>
      <c r="P512" s="606"/>
      <c r="Q512" s="606"/>
      <c r="R512" s="606"/>
      <c r="S512" s="606"/>
      <c r="T512" s="606"/>
      <c r="U512" s="606"/>
      <c r="V512" s="461"/>
      <c r="W512" s="461"/>
      <c r="X512" s="131"/>
      <c r="Y512" s="101"/>
      <c r="Z512" s="101"/>
      <c r="AA512" s="101"/>
      <c r="AB512" s="101"/>
      <c r="AC512" s="101"/>
      <c r="AD512" s="101"/>
      <c r="AE512" s="101"/>
      <c r="AF512" s="101"/>
      <c r="AG512" s="101"/>
      <c r="AH512" s="101"/>
      <c r="AI512" s="101"/>
      <c r="AJ512" s="101"/>
      <c r="AK512" s="101"/>
      <c r="AL512" s="101"/>
    </row>
    <row r="513">
      <c r="A513" s="101"/>
      <c r="B513" s="644"/>
      <c r="C513" s="101"/>
      <c r="D513" s="605"/>
      <c r="E513" s="645"/>
      <c r="F513" s="101"/>
      <c r="G513" s="101"/>
      <c r="H513" s="101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461"/>
      <c r="W513" s="461"/>
      <c r="X513" s="131"/>
      <c r="Y513" s="101"/>
      <c r="Z513" s="101"/>
      <c r="AA513" s="101"/>
      <c r="AB513" s="101"/>
      <c r="AC513" s="101"/>
      <c r="AD513" s="101"/>
      <c r="AE513" s="101"/>
      <c r="AF513" s="101"/>
      <c r="AG513" s="101"/>
      <c r="AH513" s="101"/>
      <c r="AI513" s="101"/>
      <c r="AJ513" s="101"/>
      <c r="AK513" s="101"/>
      <c r="AL513" s="101"/>
    </row>
    <row r="514">
      <c r="A514" s="101"/>
      <c r="B514" s="644"/>
      <c r="C514" s="101"/>
      <c r="D514" s="605"/>
      <c r="E514" s="645"/>
      <c r="F514" s="101"/>
      <c r="G514" s="101"/>
      <c r="H514" s="101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461"/>
      <c r="W514" s="461"/>
      <c r="X514" s="131"/>
      <c r="Y514" s="101"/>
      <c r="Z514" s="101"/>
      <c r="AA514" s="101"/>
      <c r="AB514" s="101"/>
      <c r="AC514" s="101"/>
      <c r="AD514" s="101"/>
      <c r="AE514" s="101"/>
      <c r="AF514" s="101"/>
      <c r="AG514" s="101"/>
      <c r="AH514" s="101"/>
      <c r="AI514" s="101"/>
      <c r="AJ514" s="101"/>
      <c r="AK514" s="101"/>
      <c r="AL514" s="101"/>
    </row>
    <row r="515">
      <c r="A515" s="101"/>
      <c r="B515" s="644"/>
      <c r="C515" s="101"/>
      <c r="D515" s="605"/>
      <c r="E515" s="645"/>
      <c r="F515" s="101"/>
      <c r="G515" s="101"/>
      <c r="H515" s="101"/>
      <c r="I515" s="606"/>
      <c r="J515" s="606"/>
      <c r="K515" s="606"/>
      <c r="L515" s="606"/>
      <c r="M515" s="606"/>
      <c r="N515" s="606"/>
      <c r="O515" s="606"/>
      <c r="P515" s="606"/>
      <c r="Q515" s="606"/>
      <c r="R515" s="606"/>
      <c r="S515" s="606"/>
      <c r="T515" s="606"/>
      <c r="U515" s="606"/>
      <c r="V515" s="461"/>
      <c r="W515" s="461"/>
      <c r="X515" s="131"/>
      <c r="Y515" s="101"/>
      <c r="Z515" s="101"/>
      <c r="AA515" s="101"/>
      <c r="AB515" s="101"/>
      <c r="AC515" s="101"/>
      <c r="AD515" s="101"/>
      <c r="AE515" s="101"/>
      <c r="AF515" s="101"/>
      <c r="AG515" s="101"/>
      <c r="AH515" s="101"/>
      <c r="AI515" s="101"/>
      <c r="AJ515" s="101"/>
      <c r="AK515" s="101"/>
      <c r="AL515" s="101"/>
    </row>
    <row r="516">
      <c r="A516" s="101"/>
      <c r="B516" s="644"/>
      <c r="C516" s="101"/>
      <c r="D516" s="605"/>
      <c r="E516" s="645"/>
      <c r="F516" s="101"/>
      <c r="G516" s="101"/>
      <c r="H516" s="101"/>
      <c r="I516" s="606"/>
      <c r="J516" s="606"/>
      <c r="K516" s="606"/>
      <c r="L516" s="606"/>
      <c r="M516" s="606"/>
      <c r="N516" s="606"/>
      <c r="O516" s="606"/>
      <c r="P516" s="606"/>
      <c r="Q516" s="606"/>
      <c r="R516" s="606"/>
      <c r="S516" s="606"/>
      <c r="T516" s="606"/>
      <c r="U516" s="606"/>
      <c r="V516" s="461"/>
      <c r="W516" s="461"/>
      <c r="X516" s="131"/>
      <c r="Y516" s="101"/>
      <c r="Z516" s="101"/>
      <c r="AA516" s="101"/>
      <c r="AB516" s="101"/>
      <c r="AC516" s="101"/>
      <c r="AD516" s="101"/>
      <c r="AE516" s="101"/>
      <c r="AF516" s="101"/>
      <c r="AG516" s="101"/>
      <c r="AH516" s="101"/>
      <c r="AI516" s="101"/>
      <c r="AJ516" s="101"/>
      <c r="AK516" s="101"/>
      <c r="AL516" s="101"/>
    </row>
    <row r="517">
      <c r="A517" s="101"/>
      <c r="B517" s="644"/>
      <c r="C517" s="101"/>
      <c r="D517" s="605"/>
      <c r="E517" s="645"/>
      <c r="F517" s="101"/>
      <c r="G517" s="101"/>
      <c r="H517" s="101"/>
      <c r="I517" s="606"/>
      <c r="J517" s="606"/>
      <c r="K517" s="606"/>
      <c r="L517" s="606"/>
      <c r="M517" s="606"/>
      <c r="N517" s="606"/>
      <c r="O517" s="606"/>
      <c r="P517" s="606"/>
      <c r="Q517" s="606"/>
      <c r="R517" s="606"/>
      <c r="S517" s="606"/>
      <c r="T517" s="606"/>
      <c r="U517" s="606"/>
      <c r="V517" s="461"/>
      <c r="W517" s="461"/>
      <c r="X517" s="131"/>
      <c r="Y517" s="101"/>
      <c r="Z517" s="101"/>
      <c r="AA517" s="101"/>
      <c r="AB517" s="101"/>
      <c r="AC517" s="101"/>
      <c r="AD517" s="101"/>
      <c r="AE517" s="101"/>
      <c r="AF517" s="101"/>
      <c r="AG517" s="101"/>
      <c r="AH517" s="101"/>
      <c r="AI517" s="101"/>
      <c r="AJ517" s="101"/>
      <c r="AK517" s="101"/>
      <c r="AL517" s="101"/>
    </row>
    <row r="518">
      <c r="A518" s="101"/>
      <c r="B518" s="644"/>
      <c r="C518" s="101"/>
      <c r="D518" s="605"/>
      <c r="E518" s="645"/>
      <c r="F518" s="101"/>
      <c r="G518" s="101"/>
      <c r="H518" s="101"/>
      <c r="I518" s="606"/>
      <c r="J518" s="606"/>
      <c r="K518" s="606"/>
      <c r="L518" s="606"/>
      <c r="M518" s="606"/>
      <c r="N518" s="606"/>
      <c r="O518" s="606"/>
      <c r="P518" s="606"/>
      <c r="Q518" s="606"/>
      <c r="R518" s="606"/>
      <c r="S518" s="606"/>
      <c r="T518" s="606"/>
      <c r="U518" s="606"/>
      <c r="V518" s="461"/>
      <c r="W518" s="461"/>
      <c r="X518" s="131"/>
      <c r="Y518" s="101"/>
      <c r="Z518" s="101"/>
      <c r="AA518" s="101"/>
      <c r="AB518" s="101"/>
      <c r="AC518" s="101"/>
      <c r="AD518" s="101"/>
      <c r="AE518" s="101"/>
      <c r="AF518" s="101"/>
      <c r="AG518" s="101"/>
      <c r="AH518" s="101"/>
      <c r="AI518" s="101"/>
      <c r="AJ518" s="101"/>
      <c r="AK518" s="101"/>
      <c r="AL518" s="101"/>
    </row>
    <row r="519">
      <c r="A519" s="101"/>
      <c r="B519" s="644"/>
      <c r="C519" s="101"/>
      <c r="D519" s="605"/>
      <c r="E519" s="645"/>
      <c r="F519" s="101"/>
      <c r="G519" s="101"/>
      <c r="H519" s="101"/>
      <c r="I519" s="606"/>
      <c r="J519" s="606"/>
      <c r="K519" s="606"/>
      <c r="L519" s="606"/>
      <c r="M519" s="606"/>
      <c r="N519" s="606"/>
      <c r="O519" s="606"/>
      <c r="P519" s="606"/>
      <c r="Q519" s="606"/>
      <c r="R519" s="606"/>
      <c r="S519" s="606"/>
      <c r="T519" s="606"/>
      <c r="U519" s="606"/>
      <c r="V519" s="461"/>
      <c r="W519" s="461"/>
      <c r="X519" s="131"/>
      <c r="Y519" s="101"/>
      <c r="Z519" s="101"/>
      <c r="AA519" s="101"/>
      <c r="AB519" s="101"/>
      <c r="AC519" s="101"/>
      <c r="AD519" s="101"/>
      <c r="AE519" s="101"/>
      <c r="AF519" s="101"/>
      <c r="AG519" s="101"/>
      <c r="AH519" s="101"/>
      <c r="AI519" s="101"/>
      <c r="AJ519" s="101"/>
      <c r="AK519" s="101"/>
      <c r="AL519" s="101"/>
    </row>
    <row r="520">
      <c r="A520" s="101"/>
      <c r="B520" s="644"/>
      <c r="C520" s="101"/>
      <c r="D520" s="605"/>
      <c r="E520" s="645"/>
      <c r="F520" s="101"/>
      <c r="G520" s="101"/>
      <c r="H520" s="101"/>
      <c r="I520" s="606"/>
      <c r="J520" s="606"/>
      <c r="K520" s="606"/>
      <c r="L520" s="606"/>
      <c r="M520" s="606"/>
      <c r="N520" s="606"/>
      <c r="O520" s="606"/>
      <c r="P520" s="606"/>
      <c r="Q520" s="606"/>
      <c r="R520" s="606"/>
      <c r="S520" s="606"/>
      <c r="T520" s="606"/>
      <c r="U520" s="606"/>
      <c r="V520" s="461"/>
      <c r="W520" s="461"/>
      <c r="X520" s="131"/>
      <c r="Y520" s="101"/>
      <c r="Z520" s="101"/>
      <c r="AA520" s="101"/>
      <c r="AB520" s="101"/>
      <c r="AC520" s="101"/>
      <c r="AD520" s="101"/>
      <c r="AE520" s="101"/>
      <c r="AF520" s="101"/>
      <c r="AG520" s="101"/>
      <c r="AH520" s="101"/>
      <c r="AI520" s="101"/>
      <c r="AJ520" s="101"/>
      <c r="AK520" s="101"/>
      <c r="AL520" s="101"/>
    </row>
    <row r="521">
      <c r="A521" s="101"/>
      <c r="B521" s="644"/>
      <c r="C521" s="101"/>
      <c r="D521" s="605"/>
      <c r="E521" s="645"/>
      <c r="F521" s="101"/>
      <c r="G521" s="101"/>
      <c r="H521" s="101"/>
      <c r="I521" s="606"/>
      <c r="J521" s="606"/>
      <c r="K521" s="606"/>
      <c r="L521" s="606"/>
      <c r="M521" s="606"/>
      <c r="N521" s="606"/>
      <c r="O521" s="606"/>
      <c r="P521" s="606"/>
      <c r="Q521" s="606"/>
      <c r="R521" s="606"/>
      <c r="S521" s="606"/>
      <c r="T521" s="606"/>
      <c r="U521" s="606"/>
      <c r="V521" s="461"/>
      <c r="W521" s="461"/>
      <c r="X521" s="131"/>
      <c r="Y521" s="101"/>
      <c r="Z521" s="101"/>
      <c r="AA521" s="101"/>
      <c r="AB521" s="101"/>
      <c r="AC521" s="101"/>
      <c r="AD521" s="101"/>
      <c r="AE521" s="101"/>
      <c r="AF521" s="101"/>
      <c r="AG521" s="101"/>
      <c r="AH521" s="101"/>
      <c r="AI521" s="101"/>
      <c r="AJ521" s="101"/>
      <c r="AK521" s="101"/>
      <c r="AL521" s="101"/>
    </row>
    <row r="522">
      <c r="A522" s="101"/>
      <c r="B522" s="644"/>
      <c r="C522" s="101"/>
      <c r="D522" s="605"/>
      <c r="E522" s="645"/>
      <c r="F522" s="101"/>
      <c r="G522" s="101"/>
      <c r="H522" s="101"/>
      <c r="I522" s="606"/>
      <c r="J522" s="606"/>
      <c r="K522" s="606"/>
      <c r="L522" s="606"/>
      <c r="M522" s="606"/>
      <c r="N522" s="606"/>
      <c r="O522" s="606"/>
      <c r="P522" s="606"/>
      <c r="Q522" s="606"/>
      <c r="R522" s="606"/>
      <c r="S522" s="606"/>
      <c r="T522" s="606"/>
      <c r="U522" s="606"/>
      <c r="V522" s="461"/>
      <c r="W522" s="461"/>
      <c r="X522" s="131"/>
      <c r="Y522" s="101"/>
      <c r="Z522" s="101"/>
      <c r="AA522" s="101"/>
      <c r="AB522" s="101"/>
      <c r="AC522" s="101"/>
      <c r="AD522" s="101"/>
      <c r="AE522" s="101"/>
      <c r="AF522" s="101"/>
      <c r="AG522" s="101"/>
      <c r="AH522" s="101"/>
      <c r="AI522" s="101"/>
      <c r="AJ522" s="101"/>
      <c r="AK522" s="101"/>
      <c r="AL522" s="101"/>
    </row>
    <row r="523">
      <c r="A523" s="101"/>
      <c r="B523" s="644"/>
      <c r="C523" s="101"/>
      <c r="D523" s="605"/>
      <c r="E523" s="645"/>
      <c r="F523" s="101"/>
      <c r="G523" s="101"/>
      <c r="H523" s="101"/>
      <c r="I523" s="606"/>
      <c r="J523" s="606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461"/>
      <c r="W523" s="461"/>
      <c r="X523" s="131"/>
      <c r="Y523" s="101"/>
      <c r="Z523" s="101"/>
      <c r="AA523" s="101"/>
      <c r="AB523" s="101"/>
      <c r="AC523" s="101"/>
      <c r="AD523" s="101"/>
      <c r="AE523" s="101"/>
      <c r="AF523" s="101"/>
      <c r="AG523" s="101"/>
      <c r="AH523" s="101"/>
      <c r="AI523" s="101"/>
      <c r="AJ523" s="101"/>
      <c r="AK523" s="101"/>
      <c r="AL523" s="101"/>
    </row>
    <row r="524">
      <c r="A524" s="101"/>
      <c r="B524" s="644"/>
      <c r="C524" s="101"/>
      <c r="D524" s="605"/>
      <c r="E524" s="645"/>
      <c r="F524" s="101"/>
      <c r="G524" s="101"/>
      <c r="H524" s="101"/>
      <c r="I524" s="606"/>
      <c r="J524" s="606"/>
      <c r="K524" s="606"/>
      <c r="L524" s="606"/>
      <c r="M524" s="606"/>
      <c r="N524" s="606"/>
      <c r="O524" s="606"/>
      <c r="P524" s="606"/>
      <c r="Q524" s="606"/>
      <c r="R524" s="606"/>
      <c r="S524" s="606"/>
      <c r="T524" s="606"/>
      <c r="U524" s="606"/>
      <c r="V524" s="461"/>
      <c r="W524" s="461"/>
      <c r="X524" s="131"/>
      <c r="Y524" s="101"/>
      <c r="Z524" s="101"/>
      <c r="AA524" s="101"/>
      <c r="AB524" s="101"/>
      <c r="AC524" s="101"/>
      <c r="AD524" s="101"/>
      <c r="AE524" s="101"/>
      <c r="AF524" s="101"/>
      <c r="AG524" s="101"/>
      <c r="AH524" s="101"/>
      <c r="AI524" s="101"/>
      <c r="AJ524" s="101"/>
      <c r="AK524" s="101"/>
      <c r="AL524" s="101"/>
    </row>
    <row r="525">
      <c r="A525" s="101"/>
      <c r="B525" s="644"/>
      <c r="C525" s="101"/>
      <c r="D525" s="605"/>
      <c r="E525" s="645"/>
      <c r="F525" s="101"/>
      <c r="G525" s="101"/>
      <c r="H525" s="101"/>
      <c r="I525" s="606"/>
      <c r="J525" s="606"/>
      <c r="K525" s="606"/>
      <c r="L525" s="606"/>
      <c r="M525" s="606"/>
      <c r="N525" s="606"/>
      <c r="O525" s="606"/>
      <c r="P525" s="606"/>
      <c r="Q525" s="606"/>
      <c r="R525" s="606"/>
      <c r="S525" s="606"/>
      <c r="T525" s="606"/>
      <c r="U525" s="606"/>
      <c r="V525" s="461"/>
      <c r="W525" s="461"/>
      <c r="X525" s="131"/>
      <c r="Y525" s="101"/>
      <c r="Z525" s="101"/>
      <c r="AA525" s="101"/>
      <c r="AB525" s="101"/>
      <c r="AC525" s="101"/>
      <c r="AD525" s="101"/>
      <c r="AE525" s="101"/>
      <c r="AF525" s="101"/>
      <c r="AG525" s="101"/>
      <c r="AH525" s="101"/>
      <c r="AI525" s="101"/>
      <c r="AJ525" s="101"/>
      <c r="AK525" s="101"/>
      <c r="AL525" s="101"/>
    </row>
    <row r="526">
      <c r="A526" s="101"/>
      <c r="B526" s="644"/>
      <c r="C526" s="101"/>
      <c r="D526" s="605"/>
      <c r="E526" s="645"/>
      <c r="F526" s="101"/>
      <c r="G526" s="101"/>
      <c r="H526" s="101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461"/>
      <c r="W526" s="461"/>
      <c r="X526" s="131"/>
      <c r="Y526" s="101"/>
      <c r="Z526" s="101"/>
      <c r="AA526" s="101"/>
      <c r="AB526" s="101"/>
      <c r="AC526" s="101"/>
      <c r="AD526" s="101"/>
      <c r="AE526" s="101"/>
      <c r="AF526" s="101"/>
      <c r="AG526" s="101"/>
      <c r="AH526" s="101"/>
      <c r="AI526" s="101"/>
      <c r="AJ526" s="101"/>
      <c r="AK526" s="101"/>
      <c r="AL526" s="101"/>
    </row>
    <row r="527">
      <c r="A527" s="101"/>
      <c r="B527" s="644"/>
      <c r="C527" s="101"/>
      <c r="D527" s="605"/>
      <c r="E527" s="645"/>
      <c r="F527" s="101"/>
      <c r="G527" s="101"/>
      <c r="H527" s="101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461"/>
      <c r="W527" s="461"/>
      <c r="X527" s="131"/>
      <c r="Y527" s="101"/>
      <c r="Z527" s="101"/>
      <c r="AA527" s="101"/>
      <c r="AB527" s="101"/>
      <c r="AC527" s="101"/>
      <c r="AD527" s="101"/>
      <c r="AE527" s="101"/>
      <c r="AF527" s="101"/>
      <c r="AG527" s="101"/>
      <c r="AH527" s="101"/>
      <c r="AI527" s="101"/>
      <c r="AJ527" s="101"/>
      <c r="AK527" s="101"/>
      <c r="AL527" s="101"/>
    </row>
    <row r="528">
      <c r="A528" s="101"/>
      <c r="B528" s="644"/>
      <c r="C528" s="101"/>
      <c r="D528" s="605"/>
      <c r="E528" s="645"/>
      <c r="F528" s="101"/>
      <c r="G528" s="101"/>
      <c r="H528" s="101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461"/>
      <c r="W528" s="461"/>
      <c r="X528" s="131"/>
      <c r="Y528" s="101"/>
      <c r="Z528" s="101"/>
      <c r="AA528" s="101"/>
      <c r="AB528" s="101"/>
      <c r="AC528" s="101"/>
      <c r="AD528" s="101"/>
      <c r="AE528" s="101"/>
      <c r="AF528" s="101"/>
      <c r="AG528" s="101"/>
      <c r="AH528" s="101"/>
      <c r="AI528" s="101"/>
      <c r="AJ528" s="101"/>
      <c r="AK528" s="101"/>
      <c r="AL528" s="101"/>
    </row>
    <row r="529">
      <c r="A529" s="101"/>
      <c r="B529" s="644"/>
      <c r="C529" s="101"/>
      <c r="D529" s="605"/>
      <c r="E529" s="645"/>
      <c r="F529" s="101"/>
      <c r="G529" s="101"/>
      <c r="H529" s="101"/>
      <c r="I529" s="606"/>
      <c r="J529" s="606"/>
      <c r="K529" s="606"/>
      <c r="L529" s="606"/>
      <c r="M529" s="606"/>
      <c r="N529" s="606"/>
      <c r="O529" s="606"/>
      <c r="P529" s="606"/>
      <c r="Q529" s="606"/>
      <c r="R529" s="606"/>
      <c r="S529" s="606"/>
      <c r="T529" s="606"/>
      <c r="U529" s="606"/>
      <c r="V529" s="461"/>
      <c r="W529" s="461"/>
      <c r="X529" s="131"/>
      <c r="Y529" s="101"/>
      <c r="Z529" s="101"/>
      <c r="AA529" s="101"/>
      <c r="AB529" s="101"/>
      <c r="AC529" s="101"/>
      <c r="AD529" s="101"/>
      <c r="AE529" s="101"/>
      <c r="AF529" s="101"/>
      <c r="AG529" s="101"/>
      <c r="AH529" s="101"/>
      <c r="AI529" s="101"/>
      <c r="AJ529" s="101"/>
      <c r="AK529" s="101"/>
      <c r="AL529" s="101"/>
    </row>
    <row r="530">
      <c r="A530" s="101"/>
      <c r="B530" s="644"/>
      <c r="C530" s="101"/>
      <c r="D530" s="605"/>
      <c r="E530" s="645"/>
      <c r="F530" s="101"/>
      <c r="G530" s="101"/>
      <c r="H530" s="101"/>
      <c r="I530" s="606"/>
      <c r="J530" s="606"/>
      <c r="K530" s="606"/>
      <c r="L530" s="606"/>
      <c r="M530" s="606"/>
      <c r="N530" s="606"/>
      <c r="O530" s="606"/>
      <c r="P530" s="606"/>
      <c r="Q530" s="606"/>
      <c r="R530" s="606"/>
      <c r="S530" s="606"/>
      <c r="T530" s="606"/>
      <c r="U530" s="606"/>
      <c r="V530" s="461"/>
      <c r="W530" s="461"/>
      <c r="X530" s="131"/>
      <c r="Y530" s="101"/>
      <c r="Z530" s="101"/>
      <c r="AA530" s="101"/>
      <c r="AB530" s="101"/>
      <c r="AC530" s="101"/>
      <c r="AD530" s="101"/>
      <c r="AE530" s="101"/>
      <c r="AF530" s="101"/>
      <c r="AG530" s="101"/>
      <c r="AH530" s="101"/>
      <c r="AI530" s="101"/>
      <c r="AJ530" s="101"/>
      <c r="AK530" s="101"/>
      <c r="AL530" s="101"/>
    </row>
    <row r="531">
      <c r="A531" s="101"/>
      <c r="B531" s="644"/>
      <c r="C531" s="101"/>
      <c r="D531" s="605"/>
      <c r="E531" s="645"/>
      <c r="F531" s="101"/>
      <c r="G531" s="101"/>
      <c r="H531" s="101"/>
      <c r="I531" s="606"/>
      <c r="J531" s="606"/>
      <c r="K531" s="606"/>
      <c r="L531" s="606"/>
      <c r="M531" s="606"/>
      <c r="N531" s="606"/>
      <c r="O531" s="606"/>
      <c r="P531" s="606"/>
      <c r="Q531" s="606"/>
      <c r="R531" s="606"/>
      <c r="S531" s="606"/>
      <c r="T531" s="606"/>
      <c r="U531" s="606"/>
      <c r="V531" s="461"/>
      <c r="W531" s="461"/>
      <c r="X531" s="131"/>
      <c r="Y531" s="101"/>
      <c r="Z531" s="101"/>
      <c r="AA531" s="101"/>
      <c r="AB531" s="101"/>
      <c r="AC531" s="101"/>
      <c r="AD531" s="101"/>
      <c r="AE531" s="101"/>
      <c r="AF531" s="101"/>
      <c r="AG531" s="101"/>
      <c r="AH531" s="101"/>
      <c r="AI531" s="101"/>
      <c r="AJ531" s="101"/>
      <c r="AK531" s="101"/>
      <c r="AL531" s="101"/>
    </row>
    <row r="532">
      <c r="A532" s="101"/>
      <c r="B532" s="644"/>
      <c r="C532" s="101"/>
      <c r="D532" s="605"/>
      <c r="E532" s="645"/>
      <c r="F532" s="101"/>
      <c r="G532" s="101"/>
      <c r="H532" s="101"/>
      <c r="I532" s="606"/>
      <c r="J532" s="606"/>
      <c r="K532" s="606"/>
      <c r="L532" s="606"/>
      <c r="M532" s="606"/>
      <c r="N532" s="606"/>
      <c r="O532" s="606"/>
      <c r="P532" s="606"/>
      <c r="Q532" s="606"/>
      <c r="R532" s="606"/>
      <c r="S532" s="606"/>
      <c r="T532" s="606"/>
      <c r="U532" s="606"/>
      <c r="V532" s="461"/>
      <c r="W532" s="461"/>
      <c r="X532" s="131"/>
      <c r="Y532" s="101"/>
      <c r="Z532" s="101"/>
      <c r="AA532" s="101"/>
      <c r="AB532" s="101"/>
      <c r="AC532" s="101"/>
      <c r="AD532" s="101"/>
      <c r="AE532" s="101"/>
      <c r="AF532" s="101"/>
      <c r="AG532" s="101"/>
      <c r="AH532" s="101"/>
      <c r="AI532" s="101"/>
      <c r="AJ532" s="101"/>
      <c r="AK532" s="101"/>
      <c r="AL532" s="101"/>
    </row>
    <row r="533">
      <c r="A533" s="101"/>
      <c r="B533" s="644"/>
      <c r="C533" s="101"/>
      <c r="D533" s="605"/>
      <c r="E533" s="645"/>
      <c r="F533" s="101"/>
      <c r="G533" s="101"/>
      <c r="H533" s="101"/>
      <c r="I533" s="606"/>
      <c r="J533" s="606"/>
      <c r="K533" s="606"/>
      <c r="L533" s="606"/>
      <c r="M533" s="606"/>
      <c r="N533" s="606"/>
      <c r="O533" s="606"/>
      <c r="P533" s="606"/>
      <c r="Q533" s="606"/>
      <c r="R533" s="606"/>
      <c r="S533" s="606"/>
      <c r="T533" s="606"/>
      <c r="U533" s="606"/>
      <c r="V533" s="461"/>
      <c r="W533" s="461"/>
      <c r="X533" s="131"/>
      <c r="Y533" s="101"/>
      <c r="Z533" s="101"/>
      <c r="AA533" s="101"/>
      <c r="AB533" s="101"/>
      <c r="AC533" s="101"/>
      <c r="AD533" s="101"/>
      <c r="AE533" s="101"/>
      <c r="AF533" s="101"/>
      <c r="AG533" s="101"/>
      <c r="AH533" s="101"/>
      <c r="AI533" s="101"/>
      <c r="AJ533" s="101"/>
      <c r="AK533" s="101"/>
      <c r="AL533" s="101"/>
    </row>
    <row r="534">
      <c r="A534" s="101"/>
      <c r="B534" s="644"/>
      <c r="C534" s="101"/>
      <c r="D534" s="605"/>
      <c r="E534" s="645"/>
      <c r="F534" s="101"/>
      <c r="G534" s="101"/>
      <c r="H534" s="101"/>
      <c r="I534" s="606"/>
      <c r="J534" s="606"/>
      <c r="K534" s="606"/>
      <c r="L534" s="606"/>
      <c r="M534" s="606"/>
      <c r="N534" s="606"/>
      <c r="O534" s="606"/>
      <c r="P534" s="606"/>
      <c r="Q534" s="606"/>
      <c r="R534" s="606"/>
      <c r="S534" s="606"/>
      <c r="T534" s="606"/>
      <c r="U534" s="606"/>
      <c r="V534" s="461"/>
      <c r="W534" s="461"/>
      <c r="X534" s="131"/>
      <c r="Y534" s="101"/>
      <c r="Z534" s="101"/>
      <c r="AA534" s="101"/>
      <c r="AB534" s="101"/>
      <c r="AC534" s="101"/>
      <c r="AD534" s="101"/>
      <c r="AE534" s="101"/>
      <c r="AF534" s="101"/>
      <c r="AG534" s="101"/>
      <c r="AH534" s="101"/>
      <c r="AI534" s="101"/>
      <c r="AJ534" s="101"/>
      <c r="AK534" s="101"/>
      <c r="AL534" s="101"/>
    </row>
    <row r="535">
      <c r="A535" s="101"/>
      <c r="B535" s="644"/>
      <c r="C535" s="101"/>
      <c r="D535" s="605"/>
      <c r="E535" s="645"/>
      <c r="F535" s="101"/>
      <c r="G535" s="101"/>
      <c r="H535" s="101"/>
      <c r="I535" s="606"/>
      <c r="J535" s="606"/>
      <c r="K535" s="606"/>
      <c r="L535" s="606"/>
      <c r="M535" s="606"/>
      <c r="N535" s="606"/>
      <c r="O535" s="606"/>
      <c r="P535" s="606"/>
      <c r="Q535" s="606"/>
      <c r="R535" s="606"/>
      <c r="S535" s="606"/>
      <c r="T535" s="606"/>
      <c r="U535" s="606"/>
      <c r="V535" s="461"/>
      <c r="W535" s="461"/>
      <c r="X535" s="131"/>
      <c r="Y535" s="101"/>
      <c r="Z535" s="101"/>
      <c r="AA535" s="101"/>
      <c r="AB535" s="101"/>
      <c r="AC535" s="101"/>
      <c r="AD535" s="101"/>
      <c r="AE535" s="101"/>
      <c r="AF535" s="101"/>
      <c r="AG535" s="101"/>
      <c r="AH535" s="101"/>
      <c r="AI535" s="101"/>
      <c r="AJ535" s="101"/>
      <c r="AK535" s="101"/>
      <c r="AL535" s="101"/>
    </row>
    <row r="536">
      <c r="A536" s="101"/>
      <c r="B536" s="644"/>
      <c r="C536" s="101"/>
      <c r="D536" s="605"/>
      <c r="E536" s="645"/>
      <c r="F536" s="101"/>
      <c r="G536" s="101"/>
      <c r="H536" s="101"/>
      <c r="I536" s="606"/>
      <c r="J536" s="606"/>
      <c r="K536" s="606"/>
      <c r="L536" s="606"/>
      <c r="M536" s="606"/>
      <c r="N536" s="606"/>
      <c r="O536" s="606"/>
      <c r="P536" s="606"/>
      <c r="Q536" s="606"/>
      <c r="R536" s="606"/>
      <c r="S536" s="606"/>
      <c r="T536" s="606"/>
      <c r="U536" s="606"/>
      <c r="V536" s="461"/>
      <c r="W536" s="461"/>
      <c r="X536" s="131"/>
      <c r="Y536" s="101"/>
      <c r="Z536" s="101"/>
      <c r="AA536" s="101"/>
      <c r="AB536" s="101"/>
      <c r="AC536" s="101"/>
      <c r="AD536" s="101"/>
      <c r="AE536" s="101"/>
      <c r="AF536" s="101"/>
      <c r="AG536" s="101"/>
      <c r="AH536" s="101"/>
      <c r="AI536" s="101"/>
      <c r="AJ536" s="101"/>
      <c r="AK536" s="101"/>
      <c r="AL536" s="101"/>
    </row>
    <row r="537">
      <c r="A537" s="101"/>
      <c r="B537" s="644"/>
      <c r="C537" s="101"/>
      <c r="D537" s="605"/>
      <c r="E537" s="645"/>
      <c r="F537" s="101"/>
      <c r="G537" s="101"/>
      <c r="H537" s="101"/>
      <c r="I537" s="606"/>
      <c r="J537" s="606"/>
      <c r="K537" s="606"/>
      <c r="L537" s="606"/>
      <c r="M537" s="606"/>
      <c r="N537" s="606"/>
      <c r="O537" s="606"/>
      <c r="P537" s="606"/>
      <c r="Q537" s="606"/>
      <c r="R537" s="606"/>
      <c r="S537" s="606"/>
      <c r="T537" s="606"/>
      <c r="U537" s="606"/>
      <c r="V537" s="461"/>
      <c r="W537" s="461"/>
      <c r="X537" s="131"/>
      <c r="Y537" s="101"/>
      <c r="Z537" s="101"/>
      <c r="AA537" s="101"/>
      <c r="AB537" s="101"/>
      <c r="AC537" s="101"/>
      <c r="AD537" s="101"/>
      <c r="AE537" s="101"/>
      <c r="AF537" s="101"/>
      <c r="AG537" s="101"/>
      <c r="AH537" s="101"/>
      <c r="AI537" s="101"/>
      <c r="AJ537" s="101"/>
      <c r="AK537" s="101"/>
      <c r="AL537" s="101"/>
    </row>
    <row r="538">
      <c r="A538" s="101"/>
      <c r="B538" s="644"/>
      <c r="C538" s="101"/>
      <c r="D538" s="605"/>
      <c r="E538" s="645"/>
      <c r="F538" s="101"/>
      <c r="G538" s="101"/>
      <c r="H538" s="101"/>
      <c r="I538" s="606"/>
      <c r="J538" s="606"/>
      <c r="K538" s="606"/>
      <c r="L538" s="606"/>
      <c r="M538" s="606"/>
      <c r="N538" s="606"/>
      <c r="O538" s="606"/>
      <c r="P538" s="606"/>
      <c r="Q538" s="606"/>
      <c r="R538" s="606"/>
      <c r="S538" s="606"/>
      <c r="T538" s="606"/>
      <c r="U538" s="606"/>
      <c r="V538" s="461"/>
      <c r="W538" s="461"/>
      <c r="X538" s="131"/>
      <c r="Y538" s="101"/>
      <c r="Z538" s="101"/>
      <c r="AA538" s="101"/>
      <c r="AB538" s="101"/>
      <c r="AC538" s="101"/>
      <c r="AD538" s="101"/>
      <c r="AE538" s="101"/>
      <c r="AF538" s="101"/>
      <c r="AG538" s="101"/>
      <c r="AH538" s="101"/>
      <c r="AI538" s="101"/>
      <c r="AJ538" s="101"/>
      <c r="AK538" s="101"/>
      <c r="AL538" s="101"/>
    </row>
    <row r="539">
      <c r="A539" s="101"/>
      <c r="B539" s="644"/>
      <c r="C539" s="101"/>
      <c r="D539" s="605"/>
      <c r="E539" s="645"/>
      <c r="F539" s="101"/>
      <c r="G539" s="101"/>
      <c r="H539" s="101"/>
      <c r="I539" s="606"/>
      <c r="J539" s="606"/>
      <c r="K539" s="606"/>
      <c r="L539" s="606"/>
      <c r="M539" s="606"/>
      <c r="N539" s="606"/>
      <c r="O539" s="606"/>
      <c r="P539" s="606"/>
      <c r="Q539" s="606"/>
      <c r="R539" s="606"/>
      <c r="S539" s="606"/>
      <c r="T539" s="606"/>
      <c r="U539" s="606"/>
      <c r="V539" s="461"/>
      <c r="W539" s="461"/>
      <c r="X539" s="131"/>
      <c r="Y539" s="101"/>
      <c r="Z539" s="101"/>
      <c r="AA539" s="101"/>
      <c r="AB539" s="101"/>
      <c r="AC539" s="101"/>
      <c r="AD539" s="101"/>
      <c r="AE539" s="101"/>
      <c r="AF539" s="101"/>
      <c r="AG539" s="101"/>
      <c r="AH539" s="101"/>
      <c r="AI539" s="101"/>
      <c r="AJ539" s="101"/>
      <c r="AK539" s="101"/>
      <c r="AL539" s="101"/>
    </row>
    <row r="540">
      <c r="A540" s="101"/>
      <c r="B540" s="644"/>
      <c r="C540" s="101"/>
      <c r="D540" s="605"/>
      <c r="E540" s="645"/>
      <c r="F540" s="101"/>
      <c r="G540" s="101"/>
      <c r="H540" s="101"/>
      <c r="I540" s="606"/>
      <c r="J540" s="606"/>
      <c r="K540" s="606"/>
      <c r="L540" s="606"/>
      <c r="M540" s="606"/>
      <c r="N540" s="606"/>
      <c r="O540" s="606"/>
      <c r="P540" s="606"/>
      <c r="Q540" s="606"/>
      <c r="R540" s="606"/>
      <c r="S540" s="606"/>
      <c r="T540" s="606"/>
      <c r="U540" s="606"/>
      <c r="V540" s="461"/>
      <c r="W540" s="461"/>
      <c r="X540" s="131"/>
      <c r="Y540" s="101"/>
      <c r="Z540" s="101"/>
      <c r="AA540" s="101"/>
      <c r="AB540" s="101"/>
      <c r="AC540" s="101"/>
      <c r="AD540" s="101"/>
      <c r="AE540" s="101"/>
      <c r="AF540" s="101"/>
      <c r="AG540" s="101"/>
      <c r="AH540" s="101"/>
      <c r="AI540" s="101"/>
      <c r="AJ540" s="101"/>
      <c r="AK540" s="101"/>
      <c r="AL540" s="101"/>
    </row>
    <row r="541">
      <c r="A541" s="101"/>
      <c r="B541" s="644"/>
      <c r="C541" s="101"/>
      <c r="D541" s="605"/>
      <c r="E541" s="645"/>
      <c r="F541" s="101"/>
      <c r="G541" s="101"/>
      <c r="H541" s="101"/>
      <c r="I541" s="606"/>
      <c r="J541" s="606"/>
      <c r="K541" s="606"/>
      <c r="L541" s="606"/>
      <c r="M541" s="606"/>
      <c r="N541" s="606"/>
      <c r="O541" s="606"/>
      <c r="P541" s="606"/>
      <c r="Q541" s="606"/>
      <c r="R541" s="606"/>
      <c r="S541" s="606"/>
      <c r="T541" s="606"/>
      <c r="U541" s="606"/>
      <c r="V541" s="461"/>
      <c r="W541" s="461"/>
      <c r="X541" s="131"/>
      <c r="Y541" s="101"/>
      <c r="Z541" s="101"/>
      <c r="AA541" s="101"/>
      <c r="AB541" s="101"/>
      <c r="AC541" s="101"/>
      <c r="AD541" s="101"/>
      <c r="AE541" s="101"/>
      <c r="AF541" s="101"/>
      <c r="AG541" s="101"/>
      <c r="AH541" s="101"/>
      <c r="AI541" s="101"/>
      <c r="AJ541" s="101"/>
      <c r="AK541" s="101"/>
      <c r="AL541" s="101"/>
    </row>
    <row r="542">
      <c r="A542" s="101"/>
      <c r="B542" s="644"/>
      <c r="C542" s="101"/>
      <c r="D542" s="605"/>
      <c r="E542" s="645"/>
      <c r="F542" s="101"/>
      <c r="G542" s="101"/>
      <c r="H542" s="101"/>
      <c r="I542" s="606"/>
      <c r="J542" s="606"/>
      <c r="K542" s="606"/>
      <c r="L542" s="606"/>
      <c r="M542" s="606"/>
      <c r="N542" s="606"/>
      <c r="O542" s="606"/>
      <c r="P542" s="606"/>
      <c r="Q542" s="606"/>
      <c r="R542" s="606"/>
      <c r="S542" s="606"/>
      <c r="T542" s="606"/>
      <c r="U542" s="606"/>
      <c r="V542" s="461"/>
      <c r="W542" s="461"/>
      <c r="X542" s="131"/>
      <c r="Y542" s="101"/>
      <c r="Z542" s="101"/>
      <c r="AA542" s="101"/>
      <c r="AB542" s="101"/>
      <c r="AC542" s="101"/>
      <c r="AD542" s="101"/>
      <c r="AE542" s="101"/>
      <c r="AF542" s="101"/>
      <c r="AG542" s="101"/>
      <c r="AH542" s="101"/>
      <c r="AI542" s="101"/>
      <c r="AJ542" s="101"/>
      <c r="AK542" s="101"/>
      <c r="AL542" s="101"/>
    </row>
    <row r="543">
      <c r="A543" s="101"/>
      <c r="B543" s="644"/>
      <c r="C543" s="101"/>
      <c r="D543" s="605"/>
      <c r="E543" s="645"/>
      <c r="F543" s="101"/>
      <c r="G543" s="101"/>
      <c r="H543" s="101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461"/>
      <c r="W543" s="461"/>
      <c r="X543" s="131"/>
      <c r="Y543" s="101"/>
      <c r="Z543" s="101"/>
      <c r="AA543" s="101"/>
      <c r="AB543" s="101"/>
      <c r="AC543" s="101"/>
      <c r="AD543" s="101"/>
      <c r="AE543" s="101"/>
      <c r="AF543" s="101"/>
      <c r="AG543" s="101"/>
      <c r="AH543" s="101"/>
      <c r="AI543" s="101"/>
      <c r="AJ543" s="101"/>
      <c r="AK543" s="101"/>
      <c r="AL543" s="101"/>
    </row>
    <row r="544">
      <c r="A544" s="101"/>
      <c r="B544" s="644"/>
      <c r="C544" s="101"/>
      <c r="D544" s="605"/>
      <c r="E544" s="645"/>
      <c r="F544" s="101"/>
      <c r="G544" s="101"/>
      <c r="H544" s="101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461"/>
      <c r="W544" s="461"/>
      <c r="X544" s="131"/>
      <c r="Y544" s="101"/>
      <c r="Z544" s="101"/>
      <c r="AA544" s="101"/>
      <c r="AB544" s="101"/>
      <c r="AC544" s="101"/>
      <c r="AD544" s="101"/>
      <c r="AE544" s="101"/>
      <c r="AF544" s="101"/>
      <c r="AG544" s="101"/>
      <c r="AH544" s="101"/>
      <c r="AI544" s="101"/>
      <c r="AJ544" s="101"/>
      <c r="AK544" s="101"/>
      <c r="AL544" s="101"/>
    </row>
    <row r="545">
      <c r="A545" s="101"/>
      <c r="B545" s="644"/>
      <c r="C545" s="101"/>
      <c r="D545" s="605"/>
      <c r="E545" s="645"/>
      <c r="F545" s="101"/>
      <c r="G545" s="101"/>
      <c r="H545" s="101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461"/>
      <c r="W545" s="461"/>
      <c r="X545" s="131"/>
      <c r="Y545" s="101"/>
      <c r="Z545" s="101"/>
      <c r="AA545" s="101"/>
      <c r="AB545" s="101"/>
      <c r="AC545" s="101"/>
      <c r="AD545" s="101"/>
      <c r="AE545" s="101"/>
      <c r="AF545" s="101"/>
      <c r="AG545" s="101"/>
      <c r="AH545" s="101"/>
      <c r="AI545" s="101"/>
      <c r="AJ545" s="101"/>
      <c r="AK545" s="101"/>
      <c r="AL545" s="101"/>
    </row>
    <row r="546">
      <c r="A546" s="101"/>
      <c r="B546" s="644"/>
      <c r="C546" s="101"/>
      <c r="D546" s="605"/>
      <c r="E546" s="645"/>
      <c r="F546" s="101"/>
      <c r="G546" s="101"/>
      <c r="H546" s="101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461"/>
      <c r="W546" s="461"/>
      <c r="X546" s="131"/>
      <c r="Y546" s="101"/>
      <c r="Z546" s="101"/>
      <c r="AA546" s="101"/>
      <c r="AB546" s="101"/>
      <c r="AC546" s="101"/>
      <c r="AD546" s="101"/>
      <c r="AE546" s="101"/>
      <c r="AF546" s="101"/>
      <c r="AG546" s="101"/>
      <c r="AH546" s="101"/>
      <c r="AI546" s="101"/>
      <c r="AJ546" s="101"/>
      <c r="AK546" s="101"/>
      <c r="AL546" s="101"/>
    </row>
    <row r="547">
      <c r="A547" s="101"/>
      <c r="B547" s="644"/>
      <c r="C547" s="101"/>
      <c r="D547" s="605"/>
      <c r="E547" s="645"/>
      <c r="F547" s="101"/>
      <c r="G547" s="101"/>
      <c r="H547" s="101"/>
      <c r="I547" s="606"/>
      <c r="J547" s="606"/>
      <c r="K547" s="606"/>
      <c r="L547" s="606"/>
      <c r="M547" s="606"/>
      <c r="N547" s="606"/>
      <c r="O547" s="606"/>
      <c r="P547" s="606"/>
      <c r="Q547" s="606"/>
      <c r="R547" s="606"/>
      <c r="S547" s="606"/>
      <c r="T547" s="606"/>
      <c r="U547" s="606"/>
      <c r="V547" s="461"/>
      <c r="W547" s="461"/>
      <c r="X547" s="131"/>
      <c r="Y547" s="101"/>
      <c r="Z547" s="101"/>
      <c r="AA547" s="101"/>
      <c r="AB547" s="101"/>
      <c r="AC547" s="101"/>
      <c r="AD547" s="101"/>
      <c r="AE547" s="101"/>
      <c r="AF547" s="101"/>
      <c r="AG547" s="101"/>
      <c r="AH547" s="101"/>
      <c r="AI547" s="101"/>
      <c r="AJ547" s="101"/>
      <c r="AK547" s="101"/>
      <c r="AL547" s="101"/>
    </row>
    <row r="548">
      <c r="A548" s="101"/>
      <c r="B548" s="644"/>
      <c r="C548" s="101"/>
      <c r="D548" s="605"/>
      <c r="E548" s="645"/>
      <c r="F548" s="101"/>
      <c r="G548" s="101"/>
      <c r="H548" s="101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461"/>
      <c r="W548" s="461"/>
      <c r="X548" s="131"/>
      <c r="Y548" s="101"/>
      <c r="Z548" s="101"/>
      <c r="AA548" s="101"/>
      <c r="AB548" s="101"/>
      <c r="AC548" s="101"/>
      <c r="AD548" s="101"/>
      <c r="AE548" s="101"/>
      <c r="AF548" s="101"/>
      <c r="AG548" s="101"/>
      <c r="AH548" s="101"/>
      <c r="AI548" s="101"/>
      <c r="AJ548" s="101"/>
      <c r="AK548" s="101"/>
      <c r="AL548" s="101"/>
    </row>
    <row r="549">
      <c r="A549" s="101"/>
      <c r="B549" s="644"/>
      <c r="C549" s="101"/>
      <c r="D549" s="605"/>
      <c r="E549" s="645"/>
      <c r="F549" s="101"/>
      <c r="G549" s="101"/>
      <c r="H549" s="101"/>
      <c r="I549" s="606"/>
      <c r="J549" s="606"/>
      <c r="K549" s="606"/>
      <c r="L549" s="606"/>
      <c r="M549" s="606"/>
      <c r="N549" s="606"/>
      <c r="O549" s="606"/>
      <c r="P549" s="606"/>
      <c r="Q549" s="606"/>
      <c r="R549" s="606"/>
      <c r="S549" s="606"/>
      <c r="T549" s="606"/>
      <c r="U549" s="606"/>
      <c r="V549" s="461"/>
      <c r="W549" s="461"/>
      <c r="X549" s="131"/>
      <c r="Y549" s="101"/>
      <c r="Z549" s="101"/>
      <c r="AA549" s="101"/>
      <c r="AB549" s="101"/>
      <c r="AC549" s="101"/>
      <c r="AD549" s="101"/>
      <c r="AE549" s="101"/>
      <c r="AF549" s="101"/>
      <c r="AG549" s="101"/>
      <c r="AH549" s="101"/>
      <c r="AI549" s="101"/>
      <c r="AJ549" s="101"/>
      <c r="AK549" s="101"/>
      <c r="AL549" s="101"/>
    </row>
    <row r="550">
      <c r="A550" s="101"/>
      <c r="B550" s="644"/>
      <c r="C550" s="101"/>
      <c r="D550" s="605"/>
      <c r="E550" s="645"/>
      <c r="F550" s="101"/>
      <c r="G550" s="101"/>
      <c r="H550" s="101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06"/>
      <c r="T550" s="606"/>
      <c r="U550" s="606"/>
      <c r="V550" s="461"/>
      <c r="W550" s="461"/>
      <c r="X550" s="131"/>
      <c r="Y550" s="101"/>
      <c r="Z550" s="101"/>
      <c r="AA550" s="101"/>
      <c r="AB550" s="101"/>
      <c r="AC550" s="101"/>
      <c r="AD550" s="101"/>
      <c r="AE550" s="101"/>
      <c r="AF550" s="101"/>
      <c r="AG550" s="101"/>
      <c r="AH550" s="101"/>
      <c r="AI550" s="101"/>
      <c r="AJ550" s="101"/>
      <c r="AK550" s="101"/>
      <c r="AL550" s="101"/>
    </row>
    <row r="551">
      <c r="A551" s="101"/>
      <c r="B551" s="644"/>
      <c r="C551" s="101"/>
      <c r="D551" s="605"/>
      <c r="E551" s="645"/>
      <c r="F551" s="101"/>
      <c r="G551" s="101"/>
      <c r="H551" s="101"/>
      <c r="I551" s="606"/>
      <c r="J551" s="606"/>
      <c r="K551" s="606"/>
      <c r="L551" s="606"/>
      <c r="M551" s="606"/>
      <c r="N551" s="606"/>
      <c r="O551" s="606"/>
      <c r="P551" s="606"/>
      <c r="Q551" s="606"/>
      <c r="R551" s="606"/>
      <c r="S551" s="606"/>
      <c r="T551" s="606"/>
      <c r="U551" s="606"/>
      <c r="V551" s="461"/>
      <c r="W551" s="461"/>
      <c r="X551" s="131"/>
      <c r="Y551" s="101"/>
      <c r="Z551" s="101"/>
      <c r="AA551" s="101"/>
      <c r="AB551" s="101"/>
      <c r="AC551" s="101"/>
      <c r="AD551" s="101"/>
      <c r="AE551" s="101"/>
      <c r="AF551" s="101"/>
      <c r="AG551" s="101"/>
      <c r="AH551" s="101"/>
      <c r="AI551" s="101"/>
      <c r="AJ551" s="101"/>
      <c r="AK551" s="101"/>
      <c r="AL551" s="101"/>
    </row>
    <row r="552">
      <c r="A552" s="101"/>
      <c r="B552" s="644"/>
      <c r="C552" s="101"/>
      <c r="D552" s="605"/>
      <c r="E552" s="645"/>
      <c r="F552" s="101"/>
      <c r="G552" s="101"/>
      <c r="H552" s="101"/>
      <c r="I552" s="606"/>
      <c r="J552" s="606"/>
      <c r="K552" s="606"/>
      <c r="L552" s="606"/>
      <c r="M552" s="606"/>
      <c r="N552" s="606"/>
      <c r="O552" s="606"/>
      <c r="P552" s="606"/>
      <c r="Q552" s="606"/>
      <c r="R552" s="606"/>
      <c r="S552" s="606"/>
      <c r="T552" s="606"/>
      <c r="U552" s="606"/>
      <c r="V552" s="461"/>
      <c r="W552" s="461"/>
      <c r="X552" s="131"/>
      <c r="Y552" s="101"/>
      <c r="Z552" s="101"/>
      <c r="AA552" s="101"/>
      <c r="AB552" s="101"/>
      <c r="AC552" s="101"/>
      <c r="AD552" s="101"/>
      <c r="AE552" s="101"/>
      <c r="AF552" s="101"/>
      <c r="AG552" s="101"/>
      <c r="AH552" s="101"/>
      <c r="AI552" s="101"/>
      <c r="AJ552" s="101"/>
      <c r="AK552" s="101"/>
      <c r="AL552" s="101"/>
    </row>
    <row r="553">
      <c r="A553" s="101"/>
      <c r="B553" s="644"/>
      <c r="C553" s="101"/>
      <c r="D553" s="605"/>
      <c r="E553" s="645"/>
      <c r="F553" s="101"/>
      <c r="G553" s="101"/>
      <c r="H553" s="101"/>
      <c r="I553" s="606"/>
      <c r="J553" s="606"/>
      <c r="K553" s="606"/>
      <c r="L553" s="606"/>
      <c r="M553" s="606"/>
      <c r="N553" s="606"/>
      <c r="O553" s="606"/>
      <c r="P553" s="606"/>
      <c r="Q553" s="606"/>
      <c r="R553" s="606"/>
      <c r="S553" s="606"/>
      <c r="T553" s="606"/>
      <c r="U553" s="606"/>
      <c r="V553" s="461"/>
      <c r="W553" s="461"/>
      <c r="X553" s="131"/>
      <c r="Y553" s="101"/>
      <c r="Z553" s="101"/>
      <c r="AA553" s="101"/>
      <c r="AB553" s="101"/>
      <c r="AC553" s="101"/>
      <c r="AD553" s="101"/>
      <c r="AE553" s="101"/>
      <c r="AF553" s="101"/>
      <c r="AG553" s="101"/>
      <c r="AH553" s="101"/>
      <c r="AI553" s="101"/>
      <c r="AJ553" s="101"/>
      <c r="AK553" s="101"/>
      <c r="AL553" s="101"/>
    </row>
    <row r="554">
      <c r="A554" s="101"/>
      <c r="B554" s="644"/>
      <c r="C554" s="101"/>
      <c r="D554" s="605"/>
      <c r="E554" s="645"/>
      <c r="F554" s="101"/>
      <c r="G554" s="101"/>
      <c r="H554" s="101"/>
      <c r="I554" s="606"/>
      <c r="J554" s="606"/>
      <c r="K554" s="606"/>
      <c r="L554" s="606"/>
      <c r="M554" s="606"/>
      <c r="N554" s="606"/>
      <c r="O554" s="606"/>
      <c r="P554" s="606"/>
      <c r="Q554" s="606"/>
      <c r="R554" s="606"/>
      <c r="S554" s="606"/>
      <c r="T554" s="606"/>
      <c r="U554" s="606"/>
      <c r="V554" s="461"/>
      <c r="W554" s="461"/>
      <c r="X554" s="131"/>
      <c r="Y554" s="101"/>
      <c r="Z554" s="101"/>
      <c r="AA554" s="101"/>
      <c r="AB554" s="101"/>
      <c r="AC554" s="101"/>
      <c r="AD554" s="101"/>
      <c r="AE554" s="101"/>
      <c r="AF554" s="101"/>
      <c r="AG554" s="101"/>
      <c r="AH554" s="101"/>
      <c r="AI554" s="101"/>
      <c r="AJ554" s="101"/>
      <c r="AK554" s="101"/>
      <c r="AL554" s="101"/>
    </row>
    <row r="555">
      <c r="A555" s="101"/>
      <c r="B555" s="644"/>
      <c r="C555" s="101"/>
      <c r="D555" s="605"/>
      <c r="E555" s="645"/>
      <c r="F555" s="101"/>
      <c r="G555" s="101"/>
      <c r="H555" s="101"/>
      <c r="I555" s="606"/>
      <c r="J555" s="606"/>
      <c r="K555" s="606"/>
      <c r="L555" s="606"/>
      <c r="M555" s="606"/>
      <c r="N555" s="606"/>
      <c r="O555" s="606"/>
      <c r="P555" s="606"/>
      <c r="Q555" s="606"/>
      <c r="R555" s="606"/>
      <c r="S555" s="606"/>
      <c r="T555" s="606"/>
      <c r="U555" s="606"/>
      <c r="V555" s="461"/>
      <c r="W555" s="461"/>
      <c r="X555" s="131"/>
      <c r="Y555" s="101"/>
      <c r="Z555" s="101"/>
      <c r="AA555" s="101"/>
      <c r="AB555" s="101"/>
      <c r="AC555" s="101"/>
      <c r="AD555" s="101"/>
      <c r="AE555" s="101"/>
      <c r="AF555" s="101"/>
      <c r="AG555" s="101"/>
      <c r="AH555" s="101"/>
      <c r="AI555" s="101"/>
      <c r="AJ555" s="101"/>
      <c r="AK555" s="101"/>
      <c r="AL555" s="101"/>
    </row>
    <row r="556">
      <c r="A556" s="101"/>
      <c r="B556" s="644"/>
      <c r="C556" s="101"/>
      <c r="D556" s="605"/>
      <c r="E556" s="645"/>
      <c r="F556" s="101"/>
      <c r="G556" s="101"/>
      <c r="H556" s="101"/>
      <c r="I556" s="606"/>
      <c r="J556" s="606"/>
      <c r="K556" s="606"/>
      <c r="L556" s="606"/>
      <c r="M556" s="606"/>
      <c r="N556" s="606"/>
      <c r="O556" s="606"/>
      <c r="P556" s="606"/>
      <c r="Q556" s="606"/>
      <c r="R556" s="606"/>
      <c r="S556" s="606"/>
      <c r="T556" s="606"/>
      <c r="U556" s="606"/>
      <c r="V556" s="461"/>
      <c r="W556" s="461"/>
      <c r="X556" s="131"/>
      <c r="Y556" s="101"/>
      <c r="Z556" s="101"/>
      <c r="AA556" s="101"/>
      <c r="AB556" s="101"/>
      <c r="AC556" s="101"/>
      <c r="AD556" s="101"/>
      <c r="AE556" s="101"/>
      <c r="AF556" s="101"/>
      <c r="AG556" s="101"/>
      <c r="AH556" s="101"/>
      <c r="AI556" s="101"/>
      <c r="AJ556" s="101"/>
      <c r="AK556" s="101"/>
      <c r="AL556" s="101"/>
    </row>
    <row r="557">
      <c r="A557" s="101"/>
      <c r="B557" s="644"/>
      <c r="C557" s="101"/>
      <c r="D557" s="605"/>
      <c r="E557" s="645"/>
      <c r="F557" s="101"/>
      <c r="G557" s="101"/>
      <c r="H557" s="101"/>
      <c r="I557" s="606"/>
      <c r="J557" s="606"/>
      <c r="K557" s="606"/>
      <c r="L557" s="606"/>
      <c r="M557" s="606"/>
      <c r="N557" s="606"/>
      <c r="O557" s="606"/>
      <c r="P557" s="606"/>
      <c r="Q557" s="606"/>
      <c r="R557" s="606"/>
      <c r="S557" s="606"/>
      <c r="T557" s="606"/>
      <c r="U557" s="606"/>
      <c r="V557" s="461"/>
      <c r="W557" s="461"/>
      <c r="X557" s="131"/>
      <c r="Y557" s="101"/>
      <c r="Z557" s="101"/>
      <c r="AA557" s="101"/>
      <c r="AB557" s="101"/>
      <c r="AC557" s="101"/>
      <c r="AD557" s="101"/>
      <c r="AE557" s="101"/>
      <c r="AF557" s="101"/>
      <c r="AG557" s="101"/>
      <c r="AH557" s="101"/>
      <c r="AI557" s="101"/>
      <c r="AJ557" s="101"/>
      <c r="AK557" s="101"/>
      <c r="AL557" s="101"/>
    </row>
    <row r="558">
      <c r="A558" s="101"/>
      <c r="B558" s="644"/>
      <c r="C558" s="101"/>
      <c r="D558" s="605"/>
      <c r="E558" s="645"/>
      <c r="F558" s="101"/>
      <c r="G558" s="101"/>
      <c r="H558" s="101"/>
      <c r="I558" s="606"/>
      <c r="J558" s="606"/>
      <c r="K558" s="606"/>
      <c r="L558" s="606"/>
      <c r="M558" s="606"/>
      <c r="N558" s="606"/>
      <c r="O558" s="606"/>
      <c r="P558" s="606"/>
      <c r="Q558" s="606"/>
      <c r="R558" s="606"/>
      <c r="S558" s="606"/>
      <c r="T558" s="606"/>
      <c r="U558" s="606"/>
      <c r="V558" s="461"/>
      <c r="W558" s="461"/>
      <c r="X558" s="131"/>
      <c r="Y558" s="101"/>
      <c r="Z558" s="101"/>
      <c r="AA558" s="101"/>
      <c r="AB558" s="101"/>
      <c r="AC558" s="101"/>
      <c r="AD558" s="101"/>
      <c r="AE558" s="101"/>
      <c r="AF558" s="101"/>
      <c r="AG558" s="101"/>
      <c r="AH558" s="101"/>
      <c r="AI558" s="101"/>
      <c r="AJ558" s="101"/>
      <c r="AK558" s="101"/>
      <c r="AL558" s="101"/>
    </row>
    <row r="559">
      <c r="A559" s="101"/>
      <c r="B559" s="644"/>
      <c r="C559" s="101"/>
      <c r="D559" s="605"/>
      <c r="E559" s="645"/>
      <c r="F559" s="101"/>
      <c r="G559" s="101"/>
      <c r="H559" s="101"/>
      <c r="I559" s="606"/>
      <c r="J559" s="606"/>
      <c r="K559" s="606"/>
      <c r="L559" s="606"/>
      <c r="M559" s="606"/>
      <c r="N559" s="606"/>
      <c r="O559" s="606"/>
      <c r="P559" s="606"/>
      <c r="Q559" s="606"/>
      <c r="R559" s="606"/>
      <c r="S559" s="606"/>
      <c r="T559" s="606"/>
      <c r="U559" s="606"/>
      <c r="V559" s="461"/>
      <c r="W559" s="461"/>
      <c r="X559" s="131"/>
      <c r="Y559" s="101"/>
      <c r="Z559" s="101"/>
      <c r="AA559" s="101"/>
      <c r="AB559" s="101"/>
      <c r="AC559" s="101"/>
      <c r="AD559" s="101"/>
      <c r="AE559" s="101"/>
      <c r="AF559" s="101"/>
      <c r="AG559" s="101"/>
      <c r="AH559" s="101"/>
      <c r="AI559" s="101"/>
      <c r="AJ559" s="101"/>
      <c r="AK559" s="101"/>
      <c r="AL559" s="101"/>
    </row>
    <row r="560">
      <c r="A560" s="101"/>
      <c r="B560" s="644"/>
      <c r="C560" s="101"/>
      <c r="D560" s="605"/>
      <c r="E560" s="645"/>
      <c r="F560" s="101"/>
      <c r="G560" s="101"/>
      <c r="H560" s="101"/>
      <c r="I560" s="606"/>
      <c r="J560" s="606"/>
      <c r="K560" s="606"/>
      <c r="L560" s="606"/>
      <c r="M560" s="606"/>
      <c r="N560" s="606"/>
      <c r="O560" s="606"/>
      <c r="P560" s="606"/>
      <c r="Q560" s="606"/>
      <c r="R560" s="606"/>
      <c r="S560" s="606"/>
      <c r="T560" s="606"/>
      <c r="U560" s="606"/>
      <c r="V560" s="461"/>
      <c r="W560" s="461"/>
      <c r="X560" s="131"/>
      <c r="Y560" s="101"/>
      <c r="Z560" s="101"/>
      <c r="AA560" s="101"/>
      <c r="AB560" s="101"/>
      <c r="AC560" s="101"/>
      <c r="AD560" s="101"/>
      <c r="AE560" s="101"/>
      <c r="AF560" s="101"/>
      <c r="AG560" s="101"/>
      <c r="AH560" s="101"/>
      <c r="AI560" s="101"/>
      <c r="AJ560" s="101"/>
      <c r="AK560" s="101"/>
      <c r="AL560" s="101"/>
    </row>
    <row r="561">
      <c r="A561" s="101"/>
      <c r="B561" s="644"/>
      <c r="C561" s="101"/>
      <c r="D561" s="605"/>
      <c r="E561" s="645"/>
      <c r="F561" s="101"/>
      <c r="G561" s="101"/>
      <c r="H561" s="101"/>
      <c r="I561" s="606"/>
      <c r="J561" s="606"/>
      <c r="K561" s="606"/>
      <c r="L561" s="606"/>
      <c r="M561" s="606"/>
      <c r="N561" s="606"/>
      <c r="O561" s="606"/>
      <c r="P561" s="606"/>
      <c r="Q561" s="606"/>
      <c r="R561" s="606"/>
      <c r="S561" s="606"/>
      <c r="T561" s="606"/>
      <c r="U561" s="606"/>
      <c r="V561" s="461"/>
      <c r="W561" s="461"/>
      <c r="X561" s="131"/>
      <c r="Y561" s="101"/>
      <c r="Z561" s="101"/>
      <c r="AA561" s="101"/>
      <c r="AB561" s="101"/>
      <c r="AC561" s="101"/>
      <c r="AD561" s="101"/>
      <c r="AE561" s="101"/>
      <c r="AF561" s="101"/>
      <c r="AG561" s="101"/>
      <c r="AH561" s="101"/>
      <c r="AI561" s="101"/>
      <c r="AJ561" s="101"/>
      <c r="AK561" s="101"/>
      <c r="AL561" s="101"/>
    </row>
    <row r="562">
      <c r="A562" s="101"/>
      <c r="B562" s="644"/>
      <c r="C562" s="101"/>
      <c r="D562" s="605"/>
      <c r="E562" s="645"/>
      <c r="F562" s="101"/>
      <c r="G562" s="101"/>
      <c r="H562" s="101"/>
      <c r="I562" s="606"/>
      <c r="J562" s="606"/>
      <c r="K562" s="606"/>
      <c r="L562" s="606"/>
      <c r="M562" s="606"/>
      <c r="N562" s="606"/>
      <c r="O562" s="606"/>
      <c r="P562" s="606"/>
      <c r="Q562" s="606"/>
      <c r="R562" s="606"/>
      <c r="S562" s="606"/>
      <c r="T562" s="606"/>
      <c r="U562" s="606"/>
      <c r="V562" s="461"/>
      <c r="W562" s="461"/>
      <c r="X562" s="131"/>
      <c r="Y562" s="101"/>
      <c r="Z562" s="101"/>
      <c r="AA562" s="101"/>
      <c r="AB562" s="101"/>
      <c r="AC562" s="101"/>
      <c r="AD562" s="101"/>
      <c r="AE562" s="101"/>
      <c r="AF562" s="101"/>
      <c r="AG562" s="101"/>
      <c r="AH562" s="101"/>
      <c r="AI562" s="101"/>
      <c r="AJ562" s="101"/>
      <c r="AK562" s="101"/>
      <c r="AL562" s="101"/>
    </row>
    <row r="563">
      <c r="A563" s="101"/>
      <c r="B563" s="644"/>
      <c r="C563" s="101"/>
      <c r="D563" s="605"/>
      <c r="E563" s="645"/>
      <c r="F563" s="101"/>
      <c r="G563" s="101"/>
      <c r="H563" s="101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461"/>
      <c r="W563" s="461"/>
      <c r="X563" s="131"/>
      <c r="Y563" s="101"/>
      <c r="Z563" s="101"/>
      <c r="AA563" s="101"/>
      <c r="AB563" s="101"/>
      <c r="AC563" s="101"/>
      <c r="AD563" s="101"/>
      <c r="AE563" s="101"/>
      <c r="AF563" s="101"/>
      <c r="AG563" s="101"/>
      <c r="AH563" s="101"/>
      <c r="AI563" s="101"/>
      <c r="AJ563" s="101"/>
      <c r="AK563" s="101"/>
      <c r="AL563" s="101"/>
    </row>
    <row r="564">
      <c r="A564" s="101"/>
      <c r="B564" s="644"/>
      <c r="C564" s="101"/>
      <c r="D564" s="605"/>
      <c r="E564" s="645"/>
      <c r="F564" s="101"/>
      <c r="G564" s="101"/>
      <c r="H564" s="101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461"/>
      <c r="W564" s="461"/>
      <c r="X564" s="131"/>
      <c r="Y564" s="101"/>
      <c r="Z564" s="101"/>
      <c r="AA564" s="101"/>
      <c r="AB564" s="101"/>
      <c r="AC564" s="101"/>
      <c r="AD564" s="101"/>
      <c r="AE564" s="101"/>
      <c r="AF564" s="101"/>
      <c r="AG564" s="101"/>
      <c r="AH564" s="101"/>
      <c r="AI564" s="101"/>
      <c r="AJ564" s="101"/>
      <c r="AK564" s="101"/>
      <c r="AL564" s="101"/>
    </row>
    <row r="565">
      <c r="A565" s="101"/>
      <c r="B565" s="644"/>
      <c r="C565" s="101"/>
      <c r="D565" s="605"/>
      <c r="E565" s="645"/>
      <c r="F565" s="101"/>
      <c r="G565" s="101"/>
      <c r="H565" s="101"/>
      <c r="I565" s="606"/>
      <c r="J565" s="606"/>
      <c r="K565" s="606"/>
      <c r="L565" s="606"/>
      <c r="M565" s="606"/>
      <c r="N565" s="606"/>
      <c r="O565" s="606"/>
      <c r="P565" s="606"/>
      <c r="Q565" s="606"/>
      <c r="R565" s="606"/>
      <c r="S565" s="606"/>
      <c r="T565" s="606"/>
      <c r="U565" s="606"/>
      <c r="V565" s="461"/>
      <c r="W565" s="461"/>
      <c r="X565" s="131"/>
      <c r="Y565" s="101"/>
      <c r="Z565" s="101"/>
      <c r="AA565" s="101"/>
      <c r="AB565" s="101"/>
      <c r="AC565" s="101"/>
      <c r="AD565" s="101"/>
      <c r="AE565" s="101"/>
      <c r="AF565" s="101"/>
      <c r="AG565" s="101"/>
      <c r="AH565" s="101"/>
      <c r="AI565" s="101"/>
      <c r="AJ565" s="101"/>
      <c r="AK565" s="101"/>
      <c r="AL565" s="101"/>
    </row>
    <row r="566">
      <c r="A566" s="101"/>
      <c r="B566" s="644"/>
      <c r="C566" s="101"/>
      <c r="D566" s="605"/>
      <c r="E566" s="645"/>
      <c r="F566" s="101"/>
      <c r="G566" s="101"/>
      <c r="H566" s="101"/>
      <c r="I566" s="606"/>
      <c r="J566" s="606"/>
      <c r="K566" s="606"/>
      <c r="L566" s="606"/>
      <c r="M566" s="606"/>
      <c r="N566" s="606"/>
      <c r="O566" s="606"/>
      <c r="P566" s="606"/>
      <c r="Q566" s="606"/>
      <c r="R566" s="606"/>
      <c r="S566" s="606"/>
      <c r="T566" s="606"/>
      <c r="U566" s="606"/>
      <c r="V566" s="461"/>
      <c r="W566" s="461"/>
      <c r="X566" s="131"/>
      <c r="Y566" s="101"/>
      <c r="Z566" s="101"/>
      <c r="AA566" s="101"/>
      <c r="AB566" s="101"/>
      <c r="AC566" s="101"/>
      <c r="AD566" s="101"/>
      <c r="AE566" s="101"/>
      <c r="AF566" s="101"/>
      <c r="AG566" s="101"/>
      <c r="AH566" s="101"/>
      <c r="AI566" s="101"/>
      <c r="AJ566" s="101"/>
      <c r="AK566" s="101"/>
      <c r="AL566" s="101"/>
    </row>
    <row r="567">
      <c r="A567" s="101"/>
      <c r="B567" s="644"/>
      <c r="C567" s="101"/>
      <c r="D567" s="605"/>
      <c r="E567" s="645"/>
      <c r="F567" s="101"/>
      <c r="G567" s="101"/>
      <c r="H567" s="101"/>
      <c r="I567" s="606"/>
      <c r="J567" s="606"/>
      <c r="K567" s="606"/>
      <c r="L567" s="606"/>
      <c r="M567" s="606"/>
      <c r="N567" s="606"/>
      <c r="O567" s="606"/>
      <c r="P567" s="606"/>
      <c r="Q567" s="606"/>
      <c r="R567" s="606"/>
      <c r="S567" s="606"/>
      <c r="T567" s="606"/>
      <c r="U567" s="606"/>
      <c r="V567" s="461"/>
      <c r="W567" s="461"/>
      <c r="X567" s="131"/>
      <c r="Y567" s="101"/>
      <c r="Z567" s="101"/>
      <c r="AA567" s="101"/>
      <c r="AB567" s="101"/>
      <c r="AC567" s="101"/>
      <c r="AD567" s="101"/>
      <c r="AE567" s="101"/>
      <c r="AF567" s="101"/>
      <c r="AG567" s="101"/>
      <c r="AH567" s="101"/>
      <c r="AI567" s="101"/>
      <c r="AJ567" s="101"/>
      <c r="AK567" s="101"/>
      <c r="AL567" s="101"/>
    </row>
    <row r="568">
      <c r="A568" s="101"/>
      <c r="B568" s="644"/>
      <c r="C568" s="101"/>
      <c r="D568" s="605"/>
      <c r="E568" s="645"/>
      <c r="F568" s="101"/>
      <c r="G568" s="101"/>
      <c r="H568" s="101"/>
      <c r="I568" s="606"/>
      <c r="J568" s="606"/>
      <c r="K568" s="606"/>
      <c r="L568" s="606"/>
      <c r="M568" s="606"/>
      <c r="N568" s="606"/>
      <c r="O568" s="606"/>
      <c r="P568" s="606"/>
      <c r="Q568" s="606"/>
      <c r="R568" s="606"/>
      <c r="S568" s="606"/>
      <c r="T568" s="606"/>
      <c r="U568" s="606"/>
      <c r="V568" s="461"/>
      <c r="W568" s="461"/>
      <c r="X568" s="131"/>
      <c r="Y568" s="101"/>
      <c r="Z568" s="101"/>
      <c r="AA568" s="101"/>
      <c r="AB568" s="101"/>
      <c r="AC568" s="101"/>
      <c r="AD568" s="101"/>
      <c r="AE568" s="101"/>
      <c r="AF568" s="101"/>
      <c r="AG568" s="101"/>
      <c r="AH568" s="101"/>
      <c r="AI568" s="101"/>
      <c r="AJ568" s="101"/>
      <c r="AK568" s="101"/>
      <c r="AL568" s="101"/>
    </row>
    <row r="569">
      <c r="A569" s="101"/>
      <c r="B569" s="644"/>
      <c r="C569" s="101"/>
      <c r="D569" s="605"/>
      <c r="E569" s="645"/>
      <c r="F569" s="101"/>
      <c r="G569" s="101"/>
      <c r="H569" s="101"/>
      <c r="I569" s="606"/>
      <c r="J569" s="606"/>
      <c r="K569" s="606"/>
      <c r="L569" s="606"/>
      <c r="M569" s="606"/>
      <c r="N569" s="606"/>
      <c r="O569" s="606"/>
      <c r="P569" s="606"/>
      <c r="Q569" s="606"/>
      <c r="R569" s="606"/>
      <c r="S569" s="606"/>
      <c r="T569" s="606"/>
      <c r="U569" s="606"/>
      <c r="V569" s="461"/>
      <c r="W569" s="461"/>
      <c r="X569" s="131"/>
      <c r="Y569" s="101"/>
      <c r="Z569" s="101"/>
      <c r="AA569" s="101"/>
      <c r="AB569" s="101"/>
      <c r="AC569" s="101"/>
      <c r="AD569" s="101"/>
      <c r="AE569" s="101"/>
      <c r="AF569" s="101"/>
      <c r="AG569" s="101"/>
      <c r="AH569" s="101"/>
      <c r="AI569" s="101"/>
      <c r="AJ569" s="101"/>
      <c r="AK569" s="101"/>
      <c r="AL569" s="101"/>
    </row>
    <row r="570">
      <c r="A570" s="101"/>
      <c r="B570" s="644"/>
      <c r="C570" s="101"/>
      <c r="D570" s="605"/>
      <c r="E570" s="645"/>
      <c r="F570" s="101"/>
      <c r="G570" s="101"/>
      <c r="H570" s="101"/>
      <c r="I570" s="606"/>
      <c r="J570" s="606"/>
      <c r="K570" s="606"/>
      <c r="L570" s="606"/>
      <c r="M570" s="606"/>
      <c r="N570" s="606"/>
      <c r="O570" s="606"/>
      <c r="P570" s="606"/>
      <c r="Q570" s="606"/>
      <c r="R570" s="606"/>
      <c r="S570" s="606"/>
      <c r="T570" s="606"/>
      <c r="U570" s="606"/>
      <c r="V570" s="461"/>
      <c r="W570" s="461"/>
      <c r="X570" s="131"/>
      <c r="Y570" s="101"/>
      <c r="Z570" s="101"/>
      <c r="AA570" s="101"/>
      <c r="AB570" s="101"/>
      <c r="AC570" s="101"/>
      <c r="AD570" s="101"/>
      <c r="AE570" s="101"/>
      <c r="AF570" s="101"/>
      <c r="AG570" s="101"/>
      <c r="AH570" s="101"/>
      <c r="AI570" s="101"/>
      <c r="AJ570" s="101"/>
      <c r="AK570" s="101"/>
      <c r="AL570" s="101"/>
    </row>
    <row r="571">
      <c r="A571" s="101"/>
      <c r="B571" s="644"/>
      <c r="C571" s="101"/>
      <c r="D571" s="605"/>
      <c r="E571" s="645"/>
      <c r="F571" s="101"/>
      <c r="G571" s="101"/>
      <c r="H571" s="101"/>
      <c r="I571" s="606"/>
      <c r="J571" s="606"/>
      <c r="K571" s="606"/>
      <c r="L571" s="606"/>
      <c r="M571" s="606"/>
      <c r="N571" s="606"/>
      <c r="O571" s="606"/>
      <c r="P571" s="606"/>
      <c r="Q571" s="606"/>
      <c r="R571" s="606"/>
      <c r="S571" s="606"/>
      <c r="T571" s="606"/>
      <c r="U571" s="606"/>
      <c r="V571" s="461"/>
      <c r="W571" s="461"/>
      <c r="X571" s="131"/>
      <c r="Y571" s="101"/>
      <c r="Z571" s="101"/>
      <c r="AA571" s="101"/>
      <c r="AB571" s="101"/>
      <c r="AC571" s="101"/>
      <c r="AD571" s="101"/>
      <c r="AE571" s="101"/>
      <c r="AF571" s="101"/>
      <c r="AG571" s="101"/>
      <c r="AH571" s="101"/>
      <c r="AI571" s="101"/>
      <c r="AJ571" s="101"/>
      <c r="AK571" s="101"/>
      <c r="AL571" s="101"/>
    </row>
    <row r="572">
      <c r="A572" s="101"/>
      <c r="B572" s="644"/>
      <c r="C572" s="101"/>
      <c r="D572" s="605"/>
      <c r="E572" s="645"/>
      <c r="F572" s="101"/>
      <c r="G572" s="101"/>
      <c r="H572" s="101"/>
      <c r="I572" s="606"/>
      <c r="J572" s="606"/>
      <c r="K572" s="606"/>
      <c r="L572" s="606"/>
      <c r="M572" s="606"/>
      <c r="N572" s="606"/>
      <c r="O572" s="606"/>
      <c r="P572" s="606"/>
      <c r="Q572" s="606"/>
      <c r="R572" s="606"/>
      <c r="S572" s="606"/>
      <c r="T572" s="606"/>
      <c r="U572" s="606"/>
      <c r="V572" s="461"/>
      <c r="W572" s="461"/>
      <c r="X572" s="131"/>
      <c r="Y572" s="101"/>
      <c r="Z572" s="101"/>
      <c r="AA572" s="101"/>
      <c r="AB572" s="101"/>
      <c r="AC572" s="101"/>
      <c r="AD572" s="101"/>
      <c r="AE572" s="101"/>
      <c r="AF572" s="101"/>
      <c r="AG572" s="101"/>
      <c r="AH572" s="101"/>
      <c r="AI572" s="101"/>
      <c r="AJ572" s="101"/>
      <c r="AK572" s="101"/>
      <c r="AL572" s="101"/>
    </row>
    <row r="573">
      <c r="A573" s="101"/>
      <c r="B573" s="644"/>
      <c r="C573" s="101"/>
      <c r="D573" s="605"/>
      <c r="E573" s="645"/>
      <c r="F573" s="101"/>
      <c r="G573" s="101"/>
      <c r="H573" s="101"/>
      <c r="I573" s="606"/>
      <c r="J573" s="606"/>
      <c r="K573" s="606"/>
      <c r="L573" s="606"/>
      <c r="M573" s="606"/>
      <c r="N573" s="606"/>
      <c r="O573" s="606"/>
      <c r="P573" s="606"/>
      <c r="Q573" s="606"/>
      <c r="R573" s="606"/>
      <c r="S573" s="606"/>
      <c r="T573" s="606"/>
      <c r="U573" s="606"/>
      <c r="V573" s="461"/>
      <c r="W573" s="461"/>
      <c r="X573" s="131"/>
      <c r="Y573" s="101"/>
      <c r="Z573" s="101"/>
      <c r="AA573" s="101"/>
      <c r="AB573" s="101"/>
      <c r="AC573" s="101"/>
      <c r="AD573" s="101"/>
      <c r="AE573" s="101"/>
      <c r="AF573" s="101"/>
      <c r="AG573" s="101"/>
      <c r="AH573" s="101"/>
      <c r="AI573" s="101"/>
      <c r="AJ573" s="101"/>
      <c r="AK573" s="101"/>
      <c r="AL573" s="101"/>
    </row>
    <row r="574">
      <c r="A574" s="101"/>
      <c r="B574" s="644"/>
      <c r="C574" s="101"/>
      <c r="D574" s="605"/>
      <c r="E574" s="645"/>
      <c r="F574" s="101"/>
      <c r="G574" s="101"/>
      <c r="H574" s="101"/>
      <c r="I574" s="606"/>
      <c r="J574" s="606"/>
      <c r="K574" s="606"/>
      <c r="L574" s="606"/>
      <c r="M574" s="606"/>
      <c r="N574" s="606"/>
      <c r="O574" s="606"/>
      <c r="P574" s="606"/>
      <c r="Q574" s="606"/>
      <c r="R574" s="606"/>
      <c r="S574" s="606"/>
      <c r="T574" s="606"/>
      <c r="U574" s="606"/>
      <c r="V574" s="461"/>
      <c r="W574" s="461"/>
      <c r="X574" s="131"/>
      <c r="Y574" s="101"/>
      <c r="Z574" s="101"/>
      <c r="AA574" s="101"/>
      <c r="AB574" s="101"/>
      <c r="AC574" s="101"/>
      <c r="AD574" s="101"/>
      <c r="AE574" s="101"/>
      <c r="AF574" s="101"/>
      <c r="AG574" s="101"/>
      <c r="AH574" s="101"/>
      <c r="AI574" s="101"/>
      <c r="AJ574" s="101"/>
      <c r="AK574" s="101"/>
      <c r="AL574" s="101"/>
    </row>
    <row r="575">
      <c r="A575" s="101"/>
      <c r="B575" s="644"/>
      <c r="C575" s="101"/>
      <c r="D575" s="605"/>
      <c r="E575" s="645"/>
      <c r="F575" s="101"/>
      <c r="G575" s="101"/>
      <c r="H575" s="101"/>
      <c r="I575" s="606"/>
      <c r="J575" s="606"/>
      <c r="K575" s="606"/>
      <c r="L575" s="606"/>
      <c r="M575" s="606"/>
      <c r="N575" s="606"/>
      <c r="O575" s="606"/>
      <c r="P575" s="606"/>
      <c r="Q575" s="606"/>
      <c r="R575" s="606"/>
      <c r="S575" s="606"/>
      <c r="T575" s="606"/>
      <c r="U575" s="606"/>
      <c r="V575" s="461"/>
      <c r="W575" s="461"/>
      <c r="X575" s="131"/>
      <c r="Y575" s="101"/>
      <c r="Z575" s="101"/>
      <c r="AA575" s="101"/>
      <c r="AB575" s="101"/>
      <c r="AC575" s="101"/>
      <c r="AD575" s="101"/>
      <c r="AE575" s="101"/>
      <c r="AF575" s="101"/>
      <c r="AG575" s="101"/>
      <c r="AH575" s="101"/>
      <c r="AI575" s="101"/>
      <c r="AJ575" s="101"/>
      <c r="AK575" s="101"/>
      <c r="AL575" s="101"/>
    </row>
    <row r="576">
      <c r="A576" s="101"/>
      <c r="B576" s="644"/>
      <c r="C576" s="101"/>
      <c r="D576" s="605"/>
      <c r="E576" s="645"/>
      <c r="F576" s="101"/>
      <c r="G576" s="101"/>
      <c r="H576" s="101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461"/>
      <c r="W576" s="461"/>
      <c r="X576" s="131"/>
      <c r="Y576" s="101"/>
      <c r="Z576" s="101"/>
      <c r="AA576" s="101"/>
      <c r="AB576" s="101"/>
      <c r="AC576" s="101"/>
      <c r="AD576" s="101"/>
      <c r="AE576" s="101"/>
      <c r="AF576" s="101"/>
      <c r="AG576" s="101"/>
      <c r="AH576" s="101"/>
      <c r="AI576" s="101"/>
      <c r="AJ576" s="101"/>
      <c r="AK576" s="101"/>
      <c r="AL576" s="101"/>
    </row>
    <row r="577">
      <c r="A577" s="101"/>
      <c r="B577" s="644"/>
      <c r="C577" s="101"/>
      <c r="D577" s="605"/>
      <c r="E577" s="645"/>
      <c r="F577" s="101"/>
      <c r="G577" s="101"/>
      <c r="H577" s="101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461"/>
      <c r="W577" s="461"/>
      <c r="X577" s="131"/>
      <c r="Y577" s="101"/>
      <c r="Z577" s="101"/>
      <c r="AA577" s="101"/>
      <c r="AB577" s="101"/>
      <c r="AC577" s="101"/>
      <c r="AD577" s="101"/>
      <c r="AE577" s="101"/>
      <c r="AF577" s="101"/>
      <c r="AG577" s="101"/>
      <c r="AH577" s="101"/>
      <c r="AI577" s="101"/>
      <c r="AJ577" s="101"/>
      <c r="AK577" s="101"/>
      <c r="AL577" s="101"/>
    </row>
    <row r="578">
      <c r="A578" s="101"/>
      <c r="B578" s="644"/>
      <c r="C578" s="101"/>
      <c r="D578" s="605"/>
      <c r="E578" s="645"/>
      <c r="F578" s="101"/>
      <c r="G578" s="101"/>
      <c r="H578" s="101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461"/>
      <c r="W578" s="461"/>
      <c r="X578" s="131"/>
      <c r="Y578" s="101"/>
      <c r="Z578" s="101"/>
      <c r="AA578" s="101"/>
      <c r="AB578" s="101"/>
      <c r="AC578" s="101"/>
      <c r="AD578" s="101"/>
      <c r="AE578" s="101"/>
      <c r="AF578" s="101"/>
      <c r="AG578" s="101"/>
      <c r="AH578" s="101"/>
      <c r="AI578" s="101"/>
      <c r="AJ578" s="101"/>
      <c r="AK578" s="101"/>
      <c r="AL578" s="101"/>
    </row>
    <row r="579">
      <c r="A579" s="101"/>
      <c r="B579" s="644"/>
      <c r="C579" s="101"/>
      <c r="D579" s="605"/>
      <c r="E579" s="645"/>
      <c r="F579" s="101"/>
      <c r="G579" s="101"/>
      <c r="H579" s="101"/>
      <c r="I579" s="606"/>
      <c r="J579" s="606"/>
      <c r="K579" s="606"/>
      <c r="L579" s="606"/>
      <c r="M579" s="606"/>
      <c r="N579" s="606"/>
      <c r="O579" s="606"/>
      <c r="P579" s="606"/>
      <c r="Q579" s="606"/>
      <c r="R579" s="606"/>
      <c r="S579" s="606"/>
      <c r="T579" s="606"/>
      <c r="U579" s="606"/>
      <c r="V579" s="461"/>
      <c r="W579" s="461"/>
      <c r="X579" s="131"/>
      <c r="Y579" s="101"/>
      <c r="Z579" s="101"/>
      <c r="AA579" s="101"/>
      <c r="AB579" s="101"/>
      <c r="AC579" s="101"/>
      <c r="AD579" s="101"/>
      <c r="AE579" s="101"/>
      <c r="AF579" s="101"/>
      <c r="AG579" s="101"/>
      <c r="AH579" s="101"/>
      <c r="AI579" s="101"/>
      <c r="AJ579" s="101"/>
      <c r="AK579" s="101"/>
      <c r="AL579" s="101"/>
    </row>
    <row r="580">
      <c r="A580" s="101"/>
      <c r="B580" s="644"/>
      <c r="C580" s="101"/>
      <c r="D580" s="605"/>
      <c r="E580" s="645"/>
      <c r="F580" s="101"/>
      <c r="G580" s="101"/>
      <c r="H580" s="101"/>
      <c r="I580" s="606"/>
      <c r="J580" s="606"/>
      <c r="K580" s="606"/>
      <c r="L580" s="606"/>
      <c r="M580" s="606"/>
      <c r="N580" s="606"/>
      <c r="O580" s="606"/>
      <c r="P580" s="606"/>
      <c r="Q580" s="606"/>
      <c r="R580" s="606"/>
      <c r="S580" s="606"/>
      <c r="T580" s="606"/>
      <c r="U580" s="606"/>
      <c r="V580" s="461"/>
      <c r="W580" s="461"/>
      <c r="X580" s="131"/>
      <c r="Y580" s="101"/>
      <c r="Z580" s="101"/>
      <c r="AA580" s="101"/>
      <c r="AB580" s="101"/>
      <c r="AC580" s="101"/>
      <c r="AD580" s="101"/>
      <c r="AE580" s="101"/>
      <c r="AF580" s="101"/>
      <c r="AG580" s="101"/>
      <c r="AH580" s="101"/>
      <c r="AI580" s="101"/>
      <c r="AJ580" s="101"/>
      <c r="AK580" s="101"/>
      <c r="AL580" s="101"/>
    </row>
    <row r="581">
      <c r="A581" s="101"/>
      <c r="B581" s="644"/>
      <c r="C581" s="101"/>
      <c r="D581" s="605"/>
      <c r="E581" s="645"/>
      <c r="F581" s="101"/>
      <c r="G581" s="101"/>
      <c r="H581" s="101"/>
      <c r="I581" s="606"/>
      <c r="J581" s="606"/>
      <c r="K581" s="606"/>
      <c r="L581" s="606"/>
      <c r="M581" s="606"/>
      <c r="N581" s="606"/>
      <c r="O581" s="606"/>
      <c r="P581" s="606"/>
      <c r="Q581" s="606"/>
      <c r="R581" s="606"/>
      <c r="S581" s="606"/>
      <c r="T581" s="606"/>
      <c r="U581" s="606"/>
      <c r="V581" s="461"/>
      <c r="W581" s="461"/>
      <c r="X581" s="131"/>
      <c r="Y581" s="101"/>
      <c r="Z581" s="101"/>
      <c r="AA581" s="101"/>
      <c r="AB581" s="101"/>
      <c r="AC581" s="101"/>
      <c r="AD581" s="101"/>
      <c r="AE581" s="101"/>
      <c r="AF581" s="101"/>
      <c r="AG581" s="101"/>
      <c r="AH581" s="101"/>
      <c r="AI581" s="101"/>
      <c r="AJ581" s="101"/>
      <c r="AK581" s="101"/>
      <c r="AL581" s="101"/>
    </row>
    <row r="582">
      <c r="A582" s="101"/>
      <c r="B582" s="644"/>
      <c r="C582" s="101"/>
      <c r="D582" s="605"/>
      <c r="E582" s="645"/>
      <c r="F582" s="101"/>
      <c r="G582" s="101"/>
      <c r="H582" s="101"/>
      <c r="I582" s="606"/>
      <c r="J582" s="606"/>
      <c r="K582" s="606"/>
      <c r="L582" s="606"/>
      <c r="M582" s="606"/>
      <c r="N582" s="606"/>
      <c r="O582" s="606"/>
      <c r="P582" s="606"/>
      <c r="Q582" s="606"/>
      <c r="R582" s="606"/>
      <c r="S582" s="606"/>
      <c r="T582" s="606"/>
      <c r="U582" s="606"/>
      <c r="V582" s="461"/>
      <c r="W582" s="461"/>
      <c r="X582" s="131"/>
      <c r="Y582" s="101"/>
      <c r="Z582" s="101"/>
      <c r="AA582" s="101"/>
      <c r="AB582" s="101"/>
      <c r="AC582" s="101"/>
      <c r="AD582" s="101"/>
      <c r="AE582" s="101"/>
      <c r="AF582" s="101"/>
      <c r="AG582" s="101"/>
      <c r="AH582" s="101"/>
      <c r="AI582" s="101"/>
      <c r="AJ582" s="101"/>
      <c r="AK582" s="101"/>
      <c r="AL582" s="101"/>
    </row>
    <row r="583">
      <c r="A583" s="101"/>
      <c r="B583" s="644"/>
      <c r="C583" s="101"/>
      <c r="D583" s="605"/>
      <c r="E583" s="645"/>
      <c r="F583" s="101"/>
      <c r="G583" s="101"/>
      <c r="H583" s="101"/>
      <c r="I583" s="606"/>
      <c r="J583" s="606"/>
      <c r="K583" s="606"/>
      <c r="L583" s="606"/>
      <c r="M583" s="606"/>
      <c r="N583" s="606"/>
      <c r="O583" s="606"/>
      <c r="P583" s="606"/>
      <c r="Q583" s="606"/>
      <c r="R583" s="606"/>
      <c r="S583" s="606"/>
      <c r="T583" s="606"/>
      <c r="U583" s="606"/>
      <c r="V583" s="461"/>
      <c r="W583" s="461"/>
      <c r="X583" s="131"/>
      <c r="Y583" s="101"/>
      <c r="Z583" s="101"/>
      <c r="AA583" s="101"/>
      <c r="AB583" s="101"/>
      <c r="AC583" s="101"/>
      <c r="AD583" s="101"/>
      <c r="AE583" s="101"/>
      <c r="AF583" s="101"/>
      <c r="AG583" s="101"/>
      <c r="AH583" s="101"/>
      <c r="AI583" s="101"/>
      <c r="AJ583" s="101"/>
      <c r="AK583" s="101"/>
      <c r="AL583" s="101"/>
    </row>
    <row r="584">
      <c r="A584" s="101"/>
      <c r="B584" s="644"/>
      <c r="C584" s="101"/>
      <c r="D584" s="605"/>
      <c r="E584" s="645"/>
      <c r="F584" s="101"/>
      <c r="G584" s="101"/>
      <c r="H584" s="101"/>
      <c r="I584" s="606"/>
      <c r="J584" s="606"/>
      <c r="K584" s="606"/>
      <c r="L584" s="606"/>
      <c r="M584" s="606"/>
      <c r="N584" s="606"/>
      <c r="O584" s="606"/>
      <c r="P584" s="606"/>
      <c r="Q584" s="606"/>
      <c r="R584" s="606"/>
      <c r="S584" s="606"/>
      <c r="T584" s="606"/>
      <c r="U584" s="606"/>
      <c r="V584" s="461"/>
      <c r="W584" s="461"/>
      <c r="X584" s="131"/>
      <c r="Y584" s="101"/>
      <c r="Z584" s="101"/>
      <c r="AA584" s="101"/>
      <c r="AB584" s="101"/>
      <c r="AC584" s="101"/>
      <c r="AD584" s="101"/>
      <c r="AE584" s="101"/>
      <c r="AF584" s="101"/>
      <c r="AG584" s="101"/>
      <c r="AH584" s="101"/>
      <c r="AI584" s="101"/>
      <c r="AJ584" s="101"/>
      <c r="AK584" s="101"/>
      <c r="AL584" s="101"/>
    </row>
    <row r="585">
      <c r="A585" s="101"/>
      <c r="B585" s="644"/>
      <c r="C585" s="101"/>
      <c r="D585" s="605"/>
      <c r="E585" s="645"/>
      <c r="F585" s="101"/>
      <c r="G585" s="101"/>
      <c r="H585" s="101"/>
      <c r="I585" s="606"/>
      <c r="J585" s="606"/>
      <c r="K585" s="606"/>
      <c r="L585" s="606"/>
      <c r="M585" s="606"/>
      <c r="N585" s="606"/>
      <c r="O585" s="606"/>
      <c r="P585" s="606"/>
      <c r="Q585" s="606"/>
      <c r="R585" s="606"/>
      <c r="S585" s="606"/>
      <c r="T585" s="606"/>
      <c r="U585" s="606"/>
      <c r="V585" s="461"/>
      <c r="W585" s="461"/>
      <c r="X585" s="131"/>
      <c r="Y585" s="101"/>
      <c r="Z585" s="101"/>
      <c r="AA585" s="101"/>
      <c r="AB585" s="101"/>
      <c r="AC585" s="101"/>
      <c r="AD585" s="101"/>
      <c r="AE585" s="101"/>
      <c r="AF585" s="101"/>
      <c r="AG585" s="101"/>
      <c r="AH585" s="101"/>
      <c r="AI585" s="101"/>
      <c r="AJ585" s="101"/>
      <c r="AK585" s="101"/>
      <c r="AL585" s="101"/>
    </row>
    <row r="586">
      <c r="A586" s="101"/>
      <c r="B586" s="644"/>
      <c r="C586" s="101"/>
      <c r="D586" s="605"/>
      <c r="E586" s="645"/>
      <c r="F586" s="101"/>
      <c r="G586" s="101"/>
      <c r="H586" s="101"/>
      <c r="I586" s="606"/>
      <c r="J586" s="606"/>
      <c r="K586" s="606"/>
      <c r="L586" s="606"/>
      <c r="M586" s="606"/>
      <c r="N586" s="606"/>
      <c r="O586" s="606"/>
      <c r="P586" s="606"/>
      <c r="Q586" s="606"/>
      <c r="R586" s="606"/>
      <c r="S586" s="606"/>
      <c r="T586" s="606"/>
      <c r="U586" s="606"/>
      <c r="V586" s="461"/>
      <c r="W586" s="461"/>
      <c r="X586" s="131"/>
      <c r="Y586" s="101"/>
      <c r="Z586" s="101"/>
      <c r="AA586" s="101"/>
      <c r="AB586" s="101"/>
      <c r="AC586" s="101"/>
      <c r="AD586" s="101"/>
      <c r="AE586" s="101"/>
      <c r="AF586" s="101"/>
      <c r="AG586" s="101"/>
      <c r="AH586" s="101"/>
      <c r="AI586" s="101"/>
      <c r="AJ586" s="101"/>
      <c r="AK586" s="101"/>
      <c r="AL586" s="101"/>
    </row>
    <row r="587">
      <c r="A587" s="101"/>
      <c r="B587" s="644"/>
      <c r="C587" s="101"/>
      <c r="D587" s="605"/>
      <c r="E587" s="645"/>
      <c r="F587" s="101"/>
      <c r="G587" s="101"/>
      <c r="H587" s="101"/>
      <c r="I587" s="606"/>
      <c r="J587" s="606"/>
      <c r="K587" s="606"/>
      <c r="L587" s="606"/>
      <c r="M587" s="606"/>
      <c r="N587" s="606"/>
      <c r="O587" s="606"/>
      <c r="P587" s="606"/>
      <c r="Q587" s="606"/>
      <c r="R587" s="606"/>
      <c r="S587" s="606"/>
      <c r="T587" s="606"/>
      <c r="U587" s="606"/>
      <c r="V587" s="461"/>
      <c r="W587" s="461"/>
      <c r="X587" s="131"/>
      <c r="Y587" s="101"/>
      <c r="Z587" s="101"/>
      <c r="AA587" s="101"/>
      <c r="AB587" s="101"/>
      <c r="AC587" s="101"/>
      <c r="AD587" s="101"/>
      <c r="AE587" s="101"/>
      <c r="AF587" s="101"/>
      <c r="AG587" s="101"/>
      <c r="AH587" s="101"/>
      <c r="AI587" s="101"/>
      <c r="AJ587" s="101"/>
      <c r="AK587" s="101"/>
      <c r="AL587" s="101"/>
    </row>
    <row r="588">
      <c r="A588" s="101"/>
      <c r="B588" s="644"/>
      <c r="C588" s="101"/>
      <c r="D588" s="605"/>
      <c r="E588" s="645"/>
      <c r="F588" s="101"/>
      <c r="G588" s="101"/>
      <c r="H588" s="101"/>
      <c r="I588" s="606"/>
      <c r="J588" s="606"/>
      <c r="K588" s="606"/>
      <c r="L588" s="606"/>
      <c r="M588" s="606"/>
      <c r="N588" s="606"/>
      <c r="O588" s="606"/>
      <c r="P588" s="606"/>
      <c r="Q588" s="606"/>
      <c r="R588" s="606"/>
      <c r="S588" s="606"/>
      <c r="T588" s="606"/>
      <c r="U588" s="606"/>
      <c r="V588" s="461"/>
      <c r="W588" s="461"/>
      <c r="X588" s="131"/>
      <c r="Y588" s="101"/>
      <c r="Z588" s="101"/>
      <c r="AA588" s="101"/>
      <c r="AB588" s="101"/>
      <c r="AC588" s="101"/>
      <c r="AD588" s="101"/>
      <c r="AE588" s="101"/>
      <c r="AF588" s="101"/>
      <c r="AG588" s="101"/>
      <c r="AH588" s="101"/>
      <c r="AI588" s="101"/>
      <c r="AJ588" s="101"/>
      <c r="AK588" s="101"/>
      <c r="AL588" s="101"/>
    </row>
    <row r="589">
      <c r="A589" s="101"/>
      <c r="B589" s="644"/>
      <c r="C589" s="101"/>
      <c r="D589" s="605"/>
      <c r="E589" s="645"/>
      <c r="F589" s="101"/>
      <c r="G589" s="101"/>
      <c r="H589" s="101"/>
      <c r="I589" s="606"/>
      <c r="J589" s="606"/>
      <c r="K589" s="606"/>
      <c r="L589" s="606"/>
      <c r="M589" s="606"/>
      <c r="N589" s="606"/>
      <c r="O589" s="606"/>
      <c r="P589" s="606"/>
      <c r="Q589" s="606"/>
      <c r="R589" s="606"/>
      <c r="S589" s="606"/>
      <c r="T589" s="606"/>
      <c r="U589" s="606"/>
      <c r="V589" s="461"/>
      <c r="W589" s="461"/>
      <c r="X589" s="131"/>
      <c r="Y589" s="101"/>
      <c r="Z589" s="101"/>
      <c r="AA589" s="101"/>
      <c r="AB589" s="101"/>
      <c r="AC589" s="101"/>
      <c r="AD589" s="101"/>
      <c r="AE589" s="101"/>
      <c r="AF589" s="101"/>
      <c r="AG589" s="101"/>
      <c r="AH589" s="101"/>
      <c r="AI589" s="101"/>
      <c r="AJ589" s="101"/>
      <c r="AK589" s="101"/>
      <c r="AL589" s="101"/>
    </row>
    <row r="590">
      <c r="A590" s="101"/>
      <c r="B590" s="644"/>
      <c r="C590" s="101"/>
      <c r="D590" s="605"/>
      <c r="E590" s="645"/>
      <c r="F590" s="101"/>
      <c r="G590" s="101"/>
      <c r="H590" s="101"/>
      <c r="I590" s="606"/>
      <c r="J590" s="606"/>
      <c r="K590" s="606"/>
      <c r="L590" s="606"/>
      <c r="M590" s="606"/>
      <c r="N590" s="606"/>
      <c r="O590" s="606"/>
      <c r="P590" s="606"/>
      <c r="Q590" s="606"/>
      <c r="R590" s="606"/>
      <c r="S590" s="606"/>
      <c r="T590" s="606"/>
      <c r="U590" s="606"/>
      <c r="V590" s="461"/>
      <c r="W590" s="461"/>
      <c r="X590" s="131"/>
      <c r="Y590" s="101"/>
      <c r="Z590" s="101"/>
      <c r="AA590" s="101"/>
      <c r="AB590" s="101"/>
      <c r="AC590" s="101"/>
      <c r="AD590" s="101"/>
      <c r="AE590" s="101"/>
      <c r="AF590" s="101"/>
      <c r="AG590" s="101"/>
      <c r="AH590" s="101"/>
      <c r="AI590" s="101"/>
      <c r="AJ590" s="101"/>
      <c r="AK590" s="101"/>
      <c r="AL590" s="101"/>
    </row>
    <row r="591">
      <c r="A591" s="101"/>
      <c r="B591" s="644"/>
      <c r="C591" s="101"/>
      <c r="D591" s="605"/>
      <c r="E591" s="645"/>
      <c r="F591" s="101"/>
      <c r="G591" s="101"/>
      <c r="H591" s="101"/>
      <c r="I591" s="606"/>
      <c r="J591" s="606"/>
      <c r="K591" s="606"/>
      <c r="L591" s="606"/>
      <c r="M591" s="606"/>
      <c r="N591" s="606"/>
      <c r="O591" s="606"/>
      <c r="P591" s="606"/>
      <c r="Q591" s="606"/>
      <c r="R591" s="606"/>
      <c r="S591" s="606"/>
      <c r="T591" s="606"/>
      <c r="U591" s="606"/>
      <c r="V591" s="461"/>
      <c r="W591" s="461"/>
      <c r="X591" s="131"/>
      <c r="Y591" s="101"/>
      <c r="Z591" s="101"/>
      <c r="AA591" s="101"/>
      <c r="AB591" s="101"/>
      <c r="AC591" s="101"/>
      <c r="AD591" s="101"/>
      <c r="AE591" s="101"/>
      <c r="AF591" s="101"/>
      <c r="AG591" s="101"/>
      <c r="AH591" s="101"/>
      <c r="AI591" s="101"/>
      <c r="AJ591" s="101"/>
      <c r="AK591" s="101"/>
      <c r="AL591" s="101"/>
    </row>
    <row r="592">
      <c r="A592" s="101"/>
      <c r="B592" s="644"/>
      <c r="C592" s="101"/>
      <c r="D592" s="605"/>
      <c r="E592" s="645"/>
      <c r="F592" s="101"/>
      <c r="G592" s="101"/>
      <c r="H592" s="101"/>
      <c r="I592" s="606"/>
      <c r="J592" s="606"/>
      <c r="K592" s="606"/>
      <c r="L592" s="606"/>
      <c r="M592" s="606"/>
      <c r="N592" s="606"/>
      <c r="O592" s="606"/>
      <c r="P592" s="606"/>
      <c r="Q592" s="606"/>
      <c r="R592" s="606"/>
      <c r="S592" s="606"/>
      <c r="T592" s="606"/>
      <c r="U592" s="606"/>
      <c r="V592" s="461"/>
      <c r="W592" s="461"/>
      <c r="X592" s="131"/>
      <c r="Y592" s="101"/>
      <c r="Z592" s="101"/>
      <c r="AA592" s="101"/>
      <c r="AB592" s="101"/>
      <c r="AC592" s="101"/>
      <c r="AD592" s="101"/>
      <c r="AE592" s="101"/>
      <c r="AF592" s="101"/>
      <c r="AG592" s="101"/>
      <c r="AH592" s="101"/>
      <c r="AI592" s="101"/>
      <c r="AJ592" s="101"/>
      <c r="AK592" s="101"/>
      <c r="AL592" s="101"/>
    </row>
    <row r="593">
      <c r="A593" s="101"/>
      <c r="B593" s="644"/>
      <c r="C593" s="101"/>
      <c r="D593" s="605"/>
      <c r="E593" s="645"/>
      <c r="F593" s="101"/>
      <c r="G593" s="101"/>
      <c r="H593" s="101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461"/>
      <c r="W593" s="461"/>
      <c r="X593" s="131"/>
      <c r="Y593" s="101"/>
      <c r="Z593" s="101"/>
      <c r="AA593" s="101"/>
      <c r="AB593" s="101"/>
      <c r="AC593" s="101"/>
      <c r="AD593" s="101"/>
      <c r="AE593" s="101"/>
      <c r="AF593" s="101"/>
      <c r="AG593" s="101"/>
      <c r="AH593" s="101"/>
      <c r="AI593" s="101"/>
      <c r="AJ593" s="101"/>
      <c r="AK593" s="101"/>
      <c r="AL593" s="101"/>
    </row>
    <row r="594">
      <c r="A594" s="101"/>
      <c r="B594" s="644"/>
      <c r="C594" s="101"/>
      <c r="D594" s="605"/>
      <c r="E594" s="645"/>
      <c r="F594" s="101"/>
      <c r="G594" s="101"/>
      <c r="H594" s="101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461"/>
      <c r="W594" s="461"/>
      <c r="X594" s="131"/>
      <c r="Y594" s="101"/>
      <c r="Z594" s="101"/>
      <c r="AA594" s="101"/>
      <c r="AB594" s="101"/>
      <c r="AC594" s="101"/>
      <c r="AD594" s="101"/>
      <c r="AE594" s="101"/>
      <c r="AF594" s="101"/>
      <c r="AG594" s="101"/>
      <c r="AH594" s="101"/>
      <c r="AI594" s="101"/>
      <c r="AJ594" s="101"/>
      <c r="AK594" s="101"/>
      <c r="AL594" s="101"/>
    </row>
    <row r="595">
      <c r="A595" s="101"/>
      <c r="B595" s="644"/>
      <c r="C595" s="101"/>
      <c r="D595" s="605"/>
      <c r="E595" s="645"/>
      <c r="F595" s="101"/>
      <c r="G595" s="101"/>
      <c r="H595" s="101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461"/>
      <c r="W595" s="461"/>
      <c r="X595" s="131"/>
      <c r="Y595" s="101"/>
      <c r="Z595" s="101"/>
      <c r="AA595" s="101"/>
      <c r="AB595" s="101"/>
      <c r="AC595" s="101"/>
      <c r="AD595" s="101"/>
      <c r="AE595" s="101"/>
      <c r="AF595" s="101"/>
      <c r="AG595" s="101"/>
      <c r="AH595" s="101"/>
      <c r="AI595" s="101"/>
      <c r="AJ595" s="101"/>
      <c r="AK595" s="101"/>
      <c r="AL595" s="101"/>
    </row>
    <row r="596">
      <c r="A596" s="101"/>
      <c r="B596" s="644"/>
      <c r="C596" s="101"/>
      <c r="D596" s="605"/>
      <c r="E596" s="645"/>
      <c r="F596" s="101"/>
      <c r="G596" s="101"/>
      <c r="H596" s="101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461"/>
      <c r="W596" s="461"/>
      <c r="X596" s="131"/>
      <c r="Y596" s="101"/>
      <c r="Z596" s="101"/>
      <c r="AA596" s="101"/>
      <c r="AB596" s="101"/>
      <c r="AC596" s="101"/>
      <c r="AD596" s="101"/>
      <c r="AE596" s="101"/>
      <c r="AF596" s="101"/>
      <c r="AG596" s="101"/>
      <c r="AH596" s="101"/>
      <c r="AI596" s="101"/>
      <c r="AJ596" s="101"/>
      <c r="AK596" s="101"/>
      <c r="AL596" s="101"/>
    </row>
    <row r="597">
      <c r="A597" s="101"/>
      <c r="B597" s="644"/>
      <c r="C597" s="101"/>
      <c r="D597" s="605"/>
      <c r="E597" s="645"/>
      <c r="F597" s="101"/>
      <c r="G597" s="101"/>
      <c r="H597" s="101"/>
      <c r="I597" s="606"/>
      <c r="J597" s="606"/>
      <c r="K597" s="606"/>
      <c r="L597" s="606"/>
      <c r="M597" s="606"/>
      <c r="N597" s="606"/>
      <c r="O597" s="606"/>
      <c r="P597" s="606"/>
      <c r="Q597" s="606"/>
      <c r="R597" s="606"/>
      <c r="S597" s="606"/>
      <c r="T597" s="606"/>
      <c r="U597" s="606"/>
      <c r="V597" s="461"/>
      <c r="W597" s="461"/>
      <c r="X597" s="131"/>
      <c r="Y597" s="101"/>
      <c r="Z597" s="101"/>
      <c r="AA597" s="101"/>
      <c r="AB597" s="101"/>
      <c r="AC597" s="101"/>
      <c r="AD597" s="101"/>
      <c r="AE597" s="101"/>
      <c r="AF597" s="101"/>
      <c r="AG597" s="101"/>
      <c r="AH597" s="101"/>
      <c r="AI597" s="101"/>
      <c r="AJ597" s="101"/>
      <c r="AK597" s="101"/>
      <c r="AL597" s="101"/>
    </row>
    <row r="598">
      <c r="A598" s="101"/>
      <c r="B598" s="644"/>
      <c r="C598" s="101"/>
      <c r="D598" s="605"/>
      <c r="E598" s="645"/>
      <c r="F598" s="101"/>
      <c r="G598" s="101"/>
      <c r="H598" s="101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461"/>
      <c r="W598" s="461"/>
      <c r="X598" s="131"/>
      <c r="Y598" s="101"/>
      <c r="Z598" s="101"/>
      <c r="AA598" s="101"/>
      <c r="AB598" s="101"/>
      <c r="AC598" s="101"/>
      <c r="AD598" s="101"/>
      <c r="AE598" s="101"/>
      <c r="AF598" s="101"/>
      <c r="AG598" s="101"/>
      <c r="AH598" s="101"/>
      <c r="AI598" s="101"/>
      <c r="AJ598" s="101"/>
      <c r="AK598" s="101"/>
      <c r="AL598" s="101"/>
    </row>
    <row r="599">
      <c r="A599" s="101"/>
      <c r="B599" s="644"/>
      <c r="C599" s="101"/>
      <c r="D599" s="605"/>
      <c r="E599" s="645"/>
      <c r="F599" s="101"/>
      <c r="G599" s="101"/>
      <c r="H599" s="101"/>
      <c r="I599" s="606"/>
      <c r="J599" s="606"/>
      <c r="K599" s="606"/>
      <c r="L599" s="606"/>
      <c r="M599" s="606"/>
      <c r="N599" s="606"/>
      <c r="O599" s="606"/>
      <c r="P599" s="606"/>
      <c r="Q599" s="606"/>
      <c r="R599" s="606"/>
      <c r="S599" s="606"/>
      <c r="T599" s="606"/>
      <c r="U599" s="606"/>
      <c r="V599" s="461"/>
      <c r="W599" s="461"/>
      <c r="X599" s="131"/>
      <c r="Y599" s="101"/>
      <c r="Z599" s="101"/>
      <c r="AA599" s="101"/>
      <c r="AB599" s="101"/>
      <c r="AC599" s="101"/>
      <c r="AD599" s="101"/>
      <c r="AE599" s="101"/>
      <c r="AF599" s="101"/>
      <c r="AG599" s="101"/>
      <c r="AH599" s="101"/>
      <c r="AI599" s="101"/>
      <c r="AJ599" s="101"/>
      <c r="AK599" s="101"/>
      <c r="AL599" s="101"/>
    </row>
    <row r="600">
      <c r="A600" s="101"/>
      <c r="B600" s="644"/>
      <c r="C600" s="101"/>
      <c r="D600" s="605"/>
      <c r="E600" s="645"/>
      <c r="F600" s="101"/>
      <c r="G600" s="101"/>
      <c r="H600" s="101"/>
      <c r="I600" s="606"/>
      <c r="J600" s="606"/>
      <c r="K600" s="606"/>
      <c r="L600" s="606"/>
      <c r="M600" s="606"/>
      <c r="N600" s="606"/>
      <c r="O600" s="606"/>
      <c r="P600" s="606"/>
      <c r="Q600" s="606"/>
      <c r="R600" s="606"/>
      <c r="S600" s="606"/>
      <c r="T600" s="606"/>
      <c r="U600" s="606"/>
      <c r="V600" s="461"/>
      <c r="W600" s="461"/>
      <c r="X600" s="131"/>
      <c r="Y600" s="101"/>
      <c r="Z600" s="101"/>
      <c r="AA600" s="101"/>
      <c r="AB600" s="101"/>
      <c r="AC600" s="101"/>
      <c r="AD600" s="101"/>
      <c r="AE600" s="101"/>
      <c r="AF600" s="101"/>
      <c r="AG600" s="101"/>
      <c r="AH600" s="101"/>
      <c r="AI600" s="101"/>
      <c r="AJ600" s="101"/>
      <c r="AK600" s="101"/>
      <c r="AL600" s="101"/>
    </row>
    <row r="601">
      <c r="A601" s="101"/>
      <c r="B601" s="644"/>
      <c r="C601" s="101"/>
      <c r="D601" s="605"/>
      <c r="E601" s="645"/>
      <c r="F601" s="101"/>
      <c r="G601" s="101"/>
      <c r="H601" s="101"/>
      <c r="I601" s="606"/>
      <c r="J601" s="606"/>
      <c r="K601" s="606"/>
      <c r="L601" s="606"/>
      <c r="M601" s="606"/>
      <c r="N601" s="606"/>
      <c r="O601" s="606"/>
      <c r="P601" s="606"/>
      <c r="Q601" s="606"/>
      <c r="R601" s="606"/>
      <c r="S601" s="606"/>
      <c r="T601" s="606"/>
      <c r="U601" s="606"/>
      <c r="V601" s="461"/>
      <c r="W601" s="461"/>
      <c r="X601" s="131"/>
      <c r="Y601" s="101"/>
      <c r="Z601" s="101"/>
      <c r="AA601" s="101"/>
      <c r="AB601" s="101"/>
      <c r="AC601" s="101"/>
      <c r="AD601" s="101"/>
      <c r="AE601" s="101"/>
      <c r="AF601" s="101"/>
      <c r="AG601" s="101"/>
      <c r="AH601" s="101"/>
      <c r="AI601" s="101"/>
      <c r="AJ601" s="101"/>
      <c r="AK601" s="101"/>
      <c r="AL601" s="101"/>
    </row>
    <row r="602">
      <c r="A602" s="101"/>
      <c r="B602" s="644"/>
      <c r="C602" s="101"/>
      <c r="D602" s="605"/>
      <c r="E602" s="645"/>
      <c r="F602" s="101"/>
      <c r="G602" s="101"/>
      <c r="H602" s="101"/>
      <c r="I602" s="606"/>
      <c r="J602" s="606"/>
      <c r="K602" s="606"/>
      <c r="L602" s="606"/>
      <c r="M602" s="606"/>
      <c r="N602" s="606"/>
      <c r="O602" s="606"/>
      <c r="P602" s="606"/>
      <c r="Q602" s="606"/>
      <c r="R602" s="606"/>
      <c r="S602" s="606"/>
      <c r="T602" s="606"/>
      <c r="U602" s="606"/>
      <c r="V602" s="461"/>
      <c r="W602" s="461"/>
      <c r="X602" s="131"/>
      <c r="Y602" s="101"/>
      <c r="Z602" s="101"/>
      <c r="AA602" s="101"/>
      <c r="AB602" s="101"/>
      <c r="AC602" s="101"/>
      <c r="AD602" s="101"/>
      <c r="AE602" s="101"/>
      <c r="AF602" s="101"/>
      <c r="AG602" s="101"/>
      <c r="AH602" s="101"/>
      <c r="AI602" s="101"/>
      <c r="AJ602" s="101"/>
      <c r="AK602" s="101"/>
      <c r="AL602" s="101"/>
    </row>
    <row r="603">
      <c r="A603" s="101"/>
      <c r="B603" s="644"/>
      <c r="C603" s="101"/>
      <c r="D603" s="605"/>
      <c r="E603" s="645"/>
      <c r="F603" s="101"/>
      <c r="G603" s="101"/>
      <c r="H603" s="101"/>
      <c r="I603" s="606"/>
      <c r="J603" s="606"/>
      <c r="K603" s="606"/>
      <c r="L603" s="606"/>
      <c r="M603" s="606"/>
      <c r="N603" s="606"/>
      <c r="O603" s="606"/>
      <c r="P603" s="606"/>
      <c r="Q603" s="606"/>
      <c r="R603" s="606"/>
      <c r="S603" s="606"/>
      <c r="T603" s="606"/>
      <c r="U603" s="606"/>
      <c r="V603" s="461"/>
      <c r="W603" s="461"/>
      <c r="X603" s="131"/>
      <c r="Y603" s="101"/>
      <c r="Z603" s="101"/>
      <c r="AA603" s="101"/>
      <c r="AB603" s="101"/>
      <c r="AC603" s="101"/>
      <c r="AD603" s="101"/>
      <c r="AE603" s="101"/>
      <c r="AF603" s="101"/>
      <c r="AG603" s="101"/>
      <c r="AH603" s="101"/>
      <c r="AI603" s="101"/>
      <c r="AJ603" s="101"/>
      <c r="AK603" s="101"/>
      <c r="AL603" s="101"/>
    </row>
    <row r="604">
      <c r="A604" s="101"/>
      <c r="B604" s="644"/>
      <c r="C604" s="101"/>
      <c r="D604" s="605"/>
      <c r="E604" s="645"/>
      <c r="F604" s="101"/>
      <c r="G604" s="101"/>
      <c r="H604" s="101"/>
      <c r="I604" s="606"/>
      <c r="J604" s="606"/>
      <c r="K604" s="606"/>
      <c r="L604" s="606"/>
      <c r="M604" s="606"/>
      <c r="N604" s="606"/>
      <c r="O604" s="606"/>
      <c r="P604" s="606"/>
      <c r="Q604" s="606"/>
      <c r="R604" s="606"/>
      <c r="S604" s="606"/>
      <c r="T604" s="606"/>
      <c r="U604" s="606"/>
      <c r="V604" s="461"/>
      <c r="W604" s="461"/>
      <c r="X604" s="131"/>
      <c r="Y604" s="101"/>
      <c r="Z604" s="101"/>
      <c r="AA604" s="101"/>
      <c r="AB604" s="101"/>
      <c r="AC604" s="101"/>
      <c r="AD604" s="101"/>
      <c r="AE604" s="101"/>
      <c r="AF604" s="101"/>
      <c r="AG604" s="101"/>
      <c r="AH604" s="101"/>
      <c r="AI604" s="101"/>
      <c r="AJ604" s="101"/>
      <c r="AK604" s="101"/>
      <c r="AL604" s="101"/>
    </row>
    <row r="605">
      <c r="A605" s="101"/>
      <c r="B605" s="644"/>
      <c r="C605" s="101"/>
      <c r="D605" s="605"/>
      <c r="E605" s="645"/>
      <c r="F605" s="101"/>
      <c r="G605" s="101"/>
      <c r="H605" s="101"/>
      <c r="I605" s="606"/>
      <c r="J605" s="606"/>
      <c r="K605" s="606"/>
      <c r="L605" s="606"/>
      <c r="M605" s="606"/>
      <c r="N605" s="606"/>
      <c r="O605" s="606"/>
      <c r="P605" s="606"/>
      <c r="Q605" s="606"/>
      <c r="R605" s="606"/>
      <c r="S605" s="606"/>
      <c r="T605" s="606"/>
      <c r="U605" s="606"/>
      <c r="V605" s="461"/>
      <c r="W605" s="461"/>
      <c r="X605" s="131"/>
      <c r="Y605" s="101"/>
      <c r="Z605" s="101"/>
      <c r="AA605" s="101"/>
      <c r="AB605" s="101"/>
      <c r="AC605" s="101"/>
      <c r="AD605" s="101"/>
      <c r="AE605" s="101"/>
      <c r="AF605" s="101"/>
      <c r="AG605" s="101"/>
      <c r="AH605" s="101"/>
      <c r="AI605" s="101"/>
      <c r="AJ605" s="101"/>
      <c r="AK605" s="101"/>
      <c r="AL605" s="101"/>
    </row>
    <row r="606">
      <c r="A606" s="101"/>
      <c r="B606" s="644"/>
      <c r="C606" s="101"/>
      <c r="D606" s="605"/>
      <c r="E606" s="645"/>
      <c r="F606" s="101"/>
      <c r="G606" s="101"/>
      <c r="H606" s="101"/>
      <c r="I606" s="606"/>
      <c r="J606" s="606"/>
      <c r="K606" s="606"/>
      <c r="L606" s="606"/>
      <c r="M606" s="606"/>
      <c r="N606" s="606"/>
      <c r="O606" s="606"/>
      <c r="P606" s="606"/>
      <c r="Q606" s="606"/>
      <c r="R606" s="606"/>
      <c r="S606" s="606"/>
      <c r="T606" s="606"/>
      <c r="U606" s="606"/>
      <c r="V606" s="461"/>
      <c r="W606" s="461"/>
      <c r="X606" s="131"/>
      <c r="Y606" s="101"/>
      <c r="Z606" s="101"/>
      <c r="AA606" s="101"/>
      <c r="AB606" s="101"/>
      <c r="AC606" s="101"/>
      <c r="AD606" s="101"/>
      <c r="AE606" s="101"/>
      <c r="AF606" s="101"/>
      <c r="AG606" s="101"/>
      <c r="AH606" s="101"/>
      <c r="AI606" s="101"/>
      <c r="AJ606" s="101"/>
      <c r="AK606" s="101"/>
      <c r="AL606" s="101"/>
    </row>
    <row r="607">
      <c r="A607" s="101"/>
      <c r="B607" s="644"/>
      <c r="C607" s="101"/>
      <c r="D607" s="605"/>
      <c r="E607" s="645"/>
      <c r="F607" s="101"/>
      <c r="G607" s="101"/>
      <c r="H607" s="101"/>
      <c r="I607" s="606"/>
      <c r="J607" s="606"/>
      <c r="K607" s="606"/>
      <c r="L607" s="606"/>
      <c r="M607" s="606"/>
      <c r="N607" s="606"/>
      <c r="O607" s="606"/>
      <c r="P607" s="606"/>
      <c r="Q607" s="606"/>
      <c r="R607" s="606"/>
      <c r="S607" s="606"/>
      <c r="T607" s="606"/>
      <c r="U607" s="606"/>
      <c r="V607" s="461"/>
      <c r="W607" s="461"/>
      <c r="X607" s="131"/>
      <c r="Y607" s="101"/>
      <c r="Z607" s="101"/>
      <c r="AA607" s="101"/>
      <c r="AB607" s="101"/>
      <c r="AC607" s="101"/>
      <c r="AD607" s="101"/>
      <c r="AE607" s="101"/>
      <c r="AF607" s="101"/>
      <c r="AG607" s="101"/>
      <c r="AH607" s="101"/>
      <c r="AI607" s="101"/>
      <c r="AJ607" s="101"/>
      <c r="AK607" s="101"/>
      <c r="AL607" s="101"/>
    </row>
    <row r="608">
      <c r="A608" s="101"/>
      <c r="B608" s="644"/>
      <c r="C608" s="101"/>
      <c r="D608" s="605"/>
      <c r="E608" s="645"/>
      <c r="F608" s="101"/>
      <c r="G608" s="101"/>
      <c r="H608" s="101"/>
      <c r="I608" s="606"/>
      <c r="J608" s="606"/>
      <c r="K608" s="606"/>
      <c r="L608" s="606"/>
      <c r="M608" s="606"/>
      <c r="N608" s="606"/>
      <c r="O608" s="606"/>
      <c r="P608" s="606"/>
      <c r="Q608" s="606"/>
      <c r="R608" s="606"/>
      <c r="S608" s="606"/>
      <c r="T608" s="606"/>
      <c r="U608" s="606"/>
      <c r="V608" s="461"/>
      <c r="W608" s="461"/>
      <c r="X608" s="131"/>
      <c r="Y608" s="101"/>
      <c r="Z608" s="101"/>
      <c r="AA608" s="101"/>
      <c r="AB608" s="101"/>
      <c r="AC608" s="101"/>
      <c r="AD608" s="101"/>
      <c r="AE608" s="101"/>
      <c r="AF608" s="101"/>
      <c r="AG608" s="101"/>
      <c r="AH608" s="101"/>
      <c r="AI608" s="101"/>
      <c r="AJ608" s="101"/>
      <c r="AK608" s="101"/>
      <c r="AL608" s="101"/>
    </row>
    <row r="609">
      <c r="A609" s="101"/>
      <c r="B609" s="644"/>
      <c r="C609" s="101"/>
      <c r="D609" s="605"/>
      <c r="E609" s="645"/>
      <c r="F609" s="101"/>
      <c r="G609" s="101"/>
      <c r="H609" s="101"/>
      <c r="I609" s="606"/>
      <c r="J609" s="606"/>
      <c r="K609" s="606"/>
      <c r="L609" s="606"/>
      <c r="M609" s="606"/>
      <c r="N609" s="606"/>
      <c r="O609" s="606"/>
      <c r="P609" s="606"/>
      <c r="Q609" s="606"/>
      <c r="R609" s="606"/>
      <c r="S609" s="606"/>
      <c r="T609" s="606"/>
      <c r="U609" s="606"/>
      <c r="V609" s="461"/>
      <c r="W609" s="461"/>
      <c r="X609" s="131"/>
      <c r="Y609" s="101"/>
      <c r="Z609" s="101"/>
      <c r="AA609" s="101"/>
      <c r="AB609" s="101"/>
      <c r="AC609" s="101"/>
      <c r="AD609" s="101"/>
      <c r="AE609" s="101"/>
      <c r="AF609" s="101"/>
      <c r="AG609" s="101"/>
      <c r="AH609" s="101"/>
      <c r="AI609" s="101"/>
      <c r="AJ609" s="101"/>
      <c r="AK609" s="101"/>
      <c r="AL609" s="101"/>
    </row>
    <row r="610">
      <c r="A610" s="101"/>
      <c r="B610" s="644"/>
      <c r="C610" s="101"/>
      <c r="D610" s="605"/>
      <c r="E610" s="645"/>
      <c r="F610" s="101"/>
      <c r="G610" s="101"/>
      <c r="H610" s="101"/>
      <c r="I610" s="606"/>
      <c r="J610" s="606"/>
      <c r="K610" s="606"/>
      <c r="L610" s="606"/>
      <c r="M610" s="606"/>
      <c r="N610" s="606"/>
      <c r="O610" s="606"/>
      <c r="P610" s="606"/>
      <c r="Q610" s="606"/>
      <c r="R610" s="606"/>
      <c r="S610" s="606"/>
      <c r="T610" s="606"/>
      <c r="U610" s="606"/>
      <c r="V610" s="461"/>
      <c r="W610" s="461"/>
      <c r="X610" s="131"/>
      <c r="Y610" s="101"/>
      <c r="Z610" s="101"/>
      <c r="AA610" s="101"/>
      <c r="AB610" s="101"/>
      <c r="AC610" s="101"/>
      <c r="AD610" s="101"/>
      <c r="AE610" s="101"/>
      <c r="AF610" s="101"/>
      <c r="AG610" s="101"/>
      <c r="AH610" s="101"/>
      <c r="AI610" s="101"/>
      <c r="AJ610" s="101"/>
      <c r="AK610" s="101"/>
      <c r="AL610" s="101"/>
    </row>
    <row r="611">
      <c r="A611" s="101"/>
      <c r="B611" s="644"/>
      <c r="C611" s="101"/>
      <c r="D611" s="605"/>
      <c r="E611" s="645"/>
      <c r="F611" s="101"/>
      <c r="G611" s="101"/>
      <c r="H611" s="101"/>
      <c r="I611" s="606"/>
      <c r="J611" s="606"/>
      <c r="K611" s="606"/>
      <c r="L611" s="606"/>
      <c r="M611" s="606"/>
      <c r="N611" s="606"/>
      <c r="O611" s="606"/>
      <c r="P611" s="606"/>
      <c r="Q611" s="606"/>
      <c r="R611" s="606"/>
      <c r="S611" s="606"/>
      <c r="T611" s="606"/>
      <c r="U611" s="606"/>
      <c r="V611" s="461"/>
      <c r="W611" s="461"/>
      <c r="X611" s="131"/>
      <c r="Y611" s="101"/>
      <c r="Z611" s="101"/>
      <c r="AA611" s="101"/>
      <c r="AB611" s="101"/>
      <c r="AC611" s="101"/>
      <c r="AD611" s="101"/>
      <c r="AE611" s="101"/>
      <c r="AF611" s="101"/>
      <c r="AG611" s="101"/>
      <c r="AH611" s="101"/>
      <c r="AI611" s="101"/>
      <c r="AJ611" s="101"/>
      <c r="AK611" s="101"/>
      <c r="AL611" s="101"/>
    </row>
    <row r="612">
      <c r="A612" s="101"/>
      <c r="B612" s="644"/>
      <c r="C612" s="101"/>
      <c r="D612" s="605"/>
      <c r="E612" s="645"/>
      <c r="F612" s="101"/>
      <c r="G612" s="101"/>
      <c r="H612" s="101"/>
      <c r="I612" s="606"/>
      <c r="J612" s="606"/>
      <c r="K612" s="606"/>
      <c r="L612" s="606"/>
      <c r="M612" s="606"/>
      <c r="N612" s="606"/>
      <c r="O612" s="606"/>
      <c r="P612" s="606"/>
      <c r="Q612" s="606"/>
      <c r="R612" s="606"/>
      <c r="S612" s="606"/>
      <c r="T612" s="606"/>
      <c r="U612" s="606"/>
      <c r="V612" s="461"/>
      <c r="W612" s="461"/>
      <c r="X612" s="131"/>
      <c r="Y612" s="101"/>
      <c r="Z612" s="101"/>
      <c r="AA612" s="101"/>
      <c r="AB612" s="101"/>
      <c r="AC612" s="101"/>
      <c r="AD612" s="101"/>
      <c r="AE612" s="101"/>
      <c r="AF612" s="101"/>
      <c r="AG612" s="101"/>
      <c r="AH612" s="101"/>
      <c r="AI612" s="101"/>
      <c r="AJ612" s="101"/>
      <c r="AK612" s="101"/>
      <c r="AL612" s="101"/>
    </row>
    <row r="613">
      <c r="A613" s="101"/>
      <c r="B613" s="644"/>
      <c r="C613" s="101"/>
      <c r="D613" s="605"/>
      <c r="E613" s="645"/>
      <c r="F613" s="101"/>
      <c r="G613" s="101"/>
      <c r="H613" s="101"/>
      <c r="I613" s="606"/>
      <c r="J613" s="606"/>
      <c r="K613" s="606"/>
      <c r="L613" s="606"/>
      <c r="M613" s="606"/>
      <c r="N613" s="606"/>
      <c r="O613" s="606"/>
      <c r="P613" s="606"/>
      <c r="Q613" s="606"/>
      <c r="R613" s="606"/>
      <c r="S613" s="606"/>
      <c r="T613" s="606"/>
      <c r="U613" s="606"/>
      <c r="V613" s="461"/>
      <c r="W613" s="461"/>
      <c r="X613" s="131"/>
      <c r="Y613" s="101"/>
      <c r="Z613" s="101"/>
      <c r="AA613" s="101"/>
      <c r="AB613" s="101"/>
      <c r="AC613" s="101"/>
      <c r="AD613" s="101"/>
      <c r="AE613" s="101"/>
      <c r="AF613" s="101"/>
      <c r="AG613" s="101"/>
      <c r="AH613" s="101"/>
      <c r="AI613" s="101"/>
      <c r="AJ613" s="101"/>
      <c r="AK613" s="101"/>
      <c r="AL613" s="101"/>
    </row>
    <row r="614">
      <c r="A614" s="101"/>
      <c r="B614" s="644"/>
      <c r="C614" s="101"/>
      <c r="D614" s="605"/>
      <c r="E614" s="645"/>
      <c r="F614" s="101"/>
      <c r="G614" s="101"/>
      <c r="H614" s="101"/>
      <c r="I614" s="606"/>
      <c r="J614" s="606"/>
      <c r="K614" s="606"/>
      <c r="L614" s="606"/>
      <c r="M614" s="606"/>
      <c r="N614" s="606"/>
      <c r="O614" s="606"/>
      <c r="P614" s="606"/>
      <c r="Q614" s="606"/>
      <c r="R614" s="606"/>
      <c r="S614" s="606"/>
      <c r="T614" s="606"/>
      <c r="U614" s="606"/>
      <c r="V614" s="461"/>
      <c r="W614" s="461"/>
      <c r="X614" s="131"/>
      <c r="Y614" s="101"/>
      <c r="Z614" s="101"/>
      <c r="AA614" s="101"/>
      <c r="AB614" s="101"/>
      <c r="AC614" s="101"/>
      <c r="AD614" s="101"/>
      <c r="AE614" s="101"/>
      <c r="AF614" s="101"/>
      <c r="AG614" s="101"/>
      <c r="AH614" s="101"/>
      <c r="AI614" s="101"/>
      <c r="AJ614" s="101"/>
      <c r="AK614" s="101"/>
      <c r="AL614" s="101"/>
    </row>
    <row r="615">
      <c r="A615" s="101"/>
      <c r="B615" s="644"/>
      <c r="C615" s="101"/>
      <c r="D615" s="605"/>
      <c r="E615" s="645"/>
      <c r="F615" s="101"/>
      <c r="G615" s="101"/>
      <c r="H615" s="101"/>
      <c r="I615" s="606"/>
      <c r="J615" s="606"/>
      <c r="K615" s="606"/>
      <c r="L615" s="606"/>
      <c r="M615" s="606"/>
      <c r="N615" s="606"/>
      <c r="O615" s="606"/>
      <c r="P615" s="606"/>
      <c r="Q615" s="606"/>
      <c r="R615" s="606"/>
      <c r="S615" s="606"/>
      <c r="T615" s="606"/>
      <c r="U615" s="606"/>
      <c r="V615" s="461"/>
      <c r="W615" s="461"/>
      <c r="X615" s="131"/>
      <c r="Y615" s="101"/>
      <c r="Z615" s="101"/>
      <c r="AA615" s="101"/>
      <c r="AB615" s="101"/>
      <c r="AC615" s="101"/>
      <c r="AD615" s="101"/>
      <c r="AE615" s="101"/>
      <c r="AF615" s="101"/>
      <c r="AG615" s="101"/>
      <c r="AH615" s="101"/>
      <c r="AI615" s="101"/>
      <c r="AJ615" s="101"/>
      <c r="AK615" s="101"/>
      <c r="AL615" s="101"/>
    </row>
    <row r="616">
      <c r="A616" s="101"/>
      <c r="B616" s="644"/>
      <c r="C616" s="101"/>
      <c r="D616" s="605"/>
      <c r="E616" s="645"/>
      <c r="F616" s="101"/>
      <c r="G616" s="101"/>
      <c r="H616" s="101"/>
      <c r="I616" s="606"/>
      <c r="J616" s="606"/>
      <c r="K616" s="606"/>
      <c r="L616" s="606"/>
      <c r="M616" s="606"/>
      <c r="N616" s="606"/>
      <c r="O616" s="606"/>
      <c r="P616" s="606"/>
      <c r="Q616" s="606"/>
      <c r="R616" s="606"/>
      <c r="S616" s="606"/>
      <c r="T616" s="606"/>
      <c r="U616" s="606"/>
      <c r="V616" s="461"/>
      <c r="W616" s="461"/>
      <c r="X616" s="131"/>
      <c r="Y616" s="101"/>
      <c r="Z616" s="101"/>
      <c r="AA616" s="101"/>
      <c r="AB616" s="101"/>
      <c r="AC616" s="101"/>
      <c r="AD616" s="101"/>
      <c r="AE616" s="101"/>
      <c r="AF616" s="101"/>
      <c r="AG616" s="101"/>
      <c r="AH616" s="101"/>
      <c r="AI616" s="101"/>
      <c r="AJ616" s="101"/>
      <c r="AK616" s="101"/>
      <c r="AL616" s="101"/>
    </row>
    <row r="617">
      <c r="A617" s="101"/>
      <c r="B617" s="644"/>
      <c r="C617" s="101"/>
      <c r="D617" s="605"/>
      <c r="E617" s="645"/>
      <c r="F617" s="101"/>
      <c r="G617" s="101"/>
      <c r="H617" s="101"/>
      <c r="I617" s="606"/>
      <c r="J617" s="606"/>
      <c r="K617" s="606"/>
      <c r="L617" s="606"/>
      <c r="M617" s="606"/>
      <c r="N617" s="606"/>
      <c r="O617" s="606"/>
      <c r="P617" s="606"/>
      <c r="Q617" s="606"/>
      <c r="R617" s="606"/>
      <c r="S617" s="606"/>
      <c r="T617" s="606"/>
      <c r="U617" s="606"/>
      <c r="V617" s="461"/>
      <c r="W617" s="461"/>
      <c r="X617" s="131"/>
      <c r="Y617" s="101"/>
      <c r="Z617" s="101"/>
      <c r="AA617" s="101"/>
      <c r="AB617" s="101"/>
      <c r="AC617" s="101"/>
      <c r="AD617" s="101"/>
      <c r="AE617" s="101"/>
      <c r="AF617" s="101"/>
      <c r="AG617" s="101"/>
      <c r="AH617" s="101"/>
      <c r="AI617" s="101"/>
      <c r="AJ617" s="101"/>
      <c r="AK617" s="101"/>
      <c r="AL617" s="101"/>
    </row>
    <row r="618">
      <c r="A618" s="101"/>
      <c r="B618" s="644"/>
      <c r="C618" s="101"/>
      <c r="D618" s="605"/>
      <c r="E618" s="645"/>
      <c r="F618" s="101"/>
      <c r="G618" s="101"/>
      <c r="H618" s="101"/>
      <c r="I618" s="606"/>
      <c r="J618" s="606"/>
      <c r="K618" s="606"/>
      <c r="L618" s="606"/>
      <c r="M618" s="606"/>
      <c r="N618" s="606"/>
      <c r="O618" s="606"/>
      <c r="P618" s="606"/>
      <c r="Q618" s="606"/>
      <c r="R618" s="606"/>
      <c r="S618" s="606"/>
      <c r="T618" s="606"/>
      <c r="U618" s="606"/>
      <c r="V618" s="461"/>
      <c r="W618" s="461"/>
      <c r="X618" s="131"/>
      <c r="Y618" s="101"/>
      <c r="Z618" s="101"/>
      <c r="AA618" s="101"/>
      <c r="AB618" s="101"/>
      <c r="AC618" s="101"/>
      <c r="AD618" s="101"/>
      <c r="AE618" s="101"/>
      <c r="AF618" s="101"/>
      <c r="AG618" s="101"/>
      <c r="AH618" s="101"/>
      <c r="AI618" s="101"/>
      <c r="AJ618" s="101"/>
      <c r="AK618" s="101"/>
      <c r="AL618" s="101"/>
    </row>
    <row r="619">
      <c r="A619" s="101"/>
      <c r="B619" s="644"/>
      <c r="C619" s="101"/>
      <c r="D619" s="605"/>
      <c r="E619" s="645"/>
      <c r="F619" s="101"/>
      <c r="G619" s="101"/>
      <c r="H619" s="101"/>
      <c r="I619" s="606"/>
      <c r="J619" s="606"/>
      <c r="K619" s="606"/>
      <c r="L619" s="606"/>
      <c r="M619" s="606"/>
      <c r="N619" s="606"/>
      <c r="O619" s="606"/>
      <c r="P619" s="606"/>
      <c r="Q619" s="606"/>
      <c r="R619" s="606"/>
      <c r="S619" s="606"/>
      <c r="T619" s="606"/>
      <c r="U619" s="606"/>
      <c r="V619" s="461"/>
      <c r="W619" s="461"/>
      <c r="X619" s="131"/>
      <c r="Y619" s="101"/>
      <c r="Z619" s="101"/>
      <c r="AA619" s="101"/>
      <c r="AB619" s="101"/>
      <c r="AC619" s="101"/>
      <c r="AD619" s="101"/>
      <c r="AE619" s="101"/>
      <c r="AF619" s="101"/>
      <c r="AG619" s="101"/>
      <c r="AH619" s="101"/>
      <c r="AI619" s="101"/>
      <c r="AJ619" s="101"/>
      <c r="AK619" s="101"/>
      <c r="AL619" s="101"/>
    </row>
    <row r="620">
      <c r="A620" s="101"/>
      <c r="B620" s="644"/>
      <c r="C620" s="101"/>
      <c r="D620" s="605"/>
      <c r="E620" s="645"/>
      <c r="F620" s="101"/>
      <c r="G620" s="101"/>
      <c r="H620" s="101"/>
      <c r="I620" s="606"/>
      <c r="J620" s="606"/>
      <c r="K620" s="606"/>
      <c r="L620" s="606"/>
      <c r="M620" s="606"/>
      <c r="N620" s="606"/>
      <c r="O620" s="606"/>
      <c r="P620" s="606"/>
      <c r="Q620" s="606"/>
      <c r="R620" s="606"/>
      <c r="S620" s="606"/>
      <c r="T620" s="606"/>
      <c r="U620" s="606"/>
      <c r="V620" s="461"/>
      <c r="W620" s="461"/>
      <c r="X620" s="131"/>
      <c r="Y620" s="101"/>
      <c r="Z620" s="101"/>
      <c r="AA620" s="101"/>
      <c r="AB620" s="101"/>
      <c r="AC620" s="101"/>
      <c r="AD620" s="101"/>
      <c r="AE620" s="101"/>
      <c r="AF620" s="101"/>
      <c r="AG620" s="101"/>
      <c r="AH620" s="101"/>
      <c r="AI620" s="101"/>
      <c r="AJ620" s="101"/>
      <c r="AK620" s="101"/>
      <c r="AL620" s="101"/>
    </row>
    <row r="621">
      <c r="A621" s="101"/>
      <c r="B621" s="644"/>
      <c r="C621" s="101"/>
      <c r="D621" s="605"/>
      <c r="E621" s="645"/>
      <c r="F621" s="101"/>
      <c r="G621" s="101"/>
      <c r="H621" s="101"/>
      <c r="I621" s="606"/>
      <c r="J621" s="606"/>
      <c r="K621" s="606"/>
      <c r="L621" s="606"/>
      <c r="M621" s="606"/>
      <c r="N621" s="606"/>
      <c r="O621" s="606"/>
      <c r="P621" s="606"/>
      <c r="Q621" s="606"/>
      <c r="R621" s="606"/>
      <c r="S621" s="606"/>
      <c r="T621" s="606"/>
      <c r="U621" s="606"/>
      <c r="V621" s="461"/>
      <c r="W621" s="461"/>
      <c r="X621" s="131"/>
      <c r="Y621" s="101"/>
      <c r="Z621" s="101"/>
      <c r="AA621" s="101"/>
      <c r="AB621" s="101"/>
      <c r="AC621" s="101"/>
      <c r="AD621" s="101"/>
      <c r="AE621" s="101"/>
      <c r="AF621" s="101"/>
      <c r="AG621" s="101"/>
      <c r="AH621" s="101"/>
      <c r="AI621" s="101"/>
      <c r="AJ621" s="101"/>
      <c r="AK621" s="101"/>
      <c r="AL621" s="101"/>
    </row>
    <row r="622">
      <c r="A622" s="101"/>
      <c r="B622" s="644"/>
      <c r="C622" s="101"/>
      <c r="D622" s="605"/>
      <c r="E622" s="645"/>
      <c r="F622" s="101"/>
      <c r="G622" s="101"/>
      <c r="H622" s="101"/>
      <c r="I622" s="606"/>
      <c r="J622" s="606"/>
      <c r="K622" s="606"/>
      <c r="L622" s="606"/>
      <c r="M622" s="606"/>
      <c r="N622" s="606"/>
      <c r="O622" s="606"/>
      <c r="P622" s="606"/>
      <c r="Q622" s="606"/>
      <c r="R622" s="606"/>
      <c r="S622" s="606"/>
      <c r="T622" s="606"/>
      <c r="U622" s="606"/>
      <c r="V622" s="461"/>
      <c r="W622" s="461"/>
      <c r="X622" s="131"/>
      <c r="Y622" s="101"/>
      <c r="Z622" s="101"/>
      <c r="AA622" s="101"/>
      <c r="AB622" s="101"/>
      <c r="AC622" s="101"/>
      <c r="AD622" s="101"/>
      <c r="AE622" s="101"/>
      <c r="AF622" s="101"/>
      <c r="AG622" s="101"/>
      <c r="AH622" s="101"/>
      <c r="AI622" s="101"/>
      <c r="AJ622" s="101"/>
      <c r="AK622" s="101"/>
      <c r="AL622" s="101"/>
    </row>
    <row r="623">
      <c r="A623" s="101"/>
      <c r="B623" s="644"/>
      <c r="C623" s="101"/>
      <c r="D623" s="605"/>
      <c r="E623" s="645"/>
      <c r="F623" s="101"/>
      <c r="G623" s="101"/>
      <c r="H623" s="101"/>
      <c r="I623" s="606"/>
      <c r="J623" s="606"/>
      <c r="K623" s="606"/>
      <c r="L623" s="606"/>
      <c r="M623" s="606"/>
      <c r="N623" s="606"/>
      <c r="O623" s="606"/>
      <c r="P623" s="606"/>
      <c r="Q623" s="606"/>
      <c r="R623" s="606"/>
      <c r="S623" s="606"/>
      <c r="T623" s="606"/>
      <c r="U623" s="606"/>
      <c r="V623" s="461"/>
      <c r="W623" s="461"/>
      <c r="X623" s="131"/>
      <c r="Y623" s="101"/>
      <c r="Z623" s="101"/>
      <c r="AA623" s="101"/>
      <c r="AB623" s="101"/>
      <c r="AC623" s="101"/>
      <c r="AD623" s="101"/>
      <c r="AE623" s="101"/>
      <c r="AF623" s="101"/>
      <c r="AG623" s="101"/>
      <c r="AH623" s="101"/>
      <c r="AI623" s="101"/>
      <c r="AJ623" s="101"/>
      <c r="AK623" s="101"/>
      <c r="AL623" s="101"/>
    </row>
    <row r="624">
      <c r="A624" s="101"/>
      <c r="B624" s="644"/>
      <c r="C624" s="101"/>
      <c r="D624" s="605"/>
      <c r="E624" s="645"/>
      <c r="F624" s="101"/>
      <c r="G624" s="101"/>
      <c r="H624" s="101"/>
      <c r="I624" s="606"/>
      <c r="J624" s="606"/>
      <c r="K624" s="606"/>
      <c r="L624" s="606"/>
      <c r="M624" s="606"/>
      <c r="N624" s="606"/>
      <c r="O624" s="606"/>
      <c r="P624" s="606"/>
      <c r="Q624" s="606"/>
      <c r="R624" s="606"/>
      <c r="S624" s="606"/>
      <c r="T624" s="606"/>
      <c r="U624" s="606"/>
      <c r="V624" s="461"/>
      <c r="W624" s="461"/>
      <c r="X624" s="131"/>
      <c r="Y624" s="101"/>
      <c r="Z624" s="101"/>
      <c r="AA624" s="101"/>
      <c r="AB624" s="101"/>
      <c r="AC624" s="101"/>
      <c r="AD624" s="101"/>
      <c r="AE624" s="101"/>
      <c r="AF624" s="101"/>
      <c r="AG624" s="101"/>
      <c r="AH624" s="101"/>
      <c r="AI624" s="101"/>
      <c r="AJ624" s="101"/>
      <c r="AK624" s="101"/>
      <c r="AL624" s="101"/>
    </row>
    <row r="625">
      <c r="A625" s="101"/>
      <c r="B625" s="644"/>
      <c r="C625" s="101"/>
      <c r="D625" s="605"/>
      <c r="E625" s="645"/>
      <c r="F625" s="101"/>
      <c r="G625" s="101"/>
      <c r="H625" s="101"/>
      <c r="I625" s="606"/>
      <c r="J625" s="606"/>
      <c r="K625" s="606"/>
      <c r="L625" s="606"/>
      <c r="M625" s="606"/>
      <c r="N625" s="606"/>
      <c r="O625" s="606"/>
      <c r="P625" s="606"/>
      <c r="Q625" s="606"/>
      <c r="R625" s="606"/>
      <c r="S625" s="606"/>
      <c r="T625" s="606"/>
      <c r="U625" s="606"/>
      <c r="V625" s="461"/>
      <c r="W625" s="461"/>
      <c r="X625" s="131"/>
      <c r="Y625" s="101"/>
      <c r="Z625" s="101"/>
      <c r="AA625" s="101"/>
      <c r="AB625" s="101"/>
      <c r="AC625" s="101"/>
      <c r="AD625" s="101"/>
      <c r="AE625" s="101"/>
      <c r="AF625" s="101"/>
      <c r="AG625" s="101"/>
      <c r="AH625" s="101"/>
      <c r="AI625" s="101"/>
      <c r="AJ625" s="101"/>
      <c r="AK625" s="101"/>
      <c r="AL625" s="101"/>
    </row>
    <row r="626">
      <c r="A626" s="101"/>
      <c r="B626" s="644"/>
      <c r="C626" s="101"/>
      <c r="D626" s="605"/>
      <c r="E626" s="645"/>
      <c r="F626" s="101"/>
      <c r="G626" s="101"/>
      <c r="H626" s="101"/>
      <c r="I626" s="606"/>
      <c r="J626" s="606"/>
      <c r="K626" s="606"/>
      <c r="L626" s="606"/>
      <c r="M626" s="606"/>
      <c r="N626" s="606"/>
      <c r="O626" s="606"/>
      <c r="P626" s="606"/>
      <c r="Q626" s="606"/>
      <c r="R626" s="606"/>
      <c r="S626" s="606"/>
      <c r="T626" s="606"/>
      <c r="U626" s="606"/>
      <c r="V626" s="461"/>
      <c r="W626" s="461"/>
      <c r="X626" s="131"/>
      <c r="Y626" s="101"/>
      <c r="Z626" s="101"/>
      <c r="AA626" s="101"/>
      <c r="AB626" s="101"/>
      <c r="AC626" s="101"/>
      <c r="AD626" s="101"/>
      <c r="AE626" s="101"/>
      <c r="AF626" s="101"/>
      <c r="AG626" s="101"/>
      <c r="AH626" s="101"/>
      <c r="AI626" s="101"/>
      <c r="AJ626" s="101"/>
      <c r="AK626" s="101"/>
      <c r="AL626" s="101"/>
    </row>
    <row r="627">
      <c r="A627" s="101"/>
      <c r="B627" s="644"/>
      <c r="C627" s="101"/>
      <c r="D627" s="605"/>
      <c r="E627" s="645"/>
      <c r="F627" s="101"/>
      <c r="G627" s="101"/>
      <c r="H627" s="101"/>
      <c r="I627" s="606"/>
      <c r="J627" s="606"/>
      <c r="K627" s="606"/>
      <c r="L627" s="606"/>
      <c r="M627" s="606"/>
      <c r="N627" s="606"/>
      <c r="O627" s="606"/>
      <c r="P627" s="606"/>
      <c r="Q627" s="606"/>
      <c r="R627" s="606"/>
      <c r="S627" s="606"/>
      <c r="T627" s="606"/>
      <c r="U627" s="606"/>
      <c r="V627" s="461"/>
      <c r="W627" s="461"/>
      <c r="X627" s="131"/>
      <c r="Y627" s="101"/>
      <c r="Z627" s="101"/>
      <c r="AA627" s="101"/>
      <c r="AB627" s="101"/>
      <c r="AC627" s="101"/>
      <c r="AD627" s="101"/>
      <c r="AE627" s="101"/>
      <c r="AF627" s="101"/>
      <c r="AG627" s="101"/>
      <c r="AH627" s="101"/>
      <c r="AI627" s="101"/>
      <c r="AJ627" s="101"/>
      <c r="AK627" s="101"/>
      <c r="AL627" s="101"/>
    </row>
    <row r="628">
      <c r="A628" s="101"/>
      <c r="B628" s="644"/>
      <c r="C628" s="101"/>
      <c r="D628" s="605"/>
      <c r="E628" s="645"/>
      <c r="F628" s="101"/>
      <c r="G628" s="101"/>
      <c r="H628" s="101"/>
      <c r="I628" s="606"/>
      <c r="J628" s="606"/>
      <c r="K628" s="606"/>
      <c r="L628" s="606"/>
      <c r="M628" s="606"/>
      <c r="N628" s="606"/>
      <c r="O628" s="606"/>
      <c r="P628" s="606"/>
      <c r="Q628" s="606"/>
      <c r="R628" s="606"/>
      <c r="S628" s="606"/>
      <c r="T628" s="606"/>
      <c r="U628" s="606"/>
      <c r="V628" s="461"/>
      <c r="W628" s="461"/>
      <c r="X628" s="131"/>
      <c r="Y628" s="101"/>
      <c r="Z628" s="101"/>
      <c r="AA628" s="101"/>
      <c r="AB628" s="101"/>
      <c r="AC628" s="101"/>
      <c r="AD628" s="101"/>
      <c r="AE628" s="101"/>
      <c r="AF628" s="101"/>
      <c r="AG628" s="101"/>
      <c r="AH628" s="101"/>
      <c r="AI628" s="101"/>
      <c r="AJ628" s="101"/>
      <c r="AK628" s="101"/>
      <c r="AL628" s="101"/>
    </row>
    <row r="629">
      <c r="A629" s="101"/>
      <c r="B629" s="644"/>
      <c r="C629" s="101"/>
      <c r="D629" s="605"/>
      <c r="E629" s="645"/>
      <c r="F629" s="101"/>
      <c r="G629" s="101"/>
      <c r="H629" s="101"/>
      <c r="I629" s="606"/>
      <c r="J629" s="606"/>
      <c r="K629" s="606"/>
      <c r="L629" s="606"/>
      <c r="M629" s="606"/>
      <c r="N629" s="606"/>
      <c r="O629" s="606"/>
      <c r="P629" s="606"/>
      <c r="Q629" s="606"/>
      <c r="R629" s="606"/>
      <c r="S629" s="606"/>
      <c r="T629" s="606"/>
      <c r="U629" s="606"/>
      <c r="V629" s="461"/>
      <c r="W629" s="461"/>
      <c r="X629" s="131"/>
      <c r="Y629" s="101"/>
      <c r="Z629" s="101"/>
      <c r="AA629" s="101"/>
      <c r="AB629" s="101"/>
      <c r="AC629" s="101"/>
      <c r="AD629" s="101"/>
      <c r="AE629" s="101"/>
      <c r="AF629" s="101"/>
      <c r="AG629" s="101"/>
      <c r="AH629" s="101"/>
      <c r="AI629" s="101"/>
      <c r="AJ629" s="101"/>
      <c r="AK629" s="101"/>
      <c r="AL629" s="101"/>
    </row>
    <row r="630">
      <c r="A630" s="101"/>
      <c r="B630" s="644"/>
      <c r="C630" s="101"/>
      <c r="D630" s="605"/>
      <c r="E630" s="645"/>
      <c r="F630" s="101"/>
      <c r="G630" s="101"/>
      <c r="H630" s="101"/>
      <c r="I630" s="606"/>
      <c r="J630" s="606"/>
      <c r="K630" s="606"/>
      <c r="L630" s="606"/>
      <c r="M630" s="606"/>
      <c r="N630" s="606"/>
      <c r="O630" s="606"/>
      <c r="P630" s="606"/>
      <c r="Q630" s="606"/>
      <c r="R630" s="606"/>
      <c r="S630" s="606"/>
      <c r="T630" s="606"/>
      <c r="U630" s="606"/>
      <c r="V630" s="461"/>
      <c r="W630" s="461"/>
      <c r="X630" s="131"/>
      <c r="Y630" s="101"/>
      <c r="Z630" s="101"/>
      <c r="AA630" s="101"/>
      <c r="AB630" s="101"/>
      <c r="AC630" s="101"/>
      <c r="AD630" s="101"/>
      <c r="AE630" s="101"/>
      <c r="AF630" s="101"/>
      <c r="AG630" s="101"/>
      <c r="AH630" s="101"/>
      <c r="AI630" s="101"/>
      <c r="AJ630" s="101"/>
      <c r="AK630" s="101"/>
      <c r="AL630" s="101"/>
    </row>
    <row r="631">
      <c r="A631" s="101"/>
      <c r="B631" s="644"/>
      <c r="C631" s="101"/>
      <c r="D631" s="605"/>
      <c r="E631" s="645"/>
      <c r="F631" s="101"/>
      <c r="G631" s="101"/>
      <c r="H631" s="101"/>
      <c r="I631" s="606"/>
      <c r="J631" s="606"/>
      <c r="K631" s="606"/>
      <c r="L631" s="606"/>
      <c r="M631" s="606"/>
      <c r="N631" s="606"/>
      <c r="O631" s="606"/>
      <c r="P631" s="606"/>
      <c r="Q631" s="606"/>
      <c r="R631" s="606"/>
      <c r="S631" s="606"/>
      <c r="T631" s="606"/>
      <c r="U631" s="606"/>
      <c r="V631" s="461"/>
      <c r="W631" s="461"/>
      <c r="X631" s="131"/>
      <c r="Y631" s="101"/>
      <c r="Z631" s="101"/>
      <c r="AA631" s="101"/>
      <c r="AB631" s="101"/>
      <c r="AC631" s="101"/>
      <c r="AD631" s="101"/>
      <c r="AE631" s="101"/>
      <c r="AF631" s="101"/>
      <c r="AG631" s="101"/>
      <c r="AH631" s="101"/>
      <c r="AI631" s="101"/>
      <c r="AJ631" s="101"/>
      <c r="AK631" s="101"/>
      <c r="AL631" s="101"/>
    </row>
    <row r="632">
      <c r="A632" s="101"/>
      <c r="B632" s="644"/>
      <c r="C632" s="101"/>
      <c r="D632" s="605"/>
      <c r="E632" s="645"/>
      <c r="F632" s="101"/>
      <c r="G632" s="101"/>
      <c r="H632" s="101"/>
      <c r="I632" s="606"/>
      <c r="J632" s="606"/>
      <c r="K632" s="606"/>
      <c r="L632" s="606"/>
      <c r="M632" s="606"/>
      <c r="N632" s="606"/>
      <c r="O632" s="606"/>
      <c r="P632" s="606"/>
      <c r="Q632" s="606"/>
      <c r="R632" s="606"/>
      <c r="S632" s="606"/>
      <c r="T632" s="606"/>
      <c r="U632" s="606"/>
      <c r="V632" s="461"/>
      <c r="W632" s="461"/>
      <c r="X632" s="131"/>
      <c r="Y632" s="101"/>
      <c r="Z632" s="101"/>
      <c r="AA632" s="101"/>
      <c r="AB632" s="101"/>
      <c r="AC632" s="101"/>
      <c r="AD632" s="101"/>
      <c r="AE632" s="101"/>
      <c r="AF632" s="101"/>
      <c r="AG632" s="101"/>
      <c r="AH632" s="101"/>
      <c r="AI632" s="101"/>
      <c r="AJ632" s="101"/>
      <c r="AK632" s="101"/>
      <c r="AL632" s="101"/>
    </row>
    <row r="633">
      <c r="A633" s="101"/>
      <c r="B633" s="644"/>
      <c r="C633" s="101"/>
      <c r="D633" s="605"/>
      <c r="E633" s="645"/>
      <c r="F633" s="101"/>
      <c r="G633" s="101"/>
      <c r="H633" s="101"/>
      <c r="I633" s="606"/>
      <c r="J633" s="606"/>
      <c r="K633" s="606"/>
      <c r="L633" s="606"/>
      <c r="M633" s="606"/>
      <c r="N633" s="606"/>
      <c r="O633" s="606"/>
      <c r="P633" s="606"/>
      <c r="Q633" s="606"/>
      <c r="R633" s="606"/>
      <c r="S633" s="606"/>
      <c r="T633" s="606"/>
      <c r="U633" s="606"/>
      <c r="V633" s="461"/>
      <c r="W633" s="461"/>
      <c r="X633" s="131"/>
      <c r="Y633" s="101"/>
      <c r="Z633" s="101"/>
      <c r="AA633" s="101"/>
      <c r="AB633" s="101"/>
      <c r="AC633" s="101"/>
      <c r="AD633" s="101"/>
      <c r="AE633" s="101"/>
      <c r="AF633" s="101"/>
      <c r="AG633" s="101"/>
      <c r="AH633" s="101"/>
      <c r="AI633" s="101"/>
      <c r="AJ633" s="101"/>
      <c r="AK633" s="101"/>
      <c r="AL633" s="101"/>
    </row>
    <row r="634">
      <c r="A634" s="101"/>
      <c r="B634" s="644"/>
      <c r="C634" s="101"/>
      <c r="D634" s="605"/>
      <c r="E634" s="645"/>
      <c r="F634" s="101"/>
      <c r="G634" s="101"/>
      <c r="H634" s="101"/>
      <c r="I634" s="606"/>
      <c r="J634" s="606"/>
      <c r="K634" s="606"/>
      <c r="L634" s="606"/>
      <c r="M634" s="606"/>
      <c r="N634" s="606"/>
      <c r="O634" s="606"/>
      <c r="P634" s="606"/>
      <c r="Q634" s="606"/>
      <c r="R634" s="606"/>
      <c r="S634" s="606"/>
      <c r="T634" s="606"/>
      <c r="U634" s="606"/>
      <c r="V634" s="461"/>
      <c r="W634" s="461"/>
      <c r="X634" s="131"/>
      <c r="Y634" s="101"/>
      <c r="Z634" s="101"/>
      <c r="AA634" s="101"/>
      <c r="AB634" s="101"/>
      <c r="AC634" s="101"/>
      <c r="AD634" s="101"/>
      <c r="AE634" s="101"/>
      <c r="AF634" s="101"/>
      <c r="AG634" s="101"/>
      <c r="AH634" s="101"/>
      <c r="AI634" s="101"/>
      <c r="AJ634" s="101"/>
      <c r="AK634" s="101"/>
      <c r="AL634" s="101"/>
    </row>
    <row r="635">
      <c r="A635" s="101"/>
      <c r="B635" s="644"/>
      <c r="C635" s="101"/>
      <c r="D635" s="605"/>
      <c r="E635" s="645"/>
      <c r="F635" s="101"/>
      <c r="G635" s="101"/>
      <c r="H635" s="101"/>
      <c r="I635" s="606"/>
      <c r="J635" s="606"/>
      <c r="K635" s="606"/>
      <c r="L635" s="606"/>
      <c r="M635" s="606"/>
      <c r="N635" s="606"/>
      <c r="O635" s="606"/>
      <c r="P635" s="606"/>
      <c r="Q635" s="606"/>
      <c r="R635" s="606"/>
      <c r="S635" s="606"/>
      <c r="T635" s="606"/>
      <c r="U635" s="606"/>
      <c r="V635" s="461"/>
      <c r="W635" s="461"/>
      <c r="X635" s="131"/>
      <c r="Y635" s="101"/>
      <c r="Z635" s="101"/>
      <c r="AA635" s="101"/>
      <c r="AB635" s="101"/>
      <c r="AC635" s="101"/>
      <c r="AD635" s="101"/>
      <c r="AE635" s="101"/>
      <c r="AF635" s="101"/>
      <c r="AG635" s="101"/>
      <c r="AH635" s="101"/>
      <c r="AI635" s="101"/>
      <c r="AJ635" s="101"/>
      <c r="AK635" s="101"/>
      <c r="AL635" s="101"/>
    </row>
    <row r="636">
      <c r="A636" s="101"/>
      <c r="B636" s="644"/>
      <c r="C636" s="101"/>
      <c r="D636" s="605"/>
      <c r="E636" s="645"/>
      <c r="F636" s="101"/>
      <c r="G636" s="101"/>
      <c r="H636" s="101"/>
      <c r="I636" s="606"/>
      <c r="J636" s="606"/>
      <c r="K636" s="606"/>
      <c r="L636" s="606"/>
      <c r="M636" s="606"/>
      <c r="N636" s="606"/>
      <c r="O636" s="606"/>
      <c r="P636" s="606"/>
      <c r="Q636" s="606"/>
      <c r="R636" s="606"/>
      <c r="S636" s="606"/>
      <c r="T636" s="606"/>
      <c r="U636" s="606"/>
      <c r="V636" s="461"/>
      <c r="W636" s="461"/>
      <c r="X636" s="131"/>
      <c r="Y636" s="101"/>
      <c r="Z636" s="101"/>
      <c r="AA636" s="101"/>
      <c r="AB636" s="101"/>
      <c r="AC636" s="101"/>
      <c r="AD636" s="101"/>
      <c r="AE636" s="101"/>
      <c r="AF636" s="101"/>
      <c r="AG636" s="101"/>
      <c r="AH636" s="101"/>
      <c r="AI636" s="101"/>
      <c r="AJ636" s="101"/>
      <c r="AK636" s="101"/>
      <c r="AL636" s="101"/>
    </row>
    <row r="637">
      <c r="A637" s="101"/>
      <c r="B637" s="644"/>
      <c r="C637" s="101"/>
      <c r="D637" s="605"/>
      <c r="E637" s="645"/>
      <c r="F637" s="101"/>
      <c r="G637" s="101"/>
      <c r="H637" s="101"/>
      <c r="I637" s="606"/>
      <c r="J637" s="606"/>
      <c r="K637" s="606"/>
      <c r="L637" s="606"/>
      <c r="M637" s="606"/>
      <c r="N637" s="606"/>
      <c r="O637" s="606"/>
      <c r="P637" s="606"/>
      <c r="Q637" s="606"/>
      <c r="R637" s="606"/>
      <c r="S637" s="606"/>
      <c r="T637" s="606"/>
      <c r="U637" s="606"/>
      <c r="V637" s="461"/>
      <c r="W637" s="461"/>
      <c r="X637" s="131"/>
      <c r="Y637" s="101"/>
      <c r="Z637" s="101"/>
      <c r="AA637" s="101"/>
      <c r="AB637" s="101"/>
      <c r="AC637" s="101"/>
      <c r="AD637" s="101"/>
      <c r="AE637" s="101"/>
      <c r="AF637" s="101"/>
      <c r="AG637" s="101"/>
      <c r="AH637" s="101"/>
      <c r="AI637" s="101"/>
      <c r="AJ637" s="101"/>
      <c r="AK637" s="101"/>
      <c r="AL637" s="101"/>
    </row>
    <row r="638">
      <c r="A638" s="101"/>
      <c r="B638" s="644"/>
      <c r="C638" s="101"/>
      <c r="D638" s="605"/>
      <c r="E638" s="645"/>
      <c r="F638" s="101"/>
      <c r="G638" s="101"/>
      <c r="H638" s="101"/>
      <c r="I638" s="606"/>
      <c r="J638" s="606"/>
      <c r="K638" s="606"/>
      <c r="L638" s="606"/>
      <c r="M638" s="606"/>
      <c r="N638" s="606"/>
      <c r="O638" s="606"/>
      <c r="P638" s="606"/>
      <c r="Q638" s="606"/>
      <c r="R638" s="606"/>
      <c r="S638" s="606"/>
      <c r="T638" s="606"/>
      <c r="U638" s="606"/>
      <c r="V638" s="461"/>
      <c r="W638" s="461"/>
      <c r="X638" s="131"/>
      <c r="Y638" s="101"/>
      <c r="Z638" s="101"/>
      <c r="AA638" s="101"/>
      <c r="AB638" s="101"/>
      <c r="AC638" s="101"/>
      <c r="AD638" s="101"/>
      <c r="AE638" s="101"/>
      <c r="AF638" s="101"/>
      <c r="AG638" s="101"/>
      <c r="AH638" s="101"/>
      <c r="AI638" s="101"/>
      <c r="AJ638" s="101"/>
      <c r="AK638" s="101"/>
      <c r="AL638" s="101"/>
    </row>
    <row r="639">
      <c r="A639" s="101"/>
      <c r="B639" s="644"/>
      <c r="C639" s="101"/>
      <c r="D639" s="605"/>
      <c r="E639" s="645"/>
      <c r="F639" s="101"/>
      <c r="G639" s="101"/>
      <c r="H639" s="101"/>
      <c r="I639" s="606"/>
      <c r="J639" s="606"/>
      <c r="K639" s="606"/>
      <c r="L639" s="606"/>
      <c r="M639" s="606"/>
      <c r="N639" s="606"/>
      <c r="O639" s="606"/>
      <c r="P639" s="606"/>
      <c r="Q639" s="606"/>
      <c r="R639" s="606"/>
      <c r="S639" s="606"/>
      <c r="T639" s="606"/>
      <c r="U639" s="606"/>
      <c r="V639" s="461"/>
      <c r="W639" s="461"/>
      <c r="X639" s="131"/>
      <c r="Y639" s="101"/>
      <c r="Z639" s="101"/>
      <c r="AA639" s="101"/>
      <c r="AB639" s="101"/>
      <c r="AC639" s="101"/>
      <c r="AD639" s="101"/>
      <c r="AE639" s="101"/>
      <c r="AF639" s="101"/>
      <c r="AG639" s="101"/>
      <c r="AH639" s="101"/>
      <c r="AI639" s="101"/>
      <c r="AJ639" s="101"/>
      <c r="AK639" s="101"/>
      <c r="AL639" s="101"/>
    </row>
    <row r="640">
      <c r="A640" s="101"/>
      <c r="B640" s="644"/>
      <c r="C640" s="101"/>
      <c r="D640" s="605"/>
      <c r="E640" s="645"/>
      <c r="F640" s="101"/>
      <c r="G640" s="101"/>
      <c r="H640" s="101"/>
      <c r="I640" s="606"/>
      <c r="J640" s="606"/>
      <c r="K640" s="606"/>
      <c r="L640" s="606"/>
      <c r="M640" s="606"/>
      <c r="N640" s="606"/>
      <c r="O640" s="606"/>
      <c r="P640" s="606"/>
      <c r="Q640" s="606"/>
      <c r="R640" s="606"/>
      <c r="S640" s="606"/>
      <c r="T640" s="606"/>
      <c r="U640" s="606"/>
      <c r="V640" s="461"/>
      <c r="W640" s="461"/>
      <c r="X640" s="131"/>
      <c r="Y640" s="101"/>
      <c r="Z640" s="101"/>
      <c r="AA640" s="101"/>
      <c r="AB640" s="101"/>
      <c r="AC640" s="101"/>
      <c r="AD640" s="101"/>
      <c r="AE640" s="101"/>
      <c r="AF640" s="101"/>
      <c r="AG640" s="101"/>
      <c r="AH640" s="101"/>
      <c r="AI640" s="101"/>
      <c r="AJ640" s="101"/>
      <c r="AK640" s="101"/>
      <c r="AL640" s="101"/>
    </row>
    <row r="641">
      <c r="A641" s="101"/>
      <c r="B641" s="644"/>
      <c r="C641" s="101"/>
      <c r="D641" s="605"/>
      <c r="E641" s="645"/>
      <c r="F641" s="101"/>
      <c r="G641" s="101"/>
      <c r="H641" s="101"/>
      <c r="I641" s="606"/>
      <c r="J641" s="606"/>
      <c r="K641" s="606"/>
      <c r="L641" s="606"/>
      <c r="M641" s="606"/>
      <c r="N641" s="606"/>
      <c r="O641" s="606"/>
      <c r="P641" s="606"/>
      <c r="Q641" s="606"/>
      <c r="R641" s="606"/>
      <c r="S641" s="606"/>
      <c r="T641" s="606"/>
      <c r="U641" s="606"/>
      <c r="V641" s="461"/>
      <c r="W641" s="461"/>
      <c r="X641" s="131"/>
      <c r="Y641" s="101"/>
      <c r="Z641" s="101"/>
      <c r="AA641" s="101"/>
      <c r="AB641" s="101"/>
      <c r="AC641" s="101"/>
      <c r="AD641" s="101"/>
      <c r="AE641" s="101"/>
      <c r="AF641" s="101"/>
      <c r="AG641" s="101"/>
      <c r="AH641" s="101"/>
      <c r="AI641" s="101"/>
      <c r="AJ641" s="101"/>
      <c r="AK641" s="101"/>
      <c r="AL641" s="101"/>
    </row>
    <row r="642">
      <c r="A642" s="101"/>
      <c r="B642" s="644"/>
      <c r="C642" s="101"/>
      <c r="D642" s="605"/>
      <c r="E642" s="645"/>
      <c r="F642" s="101"/>
      <c r="G642" s="101"/>
      <c r="H642" s="101"/>
      <c r="I642" s="606"/>
      <c r="J642" s="606"/>
      <c r="K642" s="606"/>
      <c r="L642" s="606"/>
      <c r="M642" s="606"/>
      <c r="N642" s="606"/>
      <c r="O642" s="606"/>
      <c r="P642" s="606"/>
      <c r="Q642" s="606"/>
      <c r="R642" s="606"/>
      <c r="S642" s="606"/>
      <c r="T642" s="606"/>
      <c r="U642" s="606"/>
      <c r="V642" s="461"/>
      <c r="W642" s="461"/>
      <c r="X642" s="131"/>
      <c r="Y642" s="101"/>
      <c r="Z642" s="101"/>
      <c r="AA642" s="101"/>
      <c r="AB642" s="101"/>
      <c r="AC642" s="101"/>
      <c r="AD642" s="101"/>
      <c r="AE642" s="101"/>
      <c r="AF642" s="101"/>
      <c r="AG642" s="101"/>
      <c r="AH642" s="101"/>
      <c r="AI642" s="101"/>
      <c r="AJ642" s="101"/>
      <c r="AK642" s="101"/>
      <c r="AL642" s="101"/>
    </row>
    <row r="643">
      <c r="A643" s="101"/>
      <c r="B643" s="644"/>
      <c r="C643" s="101"/>
      <c r="D643" s="605"/>
      <c r="E643" s="645"/>
      <c r="F643" s="101"/>
      <c r="G643" s="101"/>
      <c r="H643" s="101"/>
      <c r="I643" s="606"/>
      <c r="J643" s="606"/>
      <c r="K643" s="606"/>
      <c r="L643" s="606"/>
      <c r="M643" s="606"/>
      <c r="N643" s="606"/>
      <c r="O643" s="606"/>
      <c r="P643" s="606"/>
      <c r="Q643" s="606"/>
      <c r="R643" s="606"/>
      <c r="S643" s="606"/>
      <c r="T643" s="606"/>
      <c r="U643" s="606"/>
      <c r="V643" s="461"/>
      <c r="W643" s="461"/>
      <c r="X643" s="131"/>
      <c r="Y643" s="101"/>
      <c r="Z643" s="101"/>
      <c r="AA643" s="101"/>
      <c r="AB643" s="101"/>
      <c r="AC643" s="101"/>
      <c r="AD643" s="101"/>
      <c r="AE643" s="101"/>
      <c r="AF643" s="101"/>
      <c r="AG643" s="101"/>
      <c r="AH643" s="101"/>
      <c r="AI643" s="101"/>
      <c r="AJ643" s="101"/>
      <c r="AK643" s="101"/>
      <c r="AL643" s="101"/>
    </row>
    <row r="644">
      <c r="A644" s="101"/>
      <c r="B644" s="644"/>
      <c r="C644" s="101"/>
      <c r="D644" s="605"/>
      <c r="E644" s="645"/>
      <c r="F644" s="101"/>
      <c r="G644" s="101"/>
      <c r="H644" s="101"/>
      <c r="I644" s="606"/>
      <c r="J644" s="606"/>
      <c r="K644" s="606"/>
      <c r="L644" s="606"/>
      <c r="M644" s="606"/>
      <c r="N644" s="606"/>
      <c r="O644" s="606"/>
      <c r="P644" s="606"/>
      <c r="Q644" s="606"/>
      <c r="R644" s="606"/>
      <c r="S644" s="606"/>
      <c r="T644" s="606"/>
      <c r="U644" s="606"/>
      <c r="V644" s="461"/>
      <c r="W644" s="461"/>
      <c r="X644" s="131"/>
      <c r="Y644" s="101"/>
      <c r="Z644" s="101"/>
      <c r="AA644" s="101"/>
      <c r="AB644" s="101"/>
      <c r="AC644" s="101"/>
      <c r="AD644" s="101"/>
      <c r="AE644" s="101"/>
      <c r="AF644" s="101"/>
      <c r="AG644" s="101"/>
      <c r="AH644" s="101"/>
      <c r="AI644" s="101"/>
      <c r="AJ644" s="101"/>
      <c r="AK644" s="101"/>
      <c r="AL644" s="101"/>
    </row>
    <row r="645">
      <c r="A645" s="101"/>
      <c r="B645" s="644"/>
      <c r="C645" s="101"/>
      <c r="D645" s="605"/>
      <c r="E645" s="645"/>
      <c r="F645" s="101"/>
      <c r="G645" s="101"/>
      <c r="H645" s="101"/>
      <c r="I645" s="606"/>
      <c r="J645" s="606"/>
      <c r="K645" s="606"/>
      <c r="L645" s="606"/>
      <c r="M645" s="606"/>
      <c r="N645" s="606"/>
      <c r="O645" s="606"/>
      <c r="P645" s="606"/>
      <c r="Q645" s="606"/>
      <c r="R645" s="606"/>
      <c r="S645" s="606"/>
      <c r="T645" s="606"/>
      <c r="U645" s="606"/>
      <c r="V645" s="461"/>
      <c r="W645" s="461"/>
      <c r="X645" s="131"/>
      <c r="Y645" s="101"/>
      <c r="Z645" s="101"/>
      <c r="AA645" s="101"/>
      <c r="AB645" s="101"/>
      <c r="AC645" s="101"/>
      <c r="AD645" s="101"/>
      <c r="AE645" s="101"/>
      <c r="AF645" s="101"/>
      <c r="AG645" s="101"/>
      <c r="AH645" s="101"/>
      <c r="AI645" s="101"/>
      <c r="AJ645" s="101"/>
      <c r="AK645" s="101"/>
      <c r="AL645" s="101"/>
    </row>
    <row r="646">
      <c r="A646" s="101"/>
      <c r="B646" s="644"/>
      <c r="C646" s="101"/>
      <c r="D646" s="605"/>
      <c r="E646" s="645"/>
      <c r="F646" s="101"/>
      <c r="G646" s="101"/>
      <c r="H646" s="101"/>
      <c r="I646" s="606"/>
      <c r="J646" s="606"/>
      <c r="K646" s="606"/>
      <c r="L646" s="606"/>
      <c r="M646" s="606"/>
      <c r="N646" s="606"/>
      <c r="O646" s="606"/>
      <c r="P646" s="606"/>
      <c r="Q646" s="606"/>
      <c r="R646" s="606"/>
      <c r="S646" s="606"/>
      <c r="T646" s="606"/>
      <c r="U646" s="606"/>
      <c r="V646" s="461"/>
      <c r="W646" s="461"/>
      <c r="X646" s="131"/>
      <c r="Y646" s="101"/>
      <c r="Z646" s="101"/>
      <c r="AA646" s="101"/>
      <c r="AB646" s="101"/>
      <c r="AC646" s="101"/>
      <c r="AD646" s="101"/>
      <c r="AE646" s="101"/>
      <c r="AF646" s="101"/>
      <c r="AG646" s="101"/>
      <c r="AH646" s="101"/>
      <c r="AI646" s="101"/>
      <c r="AJ646" s="101"/>
      <c r="AK646" s="101"/>
      <c r="AL646" s="101"/>
    </row>
    <row r="647">
      <c r="A647" s="101"/>
      <c r="B647" s="644"/>
      <c r="C647" s="101"/>
      <c r="D647" s="605"/>
      <c r="E647" s="645"/>
      <c r="F647" s="101"/>
      <c r="G647" s="101"/>
      <c r="H647" s="101"/>
      <c r="I647" s="606"/>
      <c r="J647" s="606"/>
      <c r="K647" s="606"/>
      <c r="L647" s="606"/>
      <c r="M647" s="606"/>
      <c r="N647" s="606"/>
      <c r="O647" s="606"/>
      <c r="P647" s="606"/>
      <c r="Q647" s="606"/>
      <c r="R647" s="606"/>
      <c r="S647" s="606"/>
      <c r="T647" s="606"/>
      <c r="U647" s="606"/>
      <c r="V647" s="461"/>
      <c r="W647" s="461"/>
      <c r="X647" s="131"/>
      <c r="Y647" s="101"/>
      <c r="Z647" s="101"/>
      <c r="AA647" s="101"/>
      <c r="AB647" s="101"/>
      <c r="AC647" s="101"/>
      <c r="AD647" s="101"/>
      <c r="AE647" s="101"/>
      <c r="AF647" s="101"/>
      <c r="AG647" s="101"/>
      <c r="AH647" s="101"/>
      <c r="AI647" s="101"/>
      <c r="AJ647" s="101"/>
      <c r="AK647" s="101"/>
      <c r="AL647" s="101"/>
    </row>
    <row r="648">
      <c r="A648" s="101"/>
      <c r="B648" s="644"/>
      <c r="C648" s="101"/>
      <c r="D648" s="605"/>
      <c r="E648" s="645"/>
      <c r="F648" s="101"/>
      <c r="G648" s="101"/>
      <c r="H648" s="101"/>
      <c r="I648" s="606"/>
      <c r="J648" s="606"/>
      <c r="K648" s="606"/>
      <c r="L648" s="606"/>
      <c r="M648" s="606"/>
      <c r="N648" s="606"/>
      <c r="O648" s="606"/>
      <c r="P648" s="606"/>
      <c r="Q648" s="606"/>
      <c r="R648" s="606"/>
      <c r="S648" s="606"/>
      <c r="T648" s="606"/>
      <c r="U648" s="606"/>
      <c r="V648" s="461"/>
      <c r="W648" s="461"/>
      <c r="X648" s="131"/>
      <c r="Y648" s="101"/>
      <c r="Z648" s="101"/>
      <c r="AA648" s="101"/>
      <c r="AB648" s="101"/>
      <c r="AC648" s="101"/>
      <c r="AD648" s="101"/>
      <c r="AE648" s="101"/>
      <c r="AF648" s="101"/>
      <c r="AG648" s="101"/>
      <c r="AH648" s="101"/>
      <c r="AI648" s="101"/>
      <c r="AJ648" s="101"/>
      <c r="AK648" s="101"/>
      <c r="AL648" s="101"/>
    </row>
    <row r="649">
      <c r="A649" s="101"/>
      <c r="B649" s="644"/>
      <c r="C649" s="101"/>
      <c r="D649" s="605"/>
      <c r="E649" s="645"/>
      <c r="F649" s="101"/>
      <c r="G649" s="101"/>
      <c r="H649" s="101"/>
      <c r="I649" s="606"/>
      <c r="J649" s="606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461"/>
      <c r="W649" s="461"/>
      <c r="X649" s="131"/>
      <c r="Y649" s="101"/>
      <c r="Z649" s="101"/>
      <c r="AA649" s="101"/>
      <c r="AB649" s="101"/>
      <c r="AC649" s="101"/>
      <c r="AD649" s="101"/>
      <c r="AE649" s="101"/>
      <c r="AF649" s="101"/>
      <c r="AG649" s="101"/>
      <c r="AH649" s="101"/>
      <c r="AI649" s="101"/>
      <c r="AJ649" s="101"/>
      <c r="AK649" s="101"/>
      <c r="AL649" s="101"/>
    </row>
    <row r="650">
      <c r="A650" s="101"/>
      <c r="B650" s="644"/>
      <c r="C650" s="101"/>
      <c r="D650" s="605"/>
      <c r="E650" s="645"/>
      <c r="F650" s="101"/>
      <c r="G650" s="101"/>
      <c r="H650" s="101"/>
      <c r="I650" s="606"/>
      <c r="J650" s="606"/>
      <c r="K650" s="606"/>
      <c r="L650" s="606"/>
      <c r="M650" s="606"/>
      <c r="N650" s="606"/>
      <c r="O650" s="606"/>
      <c r="P650" s="606"/>
      <c r="Q650" s="606"/>
      <c r="R650" s="606"/>
      <c r="S650" s="606"/>
      <c r="T650" s="606"/>
      <c r="U650" s="606"/>
      <c r="V650" s="461"/>
      <c r="W650" s="461"/>
      <c r="X650" s="131"/>
      <c r="Y650" s="101"/>
      <c r="Z650" s="101"/>
      <c r="AA650" s="101"/>
      <c r="AB650" s="101"/>
      <c r="AC650" s="101"/>
      <c r="AD650" s="101"/>
      <c r="AE650" s="101"/>
      <c r="AF650" s="101"/>
      <c r="AG650" s="101"/>
      <c r="AH650" s="101"/>
      <c r="AI650" s="101"/>
      <c r="AJ650" s="101"/>
      <c r="AK650" s="101"/>
      <c r="AL650" s="101"/>
    </row>
    <row r="651">
      <c r="A651" s="101"/>
      <c r="B651" s="644"/>
      <c r="C651" s="101"/>
      <c r="D651" s="605"/>
      <c r="E651" s="645"/>
      <c r="F651" s="101"/>
      <c r="G651" s="101"/>
      <c r="H651" s="101"/>
      <c r="I651" s="606"/>
      <c r="J651" s="606"/>
      <c r="K651" s="606"/>
      <c r="L651" s="606"/>
      <c r="M651" s="606"/>
      <c r="N651" s="606"/>
      <c r="O651" s="606"/>
      <c r="P651" s="606"/>
      <c r="Q651" s="606"/>
      <c r="R651" s="606"/>
      <c r="S651" s="606"/>
      <c r="T651" s="606"/>
      <c r="U651" s="606"/>
      <c r="V651" s="461"/>
      <c r="W651" s="461"/>
      <c r="X651" s="131"/>
      <c r="Y651" s="101"/>
      <c r="Z651" s="101"/>
      <c r="AA651" s="101"/>
      <c r="AB651" s="101"/>
      <c r="AC651" s="101"/>
      <c r="AD651" s="101"/>
      <c r="AE651" s="101"/>
      <c r="AF651" s="101"/>
      <c r="AG651" s="101"/>
      <c r="AH651" s="101"/>
      <c r="AI651" s="101"/>
      <c r="AJ651" s="101"/>
      <c r="AK651" s="101"/>
      <c r="AL651" s="101"/>
    </row>
    <row r="652">
      <c r="A652" s="101"/>
      <c r="B652" s="644"/>
      <c r="C652" s="101"/>
      <c r="D652" s="605"/>
      <c r="E652" s="645"/>
      <c r="F652" s="101"/>
      <c r="G652" s="101"/>
      <c r="H652" s="101"/>
      <c r="I652" s="606"/>
      <c r="J652" s="606"/>
      <c r="K652" s="606"/>
      <c r="L652" s="606"/>
      <c r="M652" s="606"/>
      <c r="N652" s="606"/>
      <c r="O652" s="606"/>
      <c r="P652" s="606"/>
      <c r="Q652" s="606"/>
      <c r="R652" s="606"/>
      <c r="S652" s="606"/>
      <c r="T652" s="606"/>
      <c r="U652" s="606"/>
      <c r="V652" s="461"/>
      <c r="W652" s="461"/>
      <c r="X652" s="131"/>
      <c r="Y652" s="101"/>
      <c r="Z652" s="101"/>
      <c r="AA652" s="101"/>
      <c r="AB652" s="101"/>
      <c r="AC652" s="101"/>
      <c r="AD652" s="101"/>
      <c r="AE652" s="101"/>
      <c r="AF652" s="101"/>
      <c r="AG652" s="101"/>
      <c r="AH652" s="101"/>
      <c r="AI652" s="101"/>
      <c r="AJ652" s="101"/>
      <c r="AK652" s="101"/>
      <c r="AL652" s="101"/>
    </row>
    <row r="653">
      <c r="A653" s="101"/>
      <c r="B653" s="644"/>
      <c r="C653" s="101"/>
      <c r="D653" s="605"/>
      <c r="E653" s="645"/>
      <c r="F653" s="101"/>
      <c r="G653" s="101"/>
      <c r="H653" s="101"/>
      <c r="I653" s="606"/>
      <c r="J653" s="606"/>
      <c r="K653" s="606"/>
      <c r="L653" s="606"/>
      <c r="M653" s="606"/>
      <c r="N653" s="606"/>
      <c r="O653" s="606"/>
      <c r="P653" s="606"/>
      <c r="Q653" s="606"/>
      <c r="R653" s="606"/>
      <c r="S653" s="606"/>
      <c r="T653" s="606"/>
      <c r="U653" s="606"/>
      <c r="V653" s="461"/>
      <c r="W653" s="461"/>
      <c r="X653" s="131"/>
      <c r="Y653" s="101"/>
      <c r="Z653" s="101"/>
      <c r="AA653" s="101"/>
      <c r="AB653" s="101"/>
      <c r="AC653" s="101"/>
      <c r="AD653" s="101"/>
      <c r="AE653" s="101"/>
      <c r="AF653" s="101"/>
      <c r="AG653" s="101"/>
      <c r="AH653" s="101"/>
      <c r="AI653" s="101"/>
      <c r="AJ653" s="101"/>
      <c r="AK653" s="101"/>
      <c r="AL653" s="101"/>
    </row>
    <row r="654">
      <c r="A654" s="101"/>
      <c r="B654" s="644"/>
      <c r="C654" s="101"/>
      <c r="D654" s="605"/>
      <c r="E654" s="645"/>
      <c r="F654" s="101"/>
      <c r="G654" s="101"/>
      <c r="H654" s="101"/>
      <c r="I654" s="606"/>
      <c r="J654" s="606"/>
      <c r="K654" s="606"/>
      <c r="L654" s="606"/>
      <c r="M654" s="606"/>
      <c r="N654" s="606"/>
      <c r="O654" s="606"/>
      <c r="P654" s="606"/>
      <c r="Q654" s="606"/>
      <c r="R654" s="606"/>
      <c r="S654" s="606"/>
      <c r="T654" s="606"/>
      <c r="U654" s="606"/>
      <c r="V654" s="461"/>
      <c r="W654" s="461"/>
      <c r="X654" s="131"/>
      <c r="Y654" s="101"/>
      <c r="Z654" s="101"/>
      <c r="AA654" s="101"/>
      <c r="AB654" s="101"/>
      <c r="AC654" s="101"/>
      <c r="AD654" s="101"/>
      <c r="AE654" s="101"/>
      <c r="AF654" s="101"/>
      <c r="AG654" s="101"/>
      <c r="AH654" s="101"/>
      <c r="AI654" s="101"/>
      <c r="AJ654" s="101"/>
      <c r="AK654" s="101"/>
      <c r="AL654" s="101"/>
    </row>
    <row r="655">
      <c r="A655" s="101"/>
      <c r="B655" s="644"/>
      <c r="C655" s="101"/>
      <c r="D655" s="605"/>
      <c r="E655" s="645"/>
      <c r="F655" s="101"/>
      <c r="G655" s="101"/>
      <c r="H655" s="101"/>
      <c r="I655" s="606"/>
      <c r="J655" s="606"/>
      <c r="K655" s="606"/>
      <c r="L655" s="606"/>
      <c r="M655" s="606"/>
      <c r="N655" s="606"/>
      <c r="O655" s="606"/>
      <c r="P655" s="606"/>
      <c r="Q655" s="606"/>
      <c r="R655" s="606"/>
      <c r="S655" s="606"/>
      <c r="T655" s="606"/>
      <c r="U655" s="606"/>
      <c r="V655" s="461"/>
      <c r="W655" s="461"/>
      <c r="X655" s="131"/>
      <c r="Y655" s="101"/>
      <c r="Z655" s="101"/>
      <c r="AA655" s="101"/>
      <c r="AB655" s="101"/>
      <c r="AC655" s="101"/>
      <c r="AD655" s="101"/>
      <c r="AE655" s="101"/>
      <c r="AF655" s="101"/>
      <c r="AG655" s="101"/>
      <c r="AH655" s="101"/>
      <c r="AI655" s="101"/>
      <c r="AJ655" s="101"/>
      <c r="AK655" s="101"/>
      <c r="AL655" s="101"/>
    </row>
    <row r="656">
      <c r="A656" s="101"/>
      <c r="B656" s="644"/>
      <c r="C656" s="101"/>
      <c r="D656" s="605"/>
      <c r="E656" s="645"/>
      <c r="F656" s="101"/>
      <c r="G656" s="101"/>
      <c r="H656" s="101"/>
      <c r="I656" s="606"/>
      <c r="J656" s="606"/>
      <c r="K656" s="606"/>
      <c r="L656" s="606"/>
      <c r="M656" s="606"/>
      <c r="N656" s="606"/>
      <c r="O656" s="606"/>
      <c r="P656" s="606"/>
      <c r="Q656" s="606"/>
      <c r="R656" s="606"/>
      <c r="S656" s="606"/>
      <c r="T656" s="606"/>
      <c r="U656" s="606"/>
      <c r="V656" s="461"/>
      <c r="W656" s="461"/>
      <c r="X656" s="131"/>
      <c r="Y656" s="101"/>
      <c r="Z656" s="101"/>
      <c r="AA656" s="101"/>
      <c r="AB656" s="101"/>
      <c r="AC656" s="101"/>
      <c r="AD656" s="101"/>
      <c r="AE656" s="101"/>
      <c r="AF656" s="101"/>
      <c r="AG656" s="101"/>
      <c r="AH656" s="101"/>
      <c r="AI656" s="101"/>
      <c r="AJ656" s="101"/>
      <c r="AK656" s="101"/>
      <c r="AL656" s="101"/>
    </row>
    <row r="657">
      <c r="A657" s="101"/>
      <c r="B657" s="644"/>
      <c r="C657" s="101"/>
      <c r="D657" s="605"/>
      <c r="E657" s="645"/>
      <c r="F657" s="101"/>
      <c r="G657" s="101"/>
      <c r="H657" s="101"/>
      <c r="I657" s="606"/>
      <c r="J657" s="606"/>
      <c r="K657" s="606"/>
      <c r="L657" s="606"/>
      <c r="M657" s="606"/>
      <c r="N657" s="606"/>
      <c r="O657" s="606"/>
      <c r="P657" s="606"/>
      <c r="Q657" s="606"/>
      <c r="R657" s="606"/>
      <c r="S657" s="606"/>
      <c r="T657" s="606"/>
      <c r="U657" s="606"/>
      <c r="V657" s="461"/>
      <c r="W657" s="461"/>
      <c r="X657" s="131"/>
      <c r="Y657" s="101"/>
      <c r="Z657" s="101"/>
      <c r="AA657" s="101"/>
      <c r="AB657" s="101"/>
      <c r="AC657" s="101"/>
      <c r="AD657" s="101"/>
      <c r="AE657" s="101"/>
      <c r="AF657" s="101"/>
      <c r="AG657" s="101"/>
      <c r="AH657" s="101"/>
      <c r="AI657" s="101"/>
      <c r="AJ657" s="101"/>
      <c r="AK657" s="101"/>
      <c r="AL657" s="101"/>
    </row>
    <row r="658">
      <c r="A658" s="101"/>
      <c r="B658" s="644"/>
      <c r="C658" s="101"/>
      <c r="D658" s="605"/>
      <c r="E658" s="645"/>
      <c r="F658" s="101"/>
      <c r="G658" s="101"/>
      <c r="H658" s="101"/>
      <c r="I658" s="606"/>
      <c r="J658" s="606"/>
      <c r="K658" s="606"/>
      <c r="L658" s="606"/>
      <c r="M658" s="606"/>
      <c r="N658" s="606"/>
      <c r="O658" s="606"/>
      <c r="P658" s="606"/>
      <c r="Q658" s="606"/>
      <c r="R658" s="606"/>
      <c r="S658" s="606"/>
      <c r="T658" s="606"/>
      <c r="U658" s="606"/>
      <c r="V658" s="461"/>
      <c r="W658" s="461"/>
      <c r="X658" s="131"/>
      <c r="Y658" s="101"/>
      <c r="Z658" s="101"/>
      <c r="AA658" s="101"/>
      <c r="AB658" s="101"/>
      <c r="AC658" s="101"/>
      <c r="AD658" s="101"/>
      <c r="AE658" s="101"/>
      <c r="AF658" s="101"/>
      <c r="AG658" s="101"/>
      <c r="AH658" s="101"/>
      <c r="AI658" s="101"/>
      <c r="AJ658" s="101"/>
      <c r="AK658" s="101"/>
      <c r="AL658" s="101"/>
    </row>
    <row r="659">
      <c r="A659" s="101"/>
      <c r="B659" s="644"/>
      <c r="C659" s="101"/>
      <c r="D659" s="605"/>
      <c r="E659" s="645"/>
      <c r="F659" s="101"/>
      <c r="G659" s="101"/>
      <c r="H659" s="101"/>
      <c r="I659" s="606"/>
      <c r="J659" s="606"/>
      <c r="K659" s="606"/>
      <c r="L659" s="606"/>
      <c r="M659" s="606"/>
      <c r="N659" s="606"/>
      <c r="O659" s="606"/>
      <c r="P659" s="606"/>
      <c r="Q659" s="606"/>
      <c r="R659" s="606"/>
      <c r="S659" s="606"/>
      <c r="T659" s="606"/>
      <c r="U659" s="606"/>
      <c r="V659" s="461"/>
      <c r="W659" s="461"/>
      <c r="X659" s="131"/>
      <c r="Y659" s="101"/>
      <c r="Z659" s="101"/>
      <c r="AA659" s="101"/>
      <c r="AB659" s="101"/>
      <c r="AC659" s="101"/>
      <c r="AD659" s="101"/>
      <c r="AE659" s="101"/>
      <c r="AF659" s="101"/>
      <c r="AG659" s="101"/>
      <c r="AH659" s="101"/>
      <c r="AI659" s="101"/>
      <c r="AJ659" s="101"/>
      <c r="AK659" s="101"/>
      <c r="AL659" s="101"/>
    </row>
    <row r="660">
      <c r="A660" s="101"/>
      <c r="B660" s="644"/>
      <c r="C660" s="101"/>
      <c r="D660" s="605"/>
      <c r="E660" s="645"/>
      <c r="F660" s="101"/>
      <c r="G660" s="101"/>
      <c r="H660" s="101"/>
      <c r="I660" s="606"/>
      <c r="J660" s="606"/>
      <c r="K660" s="606"/>
      <c r="L660" s="606"/>
      <c r="M660" s="606"/>
      <c r="N660" s="606"/>
      <c r="O660" s="606"/>
      <c r="P660" s="606"/>
      <c r="Q660" s="606"/>
      <c r="R660" s="606"/>
      <c r="S660" s="606"/>
      <c r="T660" s="606"/>
      <c r="U660" s="606"/>
      <c r="V660" s="461"/>
      <c r="W660" s="461"/>
      <c r="X660" s="131"/>
      <c r="Y660" s="101"/>
      <c r="Z660" s="101"/>
      <c r="AA660" s="101"/>
      <c r="AB660" s="101"/>
      <c r="AC660" s="101"/>
      <c r="AD660" s="101"/>
      <c r="AE660" s="101"/>
      <c r="AF660" s="101"/>
      <c r="AG660" s="101"/>
      <c r="AH660" s="101"/>
      <c r="AI660" s="101"/>
      <c r="AJ660" s="101"/>
      <c r="AK660" s="101"/>
      <c r="AL660" s="101"/>
    </row>
    <row r="661">
      <c r="A661" s="101"/>
      <c r="B661" s="644"/>
      <c r="C661" s="101"/>
      <c r="D661" s="605"/>
      <c r="E661" s="645"/>
      <c r="F661" s="101"/>
      <c r="G661" s="101"/>
      <c r="H661" s="101"/>
      <c r="I661" s="606"/>
      <c r="J661" s="606"/>
      <c r="K661" s="606"/>
      <c r="L661" s="606"/>
      <c r="M661" s="606"/>
      <c r="N661" s="606"/>
      <c r="O661" s="606"/>
      <c r="P661" s="606"/>
      <c r="Q661" s="606"/>
      <c r="R661" s="606"/>
      <c r="S661" s="606"/>
      <c r="T661" s="606"/>
      <c r="U661" s="606"/>
      <c r="V661" s="461"/>
      <c r="W661" s="461"/>
      <c r="X661" s="131"/>
      <c r="Y661" s="101"/>
      <c r="Z661" s="101"/>
      <c r="AA661" s="101"/>
      <c r="AB661" s="101"/>
      <c r="AC661" s="101"/>
      <c r="AD661" s="101"/>
      <c r="AE661" s="101"/>
      <c r="AF661" s="101"/>
      <c r="AG661" s="101"/>
      <c r="AH661" s="101"/>
      <c r="AI661" s="101"/>
      <c r="AJ661" s="101"/>
      <c r="AK661" s="101"/>
      <c r="AL661" s="101"/>
    </row>
    <row r="662">
      <c r="A662" s="101"/>
      <c r="B662" s="644"/>
      <c r="C662" s="101"/>
      <c r="D662" s="605"/>
      <c r="E662" s="645"/>
      <c r="F662" s="101"/>
      <c r="G662" s="101"/>
      <c r="H662" s="101"/>
      <c r="I662" s="606"/>
      <c r="J662" s="606"/>
      <c r="K662" s="606"/>
      <c r="L662" s="606"/>
      <c r="M662" s="606"/>
      <c r="N662" s="606"/>
      <c r="O662" s="606"/>
      <c r="P662" s="606"/>
      <c r="Q662" s="606"/>
      <c r="R662" s="606"/>
      <c r="S662" s="606"/>
      <c r="T662" s="606"/>
      <c r="U662" s="606"/>
      <c r="V662" s="461"/>
      <c r="W662" s="461"/>
      <c r="X662" s="131"/>
      <c r="Y662" s="101"/>
      <c r="Z662" s="101"/>
      <c r="AA662" s="101"/>
      <c r="AB662" s="101"/>
      <c r="AC662" s="101"/>
      <c r="AD662" s="101"/>
      <c r="AE662" s="101"/>
      <c r="AF662" s="101"/>
      <c r="AG662" s="101"/>
      <c r="AH662" s="101"/>
      <c r="AI662" s="101"/>
      <c r="AJ662" s="101"/>
      <c r="AK662" s="101"/>
      <c r="AL662" s="101"/>
    </row>
    <row r="663">
      <c r="A663" s="101"/>
      <c r="B663" s="644"/>
      <c r="C663" s="101"/>
      <c r="D663" s="605"/>
      <c r="E663" s="645"/>
      <c r="F663" s="101"/>
      <c r="G663" s="101"/>
      <c r="H663" s="101"/>
      <c r="I663" s="606"/>
      <c r="J663" s="606"/>
      <c r="K663" s="606"/>
      <c r="L663" s="606"/>
      <c r="M663" s="606"/>
      <c r="N663" s="606"/>
      <c r="O663" s="606"/>
      <c r="P663" s="606"/>
      <c r="Q663" s="606"/>
      <c r="R663" s="606"/>
      <c r="S663" s="606"/>
      <c r="T663" s="606"/>
      <c r="U663" s="606"/>
      <c r="V663" s="461"/>
      <c r="W663" s="461"/>
      <c r="X663" s="131"/>
      <c r="Y663" s="101"/>
      <c r="Z663" s="101"/>
      <c r="AA663" s="101"/>
      <c r="AB663" s="101"/>
      <c r="AC663" s="101"/>
      <c r="AD663" s="101"/>
      <c r="AE663" s="101"/>
      <c r="AF663" s="101"/>
      <c r="AG663" s="101"/>
      <c r="AH663" s="101"/>
      <c r="AI663" s="101"/>
      <c r="AJ663" s="101"/>
      <c r="AK663" s="101"/>
      <c r="AL663" s="101"/>
    </row>
    <row r="664">
      <c r="A664" s="101"/>
      <c r="B664" s="644"/>
      <c r="C664" s="101"/>
      <c r="D664" s="605"/>
      <c r="E664" s="645"/>
      <c r="F664" s="101"/>
      <c r="G664" s="101"/>
      <c r="H664" s="101"/>
      <c r="I664" s="606"/>
      <c r="J664" s="606"/>
      <c r="K664" s="606"/>
      <c r="L664" s="606"/>
      <c r="M664" s="606"/>
      <c r="N664" s="606"/>
      <c r="O664" s="606"/>
      <c r="P664" s="606"/>
      <c r="Q664" s="606"/>
      <c r="R664" s="606"/>
      <c r="S664" s="606"/>
      <c r="T664" s="606"/>
      <c r="U664" s="606"/>
      <c r="V664" s="461"/>
      <c r="W664" s="461"/>
      <c r="X664" s="131"/>
      <c r="Y664" s="101"/>
      <c r="Z664" s="101"/>
      <c r="AA664" s="101"/>
      <c r="AB664" s="101"/>
      <c r="AC664" s="101"/>
      <c r="AD664" s="101"/>
      <c r="AE664" s="101"/>
      <c r="AF664" s="101"/>
      <c r="AG664" s="101"/>
      <c r="AH664" s="101"/>
      <c r="AI664" s="101"/>
      <c r="AJ664" s="101"/>
      <c r="AK664" s="101"/>
      <c r="AL664" s="101"/>
    </row>
    <row r="665">
      <c r="A665" s="101"/>
      <c r="B665" s="644"/>
      <c r="C665" s="101"/>
      <c r="D665" s="605"/>
      <c r="E665" s="645"/>
      <c r="F665" s="101"/>
      <c r="G665" s="101"/>
      <c r="H665" s="101"/>
      <c r="I665" s="606"/>
      <c r="J665" s="606"/>
      <c r="K665" s="606"/>
      <c r="L665" s="606"/>
      <c r="M665" s="606"/>
      <c r="N665" s="606"/>
      <c r="O665" s="606"/>
      <c r="P665" s="606"/>
      <c r="Q665" s="606"/>
      <c r="R665" s="606"/>
      <c r="S665" s="606"/>
      <c r="T665" s="606"/>
      <c r="U665" s="606"/>
      <c r="V665" s="461"/>
      <c r="W665" s="461"/>
      <c r="X665" s="131"/>
      <c r="Y665" s="101"/>
      <c r="Z665" s="101"/>
      <c r="AA665" s="101"/>
      <c r="AB665" s="101"/>
      <c r="AC665" s="101"/>
      <c r="AD665" s="101"/>
      <c r="AE665" s="101"/>
      <c r="AF665" s="101"/>
      <c r="AG665" s="101"/>
      <c r="AH665" s="101"/>
      <c r="AI665" s="101"/>
      <c r="AJ665" s="101"/>
      <c r="AK665" s="101"/>
      <c r="AL665" s="101"/>
    </row>
    <row r="666">
      <c r="A666" s="101"/>
      <c r="B666" s="644"/>
      <c r="C666" s="101"/>
      <c r="D666" s="605"/>
      <c r="E666" s="645"/>
      <c r="F666" s="101"/>
      <c r="G666" s="101"/>
      <c r="H666" s="101"/>
      <c r="I666" s="606"/>
      <c r="J666" s="606"/>
      <c r="K666" s="606"/>
      <c r="L666" s="606"/>
      <c r="M666" s="606"/>
      <c r="N666" s="606"/>
      <c r="O666" s="606"/>
      <c r="P666" s="606"/>
      <c r="Q666" s="606"/>
      <c r="R666" s="606"/>
      <c r="S666" s="606"/>
      <c r="T666" s="606"/>
      <c r="U666" s="606"/>
      <c r="V666" s="461"/>
      <c r="W666" s="461"/>
      <c r="X666" s="131"/>
      <c r="Y666" s="101"/>
      <c r="Z666" s="101"/>
      <c r="AA666" s="101"/>
      <c r="AB666" s="101"/>
      <c r="AC666" s="101"/>
      <c r="AD666" s="101"/>
      <c r="AE666" s="101"/>
      <c r="AF666" s="101"/>
      <c r="AG666" s="101"/>
      <c r="AH666" s="101"/>
      <c r="AI666" s="101"/>
      <c r="AJ666" s="101"/>
      <c r="AK666" s="101"/>
      <c r="AL666" s="101"/>
    </row>
    <row r="667">
      <c r="A667" s="101"/>
      <c r="B667" s="644"/>
      <c r="C667" s="101"/>
      <c r="D667" s="605"/>
      <c r="E667" s="645"/>
      <c r="F667" s="101"/>
      <c r="G667" s="101"/>
      <c r="H667" s="101"/>
      <c r="I667" s="606"/>
      <c r="J667" s="606"/>
      <c r="K667" s="606"/>
      <c r="L667" s="606"/>
      <c r="M667" s="606"/>
      <c r="N667" s="606"/>
      <c r="O667" s="606"/>
      <c r="P667" s="606"/>
      <c r="Q667" s="606"/>
      <c r="R667" s="606"/>
      <c r="S667" s="606"/>
      <c r="T667" s="606"/>
      <c r="U667" s="606"/>
      <c r="V667" s="461"/>
      <c r="W667" s="461"/>
      <c r="X667" s="131"/>
      <c r="Y667" s="101"/>
      <c r="Z667" s="101"/>
      <c r="AA667" s="101"/>
      <c r="AB667" s="101"/>
      <c r="AC667" s="101"/>
      <c r="AD667" s="101"/>
      <c r="AE667" s="101"/>
      <c r="AF667" s="101"/>
      <c r="AG667" s="101"/>
      <c r="AH667" s="101"/>
      <c r="AI667" s="101"/>
      <c r="AJ667" s="101"/>
      <c r="AK667" s="101"/>
      <c r="AL667" s="101"/>
    </row>
    <row r="668">
      <c r="A668" s="101"/>
      <c r="B668" s="644"/>
      <c r="C668" s="101"/>
      <c r="D668" s="605"/>
      <c r="E668" s="645"/>
      <c r="F668" s="101"/>
      <c r="G668" s="101"/>
      <c r="H668" s="101"/>
      <c r="I668" s="606"/>
      <c r="J668" s="606"/>
      <c r="K668" s="606"/>
      <c r="L668" s="606"/>
      <c r="M668" s="606"/>
      <c r="N668" s="606"/>
      <c r="O668" s="606"/>
      <c r="P668" s="606"/>
      <c r="Q668" s="606"/>
      <c r="R668" s="606"/>
      <c r="S668" s="606"/>
      <c r="T668" s="606"/>
      <c r="U668" s="606"/>
      <c r="V668" s="461"/>
      <c r="W668" s="461"/>
      <c r="X668" s="131"/>
      <c r="Y668" s="101"/>
      <c r="Z668" s="101"/>
      <c r="AA668" s="101"/>
      <c r="AB668" s="101"/>
      <c r="AC668" s="101"/>
      <c r="AD668" s="101"/>
      <c r="AE668" s="101"/>
      <c r="AF668" s="101"/>
      <c r="AG668" s="101"/>
      <c r="AH668" s="101"/>
      <c r="AI668" s="101"/>
      <c r="AJ668" s="101"/>
      <c r="AK668" s="101"/>
      <c r="AL668" s="101"/>
    </row>
    <row r="669">
      <c r="A669" s="101"/>
      <c r="B669" s="644"/>
      <c r="C669" s="101"/>
      <c r="D669" s="605"/>
      <c r="E669" s="645"/>
      <c r="F669" s="101"/>
      <c r="G669" s="101"/>
      <c r="H669" s="101"/>
      <c r="I669" s="606"/>
      <c r="J669" s="606"/>
      <c r="K669" s="606"/>
      <c r="L669" s="606"/>
      <c r="M669" s="606"/>
      <c r="N669" s="606"/>
      <c r="O669" s="606"/>
      <c r="P669" s="606"/>
      <c r="Q669" s="606"/>
      <c r="R669" s="606"/>
      <c r="S669" s="606"/>
      <c r="T669" s="606"/>
      <c r="U669" s="606"/>
      <c r="V669" s="461"/>
      <c r="W669" s="461"/>
      <c r="X669" s="131"/>
      <c r="Y669" s="101"/>
      <c r="Z669" s="101"/>
      <c r="AA669" s="101"/>
      <c r="AB669" s="101"/>
      <c r="AC669" s="101"/>
      <c r="AD669" s="101"/>
      <c r="AE669" s="101"/>
      <c r="AF669" s="101"/>
      <c r="AG669" s="101"/>
      <c r="AH669" s="101"/>
      <c r="AI669" s="101"/>
      <c r="AJ669" s="101"/>
      <c r="AK669" s="101"/>
      <c r="AL669" s="101"/>
    </row>
    <row r="670">
      <c r="A670" s="101"/>
      <c r="B670" s="644"/>
      <c r="C670" s="101"/>
      <c r="D670" s="605"/>
      <c r="E670" s="645"/>
      <c r="F670" s="101"/>
      <c r="G670" s="101"/>
      <c r="H670" s="101"/>
      <c r="I670" s="606"/>
      <c r="J670" s="606"/>
      <c r="K670" s="606"/>
      <c r="L670" s="606"/>
      <c r="M670" s="606"/>
      <c r="N670" s="606"/>
      <c r="O670" s="606"/>
      <c r="P670" s="606"/>
      <c r="Q670" s="606"/>
      <c r="R670" s="606"/>
      <c r="S670" s="606"/>
      <c r="T670" s="606"/>
      <c r="U670" s="606"/>
      <c r="V670" s="461"/>
      <c r="W670" s="461"/>
      <c r="X670" s="131"/>
      <c r="Y670" s="101"/>
      <c r="Z670" s="101"/>
      <c r="AA670" s="101"/>
      <c r="AB670" s="101"/>
      <c r="AC670" s="101"/>
      <c r="AD670" s="101"/>
      <c r="AE670" s="101"/>
      <c r="AF670" s="101"/>
      <c r="AG670" s="101"/>
      <c r="AH670" s="101"/>
      <c r="AI670" s="101"/>
      <c r="AJ670" s="101"/>
      <c r="AK670" s="101"/>
      <c r="AL670" s="101"/>
    </row>
    <row r="671">
      <c r="A671" s="101"/>
      <c r="B671" s="644"/>
      <c r="C671" s="101"/>
      <c r="D671" s="605"/>
      <c r="E671" s="645"/>
      <c r="F671" s="101"/>
      <c r="G671" s="101"/>
      <c r="H671" s="101"/>
      <c r="I671" s="606"/>
      <c r="J671" s="606"/>
      <c r="K671" s="606"/>
      <c r="L671" s="606"/>
      <c r="M671" s="606"/>
      <c r="N671" s="606"/>
      <c r="O671" s="606"/>
      <c r="P671" s="606"/>
      <c r="Q671" s="606"/>
      <c r="R671" s="606"/>
      <c r="S671" s="606"/>
      <c r="T671" s="606"/>
      <c r="U671" s="606"/>
      <c r="V671" s="461"/>
      <c r="W671" s="461"/>
      <c r="X671" s="131"/>
      <c r="Y671" s="101"/>
      <c r="Z671" s="101"/>
      <c r="AA671" s="101"/>
      <c r="AB671" s="101"/>
      <c r="AC671" s="101"/>
      <c r="AD671" s="101"/>
      <c r="AE671" s="101"/>
      <c r="AF671" s="101"/>
      <c r="AG671" s="101"/>
      <c r="AH671" s="101"/>
      <c r="AI671" s="101"/>
      <c r="AJ671" s="101"/>
      <c r="AK671" s="101"/>
      <c r="AL671" s="101"/>
    </row>
    <row r="672">
      <c r="A672" s="101"/>
      <c r="B672" s="644"/>
      <c r="C672" s="101"/>
      <c r="D672" s="605"/>
      <c r="E672" s="645"/>
      <c r="F672" s="101"/>
      <c r="G672" s="101"/>
      <c r="H672" s="101"/>
      <c r="I672" s="606"/>
      <c r="J672" s="606"/>
      <c r="K672" s="606"/>
      <c r="L672" s="606"/>
      <c r="M672" s="606"/>
      <c r="N672" s="606"/>
      <c r="O672" s="606"/>
      <c r="P672" s="606"/>
      <c r="Q672" s="606"/>
      <c r="R672" s="606"/>
      <c r="S672" s="606"/>
      <c r="T672" s="606"/>
      <c r="U672" s="606"/>
      <c r="V672" s="461"/>
      <c r="W672" s="461"/>
      <c r="X672" s="131"/>
      <c r="Y672" s="101"/>
      <c r="Z672" s="101"/>
      <c r="AA672" s="101"/>
      <c r="AB672" s="101"/>
      <c r="AC672" s="101"/>
      <c r="AD672" s="101"/>
      <c r="AE672" s="101"/>
      <c r="AF672" s="101"/>
      <c r="AG672" s="101"/>
      <c r="AH672" s="101"/>
      <c r="AI672" s="101"/>
      <c r="AJ672" s="101"/>
      <c r="AK672" s="101"/>
      <c r="AL672" s="101"/>
    </row>
    <row r="673">
      <c r="A673" s="101"/>
      <c r="B673" s="644"/>
      <c r="C673" s="101"/>
      <c r="D673" s="605"/>
      <c r="E673" s="645"/>
      <c r="F673" s="101"/>
      <c r="G673" s="101"/>
      <c r="H673" s="101"/>
      <c r="I673" s="606"/>
      <c r="J673" s="606"/>
      <c r="K673" s="606"/>
      <c r="L673" s="606"/>
      <c r="M673" s="606"/>
      <c r="N673" s="606"/>
      <c r="O673" s="606"/>
      <c r="P673" s="606"/>
      <c r="Q673" s="606"/>
      <c r="R673" s="606"/>
      <c r="S673" s="606"/>
      <c r="T673" s="606"/>
      <c r="U673" s="606"/>
      <c r="V673" s="461"/>
      <c r="W673" s="461"/>
      <c r="X673" s="131"/>
      <c r="Y673" s="101"/>
      <c r="Z673" s="101"/>
      <c r="AA673" s="101"/>
      <c r="AB673" s="101"/>
      <c r="AC673" s="101"/>
      <c r="AD673" s="101"/>
      <c r="AE673" s="101"/>
      <c r="AF673" s="101"/>
      <c r="AG673" s="101"/>
      <c r="AH673" s="101"/>
      <c r="AI673" s="101"/>
      <c r="AJ673" s="101"/>
      <c r="AK673" s="101"/>
      <c r="AL673" s="101"/>
    </row>
    <row r="674">
      <c r="A674" s="101"/>
      <c r="B674" s="644"/>
      <c r="C674" s="101"/>
      <c r="D674" s="605"/>
      <c r="E674" s="645"/>
      <c r="F674" s="101"/>
      <c r="G674" s="101"/>
      <c r="H674" s="101"/>
      <c r="I674" s="606"/>
      <c r="J674" s="606"/>
      <c r="K674" s="606"/>
      <c r="L674" s="606"/>
      <c r="M674" s="606"/>
      <c r="N674" s="606"/>
      <c r="O674" s="606"/>
      <c r="P674" s="606"/>
      <c r="Q674" s="606"/>
      <c r="R674" s="606"/>
      <c r="S674" s="606"/>
      <c r="T674" s="606"/>
      <c r="U674" s="606"/>
      <c r="V674" s="461"/>
      <c r="W674" s="461"/>
      <c r="X674" s="131"/>
      <c r="Y674" s="101"/>
      <c r="Z674" s="101"/>
      <c r="AA674" s="101"/>
      <c r="AB674" s="101"/>
      <c r="AC674" s="101"/>
      <c r="AD674" s="101"/>
      <c r="AE674" s="101"/>
      <c r="AF674" s="101"/>
      <c r="AG674" s="101"/>
      <c r="AH674" s="101"/>
      <c r="AI674" s="101"/>
      <c r="AJ674" s="101"/>
      <c r="AK674" s="101"/>
      <c r="AL674" s="101"/>
    </row>
    <row r="675">
      <c r="A675" s="101"/>
      <c r="B675" s="644"/>
      <c r="C675" s="101"/>
      <c r="D675" s="605"/>
      <c r="E675" s="645"/>
      <c r="F675" s="101"/>
      <c r="G675" s="101"/>
      <c r="H675" s="101"/>
      <c r="I675" s="606"/>
      <c r="J675" s="606"/>
      <c r="K675" s="606"/>
      <c r="L675" s="606"/>
      <c r="M675" s="606"/>
      <c r="N675" s="606"/>
      <c r="O675" s="606"/>
      <c r="P675" s="606"/>
      <c r="Q675" s="606"/>
      <c r="R675" s="606"/>
      <c r="S675" s="606"/>
      <c r="T675" s="606"/>
      <c r="U675" s="606"/>
      <c r="V675" s="461"/>
      <c r="W675" s="461"/>
      <c r="X675" s="131"/>
      <c r="Y675" s="101"/>
      <c r="Z675" s="101"/>
      <c r="AA675" s="101"/>
      <c r="AB675" s="101"/>
      <c r="AC675" s="101"/>
      <c r="AD675" s="101"/>
      <c r="AE675" s="101"/>
      <c r="AF675" s="101"/>
      <c r="AG675" s="101"/>
      <c r="AH675" s="101"/>
      <c r="AI675" s="101"/>
      <c r="AJ675" s="101"/>
      <c r="AK675" s="101"/>
      <c r="AL675" s="101"/>
    </row>
    <row r="676">
      <c r="A676" s="101"/>
      <c r="B676" s="644"/>
      <c r="C676" s="101"/>
      <c r="D676" s="605"/>
      <c r="E676" s="645"/>
      <c r="F676" s="101"/>
      <c r="G676" s="101"/>
      <c r="H676" s="101"/>
      <c r="I676" s="606"/>
      <c r="J676" s="606"/>
      <c r="K676" s="606"/>
      <c r="L676" s="606"/>
      <c r="M676" s="606"/>
      <c r="N676" s="606"/>
      <c r="O676" s="606"/>
      <c r="P676" s="606"/>
      <c r="Q676" s="606"/>
      <c r="R676" s="606"/>
      <c r="S676" s="606"/>
      <c r="T676" s="606"/>
      <c r="U676" s="606"/>
      <c r="V676" s="461"/>
      <c r="W676" s="461"/>
      <c r="X676" s="131"/>
      <c r="Y676" s="101"/>
      <c r="Z676" s="101"/>
      <c r="AA676" s="101"/>
      <c r="AB676" s="101"/>
      <c r="AC676" s="101"/>
      <c r="AD676" s="101"/>
      <c r="AE676" s="101"/>
      <c r="AF676" s="101"/>
      <c r="AG676" s="101"/>
      <c r="AH676" s="101"/>
      <c r="AI676" s="101"/>
      <c r="AJ676" s="101"/>
      <c r="AK676" s="101"/>
      <c r="AL676" s="101"/>
    </row>
    <row r="677">
      <c r="A677" s="101"/>
      <c r="B677" s="644"/>
      <c r="C677" s="101"/>
      <c r="D677" s="605"/>
      <c r="E677" s="645"/>
      <c r="F677" s="101"/>
      <c r="G677" s="101"/>
      <c r="H677" s="101"/>
      <c r="I677" s="606"/>
      <c r="J677" s="606"/>
      <c r="K677" s="606"/>
      <c r="L677" s="606"/>
      <c r="M677" s="606"/>
      <c r="N677" s="606"/>
      <c r="O677" s="606"/>
      <c r="P677" s="606"/>
      <c r="Q677" s="606"/>
      <c r="R677" s="606"/>
      <c r="S677" s="606"/>
      <c r="T677" s="606"/>
      <c r="U677" s="606"/>
      <c r="V677" s="461"/>
      <c r="W677" s="461"/>
      <c r="X677" s="131"/>
      <c r="Y677" s="101"/>
      <c r="Z677" s="101"/>
      <c r="AA677" s="101"/>
      <c r="AB677" s="101"/>
      <c r="AC677" s="101"/>
      <c r="AD677" s="101"/>
      <c r="AE677" s="101"/>
      <c r="AF677" s="101"/>
      <c r="AG677" s="101"/>
      <c r="AH677" s="101"/>
      <c r="AI677" s="101"/>
      <c r="AJ677" s="101"/>
      <c r="AK677" s="101"/>
      <c r="AL677" s="101"/>
    </row>
    <row r="678">
      <c r="A678" s="101"/>
      <c r="B678" s="644"/>
      <c r="C678" s="101"/>
      <c r="D678" s="605"/>
      <c r="E678" s="645"/>
      <c r="F678" s="101"/>
      <c r="G678" s="101"/>
      <c r="H678" s="101"/>
      <c r="I678" s="606"/>
      <c r="J678" s="606"/>
      <c r="K678" s="606"/>
      <c r="L678" s="606"/>
      <c r="M678" s="606"/>
      <c r="N678" s="606"/>
      <c r="O678" s="606"/>
      <c r="P678" s="606"/>
      <c r="Q678" s="606"/>
      <c r="R678" s="606"/>
      <c r="S678" s="606"/>
      <c r="T678" s="606"/>
      <c r="U678" s="606"/>
      <c r="V678" s="461"/>
      <c r="W678" s="461"/>
      <c r="X678" s="131"/>
      <c r="Y678" s="101"/>
      <c r="Z678" s="101"/>
      <c r="AA678" s="101"/>
      <c r="AB678" s="101"/>
      <c r="AC678" s="101"/>
      <c r="AD678" s="101"/>
      <c r="AE678" s="101"/>
      <c r="AF678" s="101"/>
      <c r="AG678" s="101"/>
      <c r="AH678" s="101"/>
      <c r="AI678" s="101"/>
      <c r="AJ678" s="101"/>
      <c r="AK678" s="101"/>
      <c r="AL678" s="101"/>
    </row>
    <row r="679">
      <c r="A679" s="101"/>
      <c r="B679" s="644"/>
      <c r="C679" s="101"/>
      <c r="D679" s="605"/>
      <c r="E679" s="645"/>
      <c r="F679" s="101"/>
      <c r="G679" s="101"/>
      <c r="H679" s="101"/>
      <c r="I679" s="606"/>
      <c r="J679" s="606"/>
      <c r="K679" s="606"/>
      <c r="L679" s="606"/>
      <c r="M679" s="606"/>
      <c r="N679" s="606"/>
      <c r="O679" s="606"/>
      <c r="P679" s="606"/>
      <c r="Q679" s="606"/>
      <c r="R679" s="606"/>
      <c r="S679" s="606"/>
      <c r="T679" s="606"/>
      <c r="U679" s="606"/>
      <c r="V679" s="461"/>
      <c r="W679" s="461"/>
      <c r="X679" s="131"/>
      <c r="Y679" s="101"/>
      <c r="Z679" s="101"/>
      <c r="AA679" s="101"/>
      <c r="AB679" s="101"/>
      <c r="AC679" s="101"/>
      <c r="AD679" s="101"/>
      <c r="AE679" s="101"/>
      <c r="AF679" s="101"/>
      <c r="AG679" s="101"/>
      <c r="AH679" s="101"/>
      <c r="AI679" s="101"/>
      <c r="AJ679" s="101"/>
      <c r="AK679" s="101"/>
      <c r="AL679" s="101"/>
    </row>
    <row r="680">
      <c r="A680" s="101"/>
      <c r="B680" s="644"/>
      <c r="C680" s="101"/>
      <c r="D680" s="605"/>
      <c r="E680" s="645"/>
      <c r="F680" s="101"/>
      <c r="G680" s="101"/>
      <c r="H680" s="101"/>
      <c r="I680" s="606"/>
      <c r="J680" s="606"/>
      <c r="K680" s="606"/>
      <c r="L680" s="606"/>
      <c r="M680" s="606"/>
      <c r="N680" s="606"/>
      <c r="O680" s="606"/>
      <c r="P680" s="606"/>
      <c r="Q680" s="606"/>
      <c r="R680" s="606"/>
      <c r="S680" s="606"/>
      <c r="T680" s="606"/>
      <c r="U680" s="606"/>
      <c r="V680" s="461"/>
      <c r="W680" s="461"/>
      <c r="X680" s="131"/>
      <c r="Y680" s="101"/>
      <c r="Z680" s="101"/>
      <c r="AA680" s="101"/>
      <c r="AB680" s="101"/>
      <c r="AC680" s="101"/>
      <c r="AD680" s="101"/>
      <c r="AE680" s="101"/>
      <c r="AF680" s="101"/>
      <c r="AG680" s="101"/>
      <c r="AH680" s="101"/>
      <c r="AI680" s="101"/>
      <c r="AJ680" s="101"/>
      <c r="AK680" s="101"/>
      <c r="AL680" s="101"/>
    </row>
    <row r="681">
      <c r="A681" s="101"/>
      <c r="B681" s="644"/>
      <c r="C681" s="101"/>
      <c r="D681" s="605"/>
      <c r="E681" s="645"/>
      <c r="F681" s="101"/>
      <c r="G681" s="101"/>
      <c r="H681" s="101"/>
      <c r="I681" s="606"/>
      <c r="J681" s="606"/>
      <c r="K681" s="606"/>
      <c r="L681" s="606"/>
      <c r="M681" s="606"/>
      <c r="N681" s="606"/>
      <c r="O681" s="606"/>
      <c r="P681" s="606"/>
      <c r="Q681" s="606"/>
      <c r="R681" s="606"/>
      <c r="S681" s="606"/>
      <c r="T681" s="606"/>
      <c r="U681" s="606"/>
      <c r="V681" s="461"/>
      <c r="W681" s="461"/>
      <c r="X681" s="131"/>
      <c r="Y681" s="101"/>
      <c r="Z681" s="101"/>
      <c r="AA681" s="101"/>
      <c r="AB681" s="101"/>
      <c r="AC681" s="101"/>
      <c r="AD681" s="101"/>
      <c r="AE681" s="101"/>
      <c r="AF681" s="101"/>
      <c r="AG681" s="101"/>
      <c r="AH681" s="101"/>
      <c r="AI681" s="101"/>
      <c r="AJ681" s="101"/>
      <c r="AK681" s="101"/>
      <c r="AL681" s="101"/>
    </row>
    <row r="682">
      <c r="A682" s="101"/>
      <c r="B682" s="644"/>
      <c r="C682" s="101"/>
      <c r="D682" s="605"/>
      <c r="E682" s="645"/>
      <c r="F682" s="101"/>
      <c r="G682" s="101"/>
      <c r="H682" s="101"/>
      <c r="I682" s="606"/>
      <c r="J682" s="606"/>
      <c r="K682" s="606"/>
      <c r="L682" s="606"/>
      <c r="M682" s="606"/>
      <c r="N682" s="606"/>
      <c r="O682" s="606"/>
      <c r="P682" s="606"/>
      <c r="Q682" s="606"/>
      <c r="R682" s="606"/>
      <c r="S682" s="606"/>
      <c r="T682" s="606"/>
      <c r="U682" s="606"/>
      <c r="V682" s="461"/>
      <c r="W682" s="461"/>
      <c r="X682" s="131"/>
      <c r="Y682" s="101"/>
      <c r="Z682" s="101"/>
      <c r="AA682" s="101"/>
      <c r="AB682" s="101"/>
      <c r="AC682" s="101"/>
      <c r="AD682" s="101"/>
      <c r="AE682" s="101"/>
      <c r="AF682" s="101"/>
      <c r="AG682" s="101"/>
      <c r="AH682" s="101"/>
      <c r="AI682" s="101"/>
      <c r="AJ682" s="101"/>
      <c r="AK682" s="101"/>
      <c r="AL682" s="101"/>
    </row>
    <row r="683">
      <c r="A683" s="101"/>
      <c r="B683" s="644"/>
      <c r="C683" s="101"/>
      <c r="D683" s="605"/>
      <c r="E683" s="645"/>
      <c r="F683" s="101"/>
      <c r="G683" s="101"/>
      <c r="H683" s="101"/>
      <c r="I683" s="606"/>
      <c r="J683" s="606"/>
      <c r="K683" s="606"/>
      <c r="L683" s="606"/>
      <c r="M683" s="606"/>
      <c r="N683" s="606"/>
      <c r="O683" s="606"/>
      <c r="P683" s="606"/>
      <c r="Q683" s="606"/>
      <c r="R683" s="606"/>
      <c r="S683" s="606"/>
      <c r="T683" s="606"/>
      <c r="U683" s="606"/>
      <c r="V683" s="461"/>
      <c r="W683" s="461"/>
      <c r="X683" s="131"/>
      <c r="Y683" s="101"/>
      <c r="Z683" s="101"/>
      <c r="AA683" s="101"/>
      <c r="AB683" s="101"/>
      <c r="AC683" s="101"/>
      <c r="AD683" s="101"/>
      <c r="AE683" s="101"/>
      <c r="AF683" s="101"/>
      <c r="AG683" s="101"/>
      <c r="AH683" s="101"/>
      <c r="AI683" s="101"/>
      <c r="AJ683" s="101"/>
      <c r="AK683" s="101"/>
      <c r="AL683" s="101"/>
    </row>
    <row r="684">
      <c r="A684" s="101"/>
      <c r="B684" s="644"/>
      <c r="C684" s="101"/>
      <c r="D684" s="605"/>
      <c r="E684" s="645"/>
      <c r="F684" s="101"/>
      <c r="G684" s="101"/>
      <c r="H684" s="101"/>
      <c r="I684" s="606"/>
      <c r="J684" s="606"/>
      <c r="K684" s="606"/>
      <c r="L684" s="606"/>
      <c r="M684" s="606"/>
      <c r="N684" s="606"/>
      <c r="O684" s="606"/>
      <c r="P684" s="606"/>
      <c r="Q684" s="606"/>
      <c r="R684" s="606"/>
      <c r="S684" s="606"/>
      <c r="T684" s="606"/>
      <c r="U684" s="606"/>
      <c r="V684" s="461"/>
      <c r="W684" s="461"/>
      <c r="X684" s="131"/>
      <c r="Y684" s="101"/>
      <c r="Z684" s="101"/>
      <c r="AA684" s="101"/>
      <c r="AB684" s="101"/>
      <c r="AC684" s="101"/>
      <c r="AD684" s="101"/>
      <c r="AE684" s="101"/>
      <c r="AF684" s="101"/>
      <c r="AG684" s="101"/>
      <c r="AH684" s="101"/>
      <c r="AI684" s="101"/>
      <c r="AJ684" s="101"/>
      <c r="AK684" s="101"/>
      <c r="AL684" s="101"/>
    </row>
    <row r="685">
      <c r="A685" s="101"/>
      <c r="B685" s="644"/>
      <c r="C685" s="101"/>
      <c r="D685" s="605"/>
      <c r="E685" s="645"/>
      <c r="F685" s="101"/>
      <c r="G685" s="101"/>
      <c r="H685" s="101"/>
      <c r="I685" s="606"/>
      <c r="J685" s="606"/>
      <c r="K685" s="606"/>
      <c r="L685" s="606"/>
      <c r="M685" s="606"/>
      <c r="N685" s="606"/>
      <c r="O685" s="606"/>
      <c r="P685" s="606"/>
      <c r="Q685" s="606"/>
      <c r="R685" s="606"/>
      <c r="S685" s="606"/>
      <c r="T685" s="606"/>
      <c r="U685" s="606"/>
      <c r="V685" s="461"/>
      <c r="W685" s="461"/>
      <c r="X685" s="131"/>
      <c r="Y685" s="101"/>
      <c r="Z685" s="101"/>
      <c r="AA685" s="101"/>
      <c r="AB685" s="101"/>
      <c r="AC685" s="101"/>
      <c r="AD685" s="101"/>
      <c r="AE685" s="101"/>
      <c r="AF685" s="101"/>
      <c r="AG685" s="101"/>
      <c r="AH685" s="101"/>
      <c r="AI685" s="101"/>
      <c r="AJ685" s="101"/>
      <c r="AK685" s="101"/>
      <c r="AL685" s="101"/>
    </row>
    <row r="686">
      <c r="A686" s="101"/>
      <c r="B686" s="644"/>
      <c r="C686" s="101"/>
      <c r="D686" s="605"/>
      <c r="E686" s="645"/>
      <c r="F686" s="101"/>
      <c r="G686" s="101"/>
      <c r="H686" s="101"/>
      <c r="I686" s="606"/>
      <c r="J686" s="606"/>
      <c r="K686" s="606"/>
      <c r="L686" s="606"/>
      <c r="M686" s="606"/>
      <c r="N686" s="606"/>
      <c r="O686" s="606"/>
      <c r="P686" s="606"/>
      <c r="Q686" s="606"/>
      <c r="R686" s="606"/>
      <c r="S686" s="606"/>
      <c r="T686" s="606"/>
      <c r="U686" s="606"/>
      <c r="V686" s="461"/>
      <c r="W686" s="461"/>
      <c r="X686" s="131"/>
      <c r="Y686" s="101"/>
      <c r="Z686" s="101"/>
      <c r="AA686" s="101"/>
      <c r="AB686" s="101"/>
      <c r="AC686" s="101"/>
      <c r="AD686" s="101"/>
      <c r="AE686" s="101"/>
      <c r="AF686" s="101"/>
      <c r="AG686" s="101"/>
      <c r="AH686" s="101"/>
      <c r="AI686" s="101"/>
      <c r="AJ686" s="101"/>
      <c r="AK686" s="101"/>
      <c r="AL686" s="101"/>
    </row>
    <row r="687">
      <c r="A687" s="101"/>
      <c r="B687" s="644"/>
      <c r="C687" s="101"/>
      <c r="D687" s="605"/>
      <c r="E687" s="645"/>
      <c r="F687" s="101"/>
      <c r="G687" s="101"/>
      <c r="H687" s="101"/>
      <c r="I687" s="606"/>
      <c r="J687" s="606"/>
      <c r="K687" s="606"/>
      <c r="L687" s="606"/>
      <c r="M687" s="606"/>
      <c r="N687" s="606"/>
      <c r="O687" s="606"/>
      <c r="P687" s="606"/>
      <c r="Q687" s="606"/>
      <c r="R687" s="606"/>
      <c r="S687" s="606"/>
      <c r="T687" s="606"/>
      <c r="U687" s="606"/>
      <c r="V687" s="461"/>
      <c r="W687" s="461"/>
      <c r="X687" s="131"/>
      <c r="Y687" s="101"/>
      <c r="Z687" s="101"/>
      <c r="AA687" s="101"/>
      <c r="AB687" s="101"/>
      <c r="AC687" s="101"/>
      <c r="AD687" s="101"/>
      <c r="AE687" s="101"/>
      <c r="AF687" s="101"/>
      <c r="AG687" s="101"/>
      <c r="AH687" s="101"/>
      <c r="AI687" s="101"/>
      <c r="AJ687" s="101"/>
      <c r="AK687" s="101"/>
      <c r="AL687" s="101"/>
    </row>
    <row r="688">
      <c r="A688" s="101"/>
      <c r="B688" s="644"/>
      <c r="C688" s="101"/>
      <c r="D688" s="605"/>
      <c r="E688" s="645"/>
      <c r="F688" s="101"/>
      <c r="G688" s="101"/>
      <c r="H688" s="101"/>
      <c r="I688" s="606"/>
      <c r="J688" s="606"/>
      <c r="K688" s="606"/>
      <c r="L688" s="606"/>
      <c r="M688" s="606"/>
      <c r="N688" s="606"/>
      <c r="O688" s="606"/>
      <c r="P688" s="606"/>
      <c r="Q688" s="606"/>
      <c r="R688" s="606"/>
      <c r="S688" s="606"/>
      <c r="T688" s="606"/>
      <c r="U688" s="606"/>
      <c r="V688" s="461"/>
      <c r="W688" s="461"/>
      <c r="X688" s="131"/>
      <c r="Y688" s="101"/>
      <c r="Z688" s="101"/>
      <c r="AA688" s="101"/>
      <c r="AB688" s="101"/>
      <c r="AC688" s="101"/>
      <c r="AD688" s="101"/>
      <c r="AE688" s="101"/>
      <c r="AF688" s="101"/>
      <c r="AG688" s="101"/>
      <c r="AH688" s="101"/>
      <c r="AI688" s="101"/>
      <c r="AJ688" s="101"/>
      <c r="AK688" s="101"/>
      <c r="AL688" s="101"/>
    </row>
    <row r="689">
      <c r="A689" s="101"/>
      <c r="B689" s="644"/>
      <c r="C689" s="101"/>
      <c r="D689" s="605"/>
      <c r="E689" s="645"/>
      <c r="F689" s="101"/>
      <c r="G689" s="101"/>
      <c r="H689" s="101"/>
      <c r="I689" s="606"/>
      <c r="J689" s="606"/>
      <c r="K689" s="606"/>
      <c r="L689" s="606"/>
      <c r="M689" s="606"/>
      <c r="N689" s="606"/>
      <c r="O689" s="606"/>
      <c r="P689" s="606"/>
      <c r="Q689" s="606"/>
      <c r="R689" s="606"/>
      <c r="S689" s="606"/>
      <c r="T689" s="606"/>
      <c r="U689" s="606"/>
      <c r="V689" s="461"/>
      <c r="W689" s="461"/>
      <c r="X689" s="131"/>
      <c r="Y689" s="101"/>
      <c r="Z689" s="101"/>
      <c r="AA689" s="101"/>
      <c r="AB689" s="101"/>
      <c r="AC689" s="101"/>
      <c r="AD689" s="101"/>
      <c r="AE689" s="101"/>
      <c r="AF689" s="101"/>
      <c r="AG689" s="101"/>
      <c r="AH689" s="101"/>
      <c r="AI689" s="101"/>
      <c r="AJ689" s="101"/>
      <c r="AK689" s="101"/>
      <c r="AL689" s="101"/>
    </row>
    <row r="690">
      <c r="A690" s="101"/>
      <c r="B690" s="644"/>
      <c r="C690" s="101"/>
      <c r="D690" s="605"/>
      <c r="E690" s="645"/>
      <c r="F690" s="101"/>
      <c r="G690" s="101"/>
      <c r="H690" s="101"/>
      <c r="I690" s="606"/>
      <c r="J690" s="606"/>
      <c r="K690" s="606"/>
      <c r="L690" s="606"/>
      <c r="M690" s="606"/>
      <c r="N690" s="606"/>
      <c r="O690" s="606"/>
      <c r="P690" s="606"/>
      <c r="Q690" s="606"/>
      <c r="R690" s="606"/>
      <c r="S690" s="606"/>
      <c r="T690" s="606"/>
      <c r="U690" s="606"/>
      <c r="V690" s="461"/>
      <c r="W690" s="461"/>
      <c r="X690" s="131"/>
      <c r="Y690" s="101"/>
      <c r="Z690" s="101"/>
      <c r="AA690" s="101"/>
      <c r="AB690" s="101"/>
      <c r="AC690" s="101"/>
      <c r="AD690" s="101"/>
      <c r="AE690" s="101"/>
      <c r="AF690" s="101"/>
      <c r="AG690" s="101"/>
      <c r="AH690" s="101"/>
      <c r="AI690" s="101"/>
      <c r="AJ690" s="101"/>
      <c r="AK690" s="101"/>
      <c r="AL690" s="101"/>
    </row>
    <row r="691">
      <c r="A691" s="101"/>
      <c r="B691" s="644"/>
      <c r="C691" s="101"/>
      <c r="D691" s="605"/>
      <c r="E691" s="645"/>
      <c r="F691" s="101"/>
      <c r="G691" s="101"/>
      <c r="H691" s="101"/>
      <c r="I691" s="606"/>
      <c r="J691" s="606"/>
      <c r="K691" s="606"/>
      <c r="L691" s="606"/>
      <c r="M691" s="606"/>
      <c r="N691" s="606"/>
      <c r="O691" s="606"/>
      <c r="P691" s="606"/>
      <c r="Q691" s="606"/>
      <c r="R691" s="606"/>
      <c r="S691" s="606"/>
      <c r="T691" s="606"/>
      <c r="U691" s="606"/>
      <c r="V691" s="461"/>
      <c r="W691" s="461"/>
      <c r="X691" s="131"/>
      <c r="Y691" s="101"/>
      <c r="Z691" s="101"/>
      <c r="AA691" s="101"/>
      <c r="AB691" s="101"/>
      <c r="AC691" s="101"/>
      <c r="AD691" s="101"/>
      <c r="AE691" s="101"/>
      <c r="AF691" s="101"/>
      <c r="AG691" s="101"/>
      <c r="AH691" s="101"/>
      <c r="AI691" s="101"/>
      <c r="AJ691" s="101"/>
      <c r="AK691" s="101"/>
      <c r="AL691" s="101"/>
    </row>
    <row r="692">
      <c r="A692" s="101"/>
      <c r="B692" s="644"/>
      <c r="C692" s="101"/>
      <c r="D692" s="605"/>
      <c r="E692" s="645"/>
      <c r="F692" s="101"/>
      <c r="G692" s="101"/>
      <c r="H692" s="101"/>
      <c r="I692" s="606"/>
      <c r="J692" s="606"/>
      <c r="K692" s="606"/>
      <c r="L692" s="606"/>
      <c r="M692" s="606"/>
      <c r="N692" s="606"/>
      <c r="O692" s="606"/>
      <c r="P692" s="606"/>
      <c r="Q692" s="606"/>
      <c r="R692" s="606"/>
      <c r="S692" s="606"/>
      <c r="T692" s="606"/>
      <c r="U692" s="606"/>
      <c r="V692" s="461"/>
      <c r="W692" s="461"/>
      <c r="X692" s="131"/>
      <c r="Y692" s="101"/>
      <c r="Z692" s="101"/>
      <c r="AA692" s="101"/>
      <c r="AB692" s="101"/>
      <c r="AC692" s="101"/>
      <c r="AD692" s="101"/>
      <c r="AE692" s="101"/>
      <c r="AF692" s="101"/>
      <c r="AG692" s="101"/>
      <c r="AH692" s="101"/>
      <c r="AI692" s="101"/>
      <c r="AJ692" s="101"/>
      <c r="AK692" s="101"/>
      <c r="AL692" s="101"/>
    </row>
    <row r="693">
      <c r="A693" s="101"/>
      <c r="B693" s="644"/>
      <c r="C693" s="101"/>
      <c r="D693" s="605"/>
      <c r="E693" s="645"/>
      <c r="F693" s="101"/>
      <c r="G693" s="101"/>
      <c r="H693" s="101"/>
      <c r="I693" s="606"/>
      <c r="J693" s="606"/>
      <c r="K693" s="606"/>
      <c r="L693" s="606"/>
      <c r="M693" s="606"/>
      <c r="N693" s="606"/>
      <c r="O693" s="606"/>
      <c r="P693" s="606"/>
      <c r="Q693" s="606"/>
      <c r="R693" s="606"/>
      <c r="S693" s="606"/>
      <c r="T693" s="606"/>
      <c r="U693" s="606"/>
      <c r="V693" s="461"/>
      <c r="W693" s="461"/>
      <c r="X693" s="131"/>
      <c r="Y693" s="101"/>
      <c r="Z693" s="101"/>
      <c r="AA693" s="101"/>
      <c r="AB693" s="101"/>
      <c r="AC693" s="101"/>
      <c r="AD693" s="101"/>
      <c r="AE693" s="101"/>
      <c r="AF693" s="101"/>
      <c r="AG693" s="101"/>
      <c r="AH693" s="101"/>
      <c r="AI693" s="101"/>
      <c r="AJ693" s="101"/>
      <c r="AK693" s="101"/>
      <c r="AL693" s="101"/>
    </row>
    <row r="694">
      <c r="A694" s="101"/>
      <c r="B694" s="644"/>
      <c r="C694" s="101"/>
      <c r="D694" s="605"/>
      <c r="E694" s="645"/>
      <c r="F694" s="101"/>
      <c r="G694" s="101"/>
      <c r="H694" s="101"/>
      <c r="I694" s="606"/>
      <c r="J694" s="606"/>
      <c r="K694" s="606"/>
      <c r="L694" s="606"/>
      <c r="M694" s="606"/>
      <c r="N694" s="606"/>
      <c r="O694" s="606"/>
      <c r="P694" s="606"/>
      <c r="Q694" s="606"/>
      <c r="R694" s="606"/>
      <c r="S694" s="606"/>
      <c r="T694" s="606"/>
      <c r="U694" s="606"/>
      <c r="V694" s="461"/>
      <c r="W694" s="461"/>
      <c r="X694" s="131"/>
      <c r="Y694" s="101"/>
      <c r="Z694" s="101"/>
      <c r="AA694" s="101"/>
      <c r="AB694" s="101"/>
      <c r="AC694" s="101"/>
      <c r="AD694" s="101"/>
      <c r="AE694" s="101"/>
      <c r="AF694" s="101"/>
      <c r="AG694" s="101"/>
      <c r="AH694" s="101"/>
      <c r="AI694" s="101"/>
      <c r="AJ694" s="101"/>
      <c r="AK694" s="101"/>
      <c r="AL694" s="101"/>
    </row>
    <row r="695">
      <c r="A695" s="101"/>
      <c r="B695" s="644"/>
      <c r="C695" s="101"/>
      <c r="D695" s="605"/>
      <c r="E695" s="645"/>
      <c r="F695" s="101"/>
      <c r="G695" s="101"/>
      <c r="H695" s="101"/>
      <c r="I695" s="606"/>
      <c r="J695" s="606"/>
      <c r="K695" s="606"/>
      <c r="L695" s="606"/>
      <c r="M695" s="606"/>
      <c r="N695" s="606"/>
      <c r="O695" s="606"/>
      <c r="P695" s="606"/>
      <c r="Q695" s="606"/>
      <c r="R695" s="606"/>
      <c r="S695" s="606"/>
      <c r="T695" s="606"/>
      <c r="U695" s="606"/>
      <c r="V695" s="461"/>
      <c r="W695" s="461"/>
      <c r="X695" s="131"/>
      <c r="Y695" s="101"/>
      <c r="Z695" s="101"/>
      <c r="AA695" s="101"/>
      <c r="AB695" s="101"/>
      <c r="AC695" s="101"/>
      <c r="AD695" s="101"/>
      <c r="AE695" s="101"/>
      <c r="AF695" s="101"/>
      <c r="AG695" s="101"/>
      <c r="AH695" s="101"/>
      <c r="AI695" s="101"/>
      <c r="AJ695" s="101"/>
      <c r="AK695" s="101"/>
      <c r="AL695" s="101"/>
    </row>
    <row r="696">
      <c r="A696" s="101"/>
      <c r="B696" s="644"/>
      <c r="C696" s="101"/>
      <c r="D696" s="605"/>
      <c r="E696" s="645"/>
      <c r="F696" s="101"/>
      <c r="G696" s="101"/>
      <c r="H696" s="101"/>
      <c r="I696" s="606"/>
      <c r="J696" s="606"/>
      <c r="K696" s="606"/>
      <c r="L696" s="606"/>
      <c r="M696" s="606"/>
      <c r="N696" s="606"/>
      <c r="O696" s="606"/>
      <c r="P696" s="606"/>
      <c r="Q696" s="606"/>
      <c r="R696" s="606"/>
      <c r="S696" s="606"/>
      <c r="T696" s="606"/>
      <c r="U696" s="606"/>
      <c r="V696" s="461"/>
      <c r="W696" s="461"/>
      <c r="X696" s="131"/>
      <c r="Y696" s="101"/>
      <c r="Z696" s="101"/>
      <c r="AA696" s="101"/>
      <c r="AB696" s="101"/>
      <c r="AC696" s="101"/>
      <c r="AD696" s="101"/>
      <c r="AE696" s="101"/>
      <c r="AF696" s="101"/>
      <c r="AG696" s="101"/>
      <c r="AH696" s="101"/>
      <c r="AI696" s="101"/>
      <c r="AJ696" s="101"/>
      <c r="AK696" s="101"/>
      <c r="AL696" s="101"/>
    </row>
    <row r="697">
      <c r="A697" s="101"/>
      <c r="B697" s="644"/>
      <c r="C697" s="101"/>
      <c r="D697" s="605"/>
      <c r="E697" s="645"/>
      <c r="F697" s="101"/>
      <c r="G697" s="101"/>
      <c r="H697" s="101"/>
      <c r="I697" s="606"/>
      <c r="J697" s="606"/>
      <c r="K697" s="606"/>
      <c r="L697" s="606"/>
      <c r="M697" s="606"/>
      <c r="N697" s="606"/>
      <c r="O697" s="606"/>
      <c r="P697" s="606"/>
      <c r="Q697" s="606"/>
      <c r="R697" s="606"/>
      <c r="S697" s="606"/>
      <c r="T697" s="606"/>
      <c r="U697" s="606"/>
      <c r="V697" s="461"/>
      <c r="W697" s="461"/>
      <c r="X697" s="131"/>
      <c r="Y697" s="101"/>
      <c r="Z697" s="101"/>
      <c r="AA697" s="101"/>
      <c r="AB697" s="101"/>
      <c r="AC697" s="101"/>
      <c r="AD697" s="101"/>
      <c r="AE697" s="101"/>
      <c r="AF697" s="101"/>
      <c r="AG697" s="101"/>
      <c r="AH697" s="101"/>
      <c r="AI697" s="101"/>
      <c r="AJ697" s="101"/>
      <c r="AK697" s="101"/>
      <c r="AL697" s="101"/>
    </row>
    <row r="698">
      <c r="A698" s="101"/>
      <c r="B698" s="644"/>
      <c r="C698" s="101"/>
      <c r="D698" s="605"/>
      <c r="E698" s="645"/>
      <c r="F698" s="101"/>
      <c r="G698" s="101"/>
      <c r="H698" s="101"/>
      <c r="I698" s="606"/>
      <c r="J698" s="606"/>
      <c r="K698" s="606"/>
      <c r="L698" s="606"/>
      <c r="M698" s="606"/>
      <c r="N698" s="606"/>
      <c r="O698" s="606"/>
      <c r="P698" s="606"/>
      <c r="Q698" s="606"/>
      <c r="R698" s="606"/>
      <c r="S698" s="606"/>
      <c r="T698" s="606"/>
      <c r="U698" s="606"/>
      <c r="V698" s="461"/>
      <c r="W698" s="461"/>
      <c r="X698" s="131"/>
      <c r="Y698" s="101"/>
      <c r="Z698" s="101"/>
      <c r="AA698" s="101"/>
      <c r="AB698" s="101"/>
      <c r="AC698" s="101"/>
      <c r="AD698" s="101"/>
      <c r="AE698" s="101"/>
      <c r="AF698" s="101"/>
      <c r="AG698" s="101"/>
      <c r="AH698" s="101"/>
      <c r="AI698" s="101"/>
      <c r="AJ698" s="101"/>
      <c r="AK698" s="101"/>
      <c r="AL698" s="101"/>
    </row>
    <row r="699">
      <c r="A699" s="101"/>
      <c r="B699" s="644"/>
      <c r="C699" s="101"/>
      <c r="D699" s="605"/>
      <c r="E699" s="645"/>
      <c r="F699" s="101"/>
      <c r="G699" s="101"/>
      <c r="H699" s="101"/>
      <c r="I699" s="606"/>
      <c r="J699" s="606"/>
      <c r="K699" s="606"/>
      <c r="L699" s="606"/>
      <c r="M699" s="606"/>
      <c r="N699" s="606"/>
      <c r="O699" s="606"/>
      <c r="P699" s="606"/>
      <c r="Q699" s="606"/>
      <c r="R699" s="606"/>
      <c r="S699" s="606"/>
      <c r="T699" s="606"/>
      <c r="U699" s="606"/>
      <c r="V699" s="461"/>
      <c r="W699" s="461"/>
      <c r="X699" s="131"/>
      <c r="Y699" s="101"/>
      <c r="Z699" s="101"/>
      <c r="AA699" s="101"/>
      <c r="AB699" s="101"/>
      <c r="AC699" s="101"/>
      <c r="AD699" s="101"/>
      <c r="AE699" s="101"/>
      <c r="AF699" s="101"/>
      <c r="AG699" s="101"/>
      <c r="AH699" s="101"/>
      <c r="AI699" s="101"/>
      <c r="AJ699" s="101"/>
      <c r="AK699" s="101"/>
      <c r="AL699" s="101"/>
    </row>
    <row r="700">
      <c r="A700" s="101"/>
      <c r="B700" s="644"/>
      <c r="C700" s="101"/>
      <c r="D700" s="605"/>
      <c r="E700" s="645"/>
      <c r="F700" s="101"/>
      <c r="G700" s="101"/>
      <c r="H700" s="101"/>
      <c r="I700" s="606"/>
      <c r="J700" s="606"/>
      <c r="K700" s="606"/>
      <c r="L700" s="606"/>
      <c r="M700" s="606"/>
      <c r="N700" s="606"/>
      <c r="O700" s="606"/>
      <c r="P700" s="606"/>
      <c r="Q700" s="606"/>
      <c r="R700" s="606"/>
      <c r="S700" s="606"/>
      <c r="T700" s="606"/>
      <c r="U700" s="606"/>
      <c r="V700" s="461"/>
      <c r="W700" s="461"/>
      <c r="X700" s="131"/>
      <c r="Y700" s="101"/>
      <c r="Z700" s="101"/>
      <c r="AA700" s="101"/>
      <c r="AB700" s="101"/>
      <c r="AC700" s="101"/>
      <c r="AD700" s="101"/>
      <c r="AE700" s="101"/>
      <c r="AF700" s="101"/>
      <c r="AG700" s="101"/>
      <c r="AH700" s="101"/>
      <c r="AI700" s="101"/>
      <c r="AJ700" s="101"/>
      <c r="AK700" s="101"/>
      <c r="AL700" s="101"/>
    </row>
    <row r="701">
      <c r="A701" s="101"/>
      <c r="B701" s="644"/>
      <c r="C701" s="101"/>
      <c r="D701" s="605"/>
      <c r="E701" s="645"/>
      <c r="F701" s="101"/>
      <c r="G701" s="101"/>
      <c r="H701" s="101"/>
      <c r="I701" s="606"/>
      <c r="J701" s="606"/>
      <c r="K701" s="606"/>
      <c r="L701" s="606"/>
      <c r="M701" s="606"/>
      <c r="N701" s="606"/>
      <c r="O701" s="606"/>
      <c r="P701" s="606"/>
      <c r="Q701" s="606"/>
      <c r="R701" s="606"/>
      <c r="S701" s="606"/>
      <c r="T701" s="606"/>
      <c r="U701" s="606"/>
      <c r="V701" s="461"/>
      <c r="W701" s="461"/>
      <c r="X701" s="131"/>
      <c r="Y701" s="101"/>
      <c r="Z701" s="101"/>
      <c r="AA701" s="101"/>
      <c r="AB701" s="101"/>
      <c r="AC701" s="101"/>
      <c r="AD701" s="101"/>
      <c r="AE701" s="101"/>
      <c r="AF701" s="101"/>
      <c r="AG701" s="101"/>
      <c r="AH701" s="101"/>
      <c r="AI701" s="101"/>
      <c r="AJ701" s="101"/>
      <c r="AK701" s="101"/>
      <c r="AL701" s="101"/>
    </row>
    <row r="702">
      <c r="A702" s="101"/>
      <c r="B702" s="644"/>
      <c r="C702" s="101"/>
      <c r="D702" s="605"/>
      <c r="E702" s="645"/>
      <c r="F702" s="101"/>
      <c r="G702" s="101"/>
      <c r="H702" s="101"/>
      <c r="I702" s="606"/>
      <c r="J702" s="606"/>
      <c r="K702" s="606"/>
      <c r="L702" s="606"/>
      <c r="M702" s="606"/>
      <c r="N702" s="606"/>
      <c r="O702" s="606"/>
      <c r="P702" s="606"/>
      <c r="Q702" s="606"/>
      <c r="R702" s="606"/>
      <c r="S702" s="606"/>
      <c r="T702" s="606"/>
      <c r="U702" s="606"/>
      <c r="V702" s="461"/>
      <c r="W702" s="461"/>
      <c r="X702" s="131"/>
      <c r="Y702" s="101"/>
      <c r="Z702" s="101"/>
      <c r="AA702" s="101"/>
      <c r="AB702" s="101"/>
      <c r="AC702" s="101"/>
      <c r="AD702" s="101"/>
      <c r="AE702" s="101"/>
      <c r="AF702" s="101"/>
      <c r="AG702" s="101"/>
      <c r="AH702" s="101"/>
      <c r="AI702" s="101"/>
      <c r="AJ702" s="101"/>
      <c r="AK702" s="101"/>
      <c r="AL702" s="101"/>
    </row>
    <row r="703">
      <c r="A703" s="101"/>
      <c r="B703" s="644"/>
      <c r="C703" s="101"/>
      <c r="D703" s="605"/>
      <c r="E703" s="645"/>
      <c r="F703" s="101"/>
      <c r="G703" s="101"/>
      <c r="H703" s="101"/>
      <c r="I703" s="606"/>
      <c r="J703" s="606"/>
      <c r="K703" s="606"/>
      <c r="L703" s="606"/>
      <c r="M703" s="606"/>
      <c r="N703" s="606"/>
      <c r="O703" s="606"/>
      <c r="P703" s="606"/>
      <c r="Q703" s="606"/>
      <c r="R703" s="606"/>
      <c r="S703" s="606"/>
      <c r="T703" s="606"/>
      <c r="U703" s="606"/>
      <c r="V703" s="461"/>
      <c r="W703" s="461"/>
      <c r="X703" s="131"/>
      <c r="Y703" s="101"/>
      <c r="Z703" s="101"/>
      <c r="AA703" s="101"/>
      <c r="AB703" s="101"/>
      <c r="AC703" s="101"/>
      <c r="AD703" s="101"/>
      <c r="AE703" s="101"/>
      <c r="AF703" s="101"/>
      <c r="AG703" s="101"/>
      <c r="AH703" s="101"/>
      <c r="AI703" s="101"/>
      <c r="AJ703" s="101"/>
      <c r="AK703" s="101"/>
      <c r="AL703" s="101"/>
    </row>
    <row r="704">
      <c r="A704" s="101"/>
      <c r="B704" s="644"/>
      <c r="C704" s="101"/>
      <c r="D704" s="605"/>
      <c r="E704" s="645"/>
      <c r="F704" s="101"/>
      <c r="G704" s="101"/>
      <c r="H704" s="101"/>
      <c r="I704" s="606"/>
      <c r="J704" s="606"/>
      <c r="K704" s="606"/>
      <c r="L704" s="606"/>
      <c r="M704" s="606"/>
      <c r="N704" s="606"/>
      <c r="O704" s="606"/>
      <c r="P704" s="606"/>
      <c r="Q704" s="606"/>
      <c r="R704" s="606"/>
      <c r="S704" s="606"/>
      <c r="T704" s="606"/>
      <c r="U704" s="606"/>
      <c r="V704" s="461"/>
      <c r="W704" s="461"/>
      <c r="X704" s="131"/>
      <c r="Y704" s="101"/>
      <c r="Z704" s="101"/>
      <c r="AA704" s="101"/>
      <c r="AB704" s="101"/>
      <c r="AC704" s="101"/>
      <c r="AD704" s="101"/>
      <c r="AE704" s="101"/>
      <c r="AF704" s="101"/>
      <c r="AG704" s="101"/>
      <c r="AH704" s="101"/>
      <c r="AI704" s="101"/>
      <c r="AJ704" s="101"/>
      <c r="AK704" s="101"/>
      <c r="AL704" s="101"/>
    </row>
    <row r="705">
      <c r="A705" s="101"/>
      <c r="B705" s="644"/>
      <c r="C705" s="101"/>
      <c r="D705" s="605"/>
      <c r="E705" s="645"/>
      <c r="F705" s="101"/>
      <c r="G705" s="101"/>
      <c r="H705" s="101"/>
      <c r="I705" s="606"/>
      <c r="J705" s="606"/>
      <c r="K705" s="606"/>
      <c r="L705" s="606"/>
      <c r="M705" s="606"/>
      <c r="N705" s="606"/>
      <c r="O705" s="606"/>
      <c r="P705" s="606"/>
      <c r="Q705" s="606"/>
      <c r="R705" s="606"/>
      <c r="S705" s="606"/>
      <c r="T705" s="606"/>
      <c r="U705" s="606"/>
      <c r="V705" s="461"/>
      <c r="W705" s="461"/>
      <c r="X705" s="131"/>
      <c r="Y705" s="101"/>
      <c r="Z705" s="101"/>
      <c r="AA705" s="101"/>
      <c r="AB705" s="101"/>
      <c r="AC705" s="101"/>
      <c r="AD705" s="101"/>
      <c r="AE705" s="101"/>
      <c r="AF705" s="101"/>
      <c r="AG705" s="101"/>
      <c r="AH705" s="101"/>
      <c r="AI705" s="101"/>
      <c r="AJ705" s="101"/>
      <c r="AK705" s="101"/>
      <c r="AL705" s="101"/>
    </row>
    <row r="706">
      <c r="A706" s="101"/>
      <c r="B706" s="644"/>
      <c r="C706" s="101"/>
      <c r="D706" s="605"/>
      <c r="E706" s="645"/>
      <c r="F706" s="101"/>
      <c r="G706" s="101"/>
      <c r="H706" s="101"/>
      <c r="I706" s="606"/>
      <c r="J706" s="606"/>
      <c r="K706" s="606"/>
      <c r="L706" s="606"/>
      <c r="M706" s="606"/>
      <c r="N706" s="606"/>
      <c r="O706" s="606"/>
      <c r="P706" s="606"/>
      <c r="Q706" s="606"/>
      <c r="R706" s="606"/>
      <c r="S706" s="606"/>
      <c r="T706" s="606"/>
      <c r="U706" s="606"/>
      <c r="V706" s="461"/>
      <c r="W706" s="461"/>
      <c r="X706" s="131"/>
      <c r="Y706" s="101"/>
      <c r="Z706" s="101"/>
      <c r="AA706" s="101"/>
      <c r="AB706" s="101"/>
      <c r="AC706" s="101"/>
      <c r="AD706" s="101"/>
      <c r="AE706" s="101"/>
      <c r="AF706" s="101"/>
      <c r="AG706" s="101"/>
      <c r="AH706" s="101"/>
      <c r="AI706" s="101"/>
      <c r="AJ706" s="101"/>
      <c r="AK706" s="101"/>
      <c r="AL706" s="101"/>
    </row>
    <row r="707">
      <c r="A707" s="101"/>
      <c r="B707" s="644"/>
      <c r="C707" s="101"/>
      <c r="D707" s="605"/>
      <c r="E707" s="645"/>
      <c r="F707" s="101"/>
      <c r="G707" s="101"/>
      <c r="H707" s="101"/>
      <c r="I707" s="606"/>
      <c r="J707" s="606"/>
      <c r="K707" s="606"/>
      <c r="L707" s="606"/>
      <c r="M707" s="606"/>
      <c r="N707" s="606"/>
      <c r="O707" s="606"/>
      <c r="P707" s="606"/>
      <c r="Q707" s="606"/>
      <c r="R707" s="606"/>
      <c r="S707" s="606"/>
      <c r="T707" s="606"/>
      <c r="U707" s="606"/>
      <c r="V707" s="461"/>
      <c r="W707" s="461"/>
      <c r="X707" s="131"/>
      <c r="Y707" s="101"/>
      <c r="Z707" s="101"/>
      <c r="AA707" s="101"/>
      <c r="AB707" s="101"/>
      <c r="AC707" s="101"/>
      <c r="AD707" s="101"/>
      <c r="AE707" s="101"/>
      <c r="AF707" s="101"/>
      <c r="AG707" s="101"/>
      <c r="AH707" s="101"/>
      <c r="AI707" s="101"/>
      <c r="AJ707" s="101"/>
      <c r="AK707" s="101"/>
      <c r="AL707" s="101"/>
    </row>
    <row r="708">
      <c r="A708" s="101"/>
      <c r="B708" s="644"/>
      <c r="C708" s="101"/>
      <c r="D708" s="605"/>
      <c r="E708" s="645"/>
      <c r="F708" s="101"/>
      <c r="G708" s="101"/>
      <c r="H708" s="101"/>
      <c r="I708" s="606"/>
      <c r="J708" s="606"/>
      <c r="K708" s="606"/>
      <c r="L708" s="606"/>
      <c r="M708" s="606"/>
      <c r="N708" s="606"/>
      <c r="O708" s="606"/>
      <c r="P708" s="606"/>
      <c r="Q708" s="606"/>
      <c r="R708" s="606"/>
      <c r="S708" s="606"/>
      <c r="T708" s="606"/>
      <c r="U708" s="606"/>
      <c r="V708" s="461"/>
      <c r="W708" s="461"/>
      <c r="X708" s="131"/>
      <c r="Y708" s="101"/>
      <c r="Z708" s="101"/>
      <c r="AA708" s="101"/>
      <c r="AB708" s="101"/>
      <c r="AC708" s="101"/>
      <c r="AD708" s="101"/>
      <c r="AE708" s="101"/>
      <c r="AF708" s="101"/>
      <c r="AG708" s="101"/>
      <c r="AH708" s="101"/>
      <c r="AI708" s="101"/>
      <c r="AJ708" s="101"/>
      <c r="AK708" s="101"/>
      <c r="AL708" s="101"/>
    </row>
    <row r="709">
      <c r="A709" s="101"/>
      <c r="B709" s="644"/>
      <c r="C709" s="101"/>
      <c r="D709" s="605"/>
      <c r="E709" s="645"/>
      <c r="F709" s="101"/>
      <c r="G709" s="101"/>
      <c r="H709" s="101"/>
      <c r="I709" s="606"/>
      <c r="J709" s="606"/>
      <c r="K709" s="606"/>
      <c r="L709" s="606"/>
      <c r="M709" s="606"/>
      <c r="N709" s="606"/>
      <c r="O709" s="606"/>
      <c r="P709" s="606"/>
      <c r="Q709" s="606"/>
      <c r="R709" s="606"/>
      <c r="S709" s="606"/>
      <c r="T709" s="606"/>
      <c r="U709" s="606"/>
      <c r="V709" s="461"/>
      <c r="W709" s="461"/>
      <c r="X709" s="131"/>
      <c r="Y709" s="101"/>
      <c r="Z709" s="101"/>
      <c r="AA709" s="101"/>
      <c r="AB709" s="101"/>
      <c r="AC709" s="101"/>
      <c r="AD709" s="101"/>
      <c r="AE709" s="101"/>
      <c r="AF709" s="101"/>
      <c r="AG709" s="101"/>
      <c r="AH709" s="101"/>
      <c r="AI709" s="101"/>
      <c r="AJ709" s="101"/>
      <c r="AK709" s="101"/>
      <c r="AL709" s="101"/>
    </row>
    <row r="710">
      <c r="A710" s="101"/>
      <c r="B710" s="644"/>
      <c r="C710" s="101"/>
      <c r="D710" s="605"/>
      <c r="E710" s="645"/>
      <c r="F710" s="101"/>
      <c r="G710" s="101"/>
      <c r="H710" s="101"/>
      <c r="I710" s="606"/>
      <c r="J710" s="606"/>
      <c r="K710" s="606"/>
      <c r="L710" s="606"/>
      <c r="M710" s="606"/>
      <c r="N710" s="606"/>
      <c r="O710" s="606"/>
      <c r="P710" s="606"/>
      <c r="Q710" s="606"/>
      <c r="R710" s="606"/>
      <c r="S710" s="606"/>
      <c r="T710" s="606"/>
      <c r="U710" s="606"/>
      <c r="V710" s="461"/>
      <c r="W710" s="461"/>
      <c r="X710" s="131"/>
      <c r="Y710" s="101"/>
      <c r="Z710" s="101"/>
      <c r="AA710" s="101"/>
      <c r="AB710" s="101"/>
      <c r="AC710" s="101"/>
      <c r="AD710" s="101"/>
      <c r="AE710" s="101"/>
      <c r="AF710" s="101"/>
      <c r="AG710" s="101"/>
      <c r="AH710" s="101"/>
      <c r="AI710" s="101"/>
      <c r="AJ710" s="101"/>
      <c r="AK710" s="101"/>
      <c r="AL710" s="101"/>
    </row>
    <row r="711">
      <c r="A711" s="101"/>
      <c r="B711" s="644"/>
      <c r="C711" s="101"/>
      <c r="D711" s="605"/>
      <c r="E711" s="645"/>
      <c r="F711" s="101"/>
      <c r="G711" s="101"/>
      <c r="H711" s="101"/>
      <c r="I711" s="606"/>
      <c r="J711" s="606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461"/>
      <c r="W711" s="461"/>
      <c r="X711" s="131"/>
      <c r="Y711" s="101"/>
      <c r="Z711" s="101"/>
      <c r="AA711" s="101"/>
      <c r="AB711" s="101"/>
      <c r="AC711" s="101"/>
      <c r="AD711" s="101"/>
      <c r="AE711" s="101"/>
      <c r="AF711" s="101"/>
      <c r="AG711" s="101"/>
      <c r="AH711" s="101"/>
      <c r="AI711" s="101"/>
      <c r="AJ711" s="101"/>
      <c r="AK711" s="101"/>
      <c r="AL711" s="101"/>
    </row>
    <row r="712">
      <c r="A712" s="101"/>
      <c r="B712" s="644"/>
      <c r="C712" s="101"/>
      <c r="D712" s="605"/>
      <c r="E712" s="645"/>
      <c r="F712" s="101"/>
      <c r="G712" s="101"/>
      <c r="H712" s="101"/>
      <c r="I712" s="606"/>
      <c r="J712" s="606"/>
      <c r="K712" s="606"/>
      <c r="L712" s="606"/>
      <c r="M712" s="606"/>
      <c r="N712" s="606"/>
      <c r="O712" s="606"/>
      <c r="P712" s="606"/>
      <c r="Q712" s="606"/>
      <c r="R712" s="606"/>
      <c r="S712" s="606"/>
      <c r="T712" s="606"/>
      <c r="U712" s="606"/>
      <c r="V712" s="461"/>
      <c r="W712" s="461"/>
      <c r="X712" s="131"/>
      <c r="Y712" s="101"/>
      <c r="Z712" s="101"/>
      <c r="AA712" s="101"/>
      <c r="AB712" s="101"/>
      <c r="AC712" s="101"/>
      <c r="AD712" s="101"/>
      <c r="AE712" s="101"/>
      <c r="AF712" s="101"/>
      <c r="AG712" s="101"/>
      <c r="AH712" s="101"/>
      <c r="AI712" s="101"/>
      <c r="AJ712" s="101"/>
      <c r="AK712" s="101"/>
      <c r="AL712" s="101"/>
    </row>
    <row r="713">
      <c r="A713" s="101"/>
      <c r="B713" s="644"/>
      <c r="C713" s="101"/>
      <c r="D713" s="605"/>
      <c r="E713" s="645"/>
      <c r="F713" s="101"/>
      <c r="G713" s="101"/>
      <c r="H713" s="101"/>
      <c r="I713" s="606"/>
      <c r="J713" s="606"/>
      <c r="K713" s="606"/>
      <c r="L713" s="606"/>
      <c r="M713" s="606"/>
      <c r="N713" s="606"/>
      <c r="O713" s="606"/>
      <c r="P713" s="606"/>
      <c r="Q713" s="606"/>
      <c r="R713" s="606"/>
      <c r="S713" s="606"/>
      <c r="T713" s="606"/>
      <c r="U713" s="606"/>
      <c r="V713" s="461"/>
      <c r="W713" s="461"/>
      <c r="X713" s="131"/>
      <c r="Y713" s="101"/>
      <c r="Z713" s="101"/>
      <c r="AA713" s="101"/>
      <c r="AB713" s="101"/>
      <c r="AC713" s="101"/>
      <c r="AD713" s="101"/>
      <c r="AE713" s="101"/>
      <c r="AF713" s="101"/>
      <c r="AG713" s="101"/>
      <c r="AH713" s="101"/>
      <c r="AI713" s="101"/>
      <c r="AJ713" s="101"/>
      <c r="AK713" s="101"/>
      <c r="AL713" s="101"/>
    </row>
    <row r="714">
      <c r="A714" s="101"/>
      <c r="B714" s="644"/>
      <c r="C714" s="101"/>
      <c r="D714" s="605"/>
      <c r="E714" s="645"/>
      <c r="F714" s="101"/>
      <c r="G714" s="101"/>
      <c r="H714" s="101"/>
      <c r="I714" s="606"/>
      <c r="J714" s="606"/>
      <c r="K714" s="606"/>
      <c r="L714" s="606"/>
      <c r="M714" s="606"/>
      <c r="N714" s="606"/>
      <c r="O714" s="606"/>
      <c r="P714" s="606"/>
      <c r="Q714" s="606"/>
      <c r="R714" s="606"/>
      <c r="S714" s="606"/>
      <c r="T714" s="606"/>
      <c r="U714" s="606"/>
      <c r="V714" s="461"/>
      <c r="W714" s="461"/>
      <c r="X714" s="131"/>
      <c r="Y714" s="101"/>
      <c r="Z714" s="101"/>
      <c r="AA714" s="101"/>
      <c r="AB714" s="101"/>
      <c r="AC714" s="101"/>
      <c r="AD714" s="101"/>
      <c r="AE714" s="101"/>
      <c r="AF714" s="101"/>
      <c r="AG714" s="101"/>
      <c r="AH714" s="101"/>
      <c r="AI714" s="101"/>
      <c r="AJ714" s="101"/>
      <c r="AK714" s="101"/>
      <c r="AL714" s="101"/>
    </row>
    <row r="715">
      <c r="A715" s="101"/>
      <c r="B715" s="644"/>
      <c r="C715" s="101"/>
      <c r="D715" s="605"/>
      <c r="E715" s="645"/>
      <c r="F715" s="101"/>
      <c r="G715" s="101"/>
      <c r="H715" s="101"/>
      <c r="I715" s="606"/>
      <c r="J715" s="606"/>
      <c r="K715" s="606"/>
      <c r="L715" s="606"/>
      <c r="M715" s="606"/>
      <c r="N715" s="606"/>
      <c r="O715" s="606"/>
      <c r="P715" s="606"/>
      <c r="Q715" s="606"/>
      <c r="R715" s="606"/>
      <c r="S715" s="606"/>
      <c r="T715" s="606"/>
      <c r="U715" s="606"/>
      <c r="V715" s="461"/>
      <c r="W715" s="461"/>
      <c r="X715" s="131"/>
      <c r="Y715" s="101"/>
      <c r="Z715" s="101"/>
      <c r="AA715" s="101"/>
      <c r="AB715" s="101"/>
      <c r="AC715" s="101"/>
      <c r="AD715" s="101"/>
      <c r="AE715" s="101"/>
      <c r="AF715" s="101"/>
      <c r="AG715" s="101"/>
      <c r="AH715" s="101"/>
      <c r="AI715" s="101"/>
      <c r="AJ715" s="101"/>
      <c r="AK715" s="101"/>
      <c r="AL715" s="101"/>
    </row>
    <row r="716">
      <c r="A716" s="101"/>
      <c r="B716" s="644"/>
      <c r="C716" s="101"/>
      <c r="D716" s="605"/>
      <c r="E716" s="645"/>
      <c r="F716" s="101"/>
      <c r="G716" s="101"/>
      <c r="H716" s="101"/>
      <c r="I716" s="606"/>
      <c r="J716" s="606"/>
      <c r="K716" s="606"/>
      <c r="L716" s="606"/>
      <c r="M716" s="606"/>
      <c r="N716" s="606"/>
      <c r="O716" s="606"/>
      <c r="P716" s="606"/>
      <c r="Q716" s="606"/>
      <c r="R716" s="606"/>
      <c r="S716" s="606"/>
      <c r="T716" s="606"/>
      <c r="U716" s="606"/>
      <c r="V716" s="461"/>
      <c r="W716" s="461"/>
      <c r="X716" s="131"/>
      <c r="Y716" s="101"/>
      <c r="Z716" s="101"/>
      <c r="AA716" s="101"/>
      <c r="AB716" s="101"/>
      <c r="AC716" s="101"/>
      <c r="AD716" s="101"/>
      <c r="AE716" s="101"/>
      <c r="AF716" s="101"/>
      <c r="AG716" s="101"/>
      <c r="AH716" s="101"/>
      <c r="AI716" s="101"/>
      <c r="AJ716" s="101"/>
      <c r="AK716" s="101"/>
      <c r="AL716" s="101"/>
    </row>
    <row r="717">
      <c r="A717" s="101"/>
      <c r="B717" s="644"/>
      <c r="C717" s="101"/>
      <c r="D717" s="605"/>
      <c r="E717" s="645"/>
      <c r="F717" s="101"/>
      <c r="G717" s="101"/>
      <c r="H717" s="101"/>
      <c r="I717" s="606"/>
      <c r="J717" s="606"/>
      <c r="K717" s="606"/>
      <c r="L717" s="606"/>
      <c r="M717" s="606"/>
      <c r="N717" s="606"/>
      <c r="O717" s="606"/>
      <c r="P717" s="606"/>
      <c r="Q717" s="606"/>
      <c r="R717" s="606"/>
      <c r="S717" s="606"/>
      <c r="T717" s="606"/>
      <c r="U717" s="606"/>
      <c r="V717" s="461"/>
      <c r="W717" s="461"/>
      <c r="X717" s="131"/>
      <c r="Y717" s="101"/>
      <c r="Z717" s="101"/>
      <c r="AA717" s="101"/>
      <c r="AB717" s="101"/>
      <c r="AC717" s="101"/>
      <c r="AD717" s="101"/>
      <c r="AE717" s="101"/>
      <c r="AF717" s="101"/>
      <c r="AG717" s="101"/>
      <c r="AH717" s="101"/>
      <c r="AI717" s="101"/>
      <c r="AJ717" s="101"/>
      <c r="AK717" s="101"/>
      <c r="AL717" s="101"/>
    </row>
    <row r="718">
      <c r="A718" s="101"/>
      <c r="B718" s="644"/>
      <c r="C718" s="101"/>
      <c r="D718" s="605"/>
      <c r="E718" s="645"/>
      <c r="F718" s="101"/>
      <c r="G718" s="101"/>
      <c r="H718" s="101"/>
      <c r="I718" s="606"/>
      <c r="J718" s="606"/>
      <c r="K718" s="606"/>
      <c r="L718" s="606"/>
      <c r="M718" s="606"/>
      <c r="N718" s="606"/>
      <c r="O718" s="606"/>
      <c r="P718" s="606"/>
      <c r="Q718" s="606"/>
      <c r="R718" s="606"/>
      <c r="S718" s="606"/>
      <c r="T718" s="606"/>
      <c r="U718" s="606"/>
      <c r="V718" s="461"/>
      <c r="W718" s="461"/>
      <c r="X718" s="131"/>
      <c r="Y718" s="101"/>
      <c r="Z718" s="101"/>
      <c r="AA718" s="101"/>
      <c r="AB718" s="101"/>
      <c r="AC718" s="101"/>
      <c r="AD718" s="101"/>
      <c r="AE718" s="101"/>
      <c r="AF718" s="101"/>
      <c r="AG718" s="101"/>
      <c r="AH718" s="101"/>
      <c r="AI718" s="101"/>
      <c r="AJ718" s="101"/>
      <c r="AK718" s="101"/>
      <c r="AL718" s="101"/>
    </row>
    <row r="719">
      <c r="A719" s="101"/>
      <c r="B719" s="644"/>
      <c r="C719" s="101"/>
      <c r="D719" s="605"/>
      <c r="E719" s="645"/>
      <c r="F719" s="101"/>
      <c r="G719" s="101"/>
      <c r="H719" s="101"/>
      <c r="I719" s="606"/>
      <c r="J719" s="606"/>
      <c r="K719" s="606"/>
      <c r="L719" s="606"/>
      <c r="M719" s="606"/>
      <c r="N719" s="606"/>
      <c r="O719" s="606"/>
      <c r="P719" s="606"/>
      <c r="Q719" s="606"/>
      <c r="R719" s="606"/>
      <c r="S719" s="606"/>
      <c r="T719" s="606"/>
      <c r="U719" s="606"/>
      <c r="V719" s="461"/>
      <c r="W719" s="461"/>
      <c r="X719" s="131"/>
      <c r="Y719" s="101"/>
      <c r="Z719" s="101"/>
      <c r="AA719" s="101"/>
      <c r="AB719" s="101"/>
      <c r="AC719" s="101"/>
      <c r="AD719" s="101"/>
      <c r="AE719" s="101"/>
      <c r="AF719" s="101"/>
      <c r="AG719" s="101"/>
      <c r="AH719" s="101"/>
      <c r="AI719" s="101"/>
      <c r="AJ719" s="101"/>
      <c r="AK719" s="101"/>
      <c r="AL719" s="101"/>
    </row>
    <row r="720">
      <c r="A720" s="101"/>
      <c r="B720" s="644"/>
      <c r="C720" s="101"/>
      <c r="D720" s="605"/>
      <c r="E720" s="645"/>
      <c r="F720" s="101"/>
      <c r="G720" s="101"/>
      <c r="H720" s="101"/>
      <c r="I720" s="606"/>
      <c r="J720" s="606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461"/>
      <c r="W720" s="461"/>
      <c r="X720" s="131"/>
      <c r="Y720" s="101"/>
      <c r="Z720" s="101"/>
      <c r="AA720" s="101"/>
      <c r="AB720" s="101"/>
      <c r="AC720" s="101"/>
      <c r="AD720" s="101"/>
      <c r="AE720" s="101"/>
      <c r="AF720" s="101"/>
      <c r="AG720" s="101"/>
      <c r="AH720" s="101"/>
      <c r="AI720" s="101"/>
      <c r="AJ720" s="101"/>
      <c r="AK720" s="101"/>
      <c r="AL720" s="101"/>
    </row>
    <row r="721">
      <c r="A721" s="101"/>
      <c r="B721" s="644"/>
      <c r="C721" s="101"/>
      <c r="D721" s="605"/>
      <c r="E721" s="645"/>
      <c r="F721" s="101"/>
      <c r="G721" s="101"/>
      <c r="H721" s="101"/>
      <c r="I721" s="606"/>
      <c r="J721" s="606"/>
      <c r="K721" s="606"/>
      <c r="L721" s="606"/>
      <c r="M721" s="606"/>
      <c r="N721" s="606"/>
      <c r="O721" s="606"/>
      <c r="P721" s="606"/>
      <c r="Q721" s="606"/>
      <c r="R721" s="606"/>
      <c r="S721" s="606"/>
      <c r="T721" s="606"/>
      <c r="U721" s="606"/>
      <c r="V721" s="461"/>
      <c r="W721" s="461"/>
      <c r="X721" s="131"/>
      <c r="Y721" s="101"/>
      <c r="Z721" s="101"/>
      <c r="AA721" s="101"/>
      <c r="AB721" s="101"/>
      <c r="AC721" s="101"/>
      <c r="AD721" s="101"/>
      <c r="AE721" s="101"/>
      <c r="AF721" s="101"/>
      <c r="AG721" s="101"/>
      <c r="AH721" s="101"/>
      <c r="AI721" s="101"/>
      <c r="AJ721" s="101"/>
      <c r="AK721" s="101"/>
      <c r="AL721" s="101"/>
    </row>
    <row r="722">
      <c r="A722" s="101"/>
      <c r="B722" s="644"/>
      <c r="C722" s="101"/>
      <c r="D722" s="605"/>
      <c r="E722" s="645"/>
      <c r="F722" s="101"/>
      <c r="G722" s="101"/>
      <c r="H722" s="101"/>
      <c r="I722" s="606"/>
      <c r="J722" s="606"/>
      <c r="K722" s="606"/>
      <c r="L722" s="606"/>
      <c r="M722" s="606"/>
      <c r="N722" s="606"/>
      <c r="O722" s="606"/>
      <c r="P722" s="606"/>
      <c r="Q722" s="606"/>
      <c r="R722" s="606"/>
      <c r="S722" s="606"/>
      <c r="T722" s="606"/>
      <c r="U722" s="606"/>
      <c r="V722" s="461"/>
      <c r="W722" s="461"/>
      <c r="X722" s="131"/>
      <c r="Y722" s="101"/>
      <c r="Z722" s="101"/>
      <c r="AA722" s="101"/>
      <c r="AB722" s="101"/>
      <c r="AC722" s="101"/>
      <c r="AD722" s="101"/>
      <c r="AE722" s="101"/>
      <c r="AF722" s="101"/>
      <c r="AG722" s="101"/>
      <c r="AH722" s="101"/>
      <c r="AI722" s="101"/>
      <c r="AJ722" s="101"/>
      <c r="AK722" s="101"/>
      <c r="AL722" s="101"/>
    </row>
    <row r="723">
      <c r="A723" s="101"/>
      <c r="B723" s="644"/>
      <c r="C723" s="101"/>
      <c r="D723" s="605"/>
      <c r="E723" s="645"/>
      <c r="F723" s="101"/>
      <c r="G723" s="101"/>
      <c r="H723" s="101"/>
      <c r="I723" s="606"/>
      <c r="J723" s="606"/>
      <c r="K723" s="606"/>
      <c r="L723" s="606"/>
      <c r="M723" s="606"/>
      <c r="N723" s="606"/>
      <c r="O723" s="606"/>
      <c r="P723" s="606"/>
      <c r="Q723" s="606"/>
      <c r="R723" s="606"/>
      <c r="S723" s="606"/>
      <c r="T723" s="606"/>
      <c r="U723" s="606"/>
      <c r="V723" s="461"/>
      <c r="W723" s="461"/>
      <c r="X723" s="131"/>
      <c r="Y723" s="101"/>
      <c r="Z723" s="101"/>
      <c r="AA723" s="101"/>
      <c r="AB723" s="101"/>
      <c r="AC723" s="101"/>
      <c r="AD723" s="101"/>
      <c r="AE723" s="101"/>
      <c r="AF723" s="101"/>
      <c r="AG723" s="101"/>
      <c r="AH723" s="101"/>
      <c r="AI723" s="101"/>
      <c r="AJ723" s="101"/>
      <c r="AK723" s="101"/>
      <c r="AL723" s="101"/>
    </row>
    <row r="724">
      <c r="A724" s="101"/>
      <c r="B724" s="644"/>
      <c r="C724" s="101"/>
      <c r="D724" s="605"/>
      <c r="E724" s="645"/>
      <c r="F724" s="101"/>
      <c r="G724" s="101"/>
      <c r="H724" s="101"/>
      <c r="I724" s="606"/>
      <c r="J724" s="606"/>
      <c r="K724" s="606"/>
      <c r="L724" s="606"/>
      <c r="M724" s="606"/>
      <c r="N724" s="606"/>
      <c r="O724" s="606"/>
      <c r="P724" s="606"/>
      <c r="Q724" s="606"/>
      <c r="R724" s="606"/>
      <c r="S724" s="606"/>
      <c r="T724" s="606"/>
      <c r="U724" s="606"/>
      <c r="V724" s="461"/>
      <c r="W724" s="461"/>
      <c r="X724" s="131"/>
      <c r="Y724" s="101"/>
      <c r="Z724" s="101"/>
      <c r="AA724" s="101"/>
      <c r="AB724" s="101"/>
      <c r="AC724" s="101"/>
      <c r="AD724" s="101"/>
      <c r="AE724" s="101"/>
      <c r="AF724" s="101"/>
      <c r="AG724" s="101"/>
      <c r="AH724" s="101"/>
      <c r="AI724" s="101"/>
      <c r="AJ724" s="101"/>
      <c r="AK724" s="101"/>
      <c r="AL724" s="101"/>
    </row>
    <row r="725">
      <c r="A725" s="101"/>
      <c r="B725" s="644"/>
      <c r="C725" s="101"/>
      <c r="D725" s="605"/>
      <c r="E725" s="645"/>
      <c r="F725" s="101"/>
      <c r="G725" s="101"/>
      <c r="H725" s="101"/>
      <c r="I725" s="606"/>
      <c r="J725" s="606"/>
      <c r="K725" s="606"/>
      <c r="L725" s="606"/>
      <c r="M725" s="606"/>
      <c r="N725" s="606"/>
      <c r="O725" s="606"/>
      <c r="P725" s="606"/>
      <c r="Q725" s="606"/>
      <c r="R725" s="606"/>
      <c r="S725" s="606"/>
      <c r="T725" s="606"/>
      <c r="U725" s="606"/>
      <c r="V725" s="461"/>
      <c r="W725" s="461"/>
      <c r="X725" s="131"/>
      <c r="Y725" s="101"/>
      <c r="Z725" s="101"/>
      <c r="AA725" s="101"/>
      <c r="AB725" s="101"/>
      <c r="AC725" s="101"/>
      <c r="AD725" s="101"/>
      <c r="AE725" s="101"/>
      <c r="AF725" s="101"/>
      <c r="AG725" s="101"/>
      <c r="AH725" s="101"/>
      <c r="AI725" s="101"/>
      <c r="AJ725" s="101"/>
      <c r="AK725" s="101"/>
      <c r="AL725" s="101"/>
    </row>
    <row r="726">
      <c r="A726" s="101"/>
      <c r="B726" s="644"/>
      <c r="C726" s="101"/>
      <c r="D726" s="605"/>
      <c r="E726" s="645"/>
      <c r="F726" s="101"/>
      <c r="G726" s="101"/>
      <c r="H726" s="101"/>
      <c r="I726" s="606"/>
      <c r="J726" s="606"/>
      <c r="K726" s="606"/>
      <c r="L726" s="606"/>
      <c r="M726" s="606"/>
      <c r="N726" s="606"/>
      <c r="O726" s="606"/>
      <c r="P726" s="606"/>
      <c r="Q726" s="606"/>
      <c r="R726" s="606"/>
      <c r="S726" s="606"/>
      <c r="T726" s="606"/>
      <c r="U726" s="606"/>
      <c r="V726" s="461"/>
      <c r="W726" s="461"/>
      <c r="X726" s="131"/>
      <c r="Y726" s="101"/>
      <c r="Z726" s="101"/>
      <c r="AA726" s="101"/>
      <c r="AB726" s="101"/>
      <c r="AC726" s="101"/>
      <c r="AD726" s="101"/>
      <c r="AE726" s="101"/>
      <c r="AF726" s="101"/>
      <c r="AG726" s="101"/>
      <c r="AH726" s="101"/>
      <c r="AI726" s="101"/>
      <c r="AJ726" s="101"/>
      <c r="AK726" s="101"/>
      <c r="AL726" s="101"/>
    </row>
    <row r="727">
      <c r="A727" s="101"/>
      <c r="B727" s="644"/>
      <c r="C727" s="101"/>
      <c r="D727" s="605"/>
      <c r="E727" s="645"/>
      <c r="F727" s="101"/>
      <c r="G727" s="101"/>
      <c r="H727" s="101"/>
      <c r="I727" s="606"/>
      <c r="J727" s="606"/>
      <c r="K727" s="606"/>
      <c r="L727" s="606"/>
      <c r="M727" s="606"/>
      <c r="N727" s="606"/>
      <c r="O727" s="606"/>
      <c r="P727" s="606"/>
      <c r="Q727" s="606"/>
      <c r="R727" s="606"/>
      <c r="S727" s="606"/>
      <c r="T727" s="606"/>
      <c r="U727" s="606"/>
      <c r="V727" s="461"/>
      <c r="W727" s="461"/>
      <c r="X727" s="131"/>
      <c r="Y727" s="101"/>
      <c r="Z727" s="101"/>
      <c r="AA727" s="101"/>
      <c r="AB727" s="101"/>
      <c r="AC727" s="101"/>
      <c r="AD727" s="101"/>
      <c r="AE727" s="101"/>
      <c r="AF727" s="101"/>
      <c r="AG727" s="101"/>
      <c r="AH727" s="101"/>
      <c r="AI727" s="101"/>
      <c r="AJ727" s="101"/>
      <c r="AK727" s="101"/>
      <c r="AL727" s="101"/>
    </row>
    <row r="728">
      <c r="A728" s="101"/>
      <c r="B728" s="644"/>
      <c r="C728" s="101"/>
      <c r="D728" s="605"/>
      <c r="E728" s="645"/>
      <c r="F728" s="101"/>
      <c r="G728" s="101"/>
      <c r="H728" s="101"/>
      <c r="I728" s="606"/>
      <c r="J728" s="606"/>
      <c r="K728" s="606"/>
      <c r="L728" s="606"/>
      <c r="M728" s="606"/>
      <c r="N728" s="606"/>
      <c r="O728" s="606"/>
      <c r="P728" s="606"/>
      <c r="Q728" s="606"/>
      <c r="R728" s="606"/>
      <c r="S728" s="606"/>
      <c r="T728" s="606"/>
      <c r="U728" s="606"/>
      <c r="V728" s="461"/>
      <c r="W728" s="461"/>
      <c r="X728" s="131"/>
      <c r="Y728" s="101"/>
      <c r="Z728" s="101"/>
      <c r="AA728" s="101"/>
      <c r="AB728" s="101"/>
      <c r="AC728" s="101"/>
      <c r="AD728" s="101"/>
      <c r="AE728" s="101"/>
      <c r="AF728" s="101"/>
      <c r="AG728" s="101"/>
      <c r="AH728" s="101"/>
      <c r="AI728" s="101"/>
      <c r="AJ728" s="101"/>
      <c r="AK728" s="101"/>
      <c r="AL728" s="101"/>
    </row>
    <row r="729">
      <c r="A729" s="101"/>
      <c r="B729" s="644"/>
      <c r="C729" s="101"/>
      <c r="D729" s="605"/>
      <c r="E729" s="645"/>
      <c r="F729" s="101"/>
      <c r="G729" s="101"/>
      <c r="H729" s="101"/>
      <c r="I729" s="606"/>
      <c r="J729" s="606"/>
      <c r="K729" s="606"/>
      <c r="L729" s="606"/>
      <c r="M729" s="606"/>
      <c r="N729" s="606"/>
      <c r="O729" s="606"/>
      <c r="P729" s="606"/>
      <c r="Q729" s="606"/>
      <c r="R729" s="606"/>
      <c r="S729" s="606"/>
      <c r="T729" s="606"/>
      <c r="U729" s="606"/>
      <c r="V729" s="461"/>
      <c r="W729" s="461"/>
      <c r="X729" s="131"/>
      <c r="Y729" s="101"/>
      <c r="Z729" s="101"/>
      <c r="AA729" s="101"/>
      <c r="AB729" s="101"/>
      <c r="AC729" s="101"/>
      <c r="AD729" s="101"/>
      <c r="AE729" s="101"/>
      <c r="AF729" s="101"/>
      <c r="AG729" s="101"/>
      <c r="AH729" s="101"/>
      <c r="AI729" s="101"/>
      <c r="AJ729" s="101"/>
      <c r="AK729" s="101"/>
      <c r="AL729" s="101"/>
    </row>
    <row r="730">
      <c r="A730" s="101"/>
      <c r="B730" s="644"/>
      <c r="C730" s="101"/>
      <c r="D730" s="605"/>
      <c r="E730" s="645"/>
      <c r="F730" s="101"/>
      <c r="G730" s="101"/>
      <c r="H730" s="101"/>
      <c r="I730" s="606"/>
      <c r="J730" s="606"/>
      <c r="K730" s="606"/>
      <c r="L730" s="606"/>
      <c r="M730" s="606"/>
      <c r="N730" s="606"/>
      <c r="O730" s="606"/>
      <c r="P730" s="606"/>
      <c r="Q730" s="606"/>
      <c r="R730" s="606"/>
      <c r="S730" s="606"/>
      <c r="T730" s="606"/>
      <c r="U730" s="606"/>
      <c r="V730" s="461"/>
      <c r="W730" s="461"/>
      <c r="X730" s="131"/>
      <c r="Y730" s="101"/>
      <c r="Z730" s="101"/>
      <c r="AA730" s="101"/>
      <c r="AB730" s="101"/>
      <c r="AC730" s="101"/>
      <c r="AD730" s="101"/>
      <c r="AE730" s="101"/>
      <c r="AF730" s="101"/>
      <c r="AG730" s="101"/>
      <c r="AH730" s="101"/>
      <c r="AI730" s="101"/>
      <c r="AJ730" s="101"/>
      <c r="AK730" s="101"/>
      <c r="AL730" s="101"/>
    </row>
    <row r="731">
      <c r="A731" s="101"/>
      <c r="B731" s="644"/>
      <c r="C731" s="101"/>
      <c r="D731" s="605"/>
      <c r="E731" s="645"/>
      <c r="F731" s="101"/>
      <c r="G731" s="101"/>
      <c r="H731" s="101"/>
      <c r="I731" s="606"/>
      <c r="J731" s="606"/>
      <c r="K731" s="606"/>
      <c r="L731" s="606"/>
      <c r="M731" s="606"/>
      <c r="N731" s="606"/>
      <c r="O731" s="606"/>
      <c r="P731" s="606"/>
      <c r="Q731" s="606"/>
      <c r="R731" s="606"/>
      <c r="S731" s="606"/>
      <c r="T731" s="606"/>
      <c r="U731" s="606"/>
      <c r="V731" s="461"/>
      <c r="W731" s="461"/>
      <c r="X731" s="131"/>
      <c r="Y731" s="101"/>
      <c r="Z731" s="101"/>
      <c r="AA731" s="101"/>
      <c r="AB731" s="101"/>
      <c r="AC731" s="101"/>
      <c r="AD731" s="101"/>
      <c r="AE731" s="101"/>
      <c r="AF731" s="101"/>
      <c r="AG731" s="101"/>
      <c r="AH731" s="101"/>
      <c r="AI731" s="101"/>
      <c r="AJ731" s="101"/>
      <c r="AK731" s="101"/>
      <c r="AL731" s="101"/>
    </row>
    <row r="732">
      <c r="A732" s="101"/>
      <c r="B732" s="644"/>
      <c r="C732" s="101"/>
      <c r="D732" s="605"/>
      <c r="E732" s="645"/>
      <c r="F732" s="101"/>
      <c r="G732" s="101"/>
      <c r="H732" s="101"/>
      <c r="I732" s="606"/>
      <c r="J732" s="606"/>
      <c r="K732" s="606"/>
      <c r="L732" s="606"/>
      <c r="M732" s="606"/>
      <c r="N732" s="606"/>
      <c r="O732" s="606"/>
      <c r="P732" s="606"/>
      <c r="Q732" s="606"/>
      <c r="R732" s="606"/>
      <c r="S732" s="606"/>
      <c r="T732" s="606"/>
      <c r="U732" s="606"/>
      <c r="V732" s="461"/>
      <c r="W732" s="461"/>
      <c r="X732" s="131"/>
      <c r="Y732" s="101"/>
      <c r="Z732" s="101"/>
      <c r="AA732" s="101"/>
      <c r="AB732" s="101"/>
      <c r="AC732" s="101"/>
      <c r="AD732" s="101"/>
      <c r="AE732" s="101"/>
      <c r="AF732" s="101"/>
      <c r="AG732" s="101"/>
      <c r="AH732" s="101"/>
      <c r="AI732" s="101"/>
      <c r="AJ732" s="101"/>
      <c r="AK732" s="101"/>
      <c r="AL732" s="101"/>
    </row>
    <row r="733">
      <c r="A733" s="101"/>
      <c r="B733" s="644"/>
      <c r="C733" s="101"/>
      <c r="D733" s="605"/>
      <c r="E733" s="645"/>
      <c r="F733" s="101"/>
      <c r="G733" s="101"/>
      <c r="H733" s="101"/>
      <c r="I733" s="606"/>
      <c r="J733" s="606"/>
      <c r="K733" s="606"/>
      <c r="L733" s="606"/>
      <c r="M733" s="606"/>
      <c r="N733" s="606"/>
      <c r="O733" s="606"/>
      <c r="P733" s="606"/>
      <c r="Q733" s="606"/>
      <c r="R733" s="606"/>
      <c r="S733" s="606"/>
      <c r="T733" s="606"/>
      <c r="U733" s="606"/>
      <c r="V733" s="461"/>
      <c r="W733" s="461"/>
      <c r="X733" s="131"/>
      <c r="Y733" s="101"/>
      <c r="Z733" s="101"/>
      <c r="AA733" s="101"/>
      <c r="AB733" s="101"/>
      <c r="AC733" s="101"/>
      <c r="AD733" s="101"/>
      <c r="AE733" s="101"/>
      <c r="AF733" s="101"/>
      <c r="AG733" s="101"/>
      <c r="AH733" s="101"/>
      <c r="AI733" s="101"/>
      <c r="AJ733" s="101"/>
      <c r="AK733" s="101"/>
      <c r="AL733" s="101"/>
    </row>
    <row r="734">
      <c r="A734" s="101"/>
      <c r="B734" s="644"/>
      <c r="C734" s="101"/>
      <c r="D734" s="605"/>
      <c r="E734" s="645"/>
      <c r="F734" s="101"/>
      <c r="G734" s="101"/>
      <c r="H734" s="101"/>
      <c r="I734" s="606"/>
      <c r="J734" s="606"/>
      <c r="K734" s="606"/>
      <c r="L734" s="606"/>
      <c r="M734" s="606"/>
      <c r="N734" s="606"/>
      <c r="O734" s="606"/>
      <c r="P734" s="606"/>
      <c r="Q734" s="606"/>
      <c r="R734" s="606"/>
      <c r="S734" s="606"/>
      <c r="T734" s="606"/>
      <c r="U734" s="606"/>
      <c r="V734" s="461"/>
      <c r="W734" s="461"/>
      <c r="X734" s="131"/>
      <c r="Y734" s="101"/>
      <c r="Z734" s="101"/>
      <c r="AA734" s="101"/>
      <c r="AB734" s="101"/>
      <c r="AC734" s="101"/>
      <c r="AD734" s="101"/>
      <c r="AE734" s="101"/>
      <c r="AF734" s="101"/>
      <c r="AG734" s="101"/>
      <c r="AH734" s="101"/>
      <c r="AI734" s="101"/>
      <c r="AJ734" s="101"/>
      <c r="AK734" s="101"/>
      <c r="AL734" s="101"/>
    </row>
    <row r="735">
      <c r="A735" s="101"/>
      <c r="B735" s="644"/>
      <c r="C735" s="101"/>
      <c r="D735" s="605"/>
      <c r="E735" s="645"/>
      <c r="F735" s="101"/>
      <c r="G735" s="101"/>
      <c r="H735" s="101"/>
      <c r="I735" s="606"/>
      <c r="J735" s="606"/>
      <c r="K735" s="606"/>
      <c r="L735" s="606"/>
      <c r="M735" s="606"/>
      <c r="N735" s="606"/>
      <c r="O735" s="606"/>
      <c r="P735" s="606"/>
      <c r="Q735" s="606"/>
      <c r="R735" s="606"/>
      <c r="S735" s="606"/>
      <c r="T735" s="606"/>
      <c r="U735" s="606"/>
      <c r="V735" s="461"/>
      <c r="W735" s="461"/>
      <c r="X735" s="131"/>
      <c r="Y735" s="101"/>
      <c r="Z735" s="101"/>
      <c r="AA735" s="101"/>
      <c r="AB735" s="101"/>
      <c r="AC735" s="101"/>
      <c r="AD735" s="101"/>
      <c r="AE735" s="101"/>
      <c r="AF735" s="101"/>
      <c r="AG735" s="101"/>
      <c r="AH735" s="101"/>
      <c r="AI735" s="101"/>
      <c r="AJ735" s="101"/>
      <c r="AK735" s="101"/>
      <c r="AL735" s="101"/>
    </row>
    <row r="736">
      <c r="A736" s="101"/>
      <c r="B736" s="644"/>
      <c r="C736" s="101"/>
      <c r="D736" s="605"/>
      <c r="E736" s="645"/>
      <c r="F736" s="101"/>
      <c r="G736" s="101"/>
      <c r="H736" s="101"/>
      <c r="I736" s="606"/>
      <c r="J736" s="606"/>
      <c r="K736" s="606"/>
      <c r="L736" s="606"/>
      <c r="M736" s="606"/>
      <c r="N736" s="606"/>
      <c r="O736" s="606"/>
      <c r="P736" s="606"/>
      <c r="Q736" s="606"/>
      <c r="R736" s="606"/>
      <c r="S736" s="606"/>
      <c r="T736" s="606"/>
      <c r="U736" s="606"/>
      <c r="V736" s="461"/>
      <c r="W736" s="461"/>
      <c r="X736" s="131"/>
      <c r="Y736" s="101"/>
      <c r="Z736" s="101"/>
      <c r="AA736" s="101"/>
      <c r="AB736" s="101"/>
      <c r="AC736" s="101"/>
      <c r="AD736" s="101"/>
      <c r="AE736" s="101"/>
      <c r="AF736" s="101"/>
      <c r="AG736" s="101"/>
      <c r="AH736" s="101"/>
      <c r="AI736" s="101"/>
      <c r="AJ736" s="101"/>
      <c r="AK736" s="101"/>
      <c r="AL736" s="101"/>
    </row>
    <row r="737">
      <c r="A737" s="101"/>
      <c r="B737" s="644"/>
      <c r="C737" s="101"/>
      <c r="D737" s="605"/>
      <c r="E737" s="645"/>
      <c r="F737" s="101"/>
      <c r="G737" s="101"/>
      <c r="H737" s="101"/>
      <c r="I737" s="606"/>
      <c r="J737" s="606"/>
      <c r="K737" s="606"/>
      <c r="L737" s="606"/>
      <c r="M737" s="606"/>
      <c r="N737" s="606"/>
      <c r="O737" s="606"/>
      <c r="P737" s="606"/>
      <c r="Q737" s="606"/>
      <c r="R737" s="606"/>
      <c r="S737" s="606"/>
      <c r="T737" s="606"/>
      <c r="U737" s="606"/>
      <c r="V737" s="461"/>
      <c r="W737" s="461"/>
      <c r="X737" s="131"/>
      <c r="Y737" s="101"/>
      <c r="Z737" s="101"/>
      <c r="AA737" s="101"/>
      <c r="AB737" s="101"/>
      <c r="AC737" s="101"/>
      <c r="AD737" s="101"/>
      <c r="AE737" s="101"/>
      <c r="AF737" s="101"/>
      <c r="AG737" s="101"/>
      <c r="AH737" s="101"/>
      <c r="AI737" s="101"/>
      <c r="AJ737" s="101"/>
      <c r="AK737" s="101"/>
      <c r="AL737" s="101"/>
    </row>
    <row r="738">
      <c r="A738" s="101"/>
      <c r="B738" s="644"/>
      <c r="C738" s="101"/>
      <c r="D738" s="605"/>
      <c r="E738" s="645"/>
      <c r="F738" s="101"/>
      <c r="G738" s="101"/>
      <c r="H738" s="101"/>
      <c r="I738" s="606"/>
      <c r="J738" s="606"/>
      <c r="K738" s="606"/>
      <c r="L738" s="606"/>
      <c r="M738" s="606"/>
      <c r="N738" s="606"/>
      <c r="O738" s="606"/>
      <c r="P738" s="606"/>
      <c r="Q738" s="606"/>
      <c r="R738" s="606"/>
      <c r="S738" s="606"/>
      <c r="T738" s="606"/>
      <c r="U738" s="606"/>
      <c r="V738" s="461"/>
      <c r="W738" s="461"/>
      <c r="X738" s="131"/>
      <c r="Y738" s="101"/>
      <c r="Z738" s="101"/>
      <c r="AA738" s="101"/>
      <c r="AB738" s="101"/>
      <c r="AC738" s="101"/>
      <c r="AD738" s="101"/>
      <c r="AE738" s="101"/>
      <c r="AF738" s="101"/>
      <c r="AG738" s="101"/>
      <c r="AH738" s="101"/>
      <c r="AI738" s="101"/>
      <c r="AJ738" s="101"/>
      <c r="AK738" s="101"/>
      <c r="AL738" s="101"/>
    </row>
    <row r="739">
      <c r="A739" s="101"/>
      <c r="B739" s="644"/>
      <c r="C739" s="101"/>
      <c r="D739" s="605"/>
      <c r="E739" s="645"/>
      <c r="F739" s="101"/>
      <c r="G739" s="101"/>
      <c r="H739" s="101"/>
      <c r="I739" s="606"/>
      <c r="J739" s="606"/>
      <c r="K739" s="606"/>
      <c r="L739" s="606"/>
      <c r="M739" s="606"/>
      <c r="N739" s="606"/>
      <c r="O739" s="606"/>
      <c r="P739" s="606"/>
      <c r="Q739" s="606"/>
      <c r="R739" s="606"/>
      <c r="S739" s="606"/>
      <c r="T739" s="606"/>
      <c r="U739" s="606"/>
      <c r="V739" s="461"/>
      <c r="W739" s="461"/>
      <c r="X739" s="131"/>
      <c r="Y739" s="101"/>
      <c r="Z739" s="101"/>
      <c r="AA739" s="101"/>
      <c r="AB739" s="101"/>
      <c r="AC739" s="101"/>
      <c r="AD739" s="101"/>
      <c r="AE739" s="101"/>
      <c r="AF739" s="101"/>
      <c r="AG739" s="101"/>
      <c r="AH739" s="101"/>
      <c r="AI739" s="101"/>
      <c r="AJ739" s="101"/>
      <c r="AK739" s="101"/>
      <c r="AL739" s="101"/>
    </row>
    <row r="740">
      <c r="A740" s="101"/>
      <c r="B740" s="644"/>
      <c r="C740" s="101"/>
      <c r="D740" s="605"/>
      <c r="E740" s="645"/>
      <c r="F740" s="101"/>
      <c r="G740" s="101"/>
      <c r="H740" s="101"/>
      <c r="I740" s="606"/>
      <c r="J740" s="606"/>
      <c r="K740" s="606"/>
      <c r="L740" s="606"/>
      <c r="M740" s="606"/>
      <c r="N740" s="606"/>
      <c r="O740" s="606"/>
      <c r="P740" s="606"/>
      <c r="Q740" s="606"/>
      <c r="R740" s="606"/>
      <c r="S740" s="606"/>
      <c r="T740" s="606"/>
      <c r="U740" s="606"/>
      <c r="V740" s="461"/>
      <c r="W740" s="461"/>
      <c r="X740" s="131"/>
      <c r="Y740" s="101"/>
      <c r="Z740" s="101"/>
      <c r="AA740" s="101"/>
      <c r="AB740" s="101"/>
      <c r="AC740" s="101"/>
      <c r="AD740" s="101"/>
      <c r="AE740" s="101"/>
      <c r="AF740" s="101"/>
      <c r="AG740" s="101"/>
      <c r="AH740" s="101"/>
      <c r="AI740" s="101"/>
      <c r="AJ740" s="101"/>
      <c r="AK740" s="101"/>
      <c r="AL740" s="101"/>
    </row>
    <row r="741">
      <c r="A741" s="101"/>
      <c r="B741" s="644"/>
      <c r="C741" s="101"/>
      <c r="D741" s="605"/>
      <c r="E741" s="645"/>
      <c r="F741" s="101"/>
      <c r="G741" s="101"/>
      <c r="H741" s="101"/>
      <c r="I741" s="606"/>
      <c r="J741" s="606"/>
      <c r="K741" s="606"/>
      <c r="L741" s="606"/>
      <c r="M741" s="606"/>
      <c r="N741" s="606"/>
      <c r="O741" s="606"/>
      <c r="P741" s="606"/>
      <c r="Q741" s="606"/>
      <c r="R741" s="606"/>
      <c r="S741" s="606"/>
      <c r="T741" s="606"/>
      <c r="U741" s="606"/>
      <c r="V741" s="461"/>
      <c r="W741" s="461"/>
      <c r="X741" s="131"/>
      <c r="Y741" s="101"/>
      <c r="Z741" s="101"/>
      <c r="AA741" s="101"/>
      <c r="AB741" s="101"/>
      <c r="AC741" s="101"/>
      <c r="AD741" s="101"/>
      <c r="AE741" s="101"/>
      <c r="AF741" s="101"/>
      <c r="AG741" s="101"/>
      <c r="AH741" s="101"/>
      <c r="AI741" s="101"/>
      <c r="AJ741" s="101"/>
      <c r="AK741" s="101"/>
      <c r="AL741" s="101"/>
    </row>
    <row r="742">
      <c r="A742" s="101"/>
      <c r="B742" s="644"/>
      <c r="C742" s="101"/>
      <c r="D742" s="605"/>
      <c r="E742" s="645"/>
      <c r="F742" s="101"/>
      <c r="G742" s="101"/>
      <c r="H742" s="101"/>
      <c r="I742" s="606"/>
      <c r="J742" s="606"/>
      <c r="K742" s="606"/>
      <c r="L742" s="606"/>
      <c r="M742" s="606"/>
      <c r="N742" s="606"/>
      <c r="O742" s="606"/>
      <c r="P742" s="606"/>
      <c r="Q742" s="606"/>
      <c r="R742" s="606"/>
      <c r="S742" s="606"/>
      <c r="T742" s="606"/>
      <c r="U742" s="606"/>
      <c r="V742" s="461"/>
      <c r="W742" s="461"/>
      <c r="X742" s="131"/>
      <c r="Y742" s="101"/>
      <c r="Z742" s="101"/>
      <c r="AA742" s="101"/>
      <c r="AB742" s="101"/>
      <c r="AC742" s="101"/>
      <c r="AD742" s="101"/>
      <c r="AE742" s="101"/>
      <c r="AF742" s="101"/>
      <c r="AG742" s="101"/>
      <c r="AH742" s="101"/>
      <c r="AI742" s="101"/>
      <c r="AJ742" s="101"/>
      <c r="AK742" s="101"/>
      <c r="AL742" s="101"/>
    </row>
    <row r="743">
      <c r="A743" s="101"/>
      <c r="B743" s="644"/>
      <c r="C743" s="101"/>
      <c r="D743" s="605"/>
      <c r="E743" s="645"/>
      <c r="F743" s="101"/>
      <c r="G743" s="101"/>
      <c r="H743" s="101"/>
      <c r="I743" s="606"/>
      <c r="J743" s="606"/>
      <c r="K743" s="606"/>
      <c r="L743" s="606"/>
      <c r="M743" s="606"/>
      <c r="N743" s="606"/>
      <c r="O743" s="606"/>
      <c r="P743" s="606"/>
      <c r="Q743" s="606"/>
      <c r="R743" s="606"/>
      <c r="S743" s="606"/>
      <c r="T743" s="606"/>
      <c r="U743" s="606"/>
      <c r="V743" s="461"/>
      <c r="W743" s="461"/>
      <c r="X743" s="131"/>
      <c r="Y743" s="101"/>
      <c r="Z743" s="101"/>
      <c r="AA743" s="101"/>
      <c r="AB743" s="101"/>
      <c r="AC743" s="101"/>
      <c r="AD743" s="101"/>
      <c r="AE743" s="101"/>
      <c r="AF743" s="101"/>
      <c r="AG743" s="101"/>
      <c r="AH743" s="101"/>
      <c r="AI743" s="101"/>
      <c r="AJ743" s="101"/>
      <c r="AK743" s="101"/>
      <c r="AL743" s="101"/>
    </row>
    <row r="744">
      <c r="A744" s="101"/>
      <c r="B744" s="644"/>
      <c r="C744" s="101"/>
      <c r="D744" s="605"/>
      <c r="E744" s="645"/>
      <c r="F744" s="101"/>
      <c r="G744" s="101"/>
      <c r="H744" s="101"/>
      <c r="I744" s="606"/>
      <c r="J744" s="606"/>
      <c r="K744" s="606"/>
      <c r="L744" s="606"/>
      <c r="M744" s="606"/>
      <c r="N744" s="606"/>
      <c r="O744" s="606"/>
      <c r="P744" s="606"/>
      <c r="Q744" s="606"/>
      <c r="R744" s="606"/>
      <c r="S744" s="606"/>
      <c r="T744" s="606"/>
      <c r="U744" s="606"/>
      <c r="V744" s="461"/>
      <c r="W744" s="461"/>
      <c r="X744" s="131"/>
      <c r="Y744" s="101"/>
      <c r="Z744" s="101"/>
      <c r="AA744" s="101"/>
      <c r="AB744" s="101"/>
      <c r="AC744" s="101"/>
      <c r="AD744" s="101"/>
      <c r="AE744" s="101"/>
      <c r="AF744" s="101"/>
      <c r="AG744" s="101"/>
      <c r="AH744" s="101"/>
      <c r="AI744" s="101"/>
      <c r="AJ744" s="101"/>
      <c r="AK744" s="101"/>
      <c r="AL744" s="101"/>
    </row>
    <row r="745">
      <c r="A745" s="101"/>
      <c r="B745" s="644"/>
      <c r="C745" s="101"/>
      <c r="D745" s="605"/>
      <c r="E745" s="645"/>
      <c r="F745" s="101"/>
      <c r="G745" s="101"/>
      <c r="H745" s="101"/>
      <c r="I745" s="606"/>
      <c r="J745" s="606"/>
      <c r="K745" s="606"/>
      <c r="L745" s="606"/>
      <c r="M745" s="606"/>
      <c r="N745" s="606"/>
      <c r="O745" s="606"/>
      <c r="P745" s="606"/>
      <c r="Q745" s="606"/>
      <c r="R745" s="606"/>
      <c r="S745" s="606"/>
      <c r="T745" s="606"/>
      <c r="U745" s="606"/>
      <c r="V745" s="461"/>
      <c r="W745" s="461"/>
      <c r="X745" s="131"/>
      <c r="Y745" s="101"/>
      <c r="Z745" s="101"/>
      <c r="AA745" s="101"/>
      <c r="AB745" s="101"/>
      <c r="AC745" s="101"/>
      <c r="AD745" s="101"/>
      <c r="AE745" s="101"/>
      <c r="AF745" s="101"/>
      <c r="AG745" s="101"/>
      <c r="AH745" s="101"/>
      <c r="AI745" s="101"/>
      <c r="AJ745" s="101"/>
      <c r="AK745" s="101"/>
      <c r="AL745" s="101"/>
    </row>
    <row r="746">
      <c r="A746" s="101"/>
      <c r="B746" s="644"/>
      <c r="C746" s="101"/>
      <c r="D746" s="605"/>
      <c r="E746" s="645"/>
      <c r="F746" s="101"/>
      <c r="G746" s="101"/>
      <c r="H746" s="101"/>
      <c r="I746" s="606"/>
      <c r="J746" s="606"/>
      <c r="K746" s="606"/>
      <c r="L746" s="606"/>
      <c r="M746" s="606"/>
      <c r="N746" s="606"/>
      <c r="O746" s="606"/>
      <c r="P746" s="606"/>
      <c r="Q746" s="606"/>
      <c r="R746" s="606"/>
      <c r="S746" s="606"/>
      <c r="T746" s="606"/>
      <c r="U746" s="606"/>
      <c r="V746" s="461"/>
      <c r="W746" s="461"/>
      <c r="X746" s="131"/>
      <c r="Y746" s="101"/>
      <c r="Z746" s="101"/>
      <c r="AA746" s="101"/>
      <c r="AB746" s="101"/>
      <c r="AC746" s="101"/>
      <c r="AD746" s="101"/>
      <c r="AE746" s="101"/>
      <c r="AF746" s="101"/>
      <c r="AG746" s="101"/>
      <c r="AH746" s="101"/>
      <c r="AI746" s="101"/>
      <c r="AJ746" s="101"/>
      <c r="AK746" s="101"/>
      <c r="AL746" s="101"/>
    </row>
    <row r="747">
      <c r="A747" s="101"/>
      <c r="B747" s="644"/>
      <c r="C747" s="101"/>
      <c r="D747" s="605"/>
      <c r="E747" s="645"/>
      <c r="F747" s="101"/>
      <c r="G747" s="101"/>
      <c r="H747" s="101"/>
      <c r="I747" s="606"/>
      <c r="J747" s="606"/>
      <c r="K747" s="606"/>
      <c r="L747" s="606"/>
      <c r="M747" s="606"/>
      <c r="N747" s="606"/>
      <c r="O747" s="606"/>
      <c r="P747" s="606"/>
      <c r="Q747" s="606"/>
      <c r="R747" s="606"/>
      <c r="S747" s="606"/>
      <c r="T747" s="606"/>
      <c r="U747" s="606"/>
      <c r="V747" s="461"/>
      <c r="W747" s="461"/>
      <c r="X747" s="131"/>
      <c r="Y747" s="101"/>
      <c r="Z747" s="101"/>
      <c r="AA747" s="101"/>
      <c r="AB747" s="101"/>
      <c r="AC747" s="101"/>
      <c r="AD747" s="101"/>
      <c r="AE747" s="101"/>
      <c r="AF747" s="101"/>
      <c r="AG747" s="101"/>
      <c r="AH747" s="101"/>
      <c r="AI747" s="101"/>
      <c r="AJ747" s="101"/>
      <c r="AK747" s="101"/>
      <c r="AL747" s="101"/>
    </row>
    <row r="748">
      <c r="A748" s="101"/>
      <c r="B748" s="644"/>
      <c r="C748" s="101"/>
      <c r="D748" s="605"/>
      <c r="E748" s="645"/>
      <c r="F748" s="101"/>
      <c r="G748" s="101"/>
      <c r="H748" s="101"/>
      <c r="I748" s="606"/>
      <c r="J748" s="606"/>
      <c r="K748" s="606"/>
      <c r="L748" s="606"/>
      <c r="M748" s="606"/>
      <c r="N748" s="606"/>
      <c r="O748" s="606"/>
      <c r="P748" s="606"/>
      <c r="Q748" s="606"/>
      <c r="R748" s="606"/>
      <c r="S748" s="606"/>
      <c r="T748" s="606"/>
      <c r="U748" s="606"/>
      <c r="V748" s="461"/>
      <c r="W748" s="461"/>
      <c r="X748" s="131"/>
      <c r="Y748" s="101"/>
      <c r="Z748" s="101"/>
      <c r="AA748" s="101"/>
      <c r="AB748" s="101"/>
      <c r="AC748" s="101"/>
      <c r="AD748" s="101"/>
      <c r="AE748" s="101"/>
      <c r="AF748" s="101"/>
      <c r="AG748" s="101"/>
      <c r="AH748" s="101"/>
      <c r="AI748" s="101"/>
      <c r="AJ748" s="101"/>
      <c r="AK748" s="101"/>
      <c r="AL748" s="101"/>
    </row>
    <row r="749">
      <c r="A749" s="101"/>
      <c r="B749" s="644"/>
      <c r="C749" s="101"/>
      <c r="D749" s="605"/>
      <c r="E749" s="645"/>
      <c r="F749" s="101"/>
      <c r="G749" s="101"/>
      <c r="H749" s="101"/>
      <c r="I749" s="606"/>
      <c r="J749" s="606"/>
      <c r="K749" s="606"/>
      <c r="L749" s="606"/>
      <c r="M749" s="606"/>
      <c r="N749" s="606"/>
      <c r="O749" s="606"/>
      <c r="P749" s="606"/>
      <c r="Q749" s="606"/>
      <c r="R749" s="606"/>
      <c r="S749" s="606"/>
      <c r="T749" s="606"/>
      <c r="U749" s="606"/>
      <c r="V749" s="461"/>
      <c r="W749" s="461"/>
      <c r="X749" s="131"/>
      <c r="Y749" s="101"/>
      <c r="Z749" s="101"/>
      <c r="AA749" s="101"/>
      <c r="AB749" s="101"/>
      <c r="AC749" s="101"/>
      <c r="AD749" s="101"/>
      <c r="AE749" s="101"/>
      <c r="AF749" s="101"/>
      <c r="AG749" s="101"/>
      <c r="AH749" s="101"/>
      <c r="AI749" s="101"/>
      <c r="AJ749" s="101"/>
      <c r="AK749" s="101"/>
      <c r="AL749" s="101"/>
    </row>
    <row r="750">
      <c r="A750" s="101"/>
      <c r="B750" s="644"/>
      <c r="C750" s="101"/>
      <c r="D750" s="605"/>
      <c r="E750" s="645"/>
      <c r="F750" s="101"/>
      <c r="G750" s="101"/>
      <c r="H750" s="101"/>
      <c r="I750" s="606"/>
      <c r="J750" s="606"/>
      <c r="K750" s="606"/>
      <c r="L750" s="606"/>
      <c r="M750" s="606"/>
      <c r="N750" s="606"/>
      <c r="O750" s="606"/>
      <c r="P750" s="606"/>
      <c r="Q750" s="606"/>
      <c r="R750" s="606"/>
      <c r="S750" s="606"/>
      <c r="T750" s="606"/>
      <c r="U750" s="606"/>
      <c r="V750" s="461"/>
      <c r="W750" s="461"/>
      <c r="X750" s="131"/>
      <c r="Y750" s="101"/>
      <c r="Z750" s="101"/>
      <c r="AA750" s="101"/>
      <c r="AB750" s="101"/>
      <c r="AC750" s="101"/>
      <c r="AD750" s="101"/>
      <c r="AE750" s="101"/>
      <c r="AF750" s="101"/>
      <c r="AG750" s="101"/>
      <c r="AH750" s="101"/>
      <c r="AI750" s="101"/>
      <c r="AJ750" s="101"/>
      <c r="AK750" s="101"/>
      <c r="AL750" s="101"/>
    </row>
    <row r="751">
      <c r="A751" s="101"/>
      <c r="B751" s="644"/>
      <c r="C751" s="101"/>
      <c r="D751" s="605"/>
      <c r="E751" s="645"/>
      <c r="F751" s="101"/>
      <c r="G751" s="101"/>
      <c r="H751" s="101"/>
      <c r="I751" s="606"/>
      <c r="J751" s="606"/>
      <c r="K751" s="606"/>
      <c r="L751" s="606"/>
      <c r="M751" s="606"/>
      <c r="N751" s="606"/>
      <c r="O751" s="606"/>
      <c r="P751" s="606"/>
      <c r="Q751" s="606"/>
      <c r="R751" s="606"/>
      <c r="S751" s="606"/>
      <c r="T751" s="606"/>
      <c r="U751" s="606"/>
      <c r="V751" s="461"/>
      <c r="W751" s="461"/>
      <c r="X751" s="131"/>
      <c r="Y751" s="101"/>
      <c r="Z751" s="101"/>
      <c r="AA751" s="101"/>
      <c r="AB751" s="101"/>
      <c r="AC751" s="101"/>
      <c r="AD751" s="101"/>
      <c r="AE751" s="101"/>
      <c r="AF751" s="101"/>
      <c r="AG751" s="101"/>
      <c r="AH751" s="101"/>
      <c r="AI751" s="101"/>
      <c r="AJ751" s="101"/>
      <c r="AK751" s="101"/>
      <c r="AL751" s="101"/>
    </row>
    <row r="752">
      <c r="A752" s="101"/>
      <c r="B752" s="644"/>
      <c r="C752" s="101"/>
      <c r="D752" s="605"/>
      <c r="E752" s="645"/>
      <c r="F752" s="101"/>
      <c r="G752" s="101"/>
      <c r="H752" s="101"/>
      <c r="I752" s="606"/>
      <c r="J752" s="606"/>
      <c r="K752" s="606"/>
      <c r="L752" s="606"/>
      <c r="M752" s="606"/>
      <c r="N752" s="606"/>
      <c r="O752" s="606"/>
      <c r="P752" s="606"/>
      <c r="Q752" s="606"/>
      <c r="R752" s="606"/>
      <c r="S752" s="606"/>
      <c r="T752" s="606"/>
      <c r="U752" s="606"/>
      <c r="V752" s="461"/>
      <c r="W752" s="461"/>
      <c r="X752" s="131"/>
      <c r="Y752" s="101"/>
      <c r="Z752" s="101"/>
      <c r="AA752" s="101"/>
      <c r="AB752" s="101"/>
      <c r="AC752" s="101"/>
      <c r="AD752" s="101"/>
      <c r="AE752" s="101"/>
      <c r="AF752" s="101"/>
      <c r="AG752" s="101"/>
      <c r="AH752" s="101"/>
      <c r="AI752" s="101"/>
      <c r="AJ752" s="101"/>
      <c r="AK752" s="101"/>
      <c r="AL752" s="101"/>
    </row>
    <row r="753">
      <c r="A753" s="101"/>
      <c r="B753" s="644"/>
      <c r="C753" s="101"/>
      <c r="D753" s="605"/>
      <c r="E753" s="645"/>
      <c r="F753" s="101"/>
      <c r="G753" s="101"/>
      <c r="H753" s="101"/>
      <c r="I753" s="606"/>
      <c r="J753" s="606"/>
      <c r="K753" s="606"/>
      <c r="L753" s="606"/>
      <c r="M753" s="606"/>
      <c r="N753" s="606"/>
      <c r="O753" s="606"/>
      <c r="P753" s="606"/>
      <c r="Q753" s="606"/>
      <c r="R753" s="606"/>
      <c r="S753" s="606"/>
      <c r="T753" s="606"/>
      <c r="U753" s="606"/>
      <c r="V753" s="461"/>
      <c r="W753" s="461"/>
      <c r="X753" s="131"/>
      <c r="Y753" s="101"/>
      <c r="Z753" s="101"/>
      <c r="AA753" s="101"/>
      <c r="AB753" s="101"/>
      <c r="AC753" s="101"/>
      <c r="AD753" s="101"/>
      <c r="AE753" s="101"/>
      <c r="AF753" s="101"/>
      <c r="AG753" s="101"/>
      <c r="AH753" s="101"/>
      <c r="AI753" s="101"/>
      <c r="AJ753" s="101"/>
      <c r="AK753" s="101"/>
      <c r="AL753" s="101"/>
    </row>
    <row r="754">
      <c r="A754" s="101"/>
      <c r="B754" s="644"/>
      <c r="C754" s="101"/>
      <c r="D754" s="605"/>
      <c r="E754" s="645"/>
      <c r="F754" s="101"/>
      <c r="G754" s="101"/>
      <c r="H754" s="101"/>
      <c r="I754" s="606"/>
      <c r="J754" s="606"/>
      <c r="K754" s="606"/>
      <c r="L754" s="606"/>
      <c r="M754" s="606"/>
      <c r="N754" s="606"/>
      <c r="O754" s="606"/>
      <c r="P754" s="606"/>
      <c r="Q754" s="606"/>
      <c r="R754" s="606"/>
      <c r="S754" s="606"/>
      <c r="T754" s="606"/>
      <c r="U754" s="606"/>
      <c r="V754" s="461"/>
      <c r="W754" s="461"/>
      <c r="X754" s="131"/>
      <c r="Y754" s="101"/>
      <c r="Z754" s="101"/>
      <c r="AA754" s="101"/>
      <c r="AB754" s="101"/>
      <c r="AC754" s="101"/>
      <c r="AD754" s="101"/>
      <c r="AE754" s="101"/>
      <c r="AF754" s="101"/>
      <c r="AG754" s="101"/>
      <c r="AH754" s="101"/>
      <c r="AI754" s="101"/>
      <c r="AJ754" s="101"/>
      <c r="AK754" s="101"/>
      <c r="AL754" s="101"/>
    </row>
    <row r="755">
      <c r="A755" s="101"/>
      <c r="B755" s="644"/>
      <c r="C755" s="101"/>
      <c r="D755" s="605"/>
      <c r="E755" s="645"/>
      <c r="F755" s="101"/>
      <c r="G755" s="101"/>
      <c r="H755" s="101"/>
      <c r="I755" s="606"/>
      <c r="J755" s="606"/>
      <c r="K755" s="606"/>
      <c r="L755" s="606"/>
      <c r="M755" s="606"/>
      <c r="N755" s="606"/>
      <c r="O755" s="606"/>
      <c r="P755" s="606"/>
      <c r="Q755" s="606"/>
      <c r="R755" s="606"/>
      <c r="S755" s="606"/>
      <c r="T755" s="606"/>
      <c r="U755" s="606"/>
      <c r="V755" s="461"/>
      <c r="W755" s="461"/>
      <c r="X755" s="131"/>
      <c r="Y755" s="101"/>
      <c r="Z755" s="101"/>
      <c r="AA755" s="101"/>
      <c r="AB755" s="101"/>
      <c r="AC755" s="101"/>
      <c r="AD755" s="101"/>
      <c r="AE755" s="101"/>
      <c r="AF755" s="101"/>
      <c r="AG755" s="101"/>
      <c r="AH755" s="101"/>
      <c r="AI755" s="101"/>
      <c r="AJ755" s="101"/>
      <c r="AK755" s="101"/>
      <c r="AL755" s="101"/>
    </row>
    <row r="756">
      <c r="A756" s="101"/>
      <c r="B756" s="644"/>
      <c r="C756" s="101"/>
      <c r="D756" s="605"/>
      <c r="E756" s="645"/>
      <c r="F756" s="101"/>
      <c r="G756" s="101"/>
      <c r="H756" s="101"/>
      <c r="I756" s="606"/>
      <c r="J756" s="606"/>
      <c r="K756" s="606"/>
      <c r="L756" s="606"/>
      <c r="M756" s="606"/>
      <c r="N756" s="606"/>
      <c r="O756" s="606"/>
      <c r="P756" s="606"/>
      <c r="Q756" s="606"/>
      <c r="R756" s="606"/>
      <c r="S756" s="606"/>
      <c r="T756" s="606"/>
      <c r="U756" s="606"/>
      <c r="V756" s="461"/>
      <c r="W756" s="461"/>
      <c r="X756" s="131"/>
      <c r="Y756" s="101"/>
      <c r="Z756" s="101"/>
      <c r="AA756" s="101"/>
      <c r="AB756" s="101"/>
      <c r="AC756" s="101"/>
      <c r="AD756" s="101"/>
      <c r="AE756" s="101"/>
      <c r="AF756" s="101"/>
      <c r="AG756" s="101"/>
      <c r="AH756" s="101"/>
      <c r="AI756" s="101"/>
      <c r="AJ756" s="101"/>
      <c r="AK756" s="101"/>
      <c r="AL756" s="101"/>
    </row>
    <row r="757">
      <c r="A757" s="101"/>
      <c r="B757" s="644"/>
      <c r="C757" s="101"/>
      <c r="D757" s="605"/>
      <c r="E757" s="645"/>
      <c r="F757" s="101"/>
      <c r="G757" s="101"/>
      <c r="H757" s="101"/>
      <c r="I757" s="606"/>
      <c r="J757" s="606"/>
      <c r="K757" s="606"/>
      <c r="L757" s="606"/>
      <c r="M757" s="606"/>
      <c r="N757" s="606"/>
      <c r="O757" s="606"/>
      <c r="P757" s="606"/>
      <c r="Q757" s="606"/>
      <c r="R757" s="606"/>
      <c r="S757" s="606"/>
      <c r="T757" s="606"/>
      <c r="U757" s="606"/>
      <c r="V757" s="461"/>
      <c r="W757" s="461"/>
      <c r="X757" s="131"/>
      <c r="Y757" s="101"/>
      <c r="Z757" s="101"/>
      <c r="AA757" s="101"/>
      <c r="AB757" s="101"/>
      <c r="AC757" s="101"/>
      <c r="AD757" s="101"/>
      <c r="AE757" s="101"/>
      <c r="AF757" s="101"/>
      <c r="AG757" s="101"/>
      <c r="AH757" s="101"/>
      <c r="AI757" s="101"/>
      <c r="AJ757" s="101"/>
      <c r="AK757" s="101"/>
      <c r="AL757" s="101"/>
    </row>
    <row r="758">
      <c r="A758" s="101"/>
      <c r="B758" s="644"/>
      <c r="C758" s="101"/>
      <c r="D758" s="605"/>
      <c r="E758" s="645"/>
      <c r="F758" s="101"/>
      <c r="G758" s="101"/>
      <c r="H758" s="101"/>
      <c r="I758" s="606"/>
      <c r="J758" s="606"/>
      <c r="K758" s="606"/>
      <c r="L758" s="606"/>
      <c r="M758" s="606"/>
      <c r="N758" s="606"/>
      <c r="O758" s="606"/>
      <c r="P758" s="606"/>
      <c r="Q758" s="606"/>
      <c r="R758" s="606"/>
      <c r="S758" s="606"/>
      <c r="T758" s="606"/>
      <c r="U758" s="606"/>
      <c r="V758" s="461"/>
      <c r="W758" s="461"/>
      <c r="X758" s="131"/>
      <c r="Y758" s="101"/>
      <c r="Z758" s="101"/>
      <c r="AA758" s="101"/>
      <c r="AB758" s="101"/>
      <c r="AC758" s="101"/>
      <c r="AD758" s="101"/>
      <c r="AE758" s="101"/>
      <c r="AF758" s="101"/>
      <c r="AG758" s="101"/>
      <c r="AH758" s="101"/>
      <c r="AI758" s="101"/>
      <c r="AJ758" s="101"/>
      <c r="AK758" s="101"/>
      <c r="AL758" s="101"/>
    </row>
    <row r="759">
      <c r="A759" s="101"/>
      <c r="B759" s="644"/>
      <c r="C759" s="101"/>
      <c r="D759" s="605"/>
      <c r="E759" s="645"/>
      <c r="F759" s="101"/>
      <c r="G759" s="101"/>
      <c r="H759" s="101"/>
      <c r="I759" s="606"/>
      <c r="J759" s="606"/>
      <c r="K759" s="606"/>
      <c r="L759" s="606"/>
      <c r="M759" s="606"/>
      <c r="N759" s="606"/>
      <c r="O759" s="606"/>
      <c r="P759" s="606"/>
      <c r="Q759" s="606"/>
      <c r="R759" s="606"/>
      <c r="S759" s="606"/>
      <c r="T759" s="606"/>
      <c r="U759" s="606"/>
      <c r="V759" s="461"/>
      <c r="W759" s="461"/>
      <c r="X759" s="131"/>
      <c r="Y759" s="101"/>
      <c r="Z759" s="101"/>
      <c r="AA759" s="101"/>
      <c r="AB759" s="101"/>
      <c r="AC759" s="101"/>
      <c r="AD759" s="101"/>
      <c r="AE759" s="101"/>
      <c r="AF759" s="101"/>
      <c r="AG759" s="101"/>
      <c r="AH759" s="101"/>
      <c r="AI759" s="101"/>
      <c r="AJ759" s="101"/>
      <c r="AK759" s="101"/>
      <c r="AL759" s="101"/>
    </row>
    <row r="760">
      <c r="A760" s="101"/>
      <c r="B760" s="644"/>
      <c r="C760" s="101"/>
      <c r="D760" s="605"/>
      <c r="E760" s="645"/>
      <c r="F760" s="101"/>
      <c r="G760" s="101"/>
      <c r="H760" s="101"/>
      <c r="I760" s="606"/>
      <c r="J760" s="606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461"/>
      <c r="W760" s="461"/>
      <c r="X760" s="131"/>
      <c r="Y760" s="101"/>
      <c r="Z760" s="101"/>
      <c r="AA760" s="101"/>
      <c r="AB760" s="101"/>
      <c r="AC760" s="101"/>
      <c r="AD760" s="101"/>
      <c r="AE760" s="101"/>
      <c r="AF760" s="101"/>
      <c r="AG760" s="101"/>
      <c r="AH760" s="101"/>
      <c r="AI760" s="101"/>
      <c r="AJ760" s="101"/>
      <c r="AK760" s="101"/>
      <c r="AL760" s="101"/>
    </row>
    <row r="761">
      <c r="A761" s="101"/>
      <c r="B761" s="644"/>
      <c r="C761" s="101"/>
      <c r="D761" s="605"/>
      <c r="E761" s="645"/>
      <c r="F761" s="101"/>
      <c r="G761" s="101"/>
      <c r="H761" s="101"/>
      <c r="I761" s="606"/>
      <c r="J761" s="606"/>
      <c r="K761" s="606"/>
      <c r="L761" s="606"/>
      <c r="M761" s="606"/>
      <c r="N761" s="606"/>
      <c r="O761" s="606"/>
      <c r="P761" s="606"/>
      <c r="Q761" s="606"/>
      <c r="R761" s="606"/>
      <c r="S761" s="606"/>
      <c r="T761" s="606"/>
      <c r="U761" s="606"/>
      <c r="V761" s="461"/>
      <c r="W761" s="461"/>
      <c r="X761" s="131"/>
      <c r="Y761" s="101"/>
      <c r="Z761" s="101"/>
      <c r="AA761" s="101"/>
      <c r="AB761" s="101"/>
      <c r="AC761" s="101"/>
      <c r="AD761" s="101"/>
      <c r="AE761" s="101"/>
      <c r="AF761" s="101"/>
      <c r="AG761" s="101"/>
      <c r="AH761" s="101"/>
      <c r="AI761" s="101"/>
      <c r="AJ761" s="101"/>
      <c r="AK761" s="101"/>
      <c r="AL761" s="101"/>
    </row>
    <row r="762">
      <c r="A762" s="101"/>
      <c r="B762" s="644"/>
      <c r="C762" s="101"/>
      <c r="D762" s="605"/>
      <c r="E762" s="645"/>
      <c r="F762" s="101"/>
      <c r="G762" s="101"/>
      <c r="H762" s="101"/>
      <c r="I762" s="606"/>
      <c r="J762" s="606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461"/>
      <c r="W762" s="461"/>
      <c r="X762" s="131"/>
      <c r="Y762" s="101"/>
      <c r="Z762" s="101"/>
      <c r="AA762" s="101"/>
      <c r="AB762" s="101"/>
      <c r="AC762" s="101"/>
      <c r="AD762" s="101"/>
      <c r="AE762" s="101"/>
      <c r="AF762" s="101"/>
      <c r="AG762" s="101"/>
      <c r="AH762" s="101"/>
      <c r="AI762" s="101"/>
      <c r="AJ762" s="101"/>
      <c r="AK762" s="101"/>
      <c r="AL762" s="101"/>
    </row>
    <row r="763">
      <c r="A763" s="101"/>
      <c r="B763" s="644"/>
      <c r="C763" s="101"/>
      <c r="D763" s="605"/>
      <c r="E763" s="645"/>
      <c r="F763" s="101"/>
      <c r="G763" s="101"/>
      <c r="H763" s="101"/>
      <c r="I763" s="606"/>
      <c r="J763" s="606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461"/>
      <c r="W763" s="461"/>
      <c r="X763" s="131"/>
      <c r="Y763" s="101"/>
      <c r="Z763" s="101"/>
      <c r="AA763" s="101"/>
      <c r="AB763" s="101"/>
      <c r="AC763" s="101"/>
      <c r="AD763" s="101"/>
      <c r="AE763" s="101"/>
      <c r="AF763" s="101"/>
      <c r="AG763" s="101"/>
      <c r="AH763" s="101"/>
      <c r="AI763" s="101"/>
      <c r="AJ763" s="101"/>
      <c r="AK763" s="101"/>
      <c r="AL763" s="101"/>
    </row>
    <row r="764">
      <c r="A764" s="101"/>
      <c r="B764" s="644"/>
      <c r="C764" s="101"/>
      <c r="D764" s="605"/>
      <c r="E764" s="645"/>
      <c r="F764" s="101"/>
      <c r="G764" s="101"/>
      <c r="H764" s="101"/>
      <c r="I764" s="606"/>
      <c r="J764" s="606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461"/>
      <c r="W764" s="461"/>
      <c r="X764" s="131"/>
      <c r="Y764" s="101"/>
      <c r="Z764" s="101"/>
      <c r="AA764" s="101"/>
      <c r="AB764" s="101"/>
      <c r="AC764" s="101"/>
      <c r="AD764" s="101"/>
      <c r="AE764" s="101"/>
      <c r="AF764" s="101"/>
      <c r="AG764" s="101"/>
      <c r="AH764" s="101"/>
      <c r="AI764" s="101"/>
      <c r="AJ764" s="101"/>
      <c r="AK764" s="101"/>
      <c r="AL764" s="101"/>
    </row>
    <row r="765">
      <c r="A765" s="101"/>
      <c r="B765" s="644"/>
      <c r="C765" s="101"/>
      <c r="D765" s="605"/>
      <c r="E765" s="645"/>
      <c r="F765" s="101"/>
      <c r="G765" s="101"/>
      <c r="H765" s="101"/>
      <c r="I765" s="606"/>
      <c r="J765" s="606"/>
      <c r="K765" s="606"/>
      <c r="L765" s="606"/>
      <c r="M765" s="606"/>
      <c r="N765" s="606"/>
      <c r="O765" s="606"/>
      <c r="P765" s="606"/>
      <c r="Q765" s="606"/>
      <c r="R765" s="606"/>
      <c r="S765" s="606"/>
      <c r="T765" s="606"/>
      <c r="U765" s="606"/>
      <c r="V765" s="461"/>
      <c r="W765" s="461"/>
      <c r="X765" s="131"/>
      <c r="Y765" s="101"/>
      <c r="Z765" s="101"/>
      <c r="AA765" s="101"/>
      <c r="AB765" s="101"/>
      <c r="AC765" s="101"/>
      <c r="AD765" s="101"/>
      <c r="AE765" s="101"/>
      <c r="AF765" s="101"/>
      <c r="AG765" s="101"/>
      <c r="AH765" s="101"/>
      <c r="AI765" s="101"/>
      <c r="AJ765" s="101"/>
      <c r="AK765" s="101"/>
      <c r="AL765" s="101"/>
    </row>
    <row r="766">
      <c r="A766" s="101"/>
      <c r="B766" s="644"/>
      <c r="C766" s="101"/>
      <c r="D766" s="605"/>
      <c r="E766" s="645"/>
      <c r="F766" s="101"/>
      <c r="G766" s="101"/>
      <c r="H766" s="101"/>
      <c r="I766" s="606"/>
      <c r="J766" s="606"/>
      <c r="K766" s="606"/>
      <c r="L766" s="606"/>
      <c r="M766" s="606"/>
      <c r="N766" s="606"/>
      <c r="O766" s="606"/>
      <c r="P766" s="606"/>
      <c r="Q766" s="606"/>
      <c r="R766" s="606"/>
      <c r="S766" s="606"/>
      <c r="T766" s="606"/>
      <c r="U766" s="606"/>
      <c r="V766" s="461"/>
      <c r="W766" s="461"/>
      <c r="X766" s="131"/>
      <c r="Y766" s="101"/>
      <c r="Z766" s="101"/>
      <c r="AA766" s="101"/>
      <c r="AB766" s="101"/>
      <c r="AC766" s="101"/>
      <c r="AD766" s="101"/>
      <c r="AE766" s="101"/>
      <c r="AF766" s="101"/>
      <c r="AG766" s="101"/>
      <c r="AH766" s="101"/>
      <c r="AI766" s="101"/>
      <c r="AJ766" s="101"/>
      <c r="AK766" s="101"/>
      <c r="AL766" s="101"/>
    </row>
    <row r="767">
      <c r="A767" s="101"/>
      <c r="B767" s="644"/>
      <c r="C767" s="101"/>
      <c r="D767" s="605"/>
      <c r="E767" s="645"/>
      <c r="F767" s="101"/>
      <c r="G767" s="101"/>
      <c r="H767" s="101"/>
      <c r="I767" s="606"/>
      <c r="J767" s="606"/>
      <c r="K767" s="606"/>
      <c r="L767" s="606"/>
      <c r="M767" s="606"/>
      <c r="N767" s="606"/>
      <c r="O767" s="606"/>
      <c r="P767" s="606"/>
      <c r="Q767" s="606"/>
      <c r="R767" s="606"/>
      <c r="S767" s="606"/>
      <c r="T767" s="606"/>
      <c r="U767" s="606"/>
      <c r="V767" s="461"/>
      <c r="W767" s="461"/>
      <c r="X767" s="131"/>
      <c r="Y767" s="101"/>
      <c r="Z767" s="101"/>
      <c r="AA767" s="101"/>
      <c r="AB767" s="101"/>
      <c r="AC767" s="101"/>
      <c r="AD767" s="101"/>
      <c r="AE767" s="101"/>
      <c r="AF767" s="101"/>
      <c r="AG767" s="101"/>
      <c r="AH767" s="101"/>
      <c r="AI767" s="101"/>
      <c r="AJ767" s="101"/>
      <c r="AK767" s="101"/>
      <c r="AL767" s="101"/>
    </row>
    <row r="768">
      <c r="A768" s="101"/>
      <c r="B768" s="644"/>
      <c r="C768" s="101"/>
      <c r="D768" s="605"/>
      <c r="E768" s="645"/>
      <c r="F768" s="101"/>
      <c r="G768" s="101"/>
      <c r="H768" s="101"/>
      <c r="I768" s="606"/>
      <c r="J768" s="606"/>
      <c r="K768" s="606"/>
      <c r="L768" s="606"/>
      <c r="M768" s="606"/>
      <c r="N768" s="606"/>
      <c r="O768" s="606"/>
      <c r="P768" s="606"/>
      <c r="Q768" s="606"/>
      <c r="R768" s="606"/>
      <c r="S768" s="606"/>
      <c r="T768" s="606"/>
      <c r="U768" s="606"/>
      <c r="V768" s="461"/>
      <c r="W768" s="461"/>
      <c r="X768" s="131"/>
      <c r="Y768" s="101"/>
      <c r="Z768" s="101"/>
      <c r="AA768" s="101"/>
      <c r="AB768" s="101"/>
      <c r="AC768" s="101"/>
      <c r="AD768" s="101"/>
      <c r="AE768" s="101"/>
      <c r="AF768" s="101"/>
      <c r="AG768" s="101"/>
      <c r="AH768" s="101"/>
      <c r="AI768" s="101"/>
      <c r="AJ768" s="101"/>
      <c r="AK768" s="101"/>
      <c r="AL768" s="101"/>
    </row>
    <row r="769">
      <c r="A769" s="101"/>
      <c r="B769" s="644"/>
      <c r="C769" s="101"/>
      <c r="D769" s="605"/>
      <c r="E769" s="645"/>
      <c r="F769" s="101"/>
      <c r="G769" s="101"/>
      <c r="H769" s="101"/>
      <c r="I769" s="606"/>
      <c r="J769" s="606"/>
      <c r="K769" s="606"/>
      <c r="L769" s="606"/>
      <c r="M769" s="606"/>
      <c r="N769" s="606"/>
      <c r="O769" s="606"/>
      <c r="P769" s="606"/>
      <c r="Q769" s="606"/>
      <c r="R769" s="606"/>
      <c r="S769" s="606"/>
      <c r="T769" s="606"/>
      <c r="U769" s="606"/>
      <c r="V769" s="461"/>
      <c r="W769" s="461"/>
      <c r="X769" s="131"/>
      <c r="Y769" s="101"/>
      <c r="Z769" s="101"/>
      <c r="AA769" s="101"/>
      <c r="AB769" s="101"/>
      <c r="AC769" s="101"/>
      <c r="AD769" s="101"/>
      <c r="AE769" s="101"/>
      <c r="AF769" s="101"/>
      <c r="AG769" s="101"/>
      <c r="AH769" s="101"/>
      <c r="AI769" s="101"/>
      <c r="AJ769" s="101"/>
      <c r="AK769" s="101"/>
      <c r="AL769" s="101"/>
    </row>
    <row r="770">
      <c r="A770" s="101"/>
      <c r="B770" s="644"/>
      <c r="C770" s="101"/>
      <c r="D770" s="605"/>
      <c r="E770" s="645"/>
      <c r="F770" s="101"/>
      <c r="G770" s="101"/>
      <c r="H770" s="101"/>
      <c r="I770" s="606"/>
      <c r="J770" s="606"/>
      <c r="K770" s="606"/>
      <c r="L770" s="606"/>
      <c r="M770" s="606"/>
      <c r="N770" s="606"/>
      <c r="O770" s="606"/>
      <c r="P770" s="606"/>
      <c r="Q770" s="606"/>
      <c r="R770" s="606"/>
      <c r="S770" s="606"/>
      <c r="T770" s="606"/>
      <c r="U770" s="606"/>
      <c r="V770" s="461"/>
      <c r="W770" s="461"/>
      <c r="X770" s="131"/>
      <c r="Y770" s="101"/>
      <c r="Z770" s="101"/>
      <c r="AA770" s="101"/>
      <c r="AB770" s="101"/>
      <c r="AC770" s="101"/>
      <c r="AD770" s="101"/>
      <c r="AE770" s="101"/>
      <c r="AF770" s="101"/>
      <c r="AG770" s="101"/>
      <c r="AH770" s="101"/>
      <c r="AI770" s="101"/>
      <c r="AJ770" s="101"/>
      <c r="AK770" s="101"/>
      <c r="AL770" s="101"/>
    </row>
    <row r="771">
      <c r="A771" s="101"/>
      <c r="B771" s="644"/>
      <c r="C771" s="101"/>
      <c r="D771" s="605"/>
      <c r="E771" s="645"/>
      <c r="F771" s="101"/>
      <c r="G771" s="101"/>
      <c r="H771" s="101"/>
      <c r="I771" s="606"/>
      <c r="J771" s="606"/>
      <c r="K771" s="606"/>
      <c r="L771" s="606"/>
      <c r="M771" s="606"/>
      <c r="N771" s="606"/>
      <c r="O771" s="606"/>
      <c r="P771" s="606"/>
      <c r="Q771" s="606"/>
      <c r="R771" s="606"/>
      <c r="S771" s="606"/>
      <c r="T771" s="606"/>
      <c r="U771" s="606"/>
      <c r="V771" s="461"/>
      <c r="W771" s="461"/>
      <c r="X771" s="131"/>
      <c r="Y771" s="101"/>
      <c r="Z771" s="101"/>
      <c r="AA771" s="101"/>
      <c r="AB771" s="101"/>
      <c r="AC771" s="101"/>
      <c r="AD771" s="101"/>
      <c r="AE771" s="101"/>
      <c r="AF771" s="101"/>
      <c r="AG771" s="101"/>
      <c r="AH771" s="101"/>
      <c r="AI771" s="101"/>
      <c r="AJ771" s="101"/>
      <c r="AK771" s="101"/>
      <c r="AL771" s="101"/>
    </row>
    <row r="772">
      <c r="A772" s="101"/>
      <c r="B772" s="644"/>
      <c r="C772" s="101"/>
      <c r="D772" s="605"/>
      <c r="E772" s="645"/>
      <c r="F772" s="101"/>
      <c r="G772" s="101"/>
      <c r="H772" s="101"/>
      <c r="I772" s="606"/>
      <c r="J772" s="606"/>
      <c r="K772" s="606"/>
      <c r="L772" s="606"/>
      <c r="M772" s="606"/>
      <c r="N772" s="606"/>
      <c r="O772" s="606"/>
      <c r="P772" s="606"/>
      <c r="Q772" s="606"/>
      <c r="R772" s="606"/>
      <c r="S772" s="606"/>
      <c r="T772" s="606"/>
      <c r="U772" s="606"/>
      <c r="V772" s="461"/>
      <c r="W772" s="461"/>
      <c r="X772" s="131"/>
      <c r="Y772" s="101"/>
      <c r="Z772" s="101"/>
      <c r="AA772" s="101"/>
      <c r="AB772" s="101"/>
      <c r="AC772" s="101"/>
      <c r="AD772" s="101"/>
      <c r="AE772" s="101"/>
      <c r="AF772" s="101"/>
      <c r="AG772" s="101"/>
      <c r="AH772" s="101"/>
      <c r="AI772" s="101"/>
      <c r="AJ772" s="101"/>
      <c r="AK772" s="101"/>
      <c r="AL772" s="101"/>
    </row>
    <row r="773">
      <c r="A773" s="101"/>
      <c r="B773" s="644"/>
      <c r="C773" s="101"/>
      <c r="D773" s="605"/>
      <c r="E773" s="645"/>
      <c r="F773" s="101"/>
      <c r="G773" s="101"/>
      <c r="H773" s="101"/>
      <c r="I773" s="606"/>
      <c r="J773" s="606"/>
      <c r="K773" s="606"/>
      <c r="L773" s="606"/>
      <c r="M773" s="606"/>
      <c r="N773" s="606"/>
      <c r="O773" s="606"/>
      <c r="P773" s="606"/>
      <c r="Q773" s="606"/>
      <c r="R773" s="606"/>
      <c r="S773" s="606"/>
      <c r="T773" s="606"/>
      <c r="U773" s="606"/>
      <c r="V773" s="461"/>
      <c r="W773" s="461"/>
      <c r="X773" s="131"/>
      <c r="Y773" s="101"/>
      <c r="Z773" s="101"/>
      <c r="AA773" s="101"/>
      <c r="AB773" s="101"/>
      <c r="AC773" s="101"/>
      <c r="AD773" s="101"/>
      <c r="AE773" s="101"/>
      <c r="AF773" s="101"/>
      <c r="AG773" s="101"/>
      <c r="AH773" s="101"/>
      <c r="AI773" s="101"/>
      <c r="AJ773" s="101"/>
      <c r="AK773" s="101"/>
      <c r="AL773" s="101"/>
    </row>
    <row r="774">
      <c r="A774" s="101"/>
      <c r="B774" s="644"/>
      <c r="C774" s="101"/>
      <c r="D774" s="605"/>
      <c r="E774" s="645"/>
      <c r="F774" s="101"/>
      <c r="G774" s="101"/>
      <c r="H774" s="101"/>
      <c r="I774" s="606"/>
      <c r="J774" s="606"/>
      <c r="K774" s="606"/>
      <c r="L774" s="606"/>
      <c r="M774" s="606"/>
      <c r="N774" s="606"/>
      <c r="O774" s="606"/>
      <c r="P774" s="606"/>
      <c r="Q774" s="606"/>
      <c r="R774" s="606"/>
      <c r="S774" s="606"/>
      <c r="T774" s="606"/>
      <c r="U774" s="606"/>
      <c r="V774" s="461"/>
      <c r="W774" s="461"/>
      <c r="X774" s="131"/>
      <c r="Y774" s="101"/>
      <c r="Z774" s="101"/>
      <c r="AA774" s="101"/>
      <c r="AB774" s="101"/>
      <c r="AC774" s="101"/>
      <c r="AD774" s="101"/>
      <c r="AE774" s="101"/>
      <c r="AF774" s="101"/>
      <c r="AG774" s="101"/>
      <c r="AH774" s="101"/>
      <c r="AI774" s="101"/>
      <c r="AJ774" s="101"/>
      <c r="AK774" s="101"/>
      <c r="AL774" s="101"/>
    </row>
    <row r="775">
      <c r="A775" s="101"/>
      <c r="B775" s="644"/>
      <c r="C775" s="101"/>
      <c r="D775" s="605"/>
      <c r="E775" s="645"/>
      <c r="F775" s="101"/>
      <c r="G775" s="101"/>
      <c r="H775" s="101"/>
      <c r="I775" s="606"/>
      <c r="J775" s="606"/>
      <c r="K775" s="606"/>
      <c r="L775" s="606"/>
      <c r="M775" s="606"/>
      <c r="N775" s="606"/>
      <c r="O775" s="606"/>
      <c r="P775" s="606"/>
      <c r="Q775" s="606"/>
      <c r="R775" s="606"/>
      <c r="S775" s="606"/>
      <c r="T775" s="606"/>
      <c r="U775" s="606"/>
      <c r="V775" s="461"/>
      <c r="W775" s="461"/>
      <c r="X775" s="131"/>
      <c r="Y775" s="101"/>
      <c r="Z775" s="101"/>
      <c r="AA775" s="101"/>
      <c r="AB775" s="101"/>
      <c r="AC775" s="101"/>
      <c r="AD775" s="101"/>
      <c r="AE775" s="101"/>
      <c r="AF775" s="101"/>
      <c r="AG775" s="101"/>
      <c r="AH775" s="101"/>
      <c r="AI775" s="101"/>
      <c r="AJ775" s="101"/>
      <c r="AK775" s="101"/>
      <c r="AL775" s="101"/>
    </row>
    <row r="776">
      <c r="A776" s="101"/>
      <c r="B776" s="644"/>
      <c r="C776" s="101"/>
      <c r="D776" s="605"/>
      <c r="E776" s="645"/>
      <c r="F776" s="101"/>
      <c r="G776" s="101"/>
      <c r="H776" s="101"/>
      <c r="I776" s="606"/>
      <c r="J776" s="606"/>
      <c r="K776" s="606"/>
      <c r="L776" s="606"/>
      <c r="M776" s="606"/>
      <c r="N776" s="606"/>
      <c r="O776" s="606"/>
      <c r="P776" s="606"/>
      <c r="Q776" s="606"/>
      <c r="R776" s="606"/>
      <c r="S776" s="606"/>
      <c r="T776" s="606"/>
      <c r="U776" s="606"/>
      <c r="V776" s="461"/>
      <c r="W776" s="461"/>
      <c r="X776" s="131"/>
      <c r="Y776" s="101"/>
      <c r="Z776" s="101"/>
      <c r="AA776" s="101"/>
      <c r="AB776" s="101"/>
      <c r="AC776" s="101"/>
      <c r="AD776" s="101"/>
      <c r="AE776" s="101"/>
      <c r="AF776" s="101"/>
      <c r="AG776" s="101"/>
      <c r="AH776" s="101"/>
      <c r="AI776" s="101"/>
      <c r="AJ776" s="101"/>
      <c r="AK776" s="101"/>
      <c r="AL776" s="101"/>
    </row>
    <row r="777">
      <c r="A777" s="101"/>
      <c r="B777" s="644"/>
      <c r="C777" s="101"/>
      <c r="D777" s="605"/>
      <c r="E777" s="645"/>
      <c r="F777" s="101"/>
      <c r="G777" s="101"/>
      <c r="H777" s="101"/>
      <c r="I777" s="606"/>
      <c r="J777" s="606"/>
      <c r="K777" s="606"/>
      <c r="L777" s="606"/>
      <c r="M777" s="606"/>
      <c r="N777" s="606"/>
      <c r="O777" s="606"/>
      <c r="P777" s="606"/>
      <c r="Q777" s="606"/>
      <c r="R777" s="606"/>
      <c r="S777" s="606"/>
      <c r="T777" s="606"/>
      <c r="U777" s="606"/>
      <c r="V777" s="461"/>
      <c r="W777" s="461"/>
      <c r="X777" s="131"/>
      <c r="Y777" s="101"/>
      <c r="Z777" s="101"/>
      <c r="AA777" s="101"/>
      <c r="AB777" s="101"/>
      <c r="AC777" s="101"/>
      <c r="AD777" s="101"/>
      <c r="AE777" s="101"/>
      <c r="AF777" s="101"/>
      <c r="AG777" s="101"/>
      <c r="AH777" s="101"/>
      <c r="AI777" s="101"/>
      <c r="AJ777" s="101"/>
      <c r="AK777" s="101"/>
      <c r="AL777" s="101"/>
    </row>
    <row r="778">
      <c r="A778" s="101"/>
      <c r="B778" s="644"/>
      <c r="C778" s="101"/>
      <c r="D778" s="605"/>
      <c r="E778" s="645"/>
      <c r="F778" s="101"/>
      <c r="G778" s="101"/>
      <c r="H778" s="101"/>
      <c r="I778" s="606"/>
      <c r="J778" s="606"/>
      <c r="K778" s="606"/>
      <c r="L778" s="606"/>
      <c r="M778" s="606"/>
      <c r="N778" s="606"/>
      <c r="O778" s="606"/>
      <c r="P778" s="606"/>
      <c r="Q778" s="606"/>
      <c r="R778" s="606"/>
      <c r="S778" s="606"/>
      <c r="T778" s="606"/>
      <c r="U778" s="606"/>
      <c r="V778" s="461"/>
      <c r="W778" s="461"/>
      <c r="X778" s="131"/>
      <c r="Y778" s="101"/>
      <c r="Z778" s="101"/>
      <c r="AA778" s="101"/>
      <c r="AB778" s="101"/>
      <c r="AC778" s="101"/>
      <c r="AD778" s="101"/>
      <c r="AE778" s="101"/>
      <c r="AF778" s="101"/>
      <c r="AG778" s="101"/>
      <c r="AH778" s="101"/>
      <c r="AI778" s="101"/>
      <c r="AJ778" s="101"/>
      <c r="AK778" s="101"/>
      <c r="AL778" s="101"/>
    </row>
    <row r="779">
      <c r="A779" s="101"/>
      <c r="B779" s="644"/>
      <c r="C779" s="101"/>
      <c r="D779" s="605"/>
      <c r="E779" s="645"/>
      <c r="F779" s="101"/>
      <c r="G779" s="101"/>
      <c r="H779" s="101"/>
      <c r="I779" s="606"/>
      <c r="J779" s="606"/>
      <c r="K779" s="606"/>
      <c r="L779" s="606"/>
      <c r="M779" s="606"/>
      <c r="N779" s="606"/>
      <c r="O779" s="606"/>
      <c r="P779" s="606"/>
      <c r="Q779" s="606"/>
      <c r="R779" s="606"/>
      <c r="S779" s="606"/>
      <c r="T779" s="606"/>
      <c r="U779" s="606"/>
      <c r="V779" s="461"/>
      <c r="W779" s="461"/>
      <c r="X779" s="131"/>
      <c r="Y779" s="101"/>
      <c r="Z779" s="101"/>
      <c r="AA779" s="101"/>
      <c r="AB779" s="101"/>
      <c r="AC779" s="101"/>
      <c r="AD779" s="101"/>
      <c r="AE779" s="101"/>
      <c r="AF779" s="101"/>
      <c r="AG779" s="101"/>
      <c r="AH779" s="101"/>
      <c r="AI779" s="101"/>
      <c r="AJ779" s="101"/>
      <c r="AK779" s="101"/>
      <c r="AL779" s="101"/>
    </row>
    <row r="780">
      <c r="A780" s="101"/>
      <c r="B780" s="644"/>
      <c r="C780" s="101"/>
      <c r="D780" s="605"/>
      <c r="E780" s="645"/>
      <c r="F780" s="101"/>
      <c r="G780" s="101"/>
      <c r="H780" s="101"/>
      <c r="I780" s="606"/>
      <c r="J780" s="606"/>
      <c r="K780" s="606"/>
      <c r="L780" s="606"/>
      <c r="M780" s="606"/>
      <c r="N780" s="606"/>
      <c r="O780" s="606"/>
      <c r="P780" s="606"/>
      <c r="Q780" s="606"/>
      <c r="R780" s="606"/>
      <c r="S780" s="606"/>
      <c r="T780" s="606"/>
      <c r="U780" s="606"/>
      <c r="V780" s="461"/>
      <c r="W780" s="461"/>
      <c r="X780" s="131"/>
      <c r="Y780" s="101"/>
      <c r="Z780" s="101"/>
      <c r="AA780" s="101"/>
      <c r="AB780" s="101"/>
      <c r="AC780" s="101"/>
      <c r="AD780" s="101"/>
      <c r="AE780" s="101"/>
      <c r="AF780" s="101"/>
      <c r="AG780" s="101"/>
      <c r="AH780" s="101"/>
      <c r="AI780" s="101"/>
      <c r="AJ780" s="101"/>
      <c r="AK780" s="101"/>
      <c r="AL780" s="101"/>
    </row>
    <row r="781">
      <c r="A781" s="101"/>
      <c r="B781" s="644"/>
      <c r="C781" s="101"/>
      <c r="D781" s="605"/>
      <c r="E781" s="645"/>
      <c r="F781" s="101"/>
      <c r="G781" s="101"/>
      <c r="H781" s="101"/>
      <c r="I781" s="606"/>
      <c r="J781" s="606"/>
      <c r="K781" s="606"/>
      <c r="L781" s="606"/>
      <c r="M781" s="606"/>
      <c r="N781" s="606"/>
      <c r="O781" s="606"/>
      <c r="P781" s="606"/>
      <c r="Q781" s="606"/>
      <c r="R781" s="606"/>
      <c r="S781" s="606"/>
      <c r="T781" s="606"/>
      <c r="U781" s="606"/>
      <c r="V781" s="461"/>
      <c r="W781" s="461"/>
      <c r="X781" s="131"/>
      <c r="Y781" s="101"/>
      <c r="Z781" s="101"/>
      <c r="AA781" s="101"/>
      <c r="AB781" s="101"/>
      <c r="AC781" s="101"/>
      <c r="AD781" s="101"/>
      <c r="AE781" s="101"/>
      <c r="AF781" s="101"/>
      <c r="AG781" s="101"/>
      <c r="AH781" s="101"/>
      <c r="AI781" s="101"/>
      <c r="AJ781" s="101"/>
      <c r="AK781" s="101"/>
      <c r="AL781" s="101"/>
    </row>
    <row r="782">
      <c r="A782" s="101"/>
      <c r="B782" s="644"/>
      <c r="C782" s="101"/>
      <c r="D782" s="605"/>
      <c r="E782" s="645"/>
      <c r="F782" s="101"/>
      <c r="G782" s="101"/>
      <c r="H782" s="101"/>
      <c r="I782" s="606"/>
      <c r="J782" s="606"/>
      <c r="K782" s="606"/>
      <c r="L782" s="606"/>
      <c r="M782" s="606"/>
      <c r="N782" s="606"/>
      <c r="O782" s="606"/>
      <c r="P782" s="606"/>
      <c r="Q782" s="606"/>
      <c r="R782" s="606"/>
      <c r="S782" s="606"/>
      <c r="T782" s="606"/>
      <c r="U782" s="606"/>
      <c r="V782" s="461"/>
      <c r="W782" s="461"/>
      <c r="X782" s="131"/>
      <c r="Y782" s="101"/>
      <c r="Z782" s="101"/>
      <c r="AA782" s="101"/>
      <c r="AB782" s="101"/>
      <c r="AC782" s="101"/>
      <c r="AD782" s="101"/>
      <c r="AE782" s="101"/>
      <c r="AF782" s="101"/>
      <c r="AG782" s="101"/>
      <c r="AH782" s="101"/>
      <c r="AI782" s="101"/>
      <c r="AJ782" s="101"/>
      <c r="AK782" s="101"/>
      <c r="AL782" s="101"/>
    </row>
    <row r="783">
      <c r="A783" s="101"/>
      <c r="B783" s="644"/>
      <c r="C783" s="101"/>
      <c r="D783" s="605"/>
      <c r="E783" s="645"/>
      <c r="F783" s="101"/>
      <c r="G783" s="101"/>
      <c r="H783" s="101"/>
      <c r="I783" s="606"/>
      <c r="J783" s="606"/>
      <c r="K783" s="606"/>
      <c r="L783" s="606"/>
      <c r="M783" s="606"/>
      <c r="N783" s="606"/>
      <c r="O783" s="606"/>
      <c r="P783" s="606"/>
      <c r="Q783" s="606"/>
      <c r="R783" s="606"/>
      <c r="S783" s="606"/>
      <c r="T783" s="606"/>
      <c r="U783" s="606"/>
      <c r="V783" s="461"/>
      <c r="W783" s="461"/>
      <c r="X783" s="131"/>
      <c r="Y783" s="101"/>
      <c r="Z783" s="101"/>
      <c r="AA783" s="101"/>
      <c r="AB783" s="101"/>
      <c r="AC783" s="101"/>
      <c r="AD783" s="101"/>
      <c r="AE783" s="101"/>
      <c r="AF783" s="101"/>
      <c r="AG783" s="101"/>
      <c r="AH783" s="101"/>
      <c r="AI783" s="101"/>
      <c r="AJ783" s="101"/>
      <c r="AK783" s="101"/>
      <c r="AL783" s="101"/>
    </row>
    <row r="784">
      <c r="A784" s="101"/>
      <c r="B784" s="644"/>
      <c r="C784" s="101"/>
      <c r="D784" s="605"/>
      <c r="E784" s="645"/>
      <c r="F784" s="101"/>
      <c r="G784" s="101"/>
      <c r="H784" s="101"/>
      <c r="I784" s="606"/>
      <c r="J784" s="606"/>
      <c r="K784" s="606"/>
      <c r="L784" s="606"/>
      <c r="M784" s="606"/>
      <c r="N784" s="606"/>
      <c r="O784" s="606"/>
      <c r="P784" s="606"/>
      <c r="Q784" s="606"/>
      <c r="R784" s="606"/>
      <c r="S784" s="606"/>
      <c r="T784" s="606"/>
      <c r="U784" s="606"/>
      <c r="V784" s="461"/>
      <c r="W784" s="461"/>
      <c r="X784" s="131"/>
      <c r="Y784" s="101"/>
      <c r="Z784" s="101"/>
      <c r="AA784" s="101"/>
      <c r="AB784" s="101"/>
      <c r="AC784" s="101"/>
      <c r="AD784" s="101"/>
      <c r="AE784" s="101"/>
      <c r="AF784" s="101"/>
      <c r="AG784" s="101"/>
      <c r="AH784" s="101"/>
      <c r="AI784" s="101"/>
      <c r="AJ784" s="101"/>
      <c r="AK784" s="101"/>
      <c r="AL784" s="101"/>
    </row>
    <row r="785">
      <c r="A785" s="101"/>
      <c r="B785" s="644"/>
      <c r="C785" s="101"/>
      <c r="D785" s="605"/>
      <c r="E785" s="645"/>
      <c r="F785" s="101"/>
      <c r="G785" s="101"/>
      <c r="H785" s="101"/>
      <c r="I785" s="606"/>
      <c r="J785" s="606"/>
      <c r="K785" s="606"/>
      <c r="L785" s="606"/>
      <c r="M785" s="606"/>
      <c r="N785" s="606"/>
      <c r="O785" s="606"/>
      <c r="P785" s="606"/>
      <c r="Q785" s="606"/>
      <c r="R785" s="606"/>
      <c r="S785" s="606"/>
      <c r="T785" s="606"/>
      <c r="U785" s="606"/>
      <c r="V785" s="461"/>
      <c r="W785" s="461"/>
      <c r="X785" s="131"/>
      <c r="Y785" s="101"/>
      <c r="Z785" s="101"/>
      <c r="AA785" s="101"/>
      <c r="AB785" s="101"/>
      <c r="AC785" s="101"/>
      <c r="AD785" s="101"/>
      <c r="AE785" s="101"/>
      <c r="AF785" s="101"/>
      <c r="AG785" s="101"/>
      <c r="AH785" s="101"/>
      <c r="AI785" s="101"/>
      <c r="AJ785" s="101"/>
      <c r="AK785" s="101"/>
      <c r="AL785" s="101"/>
    </row>
    <row r="786">
      <c r="A786" s="101"/>
      <c r="B786" s="644"/>
      <c r="C786" s="101"/>
      <c r="D786" s="605"/>
      <c r="E786" s="645"/>
      <c r="F786" s="101"/>
      <c r="G786" s="101"/>
      <c r="H786" s="101"/>
      <c r="I786" s="606"/>
      <c r="J786" s="606"/>
      <c r="K786" s="606"/>
      <c r="L786" s="606"/>
      <c r="M786" s="606"/>
      <c r="N786" s="606"/>
      <c r="O786" s="606"/>
      <c r="P786" s="606"/>
      <c r="Q786" s="606"/>
      <c r="R786" s="606"/>
      <c r="S786" s="606"/>
      <c r="T786" s="606"/>
      <c r="U786" s="606"/>
      <c r="V786" s="461"/>
      <c r="W786" s="461"/>
      <c r="X786" s="131"/>
      <c r="Y786" s="101"/>
      <c r="Z786" s="101"/>
      <c r="AA786" s="101"/>
      <c r="AB786" s="101"/>
      <c r="AC786" s="101"/>
      <c r="AD786" s="101"/>
      <c r="AE786" s="101"/>
      <c r="AF786" s="101"/>
      <c r="AG786" s="101"/>
      <c r="AH786" s="101"/>
      <c r="AI786" s="101"/>
      <c r="AJ786" s="101"/>
      <c r="AK786" s="101"/>
      <c r="AL786" s="101"/>
    </row>
    <row r="787">
      <c r="A787" s="101"/>
      <c r="B787" s="644"/>
      <c r="C787" s="101"/>
      <c r="D787" s="605"/>
      <c r="E787" s="645"/>
      <c r="F787" s="101"/>
      <c r="G787" s="101"/>
      <c r="H787" s="101"/>
      <c r="I787" s="606"/>
      <c r="J787" s="606"/>
      <c r="K787" s="606"/>
      <c r="L787" s="606"/>
      <c r="M787" s="606"/>
      <c r="N787" s="606"/>
      <c r="O787" s="606"/>
      <c r="P787" s="606"/>
      <c r="Q787" s="606"/>
      <c r="R787" s="606"/>
      <c r="S787" s="606"/>
      <c r="T787" s="606"/>
      <c r="U787" s="606"/>
      <c r="V787" s="461"/>
      <c r="W787" s="461"/>
      <c r="X787" s="131"/>
      <c r="Y787" s="101"/>
      <c r="Z787" s="101"/>
      <c r="AA787" s="101"/>
      <c r="AB787" s="101"/>
      <c r="AC787" s="101"/>
      <c r="AD787" s="101"/>
      <c r="AE787" s="101"/>
      <c r="AF787" s="101"/>
      <c r="AG787" s="101"/>
      <c r="AH787" s="101"/>
      <c r="AI787" s="101"/>
      <c r="AJ787" s="101"/>
      <c r="AK787" s="101"/>
      <c r="AL787" s="101"/>
    </row>
    <row r="788">
      <c r="A788" s="101"/>
      <c r="B788" s="644"/>
      <c r="C788" s="101"/>
      <c r="D788" s="605"/>
      <c r="E788" s="645"/>
      <c r="F788" s="101"/>
      <c r="G788" s="101"/>
      <c r="H788" s="101"/>
      <c r="I788" s="606"/>
      <c r="J788" s="606"/>
      <c r="K788" s="606"/>
      <c r="L788" s="606"/>
      <c r="M788" s="606"/>
      <c r="N788" s="606"/>
      <c r="O788" s="606"/>
      <c r="P788" s="606"/>
      <c r="Q788" s="606"/>
      <c r="R788" s="606"/>
      <c r="S788" s="606"/>
      <c r="T788" s="606"/>
      <c r="U788" s="606"/>
      <c r="V788" s="461"/>
      <c r="W788" s="461"/>
      <c r="X788" s="131"/>
      <c r="Y788" s="101"/>
      <c r="Z788" s="101"/>
      <c r="AA788" s="101"/>
      <c r="AB788" s="101"/>
      <c r="AC788" s="101"/>
      <c r="AD788" s="101"/>
      <c r="AE788" s="101"/>
      <c r="AF788" s="101"/>
      <c r="AG788" s="101"/>
      <c r="AH788" s="101"/>
      <c r="AI788" s="101"/>
      <c r="AJ788" s="101"/>
      <c r="AK788" s="101"/>
      <c r="AL788" s="101"/>
    </row>
    <row r="789">
      <c r="A789" s="101"/>
      <c r="B789" s="644"/>
      <c r="C789" s="101"/>
      <c r="D789" s="605"/>
      <c r="E789" s="645"/>
      <c r="F789" s="101"/>
      <c r="G789" s="101"/>
      <c r="H789" s="101"/>
      <c r="I789" s="606"/>
      <c r="J789" s="606"/>
      <c r="K789" s="606"/>
      <c r="L789" s="606"/>
      <c r="M789" s="606"/>
      <c r="N789" s="606"/>
      <c r="O789" s="606"/>
      <c r="P789" s="606"/>
      <c r="Q789" s="606"/>
      <c r="R789" s="606"/>
      <c r="S789" s="606"/>
      <c r="T789" s="606"/>
      <c r="U789" s="606"/>
      <c r="V789" s="461"/>
      <c r="W789" s="461"/>
      <c r="X789" s="131"/>
      <c r="Y789" s="101"/>
      <c r="Z789" s="101"/>
      <c r="AA789" s="101"/>
      <c r="AB789" s="101"/>
      <c r="AC789" s="101"/>
      <c r="AD789" s="101"/>
      <c r="AE789" s="101"/>
      <c r="AF789" s="101"/>
      <c r="AG789" s="101"/>
      <c r="AH789" s="101"/>
      <c r="AI789" s="101"/>
      <c r="AJ789" s="101"/>
      <c r="AK789" s="101"/>
      <c r="AL789" s="101"/>
    </row>
    <row r="790">
      <c r="A790" s="101"/>
      <c r="B790" s="644"/>
      <c r="C790" s="101"/>
      <c r="D790" s="605"/>
      <c r="E790" s="645"/>
      <c r="F790" s="101"/>
      <c r="G790" s="101"/>
      <c r="H790" s="101"/>
      <c r="I790" s="606"/>
      <c r="J790" s="606"/>
      <c r="K790" s="606"/>
      <c r="L790" s="606"/>
      <c r="M790" s="606"/>
      <c r="N790" s="606"/>
      <c r="O790" s="606"/>
      <c r="P790" s="606"/>
      <c r="Q790" s="606"/>
      <c r="R790" s="606"/>
      <c r="S790" s="606"/>
      <c r="T790" s="606"/>
      <c r="U790" s="606"/>
      <c r="V790" s="461"/>
      <c r="W790" s="461"/>
      <c r="X790" s="131"/>
      <c r="Y790" s="101"/>
      <c r="Z790" s="101"/>
      <c r="AA790" s="101"/>
      <c r="AB790" s="101"/>
      <c r="AC790" s="101"/>
      <c r="AD790" s="101"/>
      <c r="AE790" s="101"/>
      <c r="AF790" s="101"/>
      <c r="AG790" s="101"/>
      <c r="AH790" s="101"/>
      <c r="AI790" s="101"/>
      <c r="AJ790" s="101"/>
      <c r="AK790" s="101"/>
      <c r="AL790" s="101"/>
    </row>
    <row r="791">
      <c r="A791" s="101"/>
      <c r="B791" s="644"/>
      <c r="C791" s="101"/>
      <c r="D791" s="605"/>
      <c r="E791" s="645"/>
      <c r="F791" s="101"/>
      <c r="G791" s="101"/>
      <c r="H791" s="101"/>
      <c r="I791" s="606"/>
      <c r="J791" s="606"/>
      <c r="K791" s="606"/>
      <c r="L791" s="606"/>
      <c r="M791" s="606"/>
      <c r="N791" s="606"/>
      <c r="O791" s="606"/>
      <c r="P791" s="606"/>
      <c r="Q791" s="606"/>
      <c r="R791" s="606"/>
      <c r="S791" s="606"/>
      <c r="T791" s="606"/>
      <c r="U791" s="606"/>
      <c r="V791" s="461"/>
      <c r="W791" s="461"/>
      <c r="X791" s="131"/>
      <c r="Y791" s="101"/>
      <c r="Z791" s="101"/>
      <c r="AA791" s="101"/>
      <c r="AB791" s="101"/>
      <c r="AC791" s="101"/>
      <c r="AD791" s="101"/>
      <c r="AE791" s="101"/>
      <c r="AF791" s="101"/>
      <c r="AG791" s="101"/>
      <c r="AH791" s="101"/>
      <c r="AI791" s="101"/>
      <c r="AJ791" s="101"/>
      <c r="AK791" s="101"/>
      <c r="AL791" s="101"/>
    </row>
    <row r="792">
      <c r="A792" s="101"/>
      <c r="B792" s="644"/>
      <c r="C792" s="101"/>
      <c r="D792" s="605"/>
      <c r="E792" s="645"/>
      <c r="F792" s="101"/>
      <c r="G792" s="101"/>
      <c r="H792" s="101"/>
      <c r="I792" s="606"/>
      <c r="J792" s="606"/>
      <c r="K792" s="606"/>
      <c r="L792" s="606"/>
      <c r="M792" s="606"/>
      <c r="N792" s="606"/>
      <c r="O792" s="606"/>
      <c r="P792" s="606"/>
      <c r="Q792" s="606"/>
      <c r="R792" s="606"/>
      <c r="S792" s="606"/>
      <c r="T792" s="606"/>
      <c r="U792" s="606"/>
      <c r="V792" s="461"/>
      <c r="W792" s="461"/>
      <c r="X792" s="131"/>
      <c r="Y792" s="101"/>
      <c r="Z792" s="101"/>
      <c r="AA792" s="101"/>
      <c r="AB792" s="101"/>
      <c r="AC792" s="101"/>
      <c r="AD792" s="101"/>
      <c r="AE792" s="101"/>
      <c r="AF792" s="101"/>
      <c r="AG792" s="101"/>
      <c r="AH792" s="101"/>
      <c r="AI792" s="101"/>
      <c r="AJ792" s="101"/>
      <c r="AK792" s="101"/>
      <c r="AL792" s="101"/>
    </row>
    <row r="793">
      <c r="A793" s="101"/>
      <c r="B793" s="644"/>
      <c r="C793" s="101"/>
      <c r="D793" s="605"/>
      <c r="E793" s="645"/>
      <c r="F793" s="101"/>
      <c r="G793" s="101"/>
      <c r="H793" s="101"/>
      <c r="I793" s="606"/>
      <c r="J793" s="606"/>
      <c r="K793" s="606"/>
      <c r="L793" s="606"/>
      <c r="M793" s="606"/>
      <c r="N793" s="606"/>
      <c r="O793" s="606"/>
      <c r="P793" s="606"/>
      <c r="Q793" s="606"/>
      <c r="R793" s="606"/>
      <c r="S793" s="606"/>
      <c r="T793" s="606"/>
      <c r="U793" s="606"/>
      <c r="V793" s="461"/>
      <c r="W793" s="461"/>
      <c r="X793" s="131"/>
      <c r="Y793" s="101"/>
      <c r="Z793" s="101"/>
      <c r="AA793" s="101"/>
      <c r="AB793" s="101"/>
      <c r="AC793" s="101"/>
      <c r="AD793" s="101"/>
      <c r="AE793" s="101"/>
      <c r="AF793" s="101"/>
      <c r="AG793" s="101"/>
      <c r="AH793" s="101"/>
      <c r="AI793" s="101"/>
      <c r="AJ793" s="101"/>
      <c r="AK793" s="101"/>
      <c r="AL793" s="101"/>
    </row>
    <row r="794">
      <c r="A794" s="101"/>
      <c r="B794" s="644"/>
      <c r="C794" s="101"/>
      <c r="D794" s="605"/>
      <c r="E794" s="645"/>
      <c r="F794" s="101"/>
      <c r="G794" s="101"/>
      <c r="H794" s="101"/>
      <c r="I794" s="606"/>
      <c r="J794" s="606"/>
      <c r="K794" s="606"/>
      <c r="L794" s="606"/>
      <c r="M794" s="606"/>
      <c r="N794" s="606"/>
      <c r="O794" s="606"/>
      <c r="P794" s="606"/>
      <c r="Q794" s="606"/>
      <c r="R794" s="606"/>
      <c r="S794" s="606"/>
      <c r="T794" s="606"/>
      <c r="U794" s="606"/>
      <c r="V794" s="461"/>
      <c r="W794" s="461"/>
      <c r="X794" s="131"/>
      <c r="Y794" s="101"/>
      <c r="Z794" s="101"/>
      <c r="AA794" s="101"/>
      <c r="AB794" s="101"/>
      <c r="AC794" s="101"/>
      <c r="AD794" s="101"/>
      <c r="AE794" s="101"/>
      <c r="AF794" s="101"/>
      <c r="AG794" s="101"/>
      <c r="AH794" s="101"/>
      <c r="AI794" s="101"/>
      <c r="AJ794" s="101"/>
      <c r="AK794" s="101"/>
      <c r="AL794" s="101"/>
    </row>
    <row r="795">
      <c r="A795" s="101"/>
      <c r="B795" s="644"/>
      <c r="C795" s="101"/>
      <c r="D795" s="605"/>
      <c r="E795" s="645"/>
      <c r="F795" s="101"/>
      <c r="G795" s="101"/>
      <c r="H795" s="101"/>
      <c r="I795" s="606"/>
      <c r="J795" s="606"/>
      <c r="K795" s="606"/>
      <c r="L795" s="606"/>
      <c r="M795" s="606"/>
      <c r="N795" s="606"/>
      <c r="O795" s="606"/>
      <c r="P795" s="606"/>
      <c r="Q795" s="606"/>
      <c r="R795" s="606"/>
      <c r="S795" s="606"/>
      <c r="T795" s="606"/>
      <c r="U795" s="606"/>
      <c r="V795" s="461"/>
      <c r="W795" s="461"/>
      <c r="X795" s="131"/>
      <c r="Y795" s="101"/>
      <c r="Z795" s="101"/>
      <c r="AA795" s="101"/>
      <c r="AB795" s="101"/>
      <c r="AC795" s="101"/>
      <c r="AD795" s="101"/>
      <c r="AE795" s="101"/>
      <c r="AF795" s="101"/>
      <c r="AG795" s="101"/>
      <c r="AH795" s="101"/>
      <c r="AI795" s="101"/>
      <c r="AJ795" s="101"/>
      <c r="AK795" s="101"/>
      <c r="AL795" s="101"/>
    </row>
    <row r="796">
      <c r="A796" s="101"/>
      <c r="B796" s="644"/>
      <c r="C796" s="101"/>
      <c r="D796" s="605"/>
      <c r="E796" s="645"/>
      <c r="F796" s="101"/>
      <c r="G796" s="101"/>
      <c r="H796" s="101"/>
      <c r="I796" s="606"/>
      <c r="J796" s="606"/>
      <c r="K796" s="606"/>
      <c r="L796" s="606"/>
      <c r="M796" s="606"/>
      <c r="N796" s="606"/>
      <c r="O796" s="606"/>
      <c r="P796" s="606"/>
      <c r="Q796" s="606"/>
      <c r="R796" s="606"/>
      <c r="S796" s="606"/>
      <c r="T796" s="606"/>
      <c r="U796" s="606"/>
      <c r="V796" s="461"/>
      <c r="W796" s="461"/>
      <c r="X796" s="131"/>
      <c r="Y796" s="101"/>
      <c r="Z796" s="101"/>
      <c r="AA796" s="101"/>
      <c r="AB796" s="101"/>
      <c r="AC796" s="101"/>
      <c r="AD796" s="101"/>
      <c r="AE796" s="101"/>
      <c r="AF796" s="101"/>
      <c r="AG796" s="101"/>
      <c r="AH796" s="101"/>
      <c r="AI796" s="101"/>
      <c r="AJ796" s="101"/>
      <c r="AK796" s="101"/>
      <c r="AL796" s="101"/>
    </row>
    <row r="797">
      <c r="A797" s="101"/>
      <c r="B797" s="644"/>
      <c r="C797" s="101"/>
      <c r="D797" s="605"/>
      <c r="E797" s="645"/>
      <c r="F797" s="101"/>
      <c r="G797" s="101"/>
      <c r="H797" s="101"/>
      <c r="I797" s="606"/>
      <c r="J797" s="606"/>
      <c r="K797" s="606"/>
      <c r="L797" s="606"/>
      <c r="M797" s="606"/>
      <c r="N797" s="606"/>
      <c r="O797" s="606"/>
      <c r="P797" s="606"/>
      <c r="Q797" s="606"/>
      <c r="R797" s="606"/>
      <c r="S797" s="606"/>
      <c r="T797" s="606"/>
      <c r="U797" s="606"/>
      <c r="V797" s="461"/>
      <c r="W797" s="461"/>
      <c r="X797" s="131"/>
      <c r="Y797" s="101"/>
      <c r="Z797" s="101"/>
      <c r="AA797" s="101"/>
      <c r="AB797" s="101"/>
      <c r="AC797" s="101"/>
      <c r="AD797" s="101"/>
      <c r="AE797" s="101"/>
      <c r="AF797" s="101"/>
      <c r="AG797" s="101"/>
      <c r="AH797" s="101"/>
      <c r="AI797" s="101"/>
      <c r="AJ797" s="101"/>
      <c r="AK797" s="101"/>
      <c r="AL797" s="101"/>
    </row>
    <row r="798">
      <c r="A798" s="101"/>
      <c r="B798" s="644"/>
      <c r="C798" s="101"/>
      <c r="D798" s="605"/>
      <c r="E798" s="645"/>
      <c r="F798" s="101"/>
      <c r="G798" s="101"/>
      <c r="H798" s="101"/>
      <c r="I798" s="606"/>
      <c r="J798" s="606"/>
      <c r="K798" s="606"/>
      <c r="L798" s="606"/>
      <c r="M798" s="606"/>
      <c r="N798" s="606"/>
      <c r="O798" s="606"/>
      <c r="P798" s="606"/>
      <c r="Q798" s="606"/>
      <c r="R798" s="606"/>
      <c r="S798" s="606"/>
      <c r="T798" s="606"/>
      <c r="U798" s="606"/>
      <c r="V798" s="461"/>
      <c r="W798" s="461"/>
      <c r="X798" s="131"/>
      <c r="Y798" s="101"/>
      <c r="Z798" s="101"/>
      <c r="AA798" s="101"/>
      <c r="AB798" s="101"/>
      <c r="AC798" s="101"/>
      <c r="AD798" s="101"/>
      <c r="AE798" s="101"/>
      <c r="AF798" s="101"/>
      <c r="AG798" s="101"/>
      <c r="AH798" s="101"/>
      <c r="AI798" s="101"/>
      <c r="AJ798" s="101"/>
      <c r="AK798" s="101"/>
      <c r="AL798" s="101"/>
    </row>
    <row r="799">
      <c r="A799" s="101"/>
      <c r="B799" s="644"/>
      <c r="C799" s="101"/>
      <c r="D799" s="605"/>
      <c r="E799" s="645"/>
      <c r="F799" s="101"/>
      <c r="G799" s="101"/>
      <c r="H799" s="101"/>
      <c r="I799" s="606"/>
      <c r="J799" s="606"/>
      <c r="K799" s="606"/>
      <c r="L799" s="606"/>
      <c r="M799" s="606"/>
      <c r="N799" s="606"/>
      <c r="O799" s="606"/>
      <c r="P799" s="606"/>
      <c r="Q799" s="606"/>
      <c r="R799" s="606"/>
      <c r="S799" s="606"/>
      <c r="T799" s="606"/>
      <c r="U799" s="606"/>
      <c r="V799" s="461"/>
      <c r="W799" s="461"/>
      <c r="X799" s="131"/>
      <c r="Y799" s="101"/>
      <c r="Z799" s="101"/>
      <c r="AA799" s="101"/>
      <c r="AB799" s="101"/>
      <c r="AC799" s="101"/>
      <c r="AD799" s="101"/>
      <c r="AE799" s="101"/>
      <c r="AF799" s="101"/>
      <c r="AG799" s="101"/>
      <c r="AH799" s="101"/>
      <c r="AI799" s="101"/>
      <c r="AJ799" s="101"/>
      <c r="AK799" s="101"/>
      <c r="AL799" s="101"/>
    </row>
    <row r="800">
      <c r="A800" s="101"/>
      <c r="B800" s="644"/>
      <c r="C800" s="101"/>
      <c r="D800" s="605"/>
      <c r="E800" s="645"/>
      <c r="F800" s="101"/>
      <c r="G800" s="101"/>
      <c r="H800" s="101"/>
      <c r="I800" s="606"/>
      <c r="J800" s="606"/>
      <c r="K800" s="606"/>
      <c r="L800" s="606"/>
      <c r="M800" s="606"/>
      <c r="N800" s="606"/>
      <c r="O800" s="606"/>
      <c r="P800" s="606"/>
      <c r="Q800" s="606"/>
      <c r="R800" s="606"/>
      <c r="S800" s="606"/>
      <c r="T800" s="606"/>
      <c r="U800" s="606"/>
      <c r="V800" s="461"/>
      <c r="W800" s="461"/>
      <c r="X800" s="131"/>
      <c r="Y800" s="101"/>
      <c r="Z800" s="101"/>
      <c r="AA800" s="101"/>
      <c r="AB800" s="101"/>
      <c r="AC800" s="101"/>
      <c r="AD800" s="101"/>
      <c r="AE800" s="101"/>
      <c r="AF800" s="101"/>
      <c r="AG800" s="101"/>
      <c r="AH800" s="101"/>
      <c r="AI800" s="101"/>
      <c r="AJ800" s="101"/>
      <c r="AK800" s="101"/>
      <c r="AL800" s="101"/>
    </row>
    <row r="801">
      <c r="A801" s="101"/>
      <c r="B801" s="644"/>
      <c r="C801" s="101"/>
      <c r="D801" s="605"/>
      <c r="E801" s="645"/>
      <c r="F801" s="101"/>
      <c r="G801" s="101"/>
      <c r="H801" s="101"/>
      <c r="I801" s="606"/>
      <c r="J801" s="606"/>
      <c r="K801" s="606"/>
      <c r="L801" s="606"/>
      <c r="M801" s="606"/>
      <c r="N801" s="606"/>
      <c r="O801" s="606"/>
      <c r="P801" s="606"/>
      <c r="Q801" s="606"/>
      <c r="R801" s="606"/>
      <c r="S801" s="606"/>
      <c r="T801" s="606"/>
      <c r="U801" s="606"/>
      <c r="V801" s="461"/>
      <c r="W801" s="461"/>
      <c r="X801" s="131"/>
      <c r="Y801" s="101"/>
      <c r="Z801" s="101"/>
      <c r="AA801" s="101"/>
      <c r="AB801" s="101"/>
      <c r="AC801" s="101"/>
      <c r="AD801" s="101"/>
      <c r="AE801" s="101"/>
      <c r="AF801" s="101"/>
      <c r="AG801" s="101"/>
      <c r="AH801" s="101"/>
      <c r="AI801" s="101"/>
      <c r="AJ801" s="101"/>
      <c r="AK801" s="101"/>
      <c r="AL801" s="101"/>
    </row>
    <row r="802">
      <c r="A802" s="101"/>
      <c r="B802" s="644"/>
      <c r="C802" s="101"/>
      <c r="D802" s="605"/>
      <c r="E802" s="645"/>
      <c r="F802" s="101"/>
      <c r="G802" s="101"/>
      <c r="H802" s="101"/>
      <c r="I802" s="606"/>
      <c r="J802" s="606"/>
      <c r="K802" s="606"/>
      <c r="L802" s="606"/>
      <c r="M802" s="606"/>
      <c r="N802" s="606"/>
      <c r="O802" s="606"/>
      <c r="P802" s="606"/>
      <c r="Q802" s="606"/>
      <c r="R802" s="606"/>
      <c r="S802" s="606"/>
      <c r="T802" s="606"/>
      <c r="U802" s="606"/>
      <c r="V802" s="461"/>
      <c r="W802" s="461"/>
      <c r="X802" s="131"/>
      <c r="Y802" s="101"/>
      <c r="Z802" s="101"/>
      <c r="AA802" s="101"/>
      <c r="AB802" s="101"/>
      <c r="AC802" s="101"/>
      <c r="AD802" s="101"/>
      <c r="AE802" s="101"/>
      <c r="AF802" s="101"/>
      <c r="AG802" s="101"/>
      <c r="AH802" s="101"/>
      <c r="AI802" s="101"/>
      <c r="AJ802" s="101"/>
      <c r="AK802" s="101"/>
      <c r="AL802" s="101"/>
    </row>
    <row r="803">
      <c r="A803" s="101"/>
      <c r="B803" s="644"/>
      <c r="C803" s="101"/>
      <c r="D803" s="605"/>
      <c r="E803" s="645"/>
      <c r="F803" s="101"/>
      <c r="G803" s="101"/>
      <c r="H803" s="101"/>
      <c r="I803" s="606"/>
      <c r="J803" s="606"/>
      <c r="K803" s="606"/>
      <c r="L803" s="606"/>
      <c r="M803" s="606"/>
      <c r="N803" s="606"/>
      <c r="O803" s="606"/>
      <c r="P803" s="606"/>
      <c r="Q803" s="606"/>
      <c r="R803" s="606"/>
      <c r="S803" s="606"/>
      <c r="T803" s="606"/>
      <c r="U803" s="606"/>
      <c r="V803" s="461"/>
      <c r="W803" s="461"/>
      <c r="X803" s="131"/>
      <c r="Y803" s="101"/>
      <c r="Z803" s="101"/>
      <c r="AA803" s="101"/>
      <c r="AB803" s="101"/>
      <c r="AC803" s="101"/>
      <c r="AD803" s="101"/>
      <c r="AE803" s="101"/>
      <c r="AF803" s="101"/>
      <c r="AG803" s="101"/>
      <c r="AH803" s="101"/>
      <c r="AI803" s="101"/>
      <c r="AJ803" s="101"/>
      <c r="AK803" s="101"/>
      <c r="AL803" s="101"/>
    </row>
    <row r="804">
      <c r="A804" s="101"/>
      <c r="B804" s="644"/>
      <c r="C804" s="101"/>
      <c r="D804" s="605"/>
      <c r="E804" s="645"/>
      <c r="F804" s="101"/>
      <c r="G804" s="101"/>
      <c r="H804" s="101"/>
      <c r="I804" s="606"/>
      <c r="J804" s="606"/>
      <c r="K804" s="606"/>
      <c r="L804" s="606"/>
      <c r="M804" s="606"/>
      <c r="N804" s="606"/>
      <c r="O804" s="606"/>
      <c r="P804" s="606"/>
      <c r="Q804" s="606"/>
      <c r="R804" s="606"/>
      <c r="S804" s="606"/>
      <c r="T804" s="606"/>
      <c r="U804" s="606"/>
      <c r="V804" s="461"/>
      <c r="W804" s="461"/>
      <c r="X804" s="131"/>
      <c r="Y804" s="101"/>
      <c r="Z804" s="101"/>
      <c r="AA804" s="101"/>
      <c r="AB804" s="101"/>
      <c r="AC804" s="101"/>
      <c r="AD804" s="101"/>
      <c r="AE804" s="101"/>
      <c r="AF804" s="101"/>
      <c r="AG804" s="101"/>
      <c r="AH804" s="101"/>
      <c r="AI804" s="101"/>
      <c r="AJ804" s="101"/>
      <c r="AK804" s="101"/>
      <c r="AL804" s="101"/>
    </row>
    <row r="805">
      <c r="A805" s="101"/>
      <c r="B805" s="644"/>
      <c r="C805" s="101"/>
      <c r="D805" s="605"/>
      <c r="E805" s="645"/>
      <c r="F805" s="101"/>
      <c r="G805" s="101"/>
      <c r="H805" s="101"/>
      <c r="I805" s="606"/>
      <c r="J805" s="606"/>
      <c r="K805" s="606"/>
      <c r="L805" s="606"/>
      <c r="M805" s="606"/>
      <c r="N805" s="606"/>
      <c r="O805" s="606"/>
      <c r="P805" s="606"/>
      <c r="Q805" s="606"/>
      <c r="R805" s="606"/>
      <c r="S805" s="606"/>
      <c r="T805" s="606"/>
      <c r="U805" s="606"/>
      <c r="V805" s="461"/>
      <c r="W805" s="461"/>
      <c r="X805" s="131"/>
      <c r="Y805" s="101"/>
      <c r="Z805" s="101"/>
      <c r="AA805" s="101"/>
      <c r="AB805" s="101"/>
      <c r="AC805" s="101"/>
      <c r="AD805" s="101"/>
      <c r="AE805" s="101"/>
      <c r="AF805" s="101"/>
      <c r="AG805" s="101"/>
      <c r="AH805" s="101"/>
      <c r="AI805" s="101"/>
      <c r="AJ805" s="101"/>
      <c r="AK805" s="101"/>
      <c r="AL805" s="101"/>
    </row>
    <row r="806">
      <c r="A806" s="101"/>
      <c r="B806" s="644"/>
      <c r="C806" s="101"/>
      <c r="D806" s="605"/>
      <c r="E806" s="645"/>
      <c r="F806" s="101"/>
      <c r="G806" s="101"/>
      <c r="H806" s="101"/>
      <c r="I806" s="606"/>
      <c r="J806" s="606"/>
      <c r="K806" s="606"/>
      <c r="L806" s="606"/>
      <c r="M806" s="606"/>
      <c r="N806" s="606"/>
      <c r="O806" s="606"/>
      <c r="P806" s="606"/>
      <c r="Q806" s="606"/>
      <c r="R806" s="606"/>
      <c r="S806" s="606"/>
      <c r="T806" s="606"/>
      <c r="U806" s="606"/>
      <c r="V806" s="461"/>
      <c r="W806" s="461"/>
      <c r="X806" s="131"/>
      <c r="Y806" s="101"/>
      <c r="Z806" s="101"/>
      <c r="AA806" s="101"/>
      <c r="AB806" s="101"/>
      <c r="AC806" s="101"/>
      <c r="AD806" s="101"/>
      <c r="AE806" s="101"/>
      <c r="AF806" s="101"/>
      <c r="AG806" s="101"/>
      <c r="AH806" s="101"/>
      <c r="AI806" s="101"/>
      <c r="AJ806" s="101"/>
      <c r="AK806" s="101"/>
      <c r="AL806" s="101"/>
    </row>
    <row r="807">
      <c r="A807" s="101"/>
      <c r="B807" s="644"/>
      <c r="C807" s="101"/>
      <c r="D807" s="605"/>
      <c r="E807" s="645"/>
      <c r="F807" s="101"/>
      <c r="G807" s="101"/>
      <c r="H807" s="101"/>
      <c r="I807" s="606"/>
      <c r="J807" s="606"/>
      <c r="K807" s="606"/>
      <c r="L807" s="606"/>
      <c r="M807" s="606"/>
      <c r="N807" s="606"/>
      <c r="O807" s="606"/>
      <c r="P807" s="606"/>
      <c r="Q807" s="606"/>
      <c r="R807" s="606"/>
      <c r="S807" s="606"/>
      <c r="T807" s="606"/>
      <c r="U807" s="606"/>
      <c r="V807" s="461"/>
      <c r="W807" s="461"/>
      <c r="X807" s="131"/>
      <c r="Y807" s="101"/>
      <c r="Z807" s="101"/>
      <c r="AA807" s="101"/>
      <c r="AB807" s="101"/>
      <c r="AC807" s="101"/>
      <c r="AD807" s="101"/>
      <c r="AE807" s="101"/>
      <c r="AF807" s="101"/>
      <c r="AG807" s="101"/>
      <c r="AH807" s="101"/>
      <c r="AI807" s="101"/>
      <c r="AJ807" s="101"/>
      <c r="AK807" s="101"/>
      <c r="AL807" s="101"/>
    </row>
    <row r="808">
      <c r="A808" s="101"/>
      <c r="B808" s="644"/>
      <c r="C808" s="101"/>
      <c r="D808" s="605"/>
      <c r="E808" s="645"/>
      <c r="F808" s="101"/>
      <c r="G808" s="101"/>
      <c r="H808" s="101"/>
      <c r="I808" s="606"/>
      <c r="J808" s="606"/>
      <c r="K808" s="606"/>
      <c r="L808" s="606"/>
      <c r="M808" s="606"/>
      <c r="N808" s="606"/>
      <c r="O808" s="606"/>
      <c r="P808" s="606"/>
      <c r="Q808" s="606"/>
      <c r="R808" s="606"/>
      <c r="S808" s="606"/>
      <c r="T808" s="606"/>
      <c r="U808" s="606"/>
      <c r="V808" s="461"/>
      <c r="W808" s="461"/>
      <c r="X808" s="131"/>
      <c r="Y808" s="101"/>
      <c r="Z808" s="101"/>
      <c r="AA808" s="101"/>
      <c r="AB808" s="101"/>
      <c r="AC808" s="101"/>
      <c r="AD808" s="101"/>
      <c r="AE808" s="101"/>
      <c r="AF808" s="101"/>
      <c r="AG808" s="101"/>
      <c r="AH808" s="101"/>
      <c r="AI808" s="101"/>
      <c r="AJ808" s="101"/>
      <c r="AK808" s="101"/>
      <c r="AL808" s="101"/>
    </row>
    <row r="809">
      <c r="A809" s="101"/>
      <c r="B809" s="644"/>
      <c r="C809" s="101"/>
      <c r="D809" s="605"/>
      <c r="E809" s="645"/>
      <c r="F809" s="101"/>
      <c r="G809" s="101"/>
      <c r="H809" s="101"/>
      <c r="I809" s="606"/>
      <c r="J809" s="606"/>
      <c r="K809" s="606"/>
      <c r="L809" s="606"/>
      <c r="M809" s="606"/>
      <c r="N809" s="606"/>
      <c r="O809" s="606"/>
      <c r="P809" s="606"/>
      <c r="Q809" s="606"/>
      <c r="R809" s="606"/>
      <c r="S809" s="606"/>
      <c r="T809" s="606"/>
      <c r="U809" s="606"/>
      <c r="V809" s="461"/>
      <c r="W809" s="461"/>
      <c r="X809" s="131"/>
      <c r="Y809" s="101"/>
      <c r="Z809" s="101"/>
      <c r="AA809" s="101"/>
      <c r="AB809" s="101"/>
      <c r="AC809" s="101"/>
      <c r="AD809" s="101"/>
      <c r="AE809" s="101"/>
      <c r="AF809" s="101"/>
      <c r="AG809" s="101"/>
      <c r="AH809" s="101"/>
      <c r="AI809" s="101"/>
      <c r="AJ809" s="101"/>
      <c r="AK809" s="101"/>
      <c r="AL809" s="101"/>
    </row>
    <row r="810">
      <c r="A810" s="101"/>
      <c r="B810" s="644"/>
      <c r="C810" s="101"/>
      <c r="D810" s="605"/>
      <c r="E810" s="645"/>
      <c r="F810" s="101"/>
      <c r="G810" s="101"/>
      <c r="H810" s="101"/>
      <c r="I810" s="606"/>
      <c r="J810" s="606"/>
      <c r="K810" s="606"/>
      <c r="L810" s="606"/>
      <c r="M810" s="606"/>
      <c r="N810" s="606"/>
      <c r="O810" s="606"/>
      <c r="P810" s="606"/>
      <c r="Q810" s="606"/>
      <c r="R810" s="606"/>
      <c r="S810" s="606"/>
      <c r="T810" s="606"/>
      <c r="U810" s="606"/>
      <c r="V810" s="461"/>
      <c r="W810" s="461"/>
      <c r="X810" s="131"/>
      <c r="Y810" s="101"/>
      <c r="Z810" s="101"/>
      <c r="AA810" s="101"/>
      <c r="AB810" s="101"/>
      <c r="AC810" s="101"/>
      <c r="AD810" s="101"/>
      <c r="AE810" s="101"/>
      <c r="AF810" s="101"/>
      <c r="AG810" s="101"/>
      <c r="AH810" s="101"/>
      <c r="AI810" s="101"/>
      <c r="AJ810" s="101"/>
      <c r="AK810" s="101"/>
      <c r="AL810" s="101"/>
    </row>
    <row r="811">
      <c r="A811" s="101"/>
      <c r="B811" s="644"/>
      <c r="C811" s="101"/>
      <c r="D811" s="605"/>
      <c r="E811" s="645"/>
      <c r="F811" s="101"/>
      <c r="G811" s="101"/>
      <c r="H811" s="101"/>
      <c r="I811" s="606"/>
      <c r="J811" s="606"/>
      <c r="K811" s="606"/>
      <c r="L811" s="606"/>
      <c r="M811" s="606"/>
      <c r="N811" s="606"/>
      <c r="O811" s="606"/>
      <c r="P811" s="606"/>
      <c r="Q811" s="606"/>
      <c r="R811" s="606"/>
      <c r="S811" s="606"/>
      <c r="T811" s="606"/>
      <c r="U811" s="606"/>
      <c r="V811" s="461"/>
      <c r="W811" s="461"/>
      <c r="X811" s="131"/>
      <c r="Y811" s="101"/>
      <c r="Z811" s="101"/>
      <c r="AA811" s="101"/>
      <c r="AB811" s="101"/>
      <c r="AC811" s="101"/>
      <c r="AD811" s="101"/>
      <c r="AE811" s="101"/>
      <c r="AF811" s="101"/>
      <c r="AG811" s="101"/>
      <c r="AH811" s="101"/>
      <c r="AI811" s="101"/>
      <c r="AJ811" s="101"/>
      <c r="AK811" s="101"/>
      <c r="AL811" s="101"/>
    </row>
    <row r="812">
      <c r="A812" s="101"/>
      <c r="B812" s="644"/>
      <c r="C812" s="101"/>
      <c r="D812" s="605"/>
      <c r="E812" s="645"/>
      <c r="F812" s="101"/>
      <c r="G812" s="101"/>
      <c r="H812" s="101"/>
      <c r="I812" s="606"/>
      <c r="J812" s="606"/>
      <c r="K812" s="606"/>
      <c r="L812" s="606"/>
      <c r="M812" s="606"/>
      <c r="N812" s="606"/>
      <c r="O812" s="606"/>
      <c r="P812" s="606"/>
      <c r="Q812" s="606"/>
      <c r="R812" s="606"/>
      <c r="S812" s="606"/>
      <c r="T812" s="606"/>
      <c r="U812" s="606"/>
      <c r="V812" s="461"/>
      <c r="W812" s="461"/>
      <c r="X812" s="131"/>
      <c r="Y812" s="101"/>
      <c r="Z812" s="101"/>
      <c r="AA812" s="101"/>
      <c r="AB812" s="101"/>
      <c r="AC812" s="101"/>
      <c r="AD812" s="101"/>
      <c r="AE812" s="101"/>
      <c r="AF812" s="101"/>
      <c r="AG812" s="101"/>
      <c r="AH812" s="101"/>
      <c r="AI812" s="101"/>
      <c r="AJ812" s="101"/>
      <c r="AK812" s="101"/>
      <c r="AL812" s="101"/>
    </row>
    <row r="813">
      <c r="A813" s="101"/>
      <c r="B813" s="644"/>
      <c r="C813" s="101"/>
      <c r="D813" s="605"/>
      <c r="E813" s="645"/>
      <c r="F813" s="101"/>
      <c r="G813" s="101"/>
      <c r="H813" s="101"/>
      <c r="I813" s="606"/>
      <c r="J813" s="606"/>
      <c r="K813" s="606"/>
      <c r="L813" s="606"/>
      <c r="M813" s="606"/>
      <c r="N813" s="606"/>
      <c r="O813" s="606"/>
      <c r="P813" s="606"/>
      <c r="Q813" s="606"/>
      <c r="R813" s="606"/>
      <c r="S813" s="606"/>
      <c r="T813" s="606"/>
      <c r="U813" s="606"/>
      <c r="V813" s="461"/>
      <c r="W813" s="461"/>
      <c r="X813" s="131"/>
      <c r="Y813" s="101"/>
      <c r="Z813" s="101"/>
      <c r="AA813" s="101"/>
      <c r="AB813" s="101"/>
      <c r="AC813" s="101"/>
      <c r="AD813" s="101"/>
      <c r="AE813" s="101"/>
      <c r="AF813" s="101"/>
      <c r="AG813" s="101"/>
      <c r="AH813" s="101"/>
      <c r="AI813" s="101"/>
      <c r="AJ813" s="101"/>
      <c r="AK813" s="101"/>
      <c r="AL813" s="101"/>
    </row>
    <row r="814">
      <c r="A814" s="101"/>
      <c r="B814" s="644"/>
      <c r="C814" s="101"/>
      <c r="D814" s="605"/>
      <c r="E814" s="645"/>
      <c r="F814" s="101"/>
      <c r="G814" s="101"/>
      <c r="H814" s="101"/>
      <c r="I814" s="606"/>
      <c r="J814" s="606"/>
      <c r="K814" s="606"/>
      <c r="L814" s="606"/>
      <c r="M814" s="606"/>
      <c r="N814" s="606"/>
      <c r="O814" s="606"/>
      <c r="P814" s="606"/>
      <c r="Q814" s="606"/>
      <c r="R814" s="606"/>
      <c r="S814" s="606"/>
      <c r="T814" s="606"/>
      <c r="U814" s="606"/>
      <c r="V814" s="461"/>
      <c r="W814" s="461"/>
      <c r="X814" s="131"/>
      <c r="Y814" s="101"/>
      <c r="Z814" s="101"/>
      <c r="AA814" s="101"/>
      <c r="AB814" s="101"/>
      <c r="AC814" s="101"/>
      <c r="AD814" s="101"/>
      <c r="AE814" s="101"/>
      <c r="AF814" s="101"/>
      <c r="AG814" s="101"/>
      <c r="AH814" s="101"/>
      <c r="AI814" s="101"/>
      <c r="AJ814" s="101"/>
      <c r="AK814" s="101"/>
      <c r="AL814" s="101"/>
    </row>
    <row r="815">
      <c r="A815" s="101"/>
      <c r="B815" s="644"/>
      <c r="C815" s="101"/>
      <c r="D815" s="605"/>
      <c r="E815" s="645"/>
      <c r="F815" s="101"/>
      <c r="G815" s="101"/>
      <c r="H815" s="101"/>
      <c r="I815" s="606"/>
      <c r="J815" s="606"/>
      <c r="K815" s="606"/>
      <c r="L815" s="606"/>
      <c r="M815" s="606"/>
      <c r="N815" s="606"/>
      <c r="O815" s="606"/>
      <c r="P815" s="606"/>
      <c r="Q815" s="606"/>
      <c r="R815" s="606"/>
      <c r="S815" s="606"/>
      <c r="T815" s="606"/>
      <c r="U815" s="606"/>
      <c r="V815" s="461"/>
      <c r="W815" s="461"/>
      <c r="X815" s="131"/>
      <c r="Y815" s="101"/>
      <c r="Z815" s="101"/>
      <c r="AA815" s="101"/>
      <c r="AB815" s="101"/>
      <c r="AC815" s="101"/>
      <c r="AD815" s="101"/>
      <c r="AE815" s="101"/>
      <c r="AF815" s="101"/>
      <c r="AG815" s="101"/>
      <c r="AH815" s="101"/>
      <c r="AI815" s="101"/>
      <c r="AJ815" s="101"/>
      <c r="AK815" s="101"/>
      <c r="AL815" s="101"/>
    </row>
    <row r="816">
      <c r="A816" s="101"/>
      <c r="B816" s="644"/>
      <c r="C816" s="101"/>
      <c r="D816" s="605"/>
      <c r="E816" s="645"/>
      <c r="F816" s="101"/>
      <c r="G816" s="101"/>
      <c r="H816" s="101"/>
      <c r="I816" s="606"/>
      <c r="J816" s="606"/>
      <c r="K816" s="606"/>
      <c r="L816" s="606"/>
      <c r="M816" s="606"/>
      <c r="N816" s="606"/>
      <c r="O816" s="606"/>
      <c r="P816" s="606"/>
      <c r="Q816" s="606"/>
      <c r="R816" s="606"/>
      <c r="S816" s="606"/>
      <c r="T816" s="606"/>
      <c r="U816" s="606"/>
      <c r="V816" s="461"/>
      <c r="W816" s="461"/>
      <c r="X816" s="131"/>
      <c r="Y816" s="101"/>
      <c r="Z816" s="101"/>
      <c r="AA816" s="101"/>
      <c r="AB816" s="101"/>
      <c r="AC816" s="101"/>
      <c r="AD816" s="101"/>
      <c r="AE816" s="101"/>
      <c r="AF816" s="101"/>
      <c r="AG816" s="101"/>
      <c r="AH816" s="101"/>
      <c r="AI816" s="101"/>
      <c r="AJ816" s="101"/>
      <c r="AK816" s="101"/>
      <c r="AL816" s="101"/>
    </row>
    <row r="817">
      <c r="A817" s="101"/>
      <c r="B817" s="644"/>
      <c r="C817" s="101"/>
      <c r="D817" s="605"/>
      <c r="E817" s="645"/>
      <c r="F817" s="101"/>
      <c r="G817" s="101"/>
      <c r="H817" s="101"/>
      <c r="I817" s="606"/>
      <c r="J817" s="606"/>
      <c r="K817" s="606"/>
      <c r="L817" s="606"/>
      <c r="M817" s="606"/>
      <c r="N817" s="606"/>
      <c r="O817" s="606"/>
      <c r="P817" s="606"/>
      <c r="Q817" s="606"/>
      <c r="R817" s="606"/>
      <c r="S817" s="606"/>
      <c r="T817" s="606"/>
      <c r="U817" s="606"/>
      <c r="V817" s="461"/>
      <c r="W817" s="461"/>
      <c r="X817" s="131"/>
      <c r="Y817" s="101"/>
      <c r="Z817" s="101"/>
      <c r="AA817" s="101"/>
      <c r="AB817" s="101"/>
      <c r="AC817" s="101"/>
      <c r="AD817" s="101"/>
      <c r="AE817" s="101"/>
      <c r="AF817" s="101"/>
      <c r="AG817" s="101"/>
      <c r="AH817" s="101"/>
      <c r="AI817" s="101"/>
      <c r="AJ817" s="101"/>
      <c r="AK817" s="101"/>
      <c r="AL817" s="101"/>
    </row>
    <row r="818">
      <c r="A818" s="101"/>
      <c r="B818" s="644"/>
      <c r="C818" s="101"/>
      <c r="D818" s="605"/>
      <c r="E818" s="645"/>
      <c r="F818" s="101"/>
      <c r="G818" s="101"/>
      <c r="H818" s="101"/>
      <c r="I818" s="606"/>
      <c r="J818" s="606"/>
      <c r="K818" s="606"/>
      <c r="L818" s="606"/>
      <c r="M818" s="606"/>
      <c r="N818" s="606"/>
      <c r="O818" s="606"/>
      <c r="P818" s="606"/>
      <c r="Q818" s="606"/>
      <c r="R818" s="606"/>
      <c r="S818" s="606"/>
      <c r="T818" s="606"/>
      <c r="U818" s="606"/>
      <c r="V818" s="461"/>
      <c r="W818" s="461"/>
      <c r="X818" s="131"/>
      <c r="Y818" s="101"/>
      <c r="Z818" s="101"/>
      <c r="AA818" s="101"/>
      <c r="AB818" s="101"/>
      <c r="AC818" s="101"/>
      <c r="AD818" s="101"/>
      <c r="AE818" s="101"/>
      <c r="AF818" s="101"/>
      <c r="AG818" s="101"/>
      <c r="AH818" s="101"/>
      <c r="AI818" s="101"/>
      <c r="AJ818" s="101"/>
      <c r="AK818" s="101"/>
      <c r="AL818" s="101"/>
    </row>
    <row r="819">
      <c r="A819" s="101"/>
      <c r="B819" s="644"/>
      <c r="C819" s="101"/>
      <c r="D819" s="605"/>
      <c r="E819" s="645"/>
      <c r="F819" s="101"/>
      <c r="G819" s="101"/>
      <c r="H819" s="101"/>
      <c r="I819" s="606"/>
      <c r="J819" s="606"/>
      <c r="K819" s="606"/>
      <c r="L819" s="606"/>
      <c r="M819" s="606"/>
      <c r="N819" s="606"/>
      <c r="O819" s="606"/>
      <c r="P819" s="606"/>
      <c r="Q819" s="606"/>
      <c r="R819" s="606"/>
      <c r="S819" s="606"/>
      <c r="T819" s="606"/>
      <c r="U819" s="606"/>
      <c r="V819" s="461"/>
      <c r="W819" s="461"/>
      <c r="X819" s="131"/>
      <c r="Y819" s="101"/>
      <c r="Z819" s="101"/>
      <c r="AA819" s="101"/>
      <c r="AB819" s="101"/>
      <c r="AC819" s="101"/>
      <c r="AD819" s="101"/>
      <c r="AE819" s="101"/>
      <c r="AF819" s="101"/>
      <c r="AG819" s="101"/>
      <c r="AH819" s="101"/>
      <c r="AI819" s="101"/>
      <c r="AJ819" s="101"/>
      <c r="AK819" s="101"/>
      <c r="AL819" s="101"/>
    </row>
    <row r="820">
      <c r="A820" s="101"/>
      <c r="B820" s="644"/>
      <c r="C820" s="101"/>
      <c r="D820" s="605"/>
      <c r="E820" s="645"/>
      <c r="F820" s="101"/>
      <c r="G820" s="101"/>
      <c r="H820" s="101"/>
      <c r="I820" s="606"/>
      <c r="J820" s="606"/>
      <c r="K820" s="606"/>
      <c r="L820" s="606"/>
      <c r="M820" s="606"/>
      <c r="N820" s="606"/>
      <c r="O820" s="606"/>
      <c r="P820" s="606"/>
      <c r="Q820" s="606"/>
      <c r="R820" s="606"/>
      <c r="S820" s="606"/>
      <c r="T820" s="606"/>
      <c r="U820" s="606"/>
      <c r="V820" s="461"/>
      <c r="W820" s="461"/>
      <c r="X820" s="131"/>
      <c r="Y820" s="101"/>
      <c r="Z820" s="101"/>
      <c r="AA820" s="101"/>
      <c r="AB820" s="101"/>
      <c r="AC820" s="101"/>
      <c r="AD820" s="101"/>
      <c r="AE820" s="101"/>
      <c r="AF820" s="101"/>
      <c r="AG820" s="101"/>
      <c r="AH820" s="101"/>
      <c r="AI820" s="101"/>
      <c r="AJ820" s="101"/>
      <c r="AK820" s="101"/>
      <c r="AL820" s="101"/>
    </row>
    <row r="821">
      <c r="A821" s="101"/>
      <c r="B821" s="644"/>
      <c r="C821" s="101"/>
      <c r="D821" s="605"/>
      <c r="E821" s="645"/>
      <c r="F821" s="101"/>
      <c r="G821" s="101"/>
      <c r="H821" s="101"/>
      <c r="I821" s="606"/>
      <c r="J821" s="606"/>
      <c r="K821" s="606"/>
      <c r="L821" s="606"/>
      <c r="M821" s="606"/>
      <c r="N821" s="606"/>
      <c r="O821" s="606"/>
      <c r="P821" s="606"/>
      <c r="Q821" s="606"/>
      <c r="R821" s="606"/>
      <c r="S821" s="606"/>
      <c r="T821" s="606"/>
      <c r="U821" s="606"/>
      <c r="V821" s="461"/>
      <c r="W821" s="461"/>
      <c r="X821" s="131"/>
      <c r="Y821" s="101"/>
      <c r="Z821" s="101"/>
      <c r="AA821" s="101"/>
      <c r="AB821" s="101"/>
      <c r="AC821" s="101"/>
      <c r="AD821" s="101"/>
      <c r="AE821" s="101"/>
      <c r="AF821" s="101"/>
      <c r="AG821" s="101"/>
      <c r="AH821" s="101"/>
      <c r="AI821" s="101"/>
      <c r="AJ821" s="101"/>
      <c r="AK821" s="101"/>
      <c r="AL821" s="101"/>
    </row>
    <row r="822">
      <c r="A822" s="101"/>
      <c r="B822" s="644"/>
      <c r="C822" s="101"/>
      <c r="D822" s="605"/>
      <c r="E822" s="645"/>
      <c r="F822" s="101"/>
      <c r="G822" s="101"/>
      <c r="H822" s="101"/>
      <c r="I822" s="606"/>
      <c r="J822" s="606"/>
      <c r="K822" s="606"/>
      <c r="L822" s="606"/>
      <c r="M822" s="606"/>
      <c r="N822" s="606"/>
      <c r="O822" s="606"/>
      <c r="P822" s="606"/>
      <c r="Q822" s="606"/>
      <c r="R822" s="606"/>
      <c r="S822" s="606"/>
      <c r="T822" s="606"/>
      <c r="U822" s="606"/>
      <c r="V822" s="461"/>
      <c r="W822" s="461"/>
      <c r="X822" s="131"/>
      <c r="Y822" s="101"/>
      <c r="Z822" s="101"/>
      <c r="AA822" s="101"/>
      <c r="AB822" s="101"/>
      <c r="AC822" s="101"/>
      <c r="AD822" s="101"/>
      <c r="AE822" s="101"/>
      <c r="AF822" s="101"/>
      <c r="AG822" s="101"/>
      <c r="AH822" s="101"/>
      <c r="AI822" s="101"/>
      <c r="AJ822" s="101"/>
      <c r="AK822" s="101"/>
      <c r="AL822" s="101"/>
    </row>
    <row r="823">
      <c r="A823" s="101"/>
      <c r="B823" s="644"/>
      <c r="C823" s="101"/>
      <c r="D823" s="605"/>
      <c r="E823" s="645"/>
      <c r="F823" s="101"/>
      <c r="G823" s="101"/>
      <c r="H823" s="101"/>
      <c r="I823" s="606"/>
      <c r="J823" s="606"/>
      <c r="K823" s="606"/>
      <c r="L823" s="606"/>
      <c r="M823" s="606"/>
      <c r="N823" s="606"/>
      <c r="O823" s="606"/>
      <c r="P823" s="606"/>
      <c r="Q823" s="606"/>
      <c r="R823" s="606"/>
      <c r="S823" s="606"/>
      <c r="T823" s="606"/>
      <c r="U823" s="606"/>
      <c r="V823" s="461"/>
      <c r="W823" s="461"/>
      <c r="X823" s="131"/>
      <c r="Y823" s="101"/>
      <c r="Z823" s="101"/>
      <c r="AA823" s="101"/>
      <c r="AB823" s="101"/>
      <c r="AC823" s="101"/>
      <c r="AD823" s="101"/>
      <c r="AE823" s="101"/>
      <c r="AF823" s="101"/>
      <c r="AG823" s="101"/>
      <c r="AH823" s="101"/>
      <c r="AI823" s="101"/>
      <c r="AJ823" s="101"/>
      <c r="AK823" s="101"/>
      <c r="AL823" s="101"/>
    </row>
    <row r="824">
      <c r="A824" s="101"/>
      <c r="B824" s="644"/>
      <c r="C824" s="101"/>
      <c r="D824" s="605"/>
      <c r="E824" s="645"/>
      <c r="F824" s="101"/>
      <c r="G824" s="101"/>
      <c r="H824" s="101"/>
      <c r="I824" s="606"/>
      <c r="J824" s="606"/>
      <c r="K824" s="606"/>
      <c r="L824" s="606"/>
      <c r="M824" s="606"/>
      <c r="N824" s="606"/>
      <c r="O824" s="606"/>
      <c r="P824" s="606"/>
      <c r="Q824" s="606"/>
      <c r="R824" s="606"/>
      <c r="S824" s="606"/>
      <c r="T824" s="606"/>
      <c r="U824" s="606"/>
      <c r="V824" s="461"/>
      <c r="W824" s="461"/>
      <c r="X824" s="131"/>
      <c r="Y824" s="101"/>
      <c r="Z824" s="101"/>
      <c r="AA824" s="101"/>
      <c r="AB824" s="101"/>
      <c r="AC824" s="101"/>
      <c r="AD824" s="101"/>
      <c r="AE824" s="101"/>
      <c r="AF824" s="101"/>
      <c r="AG824" s="101"/>
      <c r="AH824" s="101"/>
      <c r="AI824" s="101"/>
      <c r="AJ824" s="101"/>
      <c r="AK824" s="101"/>
      <c r="AL824" s="101"/>
    </row>
    <row r="825">
      <c r="A825" s="101"/>
      <c r="B825" s="644"/>
      <c r="C825" s="101"/>
      <c r="D825" s="605"/>
      <c r="E825" s="645"/>
      <c r="F825" s="101"/>
      <c r="G825" s="101"/>
      <c r="H825" s="101"/>
      <c r="I825" s="606"/>
      <c r="J825" s="606"/>
      <c r="K825" s="606"/>
      <c r="L825" s="606"/>
      <c r="M825" s="606"/>
      <c r="N825" s="606"/>
      <c r="O825" s="606"/>
      <c r="P825" s="606"/>
      <c r="Q825" s="606"/>
      <c r="R825" s="606"/>
      <c r="S825" s="606"/>
      <c r="T825" s="606"/>
      <c r="U825" s="606"/>
      <c r="V825" s="461"/>
      <c r="W825" s="461"/>
      <c r="X825" s="131"/>
      <c r="Y825" s="101"/>
      <c r="Z825" s="101"/>
      <c r="AA825" s="101"/>
      <c r="AB825" s="101"/>
      <c r="AC825" s="101"/>
      <c r="AD825" s="101"/>
      <c r="AE825" s="101"/>
      <c r="AF825" s="101"/>
      <c r="AG825" s="101"/>
      <c r="AH825" s="101"/>
      <c r="AI825" s="101"/>
      <c r="AJ825" s="101"/>
      <c r="AK825" s="101"/>
      <c r="AL825" s="101"/>
    </row>
    <row r="826">
      <c r="A826" s="101"/>
      <c r="B826" s="644"/>
      <c r="C826" s="101"/>
      <c r="D826" s="605"/>
      <c r="E826" s="645"/>
      <c r="F826" s="101"/>
      <c r="G826" s="101"/>
      <c r="H826" s="101"/>
      <c r="I826" s="606"/>
      <c r="J826" s="606"/>
      <c r="K826" s="606"/>
      <c r="L826" s="606"/>
      <c r="M826" s="606"/>
      <c r="N826" s="606"/>
      <c r="O826" s="606"/>
      <c r="P826" s="606"/>
      <c r="Q826" s="606"/>
      <c r="R826" s="606"/>
      <c r="S826" s="606"/>
      <c r="T826" s="606"/>
      <c r="U826" s="606"/>
      <c r="V826" s="461"/>
      <c r="W826" s="461"/>
      <c r="X826" s="131"/>
      <c r="Y826" s="101"/>
      <c r="Z826" s="101"/>
      <c r="AA826" s="101"/>
      <c r="AB826" s="101"/>
      <c r="AC826" s="101"/>
      <c r="AD826" s="101"/>
      <c r="AE826" s="101"/>
      <c r="AF826" s="101"/>
      <c r="AG826" s="101"/>
      <c r="AH826" s="101"/>
      <c r="AI826" s="101"/>
      <c r="AJ826" s="101"/>
      <c r="AK826" s="101"/>
      <c r="AL826" s="101"/>
    </row>
    <row r="827">
      <c r="A827" s="101"/>
      <c r="B827" s="644"/>
      <c r="C827" s="101"/>
      <c r="D827" s="605"/>
      <c r="E827" s="645"/>
      <c r="F827" s="101"/>
      <c r="G827" s="101"/>
      <c r="H827" s="101"/>
      <c r="I827" s="606"/>
      <c r="J827" s="606"/>
      <c r="K827" s="606"/>
      <c r="L827" s="606"/>
      <c r="M827" s="606"/>
      <c r="N827" s="606"/>
      <c r="O827" s="606"/>
      <c r="P827" s="606"/>
      <c r="Q827" s="606"/>
      <c r="R827" s="606"/>
      <c r="S827" s="606"/>
      <c r="T827" s="606"/>
      <c r="U827" s="606"/>
      <c r="V827" s="461"/>
      <c r="W827" s="461"/>
      <c r="X827" s="131"/>
      <c r="Y827" s="101"/>
      <c r="Z827" s="101"/>
      <c r="AA827" s="101"/>
      <c r="AB827" s="101"/>
      <c r="AC827" s="101"/>
      <c r="AD827" s="101"/>
      <c r="AE827" s="101"/>
      <c r="AF827" s="101"/>
      <c r="AG827" s="101"/>
      <c r="AH827" s="101"/>
      <c r="AI827" s="101"/>
      <c r="AJ827" s="101"/>
      <c r="AK827" s="101"/>
      <c r="AL827" s="101"/>
    </row>
    <row r="828">
      <c r="A828" s="101"/>
      <c r="B828" s="644"/>
      <c r="C828" s="101"/>
      <c r="D828" s="605"/>
      <c r="E828" s="645"/>
      <c r="F828" s="101"/>
      <c r="G828" s="101"/>
      <c r="H828" s="101"/>
      <c r="I828" s="606"/>
      <c r="J828" s="606"/>
      <c r="K828" s="606"/>
      <c r="L828" s="606"/>
      <c r="M828" s="606"/>
      <c r="N828" s="606"/>
      <c r="O828" s="606"/>
      <c r="P828" s="606"/>
      <c r="Q828" s="606"/>
      <c r="R828" s="606"/>
      <c r="S828" s="606"/>
      <c r="T828" s="606"/>
      <c r="U828" s="606"/>
      <c r="V828" s="461"/>
      <c r="W828" s="461"/>
      <c r="X828" s="131"/>
      <c r="Y828" s="101"/>
      <c r="Z828" s="101"/>
      <c r="AA828" s="101"/>
      <c r="AB828" s="101"/>
      <c r="AC828" s="101"/>
      <c r="AD828" s="101"/>
      <c r="AE828" s="101"/>
      <c r="AF828" s="101"/>
      <c r="AG828" s="101"/>
      <c r="AH828" s="101"/>
      <c r="AI828" s="101"/>
      <c r="AJ828" s="101"/>
      <c r="AK828" s="101"/>
      <c r="AL828" s="101"/>
    </row>
    <row r="829">
      <c r="A829" s="101"/>
      <c r="B829" s="644"/>
      <c r="C829" s="101"/>
      <c r="D829" s="605"/>
      <c r="E829" s="645"/>
      <c r="F829" s="101"/>
      <c r="G829" s="101"/>
      <c r="H829" s="101"/>
      <c r="I829" s="606"/>
      <c r="J829" s="606"/>
      <c r="K829" s="606"/>
      <c r="L829" s="606"/>
      <c r="M829" s="606"/>
      <c r="N829" s="606"/>
      <c r="O829" s="606"/>
      <c r="P829" s="606"/>
      <c r="Q829" s="606"/>
      <c r="R829" s="606"/>
      <c r="S829" s="606"/>
      <c r="T829" s="606"/>
      <c r="U829" s="606"/>
      <c r="V829" s="461"/>
      <c r="W829" s="461"/>
      <c r="X829" s="131"/>
      <c r="Y829" s="101"/>
      <c r="Z829" s="101"/>
      <c r="AA829" s="101"/>
      <c r="AB829" s="101"/>
      <c r="AC829" s="101"/>
      <c r="AD829" s="101"/>
      <c r="AE829" s="101"/>
      <c r="AF829" s="101"/>
      <c r="AG829" s="101"/>
      <c r="AH829" s="101"/>
      <c r="AI829" s="101"/>
      <c r="AJ829" s="101"/>
      <c r="AK829" s="101"/>
      <c r="AL829" s="101"/>
    </row>
    <row r="830">
      <c r="A830" s="101"/>
      <c r="B830" s="644"/>
      <c r="C830" s="101"/>
      <c r="D830" s="605"/>
      <c r="E830" s="645"/>
      <c r="F830" s="101"/>
      <c r="G830" s="101"/>
      <c r="H830" s="101"/>
      <c r="I830" s="606"/>
      <c r="J830" s="606"/>
      <c r="K830" s="606"/>
      <c r="L830" s="606"/>
      <c r="M830" s="606"/>
      <c r="N830" s="606"/>
      <c r="O830" s="606"/>
      <c r="P830" s="606"/>
      <c r="Q830" s="606"/>
      <c r="R830" s="606"/>
      <c r="S830" s="606"/>
      <c r="T830" s="606"/>
      <c r="U830" s="606"/>
      <c r="V830" s="461"/>
      <c r="W830" s="461"/>
      <c r="X830" s="131"/>
      <c r="Y830" s="101"/>
      <c r="Z830" s="101"/>
      <c r="AA830" s="101"/>
      <c r="AB830" s="101"/>
      <c r="AC830" s="101"/>
      <c r="AD830" s="101"/>
      <c r="AE830" s="101"/>
      <c r="AF830" s="101"/>
      <c r="AG830" s="101"/>
      <c r="AH830" s="101"/>
      <c r="AI830" s="101"/>
      <c r="AJ830" s="101"/>
      <c r="AK830" s="101"/>
      <c r="AL830" s="101"/>
    </row>
    <row r="831">
      <c r="A831" s="101"/>
      <c r="B831" s="644"/>
      <c r="C831" s="101"/>
      <c r="D831" s="605"/>
      <c r="E831" s="645"/>
      <c r="F831" s="101"/>
      <c r="G831" s="101"/>
      <c r="H831" s="101"/>
      <c r="I831" s="606"/>
      <c r="J831" s="606"/>
      <c r="K831" s="606"/>
      <c r="L831" s="606"/>
      <c r="M831" s="606"/>
      <c r="N831" s="606"/>
      <c r="O831" s="606"/>
      <c r="P831" s="606"/>
      <c r="Q831" s="606"/>
      <c r="R831" s="606"/>
      <c r="S831" s="606"/>
      <c r="T831" s="606"/>
      <c r="U831" s="606"/>
      <c r="V831" s="461"/>
      <c r="W831" s="461"/>
      <c r="X831" s="131"/>
      <c r="Y831" s="101"/>
      <c r="Z831" s="101"/>
      <c r="AA831" s="101"/>
      <c r="AB831" s="101"/>
      <c r="AC831" s="101"/>
      <c r="AD831" s="101"/>
      <c r="AE831" s="101"/>
      <c r="AF831" s="101"/>
      <c r="AG831" s="101"/>
      <c r="AH831" s="101"/>
      <c r="AI831" s="101"/>
      <c r="AJ831" s="101"/>
      <c r="AK831" s="101"/>
      <c r="AL831" s="101"/>
    </row>
    <row r="832">
      <c r="A832" s="101"/>
      <c r="B832" s="644"/>
      <c r="C832" s="101"/>
      <c r="D832" s="605"/>
      <c r="E832" s="645"/>
      <c r="F832" s="101"/>
      <c r="G832" s="101"/>
      <c r="H832" s="101"/>
      <c r="I832" s="606"/>
      <c r="J832" s="606"/>
      <c r="K832" s="606"/>
      <c r="L832" s="606"/>
      <c r="M832" s="606"/>
      <c r="N832" s="606"/>
      <c r="O832" s="606"/>
      <c r="P832" s="606"/>
      <c r="Q832" s="606"/>
      <c r="R832" s="606"/>
      <c r="S832" s="606"/>
      <c r="T832" s="606"/>
      <c r="U832" s="606"/>
      <c r="V832" s="461"/>
      <c r="W832" s="461"/>
      <c r="X832" s="131"/>
      <c r="Y832" s="101"/>
      <c r="Z832" s="101"/>
      <c r="AA832" s="101"/>
      <c r="AB832" s="101"/>
      <c r="AC832" s="101"/>
      <c r="AD832" s="101"/>
      <c r="AE832" s="101"/>
      <c r="AF832" s="101"/>
      <c r="AG832" s="101"/>
      <c r="AH832" s="101"/>
      <c r="AI832" s="101"/>
      <c r="AJ832" s="101"/>
      <c r="AK832" s="101"/>
      <c r="AL832" s="101"/>
    </row>
    <row r="833">
      <c r="A833" s="101"/>
      <c r="B833" s="644"/>
      <c r="C833" s="101"/>
      <c r="D833" s="605"/>
      <c r="E833" s="645"/>
      <c r="F833" s="101"/>
      <c r="G833" s="101"/>
      <c r="H833" s="101"/>
      <c r="I833" s="606"/>
      <c r="J833" s="606"/>
      <c r="K833" s="606"/>
      <c r="L833" s="606"/>
      <c r="M833" s="606"/>
      <c r="N833" s="606"/>
      <c r="O833" s="606"/>
      <c r="P833" s="606"/>
      <c r="Q833" s="606"/>
      <c r="R833" s="606"/>
      <c r="S833" s="606"/>
      <c r="T833" s="606"/>
      <c r="U833" s="606"/>
      <c r="V833" s="461"/>
      <c r="W833" s="461"/>
      <c r="X833" s="131"/>
      <c r="Y833" s="101"/>
      <c r="Z833" s="101"/>
      <c r="AA833" s="101"/>
      <c r="AB833" s="101"/>
      <c r="AC833" s="101"/>
      <c r="AD833" s="101"/>
      <c r="AE833" s="101"/>
      <c r="AF833" s="101"/>
      <c r="AG833" s="101"/>
      <c r="AH833" s="101"/>
      <c r="AI833" s="101"/>
      <c r="AJ833" s="101"/>
      <c r="AK833" s="101"/>
      <c r="AL833" s="101"/>
    </row>
    <row r="834">
      <c r="A834" s="101"/>
      <c r="B834" s="644"/>
      <c r="C834" s="101"/>
      <c r="D834" s="605"/>
      <c r="E834" s="645"/>
      <c r="F834" s="101"/>
      <c r="G834" s="101"/>
      <c r="H834" s="101"/>
      <c r="I834" s="606"/>
      <c r="J834" s="606"/>
      <c r="K834" s="606"/>
      <c r="L834" s="606"/>
      <c r="M834" s="606"/>
      <c r="N834" s="606"/>
      <c r="O834" s="606"/>
      <c r="P834" s="606"/>
      <c r="Q834" s="606"/>
      <c r="R834" s="606"/>
      <c r="S834" s="606"/>
      <c r="T834" s="606"/>
      <c r="U834" s="606"/>
      <c r="V834" s="461"/>
      <c r="W834" s="461"/>
      <c r="X834" s="131"/>
      <c r="Y834" s="101"/>
      <c r="Z834" s="101"/>
      <c r="AA834" s="101"/>
      <c r="AB834" s="101"/>
      <c r="AC834" s="101"/>
      <c r="AD834" s="101"/>
      <c r="AE834" s="101"/>
      <c r="AF834" s="101"/>
      <c r="AG834" s="101"/>
      <c r="AH834" s="101"/>
      <c r="AI834" s="101"/>
      <c r="AJ834" s="101"/>
      <c r="AK834" s="101"/>
      <c r="AL834" s="101"/>
    </row>
    <row r="835">
      <c r="A835" s="101"/>
      <c r="B835" s="644"/>
      <c r="C835" s="101"/>
      <c r="D835" s="605"/>
      <c r="E835" s="645"/>
      <c r="F835" s="101"/>
      <c r="G835" s="101"/>
      <c r="H835" s="101"/>
      <c r="I835" s="606"/>
      <c r="J835" s="606"/>
      <c r="K835" s="606"/>
      <c r="L835" s="606"/>
      <c r="M835" s="606"/>
      <c r="N835" s="606"/>
      <c r="O835" s="606"/>
      <c r="P835" s="606"/>
      <c r="Q835" s="606"/>
      <c r="R835" s="606"/>
      <c r="S835" s="606"/>
      <c r="T835" s="606"/>
      <c r="U835" s="606"/>
      <c r="V835" s="461"/>
      <c r="W835" s="461"/>
      <c r="X835" s="131"/>
      <c r="Y835" s="101"/>
      <c r="Z835" s="101"/>
      <c r="AA835" s="101"/>
      <c r="AB835" s="101"/>
      <c r="AC835" s="101"/>
      <c r="AD835" s="101"/>
      <c r="AE835" s="101"/>
      <c r="AF835" s="101"/>
      <c r="AG835" s="101"/>
      <c r="AH835" s="101"/>
      <c r="AI835" s="101"/>
      <c r="AJ835" s="101"/>
      <c r="AK835" s="101"/>
      <c r="AL835" s="101"/>
    </row>
    <row r="836">
      <c r="A836" s="101"/>
      <c r="B836" s="644"/>
      <c r="C836" s="101"/>
      <c r="D836" s="605"/>
      <c r="E836" s="645"/>
      <c r="F836" s="101"/>
      <c r="G836" s="101"/>
      <c r="H836" s="101"/>
      <c r="I836" s="606"/>
      <c r="J836" s="606"/>
      <c r="K836" s="606"/>
      <c r="L836" s="606"/>
      <c r="M836" s="606"/>
      <c r="N836" s="606"/>
      <c r="O836" s="606"/>
      <c r="P836" s="606"/>
      <c r="Q836" s="606"/>
      <c r="R836" s="606"/>
      <c r="S836" s="606"/>
      <c r="T836" s="606"/>
      <c r="U836" s="606"/>
      <c r="V836" s="461"/>
      <c r="W836" s="461"/>
      <c r="X836" s="131"/>
      <c r="Y836" s="101"/>
      <c r="Z836" s="101"/>
      <c r="AA836" s="101"/>
      <c r="AB836" s="101"/>
      <c r="AC836" s="101"/>
      <c r="AD836" s="101"/>
      <c r="AE836" s="101"/>
      <c r="AF836" s="101"/>
      <c r="AG836" s="101"/>
      <c r="AH836" s="101"/>
      <c r="AI836" s="101"/>
      <c r="AJ836" s="101"/>
      <c r="AK836" s="101"/>
      <c r="AL836" s="101"/>
    </row>
    <row r="837">
      <c r="A837" s="101"/>
      <c r="B837" s="644"/>
      <c r="C837" s="101"/>
      <c r="D837" s="605"/>
      <c r="E837" s="645"/>
      <c r="F837" s="101"/>
      <c r="G837" s="101"/>
      <c r="H837" s="101"/>
      <c r="I837" s="606"/>
      <c r="J837" s="606"/>
      <c r="K837" s="606"/>
      <c r="L837" s="606"/>
      <c r="M837" s="606"/>
      <c r="N837" s="606"/>
      <c r="O837" s="606"/>
      <c r="P837" s="606"/>
      <c r="Q837" s="606"/>
      <c r="R837" s="606"/>
      <c r="S837" s="606"/>
      <c r="T837" s="606"/>
      <c r="U837" s="606"/>
      <c r="V837" s="461"/>
      <c r="W837" s="461"/>
      <c r="X837" s="131"/>
      <c r="Y837" s="101"/>
      <c r="Z837" s="101"/>
      <c r="AA837" s="101"/>
      <c r="AB837" s="101"/>
      <c r="AC837" s="101"/>
      <c r="AD837" s="101"/>
      <c r="AE837" s="101"/>
      <c r="AF837" s="101"/>
      <c r="AG837" s="101"/>
      <c r="AH837" s="101"/>
      <c r="AI837" s="101"/>
      <c r="AJ837" s="101"/>
      <c r="AK837" s="101"/>
      <c r="AL837" s="101"/>
    </row>
    <row r="838">
      <c r="A838" s="101"/>
      <c r="B838" s="644"/>
      <c r="C838" s="101"/>
      <c r="D838" s="605"/>
      <c r="E838" s="645"/>
      <c r="F838" s="101"/>
      <c r="G838" s="101"/>
      <c r="H838" s="101"/>
      <c r="I838" s="606"/>
      <c r="J838" s="606"/>
      <c r="K838" s="606"/>
      <c r="L838" s="606"/>
      <c r="M838" s="606"/>
      <c r="N838" s="606"/>
      <c r="O838" s="606"/>
      <c r="P838" s="606"/>
      <c r="Q838" s="606"/>
      <c r="R838" s="606"/>
      <c r="S838" s="606"/>
      <c r="T838" s="606"/>
      <c r="U838" s="606"/>
      <c r="V838" s="461"/>
      <c r="W838" s="461"/>
      <c r="X838" s="131"/>
      <c r="Y838" s="101"/>
      <c r="Z838" s="101"/>
      <c r="AA838" s="101"/>
      <c r="AB838" s="101"/>
      <c r="AC838" s="101"/>
      <c r="AD838" s="101"/>
      <c r="AE838" s="101"/>
      <c r="AF838" s="101"/>
      <c r="AG838" s="101"/>
      <c r="AH838" s="101"/>
      <c r="AI838" s="101"/>
      <c r="AJ838" s="101"/>
      <c r="AK838" s="101"/>
      <c r="AL838" s="101"/>
    </row>
    <row r="839">
      <c r="A839" s="101"/>
      <c r="B839" s="644"/>
      <c r="C839" s="101"/>
      <c r="D839" s="605"/>
      <c r="E839" s="645"/>
      <c r="F839" s="101"/>
      <c r="G839" s="101"/>
      <c r="H839" s="101"/>
      <c r="I839" s="606"/>
      <c r="J839" s="606"/>
      <c r="K839" s="606"/>
      <c r="L839" s="606"/>
      <c r="M839" s="606"/>
      <c r="N839" s="606"/>
      <c r="O839" s="606"/>
      <c r="P839" s="606"/>
      <c r="Q839" s="606"/>
      <c r="R839" s="606"/>
      <c r="S839" s="606"/>
      <c r="T839" s="606"/>
      <c r="U839" s="606"/>
      <c r="V839" s="461"/>
      <c r="W839" s="461"/>
      <c r="X839" s="131"/>
      <c r="Y839" s="101"/>
      <c r="Z839" s="101"/>
      <c r="AA839" s="101"/>
      <c r="AB839" s="101"/>
      <c r="AC839" s="101"/>
      <c r="AD839" s="101"/>
      <c r="AE839" s="101"/>
      <c r="AF839" s="101"/>
      <c r="AG839" s="101"/>
      <c r="AH839" s="101"/>
      <c r="AI839" s="101"/>
      <c r="AJ839" s="101"/>
      <c r="AK839" s="101"/>
      <c r="AL839" s="101"/>
    </row>
    <row r="840">
      <c r="A840" s="101"/>
      <c r="B840" s="644"/>
      <c r="C840" s="101"/>
      <c r="D840" s="605"/>
      <c r="E840" s="645"/>
      <c r="F840" s="101"/>
      <c r="G840" s="101"/>
      <c r="H840" s="101"/>
      <c r="I840" s="606"/>
      <c r="J840" s="606"/>
      <c r="K840" s="606"/>
      <c r="L840" s="606"/>
      <c r="M840" s="606"/>
      <c r="N840" s="606"/>
      <c r="O840" s="606"/>
      <c r="P840" s="606"/>
      <c r="Q840" s="606"/>
      <c r="R840" s="606"/>
      <c r="S840" s="606"/>
      <c r="T840" s="606"/>
      <c r="U840" s="606"/>
      <c r="V840" s="461"/>
      <c r="W840" s="461"/>
      <c r="X840" s="131"/>
      <c r="Y840" s="101"/>
      <c r="Z840" s="101"/>
      <c r="AA840" s="101"/>
      <c r="AB840" s="101"/>
      <c r="AC840" s="101"/>
      <c r="AD840" s="101"/>
      <c r="AE840" s="101"/>
      <c r="AF840" s="101"/>
      <c r="AG840" s="101"/>
      <c r="AH840" s="101"/>
      <c r="AI840" s="101"/>
      <c r="AJ840" s="101"/>
      <c r="AK840" s="101"/>
      <c r="AL840" s="101"/>
    </row>
    <row r="841">
      <c r="A841" s="101"/>
      <c r="B841" s="644"/>
      <c r="C841" s="101"/>
      <c r="D841" s="605"/>
      <c r="E841" s="645"/>
      <c r="F841" s="101"/>
      <c r="G841" s="101"/>
      <c r="H841" s="101"/>
      <c r="I841" s="606"/>
      <c r="J841" s="606"/>
      <c r="K841" s="606"/>
      <c r="L841" s="606"/>
      <c r="M841" s="606"/>
      <c r="N841" s="606"/>
      <c r="O841" s="606"/>
      <c r="P841" s="606"/>
      <c r="Q841" s="606"/>
      <c r="R841" s="606"/>
      <c r="S841" s="606"/>
      <c r="T841" s="606"/>
      <c r="U841" s="606"/>
      <c r="V841" s="461"/>
      <c r="W841" s="461"/>
      <c r="X841" s="131"/>
      <c r="Y841" s="101"/>
      <c r="Z841" s="101"/>
      <c r="AA841" s="101"/>
      <c r="AB841" s="101"/>
      <c r="AC841" s="101"/>
      <c r="AD841" s="101"/>
      <c r="AE841" s="101"/>
      <c r="AF841" s="101"/>
      <c r="AG841" s="101"/>
      <c r="AH841" s="101"/>
      <c r="AI841" s="101"/>
      <c r="AJ841" s="101"/>
      <c r="AK841" s="101"/>
      <c r="AL841" s="101"/>
    </row>
    <row r="842">
      <c r="A842" s="101"/>
      <c r="B842" s="644"/>
      <c r="C842" s="101"/>
      <c r="D842" s="605"/>
      <c r="E842" s="645"/>
      <c r="F842" s="101"/>
      <c r="G842" s="101"/>
      <c r="H842" s="101"/>
      <c r="I842" s="606"/>
      <c r="J842" s="606"/>
      <c r="K842" s="606"/>
      <c r="L842" s="606"/>
      <c r="M842" s="606"/>
      <c r="N842" s="606"/>
      <c r="O842" s="606"/>
      <c r="P842" s="606"/>
      <c r="Q842" s="606"/>
      <c r="R842" s="606"/>
      <c r="S842" s="606"/>
      <c r="T842" s="606"/>
      <c r="U842" s="606"/>
      <c r="V842" s="461"/>
      <c r="W842" s="461"/>
      <c r="X842" s="131"/>
      <c r="Y842" s="101"/>
      <c r="Z842" s="101"/>
      <c r="AA842" s="101"/>
      <c r="AB842" s="101"/>
      <c r="AC842" s="101"/>
      <c r="AD842" s="101"/>
      <c r="AE842" s="101"/>
      <c r="AF842" s="101"/>
      <c r="AG842" s="101"/>
      <c r="AH842" s="101"/>
      <c r="AI842" s="101"/>
      <c r="AJ842" s="101"/>
      <c r="AK842" s="101"/>
      <c r="AL842" s="101"/>
    </row>
    <row r="843">
      <c r="A843" s="101"/>
      <c r="B843" s="644"/>
      <c r="C843" s="101"/>
      <c r="D843" s="605"/>
      <c r="E843" s="645"/>
      <c r="F843" s="101"/>
      <c r="G843" s="101"/>
      <c r="H843" s="101"/>
      <c r="I843" s="606"/>
      <c r="J843" s="606"/>
      <c r="K843" s="606"/>
      <c r="L843" s="606"/>
      <c r="M843" s="606"/>
      <c r="N843" s="606"/>
      <c r="O843" s="606"/>
      <c r="P843" s="606"/>
      <c r="Q843" s="606"/>
      <c r="R843" s="606"/>
      <c r="S843" s="606"/>
      <c r="T843" s="606"/>
      <c r="U843" s="606"/>
      <c r="V843" s="461"/>
      <c r="W843" s="461"/>
      <c r="X843" s="131"/>
      <c r="Y843" s="101"/>
      <c r="Z843" s="101"/>
      <c r="AA843" s="101"/>
      <c r="AB843" s="101"/>
      <c r="AC843" s="101"/>
      <c r="AD843" s="101"/>
      <c r="AE843" s="101"/>
      <c r="AF843" s="101"/>
      <c r="AG843" s="101"/>
      <c r="AH843" s="101"/>
      <c r="AI843" s="101"/>
      <c r="AJ843" s="101"/>
      <c r="AK843" s="101"/>
      <c r="AL843" s="101"/>
    </row>
    <row r="844">
      <c r="A844" s="101"/>
      <c r="B844" s="644"/>
      <c r="C844" s="101"/>
      <c r="D844" s="605"/>
      <c r="E844" s="645"/>
      <c r="F844" s="101"/>
      <c r="G844" s="101"/>
      <c r="H844" s="101"/>
      <c r="I844" s="606"/>
      <c r="J844" s="606"/>
      <c r="K844" s="606"/>
      <c r="L844" s="606"/>
      <c r="M844" s="606"/>
      <c r="N844" s="606"/>
      <c r="O844" s="606"/>
      <c r="P844" s="606"/>
      <c r="Q844" s="606"/>
      <c r="R844" s="606"/>
      <c r="S844" s="606"/>
      <c r="T844" s="606"/>
      <c r="U844" s="606"/>
      <c r="V844" s="461"/>
      <c r="W844" s="461"/>
      <c r="X844" s="131"/>
      <c r="Y844" s="101"/>
      <c r="Z844" s="101"/>
      <c r="AA844" s="101"/>
      <c r="AB844" s="101"/>
      <c r="AC844" s="101"/>
      <c r="AD844" s="101"/>
      <c r="AE844" s="101"/>
      <c r="AF844" s="101"/>
      <c r="AG844" s="101"/>
      <c r="AH844" s="101"/>
      <c r="AI844" s="101"/>
      <c r="AJ844" s="101"/>
      <c r="AK844" s="101"/>
      <c r="AL844" s="101"/>
    </row>
    <row r="845">
      <c r="A845" s="101"/>
      <c r="B845" s="644"/>
      <c r="C845" s="101"/>
      <c r="D845" s="605"/>
      <c r="E845" s="645"/>
      <c r="F845" s="101"/>
      <c r="G845" s="101"/>
      <c r="H845" s="101"/>
      <c r="I845" s="606"/>
      <c r="J845" s="606"/>
      <c r="K845" s="606"/>
      <c r="L845" s="606"/>
      <c r="M845" s="606"/>
      <c r="N845" s="606"/>
      <c r="O845" s="606"/>
      <c r="P845" s="606"/>
      <c r="Q845" s="606"/>
      <c r="R845" s="606"/>
      <c r="S845" s="606"/>
      <c r="T845" s="606"/>
      <c r="U845" s="606"/>
      <c r="V845" s="461"/>
      <c r="W845" s="461"/>
      <c r="X845" s="131"/>
      <c r="Y845" s="101"/>
      <c r="Z845" s="101"/>
      <c r="AA845" s="101"/>
      <c r="AB845" s="101"/>
      <c r="AC845" s="101"/>
      <c r="AD845" s="101"/>
      <c r="AE845" s="101"/>
      <c r="AF845" s="101"/>
      <c r="AG845" s="101"/>
      <c r="AH845" s="101"/>
      <c r="AI845" s="101"/>
      <c r="AJ845" s="101"/>
      <c r="AK845" s="101"/>
      <c r="AL845" s="101"/>
    </row>
    <row r="846">
      <c r="A846" s="101"/>
      <c r="B846" s="644"/>
      <c r="C846" s="101"/>
      <c r="D846" s="605"/>
      <c r="E846" s="645"/>
      <c r="F846" s="101"/>
      <c r="G846" s="101"/>
      <c r="H846" s="101"/>
      <c r="I846" s="606"/>
      <c r="J846" s="606"/>
      <c r="K846" s="606"/>
      <c r="L846" s="606"/>
      <c r="M846" s="606"/>
      <c r="N846" s="606"/>
      <c r="O846" s="606"/>
      <c r="P846" s="606"/>
      <c r="Q846" s="606"/>
      <c r="R846" s="606"/>
      <c r="S846" s="606"/>
      <c r="T846" s="606"/>
      <c r="U846" s="606"/>
      <c r="V846" s="461"/>
      <c r="W846" s="461"/>
      <c r="X846" s="131"/>
      <c r="Y846" s="101"/>
      <c r="Z846" s="101"/>
      <c r="AA846" s="101"/>
      <c r="AB846" s="101"/>
      <c r="AC846" s="101"/>
      <c r="AD846" s="101"/>
      <c r="AE846" s="101"/>
      <c r="AF846" s="101"/>
      <c r="AG846" s="101"/>
      <c r="AH846" s="101"/>
      <c r="AI846" s="101"/>
      <c r="AJ846" s="101"/>
      <c r="AK846" s="101"/>
      <c r="AL846" s="101"/>
    </row>
    <row r="847">
      <c r="A847" s="101"/>
      <c r="B847" s="644"/>
      <c r="C847" s="101"/>
      <c r="D847" s="605"/>
      <c r="E847" s="645"/>
      <c r="F847" s="101"/>
      <c r="G847" s="101"/>
      <c r="H847" s="101"/>
      <c r="I847" s="606"/>
      <c r="J847" s="606"/>
      <c r="K847" s="606"/>
      <c r="L847" s="606"/>
      <c r="M847" s="606"/>
      <c r="N847" s="606"/>
      <c r="O847" s="606"/>
      <c r="P847" s="606"/>
      <c r="Q847" s="606"/>
      <c r="R847" s="606"/>
      <c r="S847" s="606"/>
      <c r="T847" s="606"/>
      <c r="U847" s="606"/>
      <c r="V847" s="461"/>
      <c r="W847" s="461"/>
      <c r="X847" s="131"/>
      <c r="Y847" s="101"/>
      <c r="Z847" s="101"/>
      <c r="AA847" s="101"/>
      <c r="AB847" s="101"/>
      <c r="AC847" s="101"/>
      <c r="AD847" s="101"/>
      <c r="AE847" s="101"/>
      <c r="AF847" s="101"/>
      <c r="AG847" s="101"/>
      <c r="AH847" s="101"/>
      <c r="AI847" s="101"/>
      <c r="AJ847" s="101"/>
      <c r="AK847" s="101"/>
      <c r="AL847" s="101"/>
    </row>
    <row r="848">
      <c r="A848" s="101"/>
      <c r="B848" s="644"/>
      <c r="C848" s="101"/>
      <c r="D848" s="605"/>
      <c r="E848" s="645"/>
      <c r="F848" s="101"/>
      <c r="G848" s="101"/>
      <c r="H848" s="101"/>
      <c r="I848" s="606"/>
      <c r="J848" s="606"/>
      <c r="K848" s="606"/>
      <c r="L848" s="606"/>
      <c r="M848" s="606"/>
      <c r="N848" s="606"/>
      <c r="O848" s="606"/>
      <c r="P848" s="606"/>
      <c r="Q848" s="606"/>
      <c r="R848" s="606"/>
      <c r="S848" s="606"/>
      <c r="T848" s="606"/>
      <c r="U848" s="606"/>
      <c r="V848" s="461"/>
      <c r="W848" s="461"/>
      <c r="X848" s="131"/>
      <c r="Y848" s="101"/>
      <c r="Z848" s="101"/>
      <c r="AA848" s="101"/>
      <c r="AB848" s="101"/>
      <c r="AC848" s="101"/>
      <c r="AD848" s="101"/>
      <c r="AE848" s="101"/>
      <c r="AF848" s="101"/>
      <c r="AG848" s="101"/>
      <c r="AH848" s="101"/>
      <c r="AI848" s="101"/>
      <c r="AJ848" s="101"/>
      <c r="AK848" s="101"/>
      <c r="AL848" s="101"/>
    </row>
    <row r="849">
      <c r="A849" s="101"/>
      <c r="B849" s="644"/>
      <c r="C849" s="101"/>
      <c r="D849" s="605"/>
      <c r="E849" s="645"/>
      <c r="F849" s="101"/>
      <c r="G849" s="101"/>
      <c r="H849" s="101"/>
      <c r="I849" s="606"/>
      <c r="J849" s="606"/>
      <c r="K849" s="606"/>
      <c r="L849" s="606"/>
      <c r="M849" s="606"/>
      <c r="N849" s="606"/>
      <c r="O849" s="606"/>
      <c r="P849" s="606"/>
      <c r="Q849" s="606"/>
      <c r="R849" s="606"/>
      <c r="S849" s="606"/>
      <c r="T849" s="606"/>
      <c r="U849" s="606"/>
      <c r="V849" s="461"/>
      <c r="W849" s="461"/>
      <c r="X849" s="131"/>
      <c r="Y849" s="101"/>
      <c r="Z849" s="101"/>
      <c r="AA849" s="101"/>
      <c r="AB849" s="101"/>
      <c r="AC849" s="101"/>
      <c r="AD849" s="101"/>
      <c r="AE849" s="101"/>
      <c r="AF849" s="101"/>
      <c r="AG849" s="101"/>
      <c r="AH849" s="101"/>
      <c r="AI849" s="101"/>
      <c r="AJ849" s="101"/>
      <c r="AK849" s="101"/>
      <c r="AL849" s="101"/>
    </row>
    <row r="850">
      <c r="A850" s="101"/>
      <c r="B850" s="644"/>
      <c r="C850" s="101"/>
      <c r="D850" s="605"/>
      <c r="E850" s="645"/>
      <c r="F850" s="101"/>
      <c r="G850" s="101"/>
      <c r="H850" s="101"/>
      <c r="I850" s="606"/>
      <c r="J850" s="606"/>
      <c r="K850" s="606"/>
      <c r="L850" s="606"/>
      <c r="M850" s="606"/>
      <c r="N850" s="606"/>
      <c r="O850" s="606"/>
      <c r="P850" s="606"/>
      <c r="Q850" s="606"/>
      <c r="R850" s="606"/>
      <c r="S850" s="606"/>
      <c r="T850" s="606"/>
      <c r="U850" s="606"/>
      <c r="V850" s="461"/>
      <c r="W850" s="461"/>
      <c r="X850" s="131"/>
      <c r="Y850" s="101"/>
      <c r="Z850" s="101"/>
      <c r="AA850" s="101"/>
      <c r="AB850" s="101"/>
      <c r="AC850" s="101"/>
      <c r="AD850" s="101"/>
      <c r="AE850" s="101"/>
      <c r="AF850" s="101"/>
      <c r="AG850" s="101"/>
      <c r="AH850" s="101"/>
      <c r="AI850" s="101"/>
      <c r="AJ850" s="101"/>
      <c r="AK850" s="101"/>
      <c r="AL850" s="101"/>
    </row>
    <row r="851">
      <c r="A851" s="101"/>
      <c r="B851" s="644"/>
      <c r="C851" s="101"/>
      <c r="D851" s="605"/>
      <c r="E851" s="645"/>
      <c r="F851" s="101"/>
      <c r="G851" s="101"/>
      <c r="H851" s="101"/>
      <c r="I851" s="606"/>
      <c r="J851" s="606"/>
      <c r="K851" s="606"/>
      <c r="L851" s="606"/>
      <c r="M851" s="606"/>
      <c r="N851" s="606"/>
      <c r="O851" s="606"/>
      <c r="P851" s="606"/>
      <c r="Q851" s="606"/>
      <c r="R851" s="606"/>
      <c r="S851" s="606"/>
      <c r="T851" s="606"/>
      <c r="U851" s="606"/>
      <c r="V851" s="461"/>
      <c r="W851" s="461"/>
      <c r="X851" s="131"/>
      <c r="Y851" s="101"/>
      <c r="Z851" s="101"/>
      <c r="AA851" s="101"/>
      <c r="AB851" s="101"/>
      <c r="AC851" s="101"/>
      <c r="AD851" s="101"/>
      <c r="AE851" s="101"/>
      <c r="AF851" s="101"/>
      <c r="AG851" s="101"/>
      <c r="AH851" s="101"/>
      <c r="AI851" s="101"/>
      <c r="AJ851" s="101"/>
      <c r="AK851" s="101"/>
      <c r="AL851" s="101"/>
    </row>
    <row r="852">
      <c r="A852" s="101"/>
      <c r="B852" s="644"/>
      <c r="C852" s="101"/>
      <c r="D852" s="605"/>
      <c r="E852" s="645"/>
      <c r="F852" s="101"/>
      <c r="G852" s="101"/>
      <c r="H852" s="101"/>
      <c r="I852" s="606"/>
      <c r="J852" s="606"/>
      <c r="K852" s="606"/>
      <c r="L852" s="606"/>
      <c r="M852" s="606"/>
      <c r="N852" s="606"/>
      <c r="O852" s="606"/>
      <c r="P852" s="606"/>
      <c r="Q852" s="606"/>
      <c r="R852" s="606"/>
      <c r="S852" s="606"/>
      <c r="T852" s="606"/>
      <c r="U852" s="606"/>
      <c r="V852" s="461"/>
      <c r="W852" s="461"/>
      <c r="X852" s="131"/>
      <c r="Y852" s="101"/>
      <c r="Z852" s="101"/>
      <c r="AA852" s="101"/>
      <c r="AB852" s="101"/>
      <c r="AC852" s="101"/>
      <c r="AD852" s="101"/>
      <c r="AE852" s="101"/>
      <c r="AF852" s="101"/>
      <c r="AG852" s="101"/>
      <c r="AH852" s="101"/>
      <c r="AI852" s="101"/>
      <c r="AJ852" s="101"/>
      <c r="AK852" s="101"/>
      <c r="AL852" s="101"/>
    </row>
    <row r="853">
      <c r="A853" s="101"/>
      <c r="B853" s="644"/>
      <c r="C853" s="101"/>
      <c r="D853" s="605"/>
      <c r="E853" s="645"/>
      <c r="F853" s="101"/>
      <c r="G853" s="101"/>
      <c r="H853" s="101"/>
      <c r="I853" s="606"/>
      <c r="J853" s="606"/>
      <c r="K853" s="606"/>
      <c r="L853" s="606"/>
      <c r="M853" s="606"/>
      <c r="N853" s="606"/>
      <c r="O853" s="606"/>
      <c r="P853" s="606"/>
      <c r="Q853" s="606"/>
      <c r="R853" s="606"/>
      <c r="S853" s="606"/>
      <c r="T853" s="606"/>
      <c r="U853" s="606"/>
      <c r="V853" s="461"/>
      <c r="W853" s="461"/>
      <c r="X853" s="131"/>
      <c r="Y853" s="101"/>
      <c r="Z853" s="101"/>
      <c r="AA853" s="101"/>
      <c r="AB853" s="101"/>
      <c r="AC853" s="101"/>
      <c r="AD853" s="101"/>
      <c r="AE853" s="101"/>
      <c r="AF853" s="101"/>
      <c r="AG853" s="101"/>
      <c r="AH853" s="101"/>
      <c r="AI853" s="101"/>
      <c r="AJ853" s="101"/>
      <c r="AK853" s="101"/>
      <c r="AL853" s="101"/>
    </row>
    <row r="854">
      <c r="A854" s="101"/>
      <c r="B854" s="644"/>
      <c r="C854" s="101"/>
      <c r="D854" s="605"/>
      <c r="E854" s="645"/>
      <c r="F854" s="101"/>
      <c r="G854" s="101"/>
      <c r="H854" s="101"/>
      <c r="I854" s="606"/>
      <c r="J854" s="606"/>
      <c r="K854" s="606"/>
      <c r="L854" s="606"/>
      <c r="M854" s="606"/>
      <c r="N854" s="606"/>
      <c r="O854" s="606"/>
      <c r="P854" s="606"/>
      <c r="Q854" s="606"/>
      <c r="R854" s="606"/>
      <c r="S854" s="606"/>
      <c r="T854" s="606"/>
      <c r="U854" s="606"/>
      <c r="V854" s="461"/>
      <c r="W854" s="461"/>
      <c r="X854" s="131"/>
      <c r="Y854" s="101"/>
      <c r="Z854" s="101"/>
      <c r="AA854" s="101"/>
      <c r="AB854" s="101"/>
      <c r="AC854" s="101"/>
      <c r="AD854" s="101"/>
      <c r="AE854" s="101"/>
      <c r="AF854" s="101"/>
      <c r="AG854" s="101"/>
      <c r="AH854" s="101"/>
      <c r="AI854" s="101"/>
      <c r="AJ854" s="101"/>
      <c r="AK854" s="101"/>
      <c r="AL854" s="101"/>
    </row>
    <row r="855">
      <c r="A855" s="101"/>
      <c r="B855" s="644"/>
      <c r="C855" s="101"/>
      <c r="D855" s="605"/>
      <c r="E855" s="645"/>
      <c r="F855" s="101"/>
      <c r="G855" s="101"/>
      <c r="H855" s="101"/>
      <c r="I855" s="606"/>
      <c r="J855" s="606"/>
      <c r="K855" s="606"/>
      <c r="L855" s="606"/>
      <c r="M855" s="606"/>
      <c r="N855" s="606"/>
      <c r="O855" s="606"/>
      <c r="P855" s="606"/>
      <c r="Q855" s="606"/>
      <c r="R855" s="606"/>
      <c r="S855" s="606"/>
      <c r="T855" s="606"/>
      <c r="U855" s="606"/>
      <c r="V855" s="461"/>
      <c r="W855" s="461"/>
      <c r="X855" s="131"/>
      <c r="Y855" s="101"/>
      <c r="Z855" s="101"/>
      <c r="AA855" s="101"/>
      <c r="AB855" s="101"/>
      <c r="AC855" s="101"/>
      <c r="AD855" s="101"/>
      <c r="AE855" s="101"/>
      <c r="AF855" s="101"/>
      <c r="AG855" s="101"/>
      <c r="AH855" s="101"/>
      <c r="AI855" s="101"/>
      <c r="AJ855" s="101"/>
      <c r="AK855" s="101"/>
      <c r="AL855" s="101"/>
    </row>
    <row r="856">
      <c r="A856" s="101"/>
      <c r="B856" s="644"/>
      <c r="C856" s="101"/>
      <c r="D856" s="605"/>
      <c r="E856" s="645"/>
      <c r="F856" s="101"/>
      <c r="G856" s="101"/>
      <c r="H856" s="101"/>
      <c r="I856" s="606"/>
      <c r="J856" s="606"/>
      <c r="K856" s="606"/>
      <c r="L856" s="606"/>
      <c r="M856" s="606"/>
      <c r="N856" s="606"/>
      <c r="O856" s="606"/>
      <c r="P856" s="606"/>
      <c r="Q856" s="606"/>
      <c r="R856" s="606"/>
      <c r="S856" s="606"/>
      <c r="T856" s="606"/>
      <c r="U856" s="606"/>
      <c r="V856" s="461"/>
      <c r="W856" s="461"/>
      <c r="X856" s="131"/>
      <c r="Y856" s="101"/>
      <c r="Z856" s="101"/>
      <c r="AA856" s="101"/>
      <c r="AB856" s="101"/>
      <c r="AC856" s="101"/>
      <c r="AD856" s="101"/>
      <c r="AE856" s="101"/>
      <c r="AF856" s="101"/>
      <c r="AG856" s="101"/>
      <c r="AH856" s="101"/>
      <c r="AI856" s="101"/>
      <c r="AJ856" s="101"/>
      <c r="AK856" s="101"/>
      <c r="AL856" s="101"/>
    </row>
    <row r="857">
      <c r="A857" s="101"/>
      <c r="B857" s="644"/>
      <c r="C857" s="101"/>
      <c r="D857" s="605"/>
      <c r="E857" s="645"/>
      <c r="F857" s="101"/>
      <c r="G857" s="101"/>
      <c r="H857" s="101"/>
      <c r="I857" s="606"/>
      <c r="J857" s="606"/>
      <c r="K857" s="606"/>
      <c r="L857" s="606"/>
      <c r="M857" s="606"/>
      <c r="N857" s="606"/>
      <c r="O857" s="606"/>
      <c r="P857" s="606"/>
      <c r="Q857" s="606"/>
      <c r="R857" s="606"/>
      <c r="S857" s="606"/>
      <c r="T857" s="606"/>
      <c r="U857" s="606"/>
      <c r="V857" s="461"/>
      <c r="W857" s="461"/>
      <c r="X857" s="131"/>
      <c r="Y857" s="101"/>
      <c r="Z857" s="101"/>
      <c r="AA857" s="101"/>
      <c r="AB857" s="101"/>
      <c r="AC857" s="101"/>
      <c r="AD857" s="101"/>
      <c r="AE857" s="101"/>
      <c r="AF857" s="101"/>
      <c r="AG857" s="101"/>
      <c r="AH857" s="101"/>
      <c r="AI857" s="101"/>
      <c r="AJ857" s="101"/>
      <c r="AK857" s="101"/>
      <c r="AL857" s="101"/>
    </row>
    <row r="858">
      <c r="A858" s="101"/>
      <c r="B858" s="644"/>
      <c r="C858" s="101"/>
      <c r="D858" s="605"/>
      <c r="E858" s="645"/>
      <c r="F858" s="101"/>
      <c r="G858" s="101"/>
      <c r="H858" s="101"/>
      <c r="I858" s="606"/>
      <c r="J858" s="606"/>
      <c r="K858" s="606"/>
      <c r="L858" s="606"/>
      <c r="M858" s="606"/>
      <c r="N858" s="606"/>
      <c r="O858" s="606"/>
      <c r="P858" s="606"/>
      <c r="Q858" s="606"/>
      <c r="R858" s="606"/>
      <c r="S858" s="606"/>
      <c r="T858" s="606"/>
      <c r="U858" s="606"/>
      <c r="V858" s="461"/>
      <c r="W858" s="461"/>
      <c r="X858" s="131"/>
      <c r="Y858" s="101"/>
      <c r="Z858" s="101"/>
      <c r="AA858" s="101"/>
      <c r="AB858" s="101"/>
      <c r="AC858" s="101"/>
      <c r="AD858" s="101"/>
      <c r="AE858" s="101"/>
      <c r="AF858" s="101"/>
      <c r="AG858" s="101"/>
      <c r="AH858" s="101"/>
      <c r="AI858" s="101"/>
      <c r="AJ858" s="101"/>
      <c r="AK858" s="101"/>
      <c r="AL858" s="101"/>
    </row>
    <row r="859">
      <c r="A859" s="101"/>
      <c r="B859" s="644"/>
      <c r="C859" s="101"/>
      <c r="D859" s="605"/>
      <c r="E859" s="645"/>
      <c r="F859" s="101"/>
      <c r="G859" s="101"/>
      <c r="H859" s="101"/>
      <c r="I859" s="606"/>
      <c r="J859" s="606"/>
      <c r="K859" s="606"/>
      <c r="L859" s="606"/>
      <c r="M859" s="606"/>
      <c r="N859" s="606"/>
      <c r="O859" s="606"/>
      <c r="P859" s="606"/>
      <c r="Q859" s="606"/>
      <c r="R859" s="606"/>
      <c r="S859" s="606"/>
      <c r="T859" s="606"/>
      <c r="U859" s="606"/>
      <c r="V859" s="461"/>
      <c r="W859" s="461"/>
      <c r="X859" s="131"/>
      <c r="Y859" s="101"/>
      <c r="Z859" s="101"/>
      <c r="AA859" s="101"/>
      <c r="AB859" s="101"/>
      <c r="AC859" s="101"/>
      <c r="AD859" s="101"/>
      <c r="AE859" s="101"/>
      <c r="AF859" s="101"/>
      <c r="AG859" s="101"/>
      <c r="AH859" s="101"/>
      <c r="AI859" s="101"/>
      <c r="AJ859" s="101"/>
      <c r="AK859" s="101"/>
      <c r="AL859" s="101"/>
    </row>
    <row r="860">
      <c r="A860" s="101"/>
      <c r="B860" s="644"/>
      <c r="C860" s="101"/>
      <c r="D860" s="605"/>
      <c r="E860" s="645"/>
      <c r="F860" s="101"/>
      <c r="G860" s="101"/>
      <c r="H860" s="101"/>
      <c r="I860" s="606"/>
      <c r="J860" s="606"/>
      <c r="K860" s="606"/>
      <c r="L860" s="606"/>
      <c r="M860" s="606"/>
      <c r="N860" s="606"/>
      <c r="O860" s="606"/>
      <c r="P860" s="606"/>
      <c r="Q860" s="606"/>
      <c r="R860" s="606"/>
      <c r="S860" s="606"/>
      <c r="T860" s="606"/>
      <c r="U860" s="606"/>
      <c r="V860" s="461"/>
      <c r="W860" s="461"/>
      <c r="X860" s="131"/>
      <c r="Y860" s="101"/>
      <c r="Z860" s="101"/>
      <c r="AA860" s="101"/>
      <c r="AB860" s="101"/>
      <c r="AC860" s="101"/>
      <c r="AD860" s="101"/>
      <c r="AE860" s="101"/>
      <c r="AF860" s="101"/>
      <c r="AG860" s="101"/>
      <c r="AH860" s="101"/>
      <c r="AI860" s="101"/>
      <c r="AJ860" s="101"/>
      <c r="AK860" s="101"/>
      <c r="AL860" s="101"/>
    </row>
    <row r="861">
      <c r="A861" s="101"/>
      <c r="B861" s="644"/>
      <c r="C861" s="101"/>
      <c r="D861" s="605"/>
      <c r="E861" s="645"/>
      <c r="F861" s="101"/>
      <c r="G861" s="101"/>
      <c r="H861" s="101"/>
      <c r="I861" s="606"/>
      <c r="J861" s="606"/>
      <c r="K861" s="606"/>
      <c r="L861" s="606"/>
      <c r="M861" s="606"/>
      <c r="N861" s="606"/>
      <c r="O861" s="606"/>
      <c r="P861" s="606"/>
      <c r="Q861" s="606"/>
      <c r="R861" s="606"/>
      <c r="S861" s="606"/>
      <c r="T861" s="606"/>
      <c r="U861" s="606"/>
      <c r="V861" s="461"/>
      <c r="W861" s="461"/>
      <c r="X861" s="131"/>
      <c r="Y861" s="101"/>
      <c r="Z861" s="101"/>
      <c r="AA861" s="101"/>
      <c r="AB861" s="101"/>
      <c r="AC861" s="101"/>
      <c r="AD861" s="101"/>
      <c r="AE861" s="101"/>
      <c r="AF861" s="101"/>
      <c r="AG861" s="101"/>
      <c r="AH861" s="101"/>
      <c r="AI861" s="101"/>
      <c r="AJ861" s="101"/>
      <c r="AK861" s="101"/>
      <c r="AL861" s="101"/>
    </row>
    <row r="862">
      <c r="A862" s="101"/>
      <c r="B862" s="644"/>
      <c r="C862" s="101"/>
      <c r="D862" s="605"/>
      <c r="E862" s="645"/>
      <c r="F862" s="101"/>
      <c r="G862" s="101"/>
      <c r="H862" s="101"/>
      <c r="I862" s="606"/>
      <c r="J862" s="606"/>
      <c r="K862" s="606"/>
      <c r="L862" s="606"/>
      <c r="M862" s="606"/>
      <c r="N862" s="606"/>
      <c r="O862" s="606"/>
      <c r="P862" s="606"/>
      <c r="Q862" s="606"/>
      <c r="R862" s="606"/>
      <c r="S862" s="606"/>
      <c r="T862" s="606"/>
      <c r="U862" s="606"/>
      <c r="V862" s="461"/>
      <c r="W862" s="461"/>
      <c r="X862" s="131"/>
      <c r="Y862" s="101"/>
      <c r="Z862" s="101"/>
      <c r="AA862" s="101"/>
      <c r="AB862" s="101"/>
      <c r="AC862" s="101"/>
      <c r="AD862" s="101"/>
      <c r="AE862" s="101"/>
      <c r="AF862" s="101"/>
      <c r="AG862" s="101"/>
      <c r="AH862" s="101"/>
      <c r="AI862" s="101"/>
      <c r="AJ862" s="101"/>
      <c r="AK862" s="101"/>
      <c r="AL862" s="101"/>
    </row>
    <row r="863">
      <c r="A863" s="101"/>
      <c r="B863" s="644"/>
      <c r="C863" s="101"/>
      <c r="D863" s="605"/>
      <c r="E863" s="645"/>
      <c r="F863" s="101"/>
      <c r="G863" s="101"/>
      <c r="H863" s="101"/>
      <c r="I863" s="606"/>
      <c r="J863" s="606"/>
      <c r="K863" s="606"/>
      <c r="L863" s="606"/>
      <c r="M863" s="606"/>
      <c r="N863" s="606"/>
      <c r="O863" s="606"/>
      <c r="P863" s="606"/>
      <c r="Q863" s="606"/>
      <c r="R863" s="606"/>
      <c r="S863" s="606"/>
      <c r="T863" s="606"/>
      <c r="U863" s="606"/>
      <c r="V863" s="461"/>
      <c r="W863" s="461"/>
      <c r="X863" s="131"/>
      <c r="Y863" s="101"/>
      <c r="Z863" s="101"/>
      <c r="AA863" s="101"/>
      <c r="AB863" s="101"/>
      <c r="AC863" s="101"/>
      <c r="AD863" s="101"/>
      <c r="AE863" s="101"/>
      <c r="AF863" s="101"/>
      <c r="AG863" s="101"/>
      <c r="AH863" s="101"/>
      <c r="AI863" s="101"/>
      <c r="AJ863" s="101"/>
      <c r="AK863" s="101"/>
      <c r="AL863" s="101"/>
    </row>
    <row r="864">
      <c r="A864" s="101"/>
      <c r="B864" s="644"/>
      <c r="C864" s="101"/>
      <c r="D864" s="605"/>
      <c r="E864" s="645"/>
      <c r="F864" s="101"/>
      <c r="G864" s="101"/>
      <c r="H864" s="101"/>
      <c r="I864" s="606"/>
      <c r="J864" s="606"/>
      <c r="K864" s="606"/>
      <c r="L864" s="606"/>
      <c r="M864" s="606"/>
      <c r="N864" s="606"/>
      <c r="O864" s="606"/>
      <c r="P864" s="606"/>
      <c r="Q864" s="606"/>
      <c r="R864" s="606"/>
      <c r="S864" s="606"/>
      <c r="T864" s="606"/>
      <c r="U864" s="606"/>
      <c r="V864" s="461"/>
      <c r="W864" s="461"/>
      <c r="X864" s="131"/>
      <c r="Y864" s="101"/>
      <c r="Z864" s="101"/>
      <c r="AA864" s="101"/>
      <c r="AB864" s="101"/>
      <c r="AC864" s="101"/>
      <c r="AD864" s="101"/>
      <c r="AE864" s="101"/>
      <c r="AF864" s="101"/>
      <c r="AG864" s="101"/>
      <c r="AH864" s="101"/>
      <c r="AI864" s="101"/>
      <c r="AJ864" s="101"/>
      <c r="AK864" s="101"/>
      <c r="AL864" s="101"/>
    </row>
    <row r="865">
      <c r="A865" s="101"/>
      <c r="B865" s="644"/>
      <c r="C865" s="101"/>
      <c r="D865" s="605"/>
      <c r="E865" s="645"/>
      <c r="F865" s="101"/>
      <c r="G865" s="101"/>
      <c r="H865" s="101"/>
      <c r="I865" s="606"/>
      <c r="J865" s="606"/>
      <c r="K865" s="606"/>
      <c r="L865" s="606"/>
      <c r="M865" s="606"/>
      <c r="N865" s="606"/>
      <c r="O865" s="606"/>
      <c r="P865" s="606"/>
      <c r="Q865" s="606"/>
      <c r="R865" s="606"/>
      <c r="S865" s="606"/>
      <c r="T865" s="606"/>
      <c r="U865" s="606"/>
      <c r="V865" s="461"/>
      <c r="W865" s="461"/>
      <c r="X865" s="131"/>
      <c r="Y865" s="101"/>
      <c r="Z865" s="101"/>
      <c r="AA865" s="101"/>
      <c r="AB865" s="101"/>
      <c r="AC865" s="101"/>
      <c r="AD865" s="101"/>
      <c r="AE865" s="101"/>
      <c r="AF865" s="101"/>
      <c r="AG865" s="101"/>
      <c r="AH865" s="101"/>
      <c r="AI865" s="101"/>
      <c r="AJ865" s="101"/>
      <c r="AK865" s="101"/>
      <c r="AL865" s="101"/>
    </row>
    <row r="866">
      <c r="A866" s="101"/>
      <c r="B866" s="644"/>
      <c r="C866" s="101"/>
      <c r="D866" s="605"/>
      <c r="E866" s="645"/>
      <c r="F866" s="101"/>
      <c r="G866" s="101"/>
      <c r="H866" s="101"/>
      <c r="I866" s="606"/>
      <c r="J866" s="606"/>
      <c r="K866" s="606"/>
      <c r="L866" s="606"/>
      <c r="M866" s="606"/>
      <c r="N866" s="606"/>
      <c r="O866" s="606"/>
      <c r="P866" s="606"/>
      <c r="Q866" s="606"/>
      <c r="R866" s="606"/>
      <c r="S866" s="606"/>
      <c r="T866" s="606"/>
      <c r="U866" s="606"/>
      <c r="V866" s="461"/>
      <c r="W866" s="461"/>
      <c r="X866" s="131"/>
      <c r="Y866" s="101"/>
      <c r="Z866" s="101"/>
      <c r="AA866" s="101"/>
      <c r="AB866" s="101"/>
      <c r="AC866" s="101"/>
      <c r="AD866" s="101"/>
      <c r="AE866" s="101"/>
      <c r="AF866" s="101"/>
      <c r="AG866" s="101"/>
      <c r="AH866" s="101"/>
      <c r="AI866" s="101"/>
      <c r="AJ866" s="101"/>
      <c r="AK866" s="101"/>
      <c r="AL866" s="101"/>
    </row>
    <row r="867">
      <c r="A867" s="101"/>
      <c r="B867" s="644"/>
      <c r="C867" s="101"/>
      <c r="D867" s="605"/>
      <c r="E867" s="645"/>
      <c r="F867" s="101"/>
      <c r="G867" s="101"/>
      <c r="H867" s="101"/>
      <c r="I867" s="606"/>
      <c r="J867" s="606"/>
      <c r="K867" s="606"/>
      <c r="L867" s="606"/>
      <c r="M867" s="606"/>
      <c r="N867" s="606"/>
      <c r="O867" s="606"/>
      <c r="P867" s="606"/>
      <c r="Q867" s="606"/>
      <c r="R867" s="606"/>
      <c r="S867" s="606"/>
      <c r="T867" s="606"/>
      <c r="U867" s="606"/>
      <c r="V867" s="461"/>
      <c r="W867" s="461"/>
      <c r="X867" s="131"/>
      <c r="Y867" s="101"/>
      <c r="Z867" s="101"/>
      <c r="AA867" s="101"/>
      <c r="AB867" s="101"/>
      <c r="AC867" s="101"/>
      <c r="AD867" s="101"/>
      <c r="AE867" s="101"/>
      <c r="AF867" s="101"/>
      <c r="AG867" s="101"/>
      <c r="AH867" s="101"/>
      <c r="AI867" s="101"/>
      <c r="AJ867" s="101"/>
      <c r="AK867" s="101"/>
      <c r="AL867" s="101"/>
    </row>
    <row r="868">
      <c r="A868" s="101"/>
      <c r="B868" s="644"/>
      <c r="C868" s="101"/>
      <c r="D868" s="605"/>
      <c r="E868" s="645"/>
      <c r="F868" s="101"/>
      <c r="G868" s="101"/>
      <c r="H868" s="101"/>
      <c r="I868" s="606"/>
      <c r="J868" s="606"/>
      <c r="K868" s="606"/>
      <c r="L868" s="606"/>
      <c r="M868" s="606"/>
      <c r="N868" s="606"/>
      <c r="O868" s="606"/>
      <c r="P868" s="606"/>
      <c r="Q868" s="606"/>
      <c r="R868" s="606"/>
      <c r="S868" s="606"/>
      <c r="T868" s="606"/>
      <c r="U868" s="606"/>
      <c r="V868" s="461"/>
      <c r="W868" s="461"/>
      <c r="X868" s="131"/>
      <c r="Y868" s="101"/>
      <c r="Z868" s="101"/>
      <c r="AA868" s="101"/>
      <c r="AB868" s="101"/>
      <c r="AC868" s="101"/>
      <c r="AD868" s="101"/>
      <c r="AE868" s="101"/>
      <c r="AF868" s="101"/>
      <c r="AG868" s="101"/>
      <c r="AH868" s="101"/>
      <c r="AI868" s="101"/>
      <c r="AJ868" s="101"/>
      <c r="AK868" s="101"/>
      <c r="AL868" s="101"/>
    </row>
    <row r="869">
      <c r="A869" s="101"/>
      <c r="B869" s="644"/>
      <c r="C869" s="101"/>
      <c r="D869" s="605"/>
      <c r="E869" s="645"/>
      <c r="F869" s="101"/>
      <c r="G869" s="101"/>
      <c r="H869" s="101"/>
      <c r="I869" s="606"/>
      <c r="J869" s="606"/>
      <c r="K869" s="606"/>
      <c r="L869" s="606"/>
      <c r="M869" s="606"/>
      <c r="N869" s="606"/>
      <c r="O869" s="606"/>
      <c r="P869" s="606"/>
      <c r="Q869" s="606"/>
      <c r="R869" s="606"/>
      <c r="S869" s="606"/>
      <c r="T869" s="606"/>
      <c r="U869" s="606"/>
      <c r="V869" s="461"/>
      <c r="W869" s="461"/>
      <c r="X869" s="131"/>
      <c r="Y869" s="101"/>
      <c r="Z869" s="101"/>
      <c r="AA869" s="101"/>
      <c r="AB869" s="101"/>
      <c r="AC869" s="101"/>
      <c r="AD869" s="101"/>
      <c r="AE869" s="101"/>
      <c r="AF869" s="101"/>
      <c r="AG869" s="101"/>
      <c r="AH869" s="101"/>
      <c r="AI869" s="101"/>
      <c r="AJ869" s="101"/>
      <c r="AK869" s="101"/>
      <c r="AL869" s="101"/>
    </row>
    <row r="870">
      <c r="A870" s="101"/>
      <c r="B870" s="644"/>
      <c r="C870" s="101"/>
      <c r="D870" s="605"/>
      <c r="E870" s="645"/>
      <c r="F870" s="101"/>
      <c r="G870" s="101"/>
      <c r="H870" s="101"/>
      <c r="I870" s="606"/>
      <c r="J870" s="606"/>
      <c r="K870" s="606"/>
      <c r="L870" s="606"/>
      <c r="M870" s="606"/>
      <c r="N870" s="606"/>
      <c r="O870" s="606"/>
      <c r="P870" s="606"/>
      <c r="Q870" s="606"/>
      <c r="R870" s="606"/>
      <c r="S870" s="606"/>
      <c r="T870" s="606"/>
      <c r="U870" s="606"/>
      <c r="V870" s="461"/>
      <c r="W870" s="461"/>
      <c r="X870" s="131"/>
      <c r="Y870" s="101"/>
      <c r="Z870" s="101"/>
      <c r="AA870" s="101"/>
      <c r="AB870" s="101"/>
      <c r="AC870" s="101"/>
      <c r="AD870" s="101"/>
      <c r="AE870" s="101"/>
      <c r="AF870" s="101"/>
      <c r="AG870" s="101"/>
      <c r="AH870" s="101"/>
      <c r="AI870" s="101"/>
      <c r="AJ870" s="101"/>
      <c r="AK870" s="101"/>
      <c r="AL870" s="101"/>
    </row>
    <row r="871">
      <c r="A871" s="101"/>
      <c r="B871" s="644"/>
      <c r="C871" s="101"/>
      <c r="D871" s="605"/>
      <c r="E871" s="645"/>
      <c r="F871" s="101"/>
      <c r="G871" s="101"/>
      <c r="H871" s="101"/>
      <c r="I871" s="606"/>
      <c r="J871" s="606"/>
      <c r="K871" s="606"/>
      <c r="L871" s="606"/>
      <c r="M871" s="606"/>
      <c r="N871" s="606"/>
      <c r="O871" s="606"/>
      <c r="P871" s="606"/>
      <c r="Q871" s="606"/>
      <c r="R871" s="606"/>
      <c r="S871" s="606"/>
      <c r="T871" s="606"/>
      <c r="U871" s="606"/>
      <c r="V871" s="461"/>
      <c r="W871" s="461"/>
      <c r="X871" s="131"/>
      <c r="Y871" s="101"/>
      <c r="Z871" s="101"/>
      <c r="AA871" s="101"/>
      <c r="AB871" s="101"/>
      <c r="AC871" s="101"/>
      <c r="AD871" s="101"/>
      <c r="AE871" s="101"/>
      <c r="AF871" s="101"/>
      <c r="AG871" s="101"/>
      <c r="AH871" s="101"/>
      <c r="AI871" s="101"/>
      <c r="AJ871" s="101"/>
      <c r="AK871" s="101"/>
      <c r="AL871" s="101"/>
    </row>
    <row r="872">
      <c r="A872" s="101"/>
      <c r="B872" s="644"/>
      <c r="C872" s="101"/>
      <c r="D872" s="605"/>
      <c r="E872" s="645"/>
      <c r="F872" s="101"/>
      <c r="G872" s="101"/>
      <c r="H872" s="101"/>
      <c r="I872" s="606"/>
      <c r="J872" s="606"/>
      <c r="K872" s="606"/>
      <c r="L872" s="606"/>
      <c r="M872" s="606"/>
      <c r="N872" s="606"/>
      <c r="O872" s="606"/>
      <c r="P872" s="606"/>
      <c r="Q872" s="606"/>
      <c r="R872" s="606"/>
      <c r="S872" s="606"/>
      <c r="T872" s="606"/>
      <c r="U872" s="606"/>
      <c r="V872" s="461"/>
      <c r="W872" s="461"/>
      <c r="X872" s="131"/>
      <c r="Y872" s="101"/>
      <c r="Z872" s="101"/>
      <c r="AA872" s="101"/>
      <c r="AB872" s="101"/>
      <c r="AC872" s="101"/>
      <c r="AD872" s="101"/>
      <c r="AE872" s="101"/>
      <c r="AF872" s="101"/>
      <c r="AG872" s="101"/>
      <c r="AH872" s="101"/>
      <c r="AI872" s="101"/>
      <c r="AJ872" s="101"/>
      <c r="AK872" s="101"/>
      <c r="AL872" s="101"/>
    </row>
    <row r="873">
      <c r="A873" s="101"/>
      <c r="B873" s="644"/>
      <c r="C873" s="101"/>
      <c r="D873" s="605"/>
      <c r="E873" s="645"/>
      <c r="F873" s="101"/>
      <c r="G873" s="101"/>
      <c r="H873" s="101"/>
      <c r="I873" s="606"/>
      <c r="J873" s="606"/>
      <c r="K873" s="606"/>
      <c r="L873" s="606"/>
      <c r="M873" s="606"/>
      <c r="N873" s="606"/>
      <c r="O873" s="606"/>
      <c r="P873" s="606"/>
      <c r="Q873" s="606"/>
      <c r="R873" s="606"/>
      <c r="S873" s="606"/>
      <c r="T873" s="606"/>
      <c r="U873" s="606"/>
      <c r="V873" s="461"/>
      <c r="W873" s="461"/>
      <c r="X873" s="131"/>
      <c r="Y873" s="101"/>
      <c r="Z873" s="101"/>
      <c r="AA873" s="101"/>
      <c r="AB873" s="101"/>
      <c r="AC873" s="101"/>
      <c r="AD873" s="101"/>
      <c r="AE873" s="101"/>
      <c r="AF873" s="101"/>
      <c r="AG873" s="101"/>
      <c r="AH873" s="101"/>
      <c r="AI873" s="101"/>
      <c r="AJ873" s="101"/>
      <c r="AK873" s="101"/>
      <c r="AL873" s="101"/>
    </row>
    <row r="874">
      <c r="A874" s="101"/>
      <c r="B874" s="644"/>
      <c r="C874" s="101"/>
      <c r="D874" s="605"/>
      <c r="E874" s="645"/>
      <c r="F874" s="101"/>
      <c r="G874" s="101"/>
      <c r="H874" s="101"/>
      <c r="I874" s="606"/>
      <c r="J874" s="606"/>
      <c r="K874" s="606"/>
      <c r="L874" s="606"/>
      <c r="M874" s="606"/>
      <c r="N874" s="606"/>
      <c r="O874" s="606"/>
      <c r="P874" s="606"/>
      <c r="Q874" s="606"/>
      <c r="R874" s="606"/>
      <c r="S874" s="606"/>
      <c r="T874" s="606"/>
      <c r="U874" s="606"/>
      <c r="V874" s="461"/>
      <c r="W874" s="461"/>
      <c r="X874" s="131"/>
      <c r="Y874" s="101"/>
      <c r="Z874" s="101"/>
      <c r="AA874" s="101"/>
      <c r="AB874" s="101"/>
      <c r="AC874" s="101"/>
      <c r="AD874" s="101"/>
      <c r="AE874" s="101"/>
      <c r="AF874" s="101"/>
      <c r="AG874" s="101"/>
      <c r="AH874" s="101"/>
      <c r="AI874" s="101"/>
      <c r="AJ874" s="101"/>
      <c r="AK874" s="101"/>
      <c r="AL874" s="101"/>
    </row>
    <row r="875">
      <c r="A875" s="101"/>
      <c r="B875" s="644"/>
      <c r="C875" s="101"/>
      <c r="D875" s="605"/>
      <c r="E875" s="645"/>
      <c r="F875" s="101"/>
      <c r="G875" s="101"/>
      <c r="H875" s="101"/>
      <c r="I875" s="606"/>
      <c r="J875" s="606"/>
      <c r="K875" s="606"/>
      <c r="L875" s="606"/>
      <c r="M875" s="606"/>
      <c r="N875" s="606"/>
      <c r="O875" s="606"/>
      <c r="P875" s="606"/>
      <c r="Q875" s="606"/>
      <c r="R875" s="606"/>
      <c r="S875" s="606"/>
      <c r="T875" s="606"/>
      <c r="U875" s="606"/>
      <c r="V875" s="461"/>
      <c r="W875" s="461"/>
      <c r="X875" s="131"/>
      <c r="Y875" s="101"/>
      <c r="Z875" s="101"/>
      <c r="AA875" s="101"/>
      <c r="AB875" s="101"/>
      <c r="AC875" s="101"/>
      <c r="AD875" s="101"/>
      <c r="AE875" s="101"/>
      <c r="AF875" s="101"/>
      <c r="AG875" s="101"/>
      <c r="AH875" s="101"/>
      <c r="AI875" s="101"/>
      <c r="AJ875" s="101"/>
      <c r="AK875" s="101"/>
      <c r="AL875" s="101"/>
    </row>
    <row r="876">
      <c r="A876" s="101"/>
      <c r="B876" s="644"/>
      <c r="C876" s="101"/>
      <c r="D876" s="605"/>
      <c r="E876" s="645"/>
      <c r="F876" s="101"/>
      <c r="G876" s="101"/>
      <c r="H876" s="101"/>
      <c r="I876" s="606"/>
      <c r="J876" s="606"/>
      <c r="K876" s="606"/>
      <c r="L876" s="606"/>
      <c r="M876" s="606"/>
      <c r="N876" s="606"/>
      <c r="O876" s="606"/>
      <c r="P876" s="606"/>
      <c r="Q876" s="606"/>
      <c r="R876" s="606"/>
      <c r="S876" s="606"/>
      <c r="T876" s="606"/>
      <c r="U876" s="606"/>
      <c r="V876" s="461"/>
      <c r="W876" s="461"/>
      <c r="X876" s="131"/>
      <c r="Y876" s="101"/>
      <c r="Z876" s="101"/>
      <c r="AA876" s="101"/>
      <c r="AB876" s="101"/>
      <c r="AC876" s="101"/>
      <c r="AD876" s="101"/>
      <c r="AE876" s="101"/>
      <c r="AF876" s="101"/>
      <c r="AG876" s="101"/>
      <c r="AH876" s="101"/>
      <c r="AI876" s="101"/>
      <c r="AJ876" s="101"/>
      <c r="AK876" s="101"/>
      <c r="AL876" s="101"/>
    </row>
    <row r="877">
      <c r="A877" s="101"/>
      <c r="B877" s="644"/>
      <c r="C877" s="101"/>
      <c r="D877" s="605"/>
      <c r="E877" s="645"/>
      <c r="F877" s="101"/>
      <c r="G877" s="101"/>
      <c r="H877" s="101"/>
      <c r="I877" s="606"/>
      <c r="J877" s="606"/>
      <c r="K877" s="606"/>
      <c r="L877" s="606"/>
      <c r="M877" s="606"/>
      <c r="N877" s="606"/>
      <c r="O877" s="606"/>
      <c r="P877" s="606"/>
      <c r="Q877" s="606"/>
      <c r="R877" s="606"/>
      <c r="S877" s="606"/>
      <c r="T877" s="606"/>
      <c r="U877" s="606"/>
      <c r="V877" s="461"/>
      <c r="W877" s="461"/>
      <c r="X877" s="131"/>
      <c r="Y877" s="101"/>
      <c r="Z877" s="101"/>
      <c r="AA877" s="101"/>
      <c r="AB877" s="101"/>
      <c r="AC877" s="101"/>
      <c r="AD877" s="101"/>
      <c r="AE877" s="101"/>
      <c r="AF877" s="101"/>
      <c r="AG877" s="101"/>
      <c r="AH877" s="101"/>
      <c r="AI877" s="101"/>
      <c r="AJ877" s="101"/>
      <c r="AK877" s="101"/>
      <c r="AL877" s="101"/>
    </row>
    <row r="878">
      <c r="A878" s="101"/>
      <c r="B878" s="644"/>
      <c r="C878" s="101"/>
      <c r="D878" s="605"/>
      <c r="E878" s="645"/>
      <c r="F878" s="101"/>
      <c r="G878" s="101"/>
      <c r="H878" s="101"/>
      <c r="I878" s="606"/>
      <c r="J878" s="606"/>
      <c r="K878" s="606"/>
      <c r="L878" s="606"/>
      <c r="M878" s="606"/>
      <c r="N878" s="606"/>
      <c r="O878" s="606"/>
      <c r="P878" s="606"/>
      <c r="Q878" s="606"/>
      <c r="R878" s="606"/>
      <c r="S878" s="606"/>
      <c r="T878" s="606"/>
      <c r="U878" s="606"/>
      <c r="V878" s="461"/>
      <c r="W878" s="461"/>
      <c r="X878" s="131"/>
      <c r="Y878" s="101"/>
      <c r="Z878" s="101"/>
      <c r="AA878" s="101"/>
      <c r="AB878" s="101"/>
      <c r="AC878" s="101"/>
      <c r="AD878" s="101"/>
      <c r="AE878" s="101"/>
      <c r="AF878" s="101"/>
      <c r="AG878" s="101"/>
      <c r="AH878" s="101"/>
      <c r="AI878" s="101"/>
      <c r="AJ878" s="101"/>
      <c r="AK878" s="101"/>
      <c r="AL878" s="101"/>
    </row>
    <row r="879">
      <c r="A879" s="101"/>
      <c r="B879" s="644"/>
      <c r="C879" s="101"/>
      <c r="D879" s="605"/>
      <c r="E879" s="645"/>
      <c r="F879" s="101"/>
      <c r="G879" s="101"/>
      <c r="H879" s="101"/>
      <c r="I879" s="606"/>
      <c r="J879" s="606"/>
      <c r="K879" s="606"/>
      <c r="L879" s="606"/>
      <c r="M879" s="606"/>
      <c r="N879" s="606"/>
      <c r="O879" s="606"/>
      <c r="P879" s="606"/>
      <c r="Q879" s="606"/>
      <c r="R879" s="606"/>
      <c r="S879" s="606"/>
      <c r="T879" s="606"/>
      <c r="U879" s="606"/>
      <c r="V879" s="461"/>
      <c r="W879" s="461"/>
      <c r="X879" s="131"/>
      <c r="Y879" s="101"/>
      <c r="Z879" s="101"/>
      <c r="AA879" s="101"/>
      <c r="AB879" s="101"/>
      <c r="AC879" s="101"/>
      <c r="AD879" s="101"/>
      <c r="AE879" s="101"/>
      <c r="AF879" s="101"/>
      <c r="AG879" s="101"/>
      <c r="AH879" s="101"/>
      <c r="AI879" s="101"/>
      <c r="AJ879" s="101"/>
      <c r="AK879" s="101"/>
      <c r="AL879" s="101"/>
    </row>
    <row r="880">
      <c r="A880" s="101"/>
      <c r="B880" s="644"/>
      <c r="C880" s="101"/>
      <c r="D880" s="605"/>
      <c r="E880" s="645"/>
      <c r="F880" s="101"/>
      <c r="G880" s="101"/>
      <c r="H880" s="101"/>
      <c r="I880" s="606"/>
      <c r="J880" s="606"/>
      <c r="K880" s="606"/>
      <c r="L880" s="606"/>
      <c r="M880" s="606"/>
      <c r="N880" s="606"/>
      <c r="O880" s="606"/>
      <c r="P880" s="606"/>
      <c r="Q880" s="606"/>
      <c r="R880" s="606"/>
      <c r="S880" s="606"/>
      <c r="T880" s="606"/>
      <c r="U880" s="606"/>
      <c r="V880" s="461"/>
      <c r="W880" s="461"/>
      <c r="X880" s="131"/>
      <c r="Y880" s="101"/>
      <c r="Z880" s="101"/>
      <c r="AA880" s="101"/>
      <c r="AB880" s="101"/>
      <c r="AC880" s="101"/>
      <c r="AD880" s="101"/>
      <c r="AE880" s="101"/>
      <c r="AF880" s="101"/>
      <c r="AG880" s="101"/>
      <c r="AH880" s="101"/>
      <c r="AI880" s="101"/>
      <c r="AJ880" s="101"/>
      <c r="AK880" s="101"/>
      <c r="AL880" s="101"/>
    </row>
    <row r="881">
      <c r="A881" s="101"/>
      <c r="B881" s="644"/>
      <c r="C881" s="101"/>
      <c r="D881" s="605"/>
      <c r="E881" s="645"/>
      <c r="F881" s="101"/>
      <c r="G881" s="101"/>
      <c r="H881" s="101"/>
      <c r="I881" s="606"/>
      <c r="J881" s="606"/>
      <c r="K881" s="606"/>
      <c r="L881" s="606"/>
      <c r="M881" s="606"/>
      <c r="N881" s="606"/>
      <c r="O881" s="606"/>
      <c r="P881" s="606"/>
      <c r="Q881" s="606"/>
      <c r="R881" s="606"/>
      <c r="S881" s="606"/>
      <c r="T881" s="606"/>
      <c r="U881" s="606"/>
      <c r="V881" s="461"/>
      <c r="W881" s="461"/>
      <c r="X881" s="131"/>
      <c r="Y881" s="101"/>
      <c r="Z881" s="101"/>
      <c r="AA881" s="101"/>
      <c r="AB881" s="101"/>
      <c r="AC881" s="101"/>
      <c r="AD881" s="101"/>
      <c r="AE881" s="101"/>
      <c r="AF881" s="101"/>
      <c r="AG881" s="101"/>
      <c r="AH881" s="101"/>
      <c r="AI881" s="101"/>
      <c r="AJ881" s="101"/>
      <c r="AK881" s="101"/>
      <c r="AL881" s="101"/>
    </row>
    <row r="882">
      <c r="A882" s="101"/>
      <c r="B882" s="644"/>
      <c r="C882" s="101"/>
      <c r="D882" s="605"/>
      <c r="E882" s="645"/>
      <c r="F882" s="101"/>
      <c r="G882" s="101"/>
      <c r="H882" s="101"/>
      <c r="I882" s="606"/>
      <c r="J882" s="606"/>
      <c r="K882" s="606"/>
      <c r="L882" s="606"/>
      <c r="M882" s="606"/>
      <c r="N882" s="606"/>
      <c r="O882" s="606"/>
      <c r="P882" s="606"/>
      <c r="Q882" s="606"/>
      <c r="R882" s="606"/>
      <c r="S882" s="606"/>
      <c r="T882" s="606"/>
      <c r="U882" s="606"/>
      <c r="V882" s="461"/>
      <c r="W882" s="461"/>
      <c r="X882" s="131"/>
      <c r="Y882" s="101"/>
      <c r="Z882" s="101"/>
      <c r="AA882" s="101"/>
      <c r="AB882" s="101"/>
      <c r="AC882" s="101"/>
      <c r="AD882" s="101"/>
      <c r="AE882" s="101"/>
      <c r="AF882" s="101"/>
      <c r="AG882" s="101"/>
      <c r="AH882" s="101"/>
      <c r="AI882" s="101"/>
      <c r="AJ882" s="101"/>
      <c r="AK882" s="101"/>
      <c r="AL882" s="101"/>
    </row>
    <row r="883">
      <c r="A883" s="101"/>
      <c r="B883" s="644"/>
      <c r="C883" s="101"/>
      <c r="D883" s="605"/>
      <c r="E883" s="645"/>
      <c r="F883" s="101"/>
      <c r="G883" s="101"/>
      <c r="H883" s="101"/>
      <c r="I883" s="606"/>
      <c r="J883" s="606"/>
      <c r="K883" s="606"/>
      <c r="L883" s="606"/>
      <c r="M883" s="606"/>
      <c r="N883" s="606"/>
      <c r="O883" s="606"/>
      <c r="P883" s="606"/>
      <c r="Q883" s="606"/>
      <c r="R883" s="606"/>
      <c r="S883" s="606"/>
      <c r="T883" s="606"/>
      <c r="U883" s="606"/>
      <c r="V883" s="461"/>
      <c r="W883" s="461"/>
      <c r="X883" s="131"/>
      <c r="Y883" s="101"/>
      <c r="Z883" s="101"/>
      <c r="AA883" s="101"/>
      <c r="AB883" s="101"/>
      <c r="AC883" s="101"/>
      <c r="AD883" s="101"/>
      <c r="AE883" s="101"/>
      <c r="AF883" s="101"/>
      <c r="AG883" s="101"/>
      <c r="AH883" s="101"/>
      <c r="AI883" s="101"/>
      <c r="AJ883" s="101"/>
      <c r="AK883" s="101"/>
      <c r="AL883" s="101"/>
    </row>
    <row r="884">
      <c r="A884" s="101"/>
      <c r="B884" s="644"/>
      <c r="C884" s="101"/>
      <c r="D884" s="605"/>
      <c r="E884" s="645"/>
      <c r="F884" s="101"/>
      <c r="G884" s="101"/>
      <c r="H884" s="101"/>
      <c r="I884" s="606"/>
      <c r="J884" s="606"/>
      <c r="K884" s="606"/>
      <c r="L884" s="606"/>
      <c r="M884" s="606"/>
      <c r="N884" s="606"/>
      <c r="O884" s="606"/>
      <c r="P884" s="606"/>
      <c r="Q884" s="606"/>
      <c r="R884" s="606"/>
      <c r="S884" s="606"/>
      <c r="T884" s="606"/>
      <c r="U884" s="606"/>
      <c r="V884" s="461"/>
      <c r="W884" s="461"/>
      <c r="X884" s="131"/>
      <c r="Y884" s="101"/>
      <c r="Z884" s="101"/>
      <c r="AA884" s="101"/>
      <c r="AB884" s="101"/>
      <c r="AC884" s="101"/>
      <c r="AD884" s="101"/>
      <c r="AE884" s="101"/>
      <c r="AF884" s="101"/>
      <c r="AG884" s="101"/>
      <c r="AH884" s="101"/>
      <c r="AI884" s="101"/>
      <c r="AJ884" s="101"/>
      <c r="AK884" s="101"/>
      <c r="AL884" s="101"/>
    </row>
    <row r="885">
      <c r="A885" s="101"/>
      <c r="B885" s="644"/>
      <c r="C885" s="101"/>
      <c r="D885" s="605"/>
      <c r="E885" s="645"/>
      <c r="F885" s="101"/>
      <c r="G885" s="101"/>
      <c r="H885" s="101"/>
      <c r="I885" s="606"/>
      <c r="J885" s="606"/>
      <c r="K885" s="606"/>
      <c r="L885" s="606"/>
      <c r="M885" s="606"/>
      <c r="N885" s="606"/>
      <c r="O885" s="606"/>
      <c r="P885" s="606"/>
      <c r="Q885" s="606"/>
      <c r="R885" s="606"/>
      <c r="S885" s="606"/>
      <c r="T885" s="606"/>
      <c r="U885" s="606"/>
      <c r="V885" s="461"/>
      <c r="W885" s="461"/>
      <c r="X885" s="131"/>
      <c r="Y885" s="101"/>
      <c r="Z885" s="101"/>
      <c r="AA885" s="101"/>
      <c r="AB885" s="101"/>
      <c r="AC885" s="101"/>
      <c r="AD885" s="101"/>
      <c r="AE885" s="101"/>
      <c r="AF885" s="101"/>
      <c r="AG885" s="101"/>
      <c r="AH885" s="101"/>
      <c r="AI885" s="101"/>
      <c r="AJ885" s="101"/>
      <c r="AK885" s="101"/>
      <c r="AL885" s="101"/>
    </row>
    <row r="886">
      <c r="A886" s="101"/>
      <c r="B886" s="644"/>
      <c r="C886" s="101"/>
      <c r="D886" s="605"/>
      <c r="E886" s="645"/>
      <c r="F886" s="101"/>
      <c r="G886" s="101"/>
      <c r="H886" s="101"/>
      <c r="I886" s="606"/>
      <c r="J886" s="606"/>
      <c r="K886" s="606"/>
      <c r="L886" s="606"/>
      <c r="M886" s="606"/>
      <c r="N886" s="606"/>
      <c r="O886" s="606"/>
      <c r="P886" s="606"/>
      <c r="Q886" s="606"/>
      <c r="R886" s="606"/>
      <c r="S886" s="606"/>
      <c r="T886" s="606"/>
      <c r="U886" s="606"/>
      <c r="V886" s="461"/>
      <c r="W886" s="461"/>
      <c r="X886" s="131"/>
      <c r="Y886" s="101"/>
      <c r="Z886" s="101"/>
      <c r="AA886" s="101"/>
      <c r="AB886" s="101"/>
      <c r="AC886" s="101"/>
      <c r="AD886" s="101"/>
      <c r="AE886" s="101"/>
      <c r="AF886" s="101"/>
      <c r="AG886" s="101"/>
      <c r="AH886" s="101"/>
      <c r="AI886" s="101"/>
      <c r="AJ886" s="101"/>
      <c r="AK886" s="101"/>
      <c r="AL886" s="101"/>
    </row>
    <row r="887">
      <c r="A887" s="101"/>
      <c r="B887" s="644"/>
      <c r="C887" s="101"/>
      <c r="D887" s="605"/>
      <c r="E887" s="645"/>
      <c r="F887" s="101"/>
      <c r="G887" s="101"/>
      <c r="H887" s="101"/>
      <c r="I887" s="606"/>
      <c r="J887" s="606"/>
      <c r="K887" s="606"/>
      <c r="L887" s="606"/>
      <c r="M887" s="606"/>
      <c r="N887" s="606"/>
      <c r="O887" s="606"/>
      <c r="P887" s="606"/>
      <c r="Q887" s="606"/>
      <c r="R887" s="606"/>
      <c r="S887" s="606"/>
      <c r="T887" s="606"/>
      <c r="U887" s="606"/>
      <c r="V887" s="461"/>
      <c r="W887" s="461"/>
      <c r="X887" s="131"/>
      <c r="Y887" s="101"/>
      <c r="Z887" s="101"/>
      <c r="AA887" s="101"/>
      <c r="AB887" s="101"/>
      <c r="AC887" s="101"/>
      <c r="AD887" s="101"/>
      <c r="AE887" s="101"/>
      <c r="AF887" s="101"/>
      <c r="AG887" s="101"/>
      <c r="AH887" s="101"/>
      <c r="AI887" s="101"/>
      <c r="AJ887" s="101"/>
      <c r="AK887" s="101"/>
      <c r="AL887" s="101"/>
    </row>
    <row r="888">
      <c r="A888" s="101"/>
      <c r="B888" s="644"/>
      <c r="C888" s="101"/>
      <c r="D888" s="605"/>
      <c r="E888" s="645"/>
      <c r="F888" s="101"/>
      <c r="G888" s="101"/>
      <c r="H888" s="101"/>
      <c r="I888" s="606"/>
      <c r="J888" s="606"/>
      <c r="K888" s="606"/>
      <c r="L888" s="606"/>
      <c r="M888" s="606"/>
      <c r="N888" s="606"/>
      <c r="O888" s="606"/>
      <c r="P888" s="606"/>
      <c r="Q888" s="606"/>
      <c r="R888" s="606"/>
      <c r="S888" s="606"/>
      <c r="T888" s="606"/>
      <c r="U888" s="606"/>
      <c r="V888" s="461"/>
      <c r="W888" s="461"/>
      <c r="X888" s="131"/>
      <c r="Y888" s="101"/>
      <c r="Z888" s="101"/>
      <c r="AA888" s="101"/>
      <c r="AB888" s="101"/>
      <c r="AC888" s="101"/>
      <c r="AD888" s="101"/>
      <c r="AE888" s="101"/>
      <c r="AF888" s="101"/>
      <c r="AG888" s="101"/>
      <c r="AH888" s="101"/>
      <c r="AI888" s="101"/>
      <c r="AJ888" s="101"/>
      <c r="AK888" s="101"/>
      <c r="AL888" s="101"/>
    </row>
    <row r="889">
      <c r="A889" s="101"/>
      <c r="B889" s="644"/>
      <c r="C889" s="101"/>
      <c r="D889" s="605"/>
      <c r="E889" s="645"/>
      <c r="F889" s="101"/>
      <c r="G889" s="101"/>
      <c r="H889" s="101"/>
      <c r="I889" s="606"/>
      <c r="J889" s="606"/>
      <c r="K889" s="606"/>
      <c r="L889" s="606"/>
      <c r="M889" s="606"/>
      <c r="N889" s="606"/>
      <c r="O889" s="606"/>
      <c r="P889" s="606"/>
      <c r="Q889" s="606"/>
      <c r="R889" s="606"/>
      <c r="S889" s="606"/>
      <c r="T889" s="606"/>
      <c r="U889" s="606"/>
      <c r="V889" s="461"/>
      <c r="W889" s="461"/>
      <c r="X889" s="131"/>
      <c r="Y889" s="101"/>
      <c r="Z889" s="101"/>
      <c r="AA889" s="101"/>
      <c r="AB889" s="101"/>
      <c r="AC889" s="101"/>
      <c r="AD889" s="101"/>
      <c r="AE889" s="101"/>
      <c r="AF889" s="101"/>
      <c r="AG889" s="101"/>
      <c r="AH889" s="101"/>
      <c r="AI889" s="101"/>
      <c r="AJ889" s="101"/>
      <c r="AK889" s="101"/>
      <c r="AL889" s="101"/>
    </row>
    <row r="890">
      <c r="A890" s="101"/>
      <c r="B890" s="644"/>
      <c r="C890" s="101"/>
      <c r="D890" s="605"/>
      <c r="E890" s="645"/>
      <c r="F890" s="101"/>
      <c r="G890" s="101"/>
      <c r="H890" s="101"/>
      <c r="I890" s="606"/>
      <c r="J890" s="606"/>
      <c r="K890" s="606"/>
      <c r="L890" s="606"/>
      <c r="M890" s="606"/>
      <c r="N890" s="606"/>
      <c r="O890" s="606"/>
      <c r="P890" s="606"/>
      <c r="Q890" s="606"/>
      <c r="R890" s="606"/>
      <c r="S890" s="606"/>
      <c r="T890" s="606"/>
      <c r="U890" s="606"/>
      <c r="V890" s="461"/>
      <c r="W890" s="461"/>
      <c r="X890" s="131"/>
      <c r="Y890" s="101"/>
      <c r="Z890" s="101"/>
      <c r="AA890" s="101"/>
      <c r="AB890" s="101"/>
      <c r="AC890" s="101"/>
      <c r="AD890" s="101"/>
      <c r="AE890" s="101"/>
      <c r="AF890" s="101"/>
      <c r="AG890" s="101"/>
      <c r="AH890" s="101"/>
      <c r="AI890" s="101"/>
      <c r="AJ890" s="101"/>
      <c r="AK890" s="101"/>
      <c r="AL890" s="101"/>
    </row>
    <row r="891">
      <c r="A891" s="101"/>
      <c r="B891" s="644"/>
      <c r="C891" s="101"/>
      <c r="D891" s="605"/>
      <c r="E891" s="645"/>
      <c r="F891" s="101"/>
      <c r="G891" s="101"/>
      <c r="H891" s="101"/>
      <c r="I891" s="606"/>
      <c r="J891" s="606"/>
      <c r="K891" s="606"/>
      <c r="L891" s="606"/>
      <c r="M891" s="606"/>
      <c r="N891" s="606"/>
      <c r="O891" s="606"/>
      <c r="P891" s="606"/>
      <c r="Q891" s="606"/>
      <c r="R891" s="606"/>
      <c r="S891" s="606"/>
      <c r="T891" s="606"/>
      <c r="U891" s="606"/>
      <c r="V891" s="461"/>
      <c r="W891" s="461"/>
      <c r="X891" s="131"/>
      <c r="Y891" s="101"/>
      <c r="Z891" s="101"/>
      <c r="AA891" s="101"/>
      <c r="AB891" s="101"/>
      <c r="AC891" s="101"/>
      <c r="AD891" s="101"/>
      <c r="AE891" s="101"/>
      <c r="AF891" s="101"/>
      <c r="AG891" s="101"/>
      <c r="AH891" s="101"/>
      <c r="AI891" s="101"/>
      <c r="AJ891" s="101"/>
      <c r="AK891" s="101"/>
      <c r="AL891" s="101"/>
    </row>
    <row r="892">
      <c r="A892" s="101"/>
      <c r="B892" s="644"/>
      <c r="C892" s="101"/>
      <c r="D892" s="605"/>
      <c r="E892" s="645"/>
      <c r="F892" s="101"/>
      <c r="G892" s="101"/>
      <c r="H892" s="101"/>
      <c r="I892" s="606"/>
      <c r="J892" s="606"/>
      <c r="K892" s="606"/>
      <c r="L892" s="606"/>
      <c r="M892" s="606"/>
      <c r="N892" s="606"/>
      <c r="O892" s="606"/>
      <c r="P892" s="606"/>
      <c r="Q892" s="606"/>
      <c r="R892" s="606"/>
      <c r="S892" s="606"/>
      <c r="T892" s="606"/>
      <c r="U892" s="606"/>
      <c r="V892" s="461"/>
      <c r="W892" s="461"/>
      <c r="X892" s="131"/>
      <c r="Y892" s="101"/>
      <c r="Z892" s="101"/>
      <c r="AA892" s="101"/>
      <c r="AB892" s="101"/>
      <c r="AC892" s="101"/>
      <c r="AD892" s="101"/>
      <c r="AE892" s="101"/>
      <c r="AF892" s="101"/>
      <c r="AG892" s="101"/>
      <c r="AH892" s="101"/>
      <c r="AI892" s="101"/>
      <c r="AJ892" s="101"/>
      <c r="AK892" s="101"/>
      <c r="AL892" s="101"/>
    </row>
    <row r="893">
      <c r="A893" s="101"/>
      <c r="B893" s="644"/>
      <c r="C893" s="101"/>
      <c r="D893" s="605"/>
      <c r="E893" s="645"/>
      <c r="F893" s="101"/>
      <c r="G893" s="101"/>
      <c r="H893" s="101"/>
      <c r="I893" s="606"/>
      <c r="J893" s="606"/>
      <c r="K893" s="606"/>
      <c r="L893" s="606"/>
      <c r="M893" s="606"/>
      <c r="N893" s="606"/>
      <c r="O893" s="606"/>
      <c r="P893" s="606"/>
      <c r="Q893" s="606"/>
      <c r="R893" s="606"/>
      <c r="S893" s="606"/>
      <c r="T893" s="606"/>
      <c r="U893" s="606"/>
      <c r="V893" s="461"/>
      <c r="W893" s="461"/>
      <c r="X893" s="131"/>
      <c r="Y893" s="101"/>
      <c r="Z893" s="101"/>
      <c r="AA893" s="101"/>
      <c r="AB893" s="101"/>
      <c r="AC893" s="101"/>
      <c r="AD893" s="101"/>
      <c r="AE893" s="101"/>
      <c r="AF893" s="101"/>
      <c r="AG893" s="101"/>
      <c r="AH893" s="101"/>
      <c r="AI893" s="101"/>
      <c r="AJ893" s="101"/>
      <c r="AK893" s="101"/>
      <c r="AL893" s="101"/>
    </row>
    <row r="894">
      <c r="A894" s="101"/>
      <c r="B894" s="644"/>
      <c r="C894" s="101"/>
      <c r="D894" s="605"/>
      <c r="E894" s="645"/>
      <c r="F894" s="101"/>
      <c r="G894" s="101"/>
      <c r="H894" s="101"/>
      <c r="I894" s="606"/>
      <c r="J894" s="606"/>
      <c r="K894" s="606"/>
      <c r="L894" s="606"/>
      <c r="M894" s="606"/>
      <c r="N894" s="606"/>
      <c r="O894" s="606"/>
      <c r="P894" s="606"/>
      <c r="Q894" s="606"/>
      <c r="R894" s="606"/>
      <c r="S894" s="606"/>
      <c r="T894" s="606"/>
      <c r="U894" s="606"/>
      <c r="V894" s="461"/>
      <c r="W894" s="461"/>
      <c r="X894" s="131"/>
      <c r="Y894" s="101"/>
      <c r="Z894" s="101"/>
      <c r="AA894" s="101"/>
      <c r="AB894" s="101"/>
      <c r="AC894" s="101"/>
      <c r="AD894" s="101"/>
      <c r="AE894" s="101"/>
      <c r="AF894" s="101"/>
      <c r="AG894" s="101"/>
      <c r="AH894" s="101"/>
      <c r="AI894" s="101"/>
      <c r="AJ894" s="101"/>
      <c r="AK894" s="101"/>
      <c r="AL894" s="101"/>
    </row>
    <row r="895">
      <c r="A895" s="101"/>
      <c r="B895" s="644"/>
      <c r="C895" s="101"/>
      <c r="D895" s="605"/>
      <c r="E895" s="645"/>
      <c r="F895" s="101"/>
      <c r="G895" s="101"/>
      <c r="H895" s="101"/>
      <c r="I895" s="606"/>
      <c r="J895" s="606"/>
      <c r="K895" s="606"/>
      <c r="L895" s="606"/>
      <c r="M895" s="606"/>
      <c r="N895" s="606"/>
      <c r="O895" s="606"/>
      <c r="P895" s="606"/>
      <c r="Q895" s="606"/>
      <c r="R895" s="606"/>
      <c r="S895" s="606"/>
      <c r="T895" s="606"/>
      <c r="U895" s="606"/>
      <c r="V895" s="461"/>
      <c r="W895" s="461"/>
      <c r="X895" s="131"/>
      <c r="Y895" s="101"/>
      <c r="Z895" s="101"/>
      <c r="AA895" s="101"/>
      <c r="AB895" s="101"/>
      <c r="AC895" s="101"/>
      <c r="AD895" s="101"/>
      <c r="AE895" s="101"/>
      <c r="AF895" s="101"/>
      <c r="AG895" s="101"/>
      <c r="AH895" s="101"/>
      <c r="AI895" s="101"/>
      <c r="AJ895" s="101"/>
      <c r="AK895" s="101"/>
      <c r="AL895" s="101"/>
    </row>
    <row r="896">
      <c r="A896" s="101"/>
      <c r="B896" s="644"/>
      <c r="C896" s="101"/>
      <c r="D896" s="605"/>
      <c r="E896" s="645"/>
      <c r="F896" s="101"/>
      <c r="G896" s="101"/>
      <c r="H896" s="101"/>
      <c r="I896" s="606"/>
      <c r="J896" s="606"/>
      <c r="K896" s="606"/>
      <c r="L896" s="606"/>
      <c r="M896" s="606"/>
      <c r="N896" s="606"/>
      <c r="O896" s="606"/>
      <c r="P896" s="606"/>
      <c r="Q896" s="606"/>
      <c r="R896" s="606"/>
      <c r="S896" s="606"/>
      <c r="T896" s="606"/>
      <c r="U896" s="606"/>
      <c r="V896" s="461"/>
      <c r="W896" s="461"/>
      <c r="X896" s="131"/>
      <c r="Y896" s="101"/>
      <c r="Z896" s="101"/>
      <c r="AA896" s="101"/>
      <c r="AB896" s="101"/>
      <c r="AC896" s="101"/>
      <c r="AD896" s="101"/>
      <c r="AE896" s="101"/>
      <c r="AF896" s="101"/>
      <c r="AG896" s="101"/>
      <c r="AH896" s="101"/>
      <c r="AI896" s="101"/>
      <c r="AJ896" s="101"/>
      <c r="AK896" s="101"/>
      <c r="AL896" s="101"/>
    </row>
    <row r="897">
      <c r="A897" s="101"/>
      <c r="B897" s="644"/>
      <c r="C897" s="101"/>
      <c r="D897" s="605"/>
      <c r="E897" s="645"/>
      <c r="F897" s="101"/>
      <c r="G897" s="101"/>
      <c r="H897" s="101"/>
      <c r="I897" s="606"/>
      <c r="J897" s="606"/>
      <c r="K897" s="606"/>
      <c r="L897" s="606"/>
      <c r="M897" s="606"/>
      <c r="N897" s="606"/>
      <c r="O897" s="606"/>
      <c r="P897" s="606"/>
      <c r="Q897" s="606"/>
      <c r="R897" s="606"/>
      <c r="S897" s="606"/>
      <c r="T897" s="606"/>
      <c r="U897" s="606"/>
      <c r="V897" s="461"/>
      <c r="W897" s="461"/>
      <c r="X897" s="131"/>
      <c r="Y897" s="101"/>
      <c r="Z897" s="101"/>
      <c r="AA897" s="101"/>
      <c r="AB897" s="101"/>
      <c r="AC897" s="101"/>
      <c r="AD897" s="101"/>
      <c r="AE897" s="101"/>
      <c r="AF897" s="101"/>
      <c r="AG897" s="101"/>
      <c r="AH897" s="101"/>
      <c r="AI897" s="101"/>
      <c r="AJ897" s="101"/>
      <c r="AK897" s="101"/>
      <c r="AL897" s="101"/>
    </row>
    <row r="898">
      <c r="A898" s="101"/>
      <c r="B898" s="644"/>
      <c r="C898" s="101"/>
      <c r="D898" s="605"/>
      <c r="E898" s="645"/>
      <c r="F898" s="101"/>
      <c r="G898" s="101"/>
      <c r="H898" s="101"/>
      <c r="I898" s="606"/>
      <c r="J898" s="606"/>
      <c r="K898" s="606"/>
      <c r="L898" s="606"/>
      <c r="M898" s="606"/>
      <c r="N898" s="606"/>
      <c r="O898" s="606"/>
      <c r="P898" s="606"/>
      <c r="Q898" s="606"/>
      <c r="R898" s="606"/>
      <c r="S898" s="606"/>
      <c r="T898" s="606"/>
      <c r="U898" s="606"/>
      <c r="V898" s="461"/>
      <c r="W898" s="461"/>
      <c r="X898" s="131"/>
      <c r="Y898" s="101"/>
      <c r="Z898" s="101"/>
      <c r="AA898" s="101"/>
      <c r="AB898" s="101"/>
      <c r="AC898" s="101"/>
      <c r="AD898" s="101"/>
      <c r="AE898" s="101"/>
      <c r="AF898" s="101"/>
      <c r="AG898" s="101"/>
      <c r="AH898" s="101"/>
      <c r="AI898" s="101"/>
      <c r="AJ898" s="101"/>
      <c r="AK898" s="101"/>
      <c r="AL898" s="101"/>
    </row>
    <row r="899">
      <c r="A899" s="101"/>
      <c r="B899" s="644"/>
      <c r="C899" s="101"/>
      <c r="D899" s="605"/>
      <c r="E899" s="645"/>
      <c r="F899" s="101"/>
      <c r="G899" s="101"/>
      <c r="H899" s="101"/>
      <c r="I899" s="606"/>
      <c r="J899" s="606"/>
      <c r="K899" s="606"/>
      <c r="L899" s="606"/>
      <c r="M899" s="606"/>
      <c r="N899" s="606"/>
      <c r="O899" s="606"/>
      <c r="P899" s="606"/>
      <c r="Q899" s="606"/>
      <c r="R899" s="606"/>
      <c r="S899" s="606"/>
      <c r="T899" s="606"/>
      <c r="U899" s="606"/>
      <c r="V899" s="461"/>
      <c r="W899" s="461"/>
      <c r="X899" s="131"/>
      <c r="Y899" s="101"/>
      <c r="Z899" s="101"/>
      <c r="AA899" s="101"/>
      <c r="AB899" s="101"/>
      <c r="AC899" s="101"/>
      <c r="AD899" s="101"/>
      <c r="AE899" s="101"/>
      <c r="AF899" s="101"/>
      <c r="AG899" s="101"/>
      <c r="AH899" s="101"/>
      <c r="AI899" s="101"/>
      <c r="AJ899" s="101"/>
      <c r="AK899" s="101"/>
      <c r="AL899" s="101"/>
    </row>
    <row r="900">
      <c r="A900" s="101"/>
      <c r="B900" s="644"/>
      <c r="C900" s="101"/>
      <c r="D900" s="605"/>
      <c r="E900" s="645"/>
      <c r="F900" s="101"/>
      <c r="G900" s="101"/>
      <c r="H900" s="101"/>
      <c r="I900" s="606"/>
      <c r="J900" s="606"/>
      <c r="K900" s="606"/>
      <c r="L900" s="606"/>
      <c r="M900" s="606"/>
      <c r="N900" s="606"/>
      <c r="O900" s="606"/>
      <c r="P900" s="606"/>
      <c r="Q900" s="606"/>
      <c r="R900" s="606"/>
      <c r="S900" s="606"/>
      <c r="T900" s="606"/>
      <c r="U900" s="606"/>
      <c r="V900" s="461"/>
      <c r="W900" s="461"/>
      <c r="X900" s="131"/>
      <c r="Y900" s="101"/>
      <c r="Z900" s="101"/>
      <c r="AA900" s="101"/>
      <c r="AB900" s="101"/>
      <c r="AC900" s="101"/>
      <c r="AD900" s="101"/>
      <c r="AE900" s="101"/>
      <c r="AF900" s="101"/>
      <c r="AG900" s="101"/>
      <c r="AH900" s="101"/>
      <c r="AI900" s="101"/>
      <c r="AJ900" s="101"/>
      <c r="AK900" s="101"/>
      <c r="AL900" s="101"/>
    </row>
    <row r="901">
      <c r="A901" s="101"/>
      <c r="B901" s="644"/>
      <c r="C901" s="101"/>
      <c r="D901" s="605"/>
      <c r="E901" s="645"/>
      <c r="F901" s="101"/>
      <c r="G901" s="101"/>
      <c r="H901" s="101"/>
      <c r="I901" s="606"/>
      <c r="J901" s="606"/>
      <c r="K901" s="606"/>
      <c r="L901" s="606"/>
      <c r="M901" s="606"/>
      <c r="N901" s="606"/>
      <c r="O901" s="606"/>
      <c r="P901" s="606"/>
      <c r="Q901" s="606"/>
      <c r="R901" s="606"/>
      <c r="S901" s="606"/>
      <c r="T901" s="606"/>
      <c r="U901" s="606"/>
      <c r="V901" s="461"/>
      <c r="W901" s="461"/>
      <c r="X901" s="131"/>
      <c r="Y901" s="101"/>
      <c r="Z901" s="101"/>
      <c r="AA901" s="101"/>
      <c r="AB901" s="101"/>
      <c r="AC901" s="101"/>
      <c r="AD901" s="101"/>
      <c r="AE901" s="101"/>
      <c r="AF901" s="101"/>
      <c r="AG901" s="101"/>
      <c r="AH901" s="101"/>
      <c r="AI901" s="101"/>
      <c r="AJ901" s="101"/>
      <c r="AK901" s="101"/>
      <c r="AL901" s="101"/>
    </row>
    <row r="902">
      <c r="A902" s="101"/>
      <c r="B902" s="644"/>
      <c r="C902" s="101"/>
      <c r="D902" s="605"/>
      <c r="E902" s="645"/>
      <c r="F902" s="101"/>
      <c r="G902" s="101"/>
      <c r="H902" s="101"/>
      <c r="I902" s="606"/>
      <c r="J902" s="606"/>
      <c r="K902" s="606"/>
      <c r="L902" s="606"/>
      <c r="M902" s="606"/>
      <c r="N902" s="606"/>
      <c r="O902" s="606"/>
      <c r="P902" s="606"/>
      <c r="Q902" s="606"/>
      <c r="R902" s="606"/>
      <c r="S902" s="606"/>
      <c r="T902" s="606"/>
      <c r="U902" s="606"/>
      <c r="V902" s="461"/>
      <c r="W902" s="461"/>
      <c r="X902" s="131"/>
      <c r="Y902" s="101"/>
      <c r="Z902" s="101"/>
      <c r="AA902" s="101"/>
      <c r="AB902" s="101"/>
      <c r="AC902" s="101"/>
      <c r="AD902" s="101"/>
      <c r="AE902" s="101"/>
      <c r="AF902" s="101"/>
      <c r="AG902" s="101"/>
      <c r="AH902" s="101"/>
      <c r="AI902" s="101"/>
      <c r="AJ902" s="101"/>
      <c r="AK902" s="101"/>
      <c r="AL902" s="101"/>
    </row>
    <row r="903">
      <c r="A903" s="101"/>
      <c r="B903" s="644"/>
      <c r="C903" s="101"/>
      <c r="D903" s="605"/>
      <c r="E903" s="645"/>
      <c r="F903" s="101"/>
      <c r="G903" s="101"/>
      <c r="H903" s="101"/>
      <c r="I903" s="606"/>
      <c r="J903" s="606"/>
      <c r="K903" s="606"/>
      <c r="L903" s="606"/>
      <c r="M903" s="606"/>
      <c r="N903" s="606"/>
      <c r="O903" s="606"/>
      <c r="P903" s="606"/>
      <c r="Q903" s="606"/>
      <c r="R903" s="606"/>
      <c r="S903" s="606"/>
      <c r="T903" s="606"/>
      <c r="U903" s="606"/>
      <c r="V903" s="461"/>
      <c r="W903" s="461"/>
      <c r="X903" s="131"/>
      <c r="Y903" s="101"/>
      <c r="Z903" s="101"/>
      <c r="AA903" s="101"/>
      <c r="AB903" s="101"/>
      <c r="AC903" s="101"/>
      <c r="AD903" s="101"/>
      <c r="AE903" s="101"/>
      <c r="AF903" s="101"/>
      <c r="AG903" s="101"/>
      <c r="AH903" s="101"/>
      <c r="AI903" s="101"/>
      <c r="AJ903" s="101"/>
      <c r="AK903" s="101"/>
      <c r="AL903" s="101"/>
    </row>
    <row r="904">
      <c r="A904" s="101"/>
      <c r="B904" s="644"/>
      <c r="C904" s="101"/>
      <c r="D904" s="605"/>
      <c r="E904" s="645"/>
      <c r="F904" s="101"/>
      <c r="G904" s="101"/>
      <c r="H904" s="101"/>
      <c r="I904" s="606"/>
      <c r="J904" s="606"/>
      <c r="K904" s="606"/>
      <c r="L904" s="606"/>
      <c r="M904" s="606"/>
      <c r="N904" s="606"/>
      <c r="O904" s="606"/>
      <c r="P904" s="606"/>
      <c r="Q904" s="606"/>
      <c r="R904" s="606"/>
      <c r="S904" s="606"/>
      <c r="T904" s="606"/>
      <c r="U904" s="606"/>
      <c r="V904" s="461"/>
      <c r="W904" s="461"/>
      <c r="X904" s="131"/>
      <c r="Y904" s="101"/>
      <c r="Z904" s="101"/>
      <c r="AA904" s="101"/>
      <c r="AB904" s="101"/>
      <c r="AC904" s="101"/>
      <c r="AD904" s="101"/>
      <c r="AE904" s="101"/>
      <c r="AF904" s="101"/>
      <c r="AG904" s="101"/>
      <c r="AH904" s="101"/>
      <c r="AI904" s="101"/>
      <c r="AJ904" s="101"/>
      <c r="AK904" s="101"/>
      <c r="AL904" s="101"/>
    </row>
    <row r="905">
      <c r="A905" s="101"/>
      <c r="B905" s="644"/>
      <c r="C905" s="101"/>
      <c r="D905" s="605"/>
      <c r="E905" s="645"/>
      <c r="F905" s="101"/>
      <c r="G905" s="101"/>
      <c r="H905" s="101"/>
      <c r="I905" s="606"/>
      <c r="J905" s="606"/>
      <c r="K905" s="606"/>
      <c r="L905" s="606"/>
      <c r="M905" s="606"/>
      <c r="N905" s="606"/>
      <c r="O905" s="606"/>
      <c r="P905" s="606"/>
      <c r="Q905" s="606"/>
      <c r="R905" s="606"/>
      <c r="S905" s="606"/>
      <c r="T905" s="606"/>
      <c r="U905" s="606"/>
      <c r="V905" s="461"/>
      <c r="W905" s="461"/>
      <c r="X905" s="131"/>
      <c r="Y905" s="101"/>
      <c r="Z905" s="101"/>
      <c r="AA905" s="101"/>
      <c r="AB905" s="101"/>
      <c r="AC905" s="101"/>
      <c r="AD905" s="101"/>
      <c r="AE905" s="101"/>
      <c r="AF905" s="101"/>
      <c r="AG905" s="101"/>
      <c r="AH905" s="101"/>
      <c r="AI905" s="101"/>
      <c r="AJ905" s="101"/>
      <c r="AK905" s="101"/>
      <c r="AL905" s="101"/>
    </row>
    <row r="906">
      <c r="A906" s="101"/>
      <c r="B906" s="644"/>
      <c r="C906" s="101"/>
      <c r="D906" s="605"/>
      <c r="E906" s="645"/>
      <c r="F906" s="101"/>
      <c r="G906" s="101"/>
      <c r="H906" s="101"/>
      <c r="I906" s="606"/>
      <c r="J906" s="606"/>
      <c r="K906" s="606"/>
      <c r="L906" s="606"/>
      <c r="M906" s="606"/>
      <c r="N906" s="606"/>
      <c r="O906" s="606"/>
      <c r="P906" s="606"/>
      <c r="Q906" s="606"/>
      <c r="R906" s="606"/>
      <c r="S906" s="606"/>
      <c r="T906" s="606"/>
      <c r="U906" s="606"/>
      <c r="V906" s="461"/>
      <c r="W906" s="461"/>
      <c r="X906" s="131"/>
      <c r="Y906" s="101"/>
      <c r="Z906" s="101"/>
      <c r="AA906" s="101"/>
      <c r="AB906" s="101"/>
      <c r="AC906" s="101"/>
      <c r="AD906" s="101"/>
      <c r="AE906" s="101"/>
      <c r="AF906" s="101"/>
      <c r="AG906" s="101"/>
      <c r="AH906" s="101"/>
      <c r="AI906" s="101"/>
      <c r="AJ906" s="101"/>
      <c r="AK906" s="101"/>
      <c r="AL906" s="101"/>
    </row>
    <row r="907">
      <c r="A907" s="101"/>
      <c r="B907" s="644"/>
      <c r="C907" s="101"/>
      <c r="D907" s="605"/>
      <c r="E907" s="645"/>
      <c r="F907" s="101"/>
      <c r="G907" s="101"/>
      <c r="H907" s="101"/>
      <c r="I907" s="606"/>
      <c r="J907" s="606"/>
      <c r="K907" s="606"/>
      <c r="L907" s="606"/>
      <c r="M907" s="606"/>
      <c r="N907" s="606"/>
      <c r="O907" s="606"/>
      <c r="P907" s="606"/>
      <c r="Q907" s="606"/>
      <c r="R907" s="606"/>
      <c r="S907" s="606"/>
      <c r="T907" s="606"/>
      <c r="U907" s="606"/>
      <c r="V907" s="461"/>
      <c r="W907" s="461"/>
      <c r="X907" s="131"/>
      <c r="Y907" s="101"/>
      <c r="Z907" s="101"/>
      <c r="AA907" s="101"/>
      <c r="AB907" s="101"/>
      <c r="AC907" s="101"/>
      <c r="AD907" s="101"/>
      <c r="AE907" s="101"/>
      <c r="AF907" s="101"/>
      <c r="AG907" s="101"/>
      <c r="AH907" s="101"/>
      <c r="AI907" s="101"/>
      <c r="AJ907" s="101"/>
      <c r="AK907" s="101"/>
      <c r="AL907" s="101"/>
    </row>
    <row r="908">
      <c r="A908" s="101"/>
      <c r="B908" s="644"/>
      <c r="C908" s="101"/>
      <c r="D908" s="605"/>
      <c r="E908" s="645"/>
      <c r="F908" s="101"/>
      <c r="G908" s="101"/>
      <c r="H908" s="101"/>
      <c r="I908" s="606"/>
      <c r="J908" s="606"/>
      <c r="K908" s="606"/>
      <c r="L908" s="606"/>
      <c r="M908" s="606"/>
      <c r="N908" s="606"/>
      <c r="O908" s="606"/>
      <c r="P908" s="606"/>
      <c r="Q908" s="606"/>
      <c r="R908" s="606"/>
      <c r="S908" s="606"/>
      <c r="T908" s="606"/>
      <c r="U908" s="606"/>
      <c r="V908" s="461"/>
      <c r="W908" s="461"/>
      <c r="X908" s="131"/>
      <c r="Y908" s="101"/>
      <c r="Z908" s="101"/>
      <c r="AA908" s="101"/>
      <c r="AB908" s="101"/>
      <c r="AC908" s="101"/>
      <c r="AD908" s="101"/>
      <c r="AE908" s="101"/>
      <c r="AF908" s="101"/>
      <c r="AG908" s="101"/>
      <c r="AH908" s="101"/>
      <c r="AI908" s="101"/>
      <c r="AJ908" s="101"/>
      <c r="AK908" s="101"/>
      <c r="AL908" s="101"/>
    </row>
    <row r="909">
      <c r="A909" s="101"/>
      <c r="B909" s="644"/>
      <c r="C909" s="101"/>
      <c r="D909" s="605"/>
      <c r="E909" s="645"/>
      <c r="F909" s="101"/>
      <c r="G909" s="101"/>
      <c r="H909" s="101"/>
      <c r="I909" s="606"/>
      <c r="J909" s="606"/>
      <c r="K909" s="606"/>
      <c r="L909" s="606"/>
      <c r="M909" s="606"/>
      <c r="N909" s="606"/>
      <c r="O909" s="606"/>
      <c r="P909" s="606"/>
      <c r="Q909" s="606"/>
      <c r="R909" s="606"/>
      <c r="S909" s="606"/>
      <c r="T909" s="606"/>
      <c r="U909" s="606"/>
      <c r="V909" s="461"/>
      <c r="W909" s="461"/>
      <c r="X909" s="131"/>
      <c r="Y909" s="101"/>
      <c r="Z909" s="101"/>
      <c r="AA909" s="101"/>
      <c r="AB909" s="101"/>
      <c r="AC909" s="101"/>
      <c r="AD909" s="101"/>
      <c r="AE909" s="101"/>
      <c r="AF909" s="101"/>
      <c r="AG909" s="101"/>
      <c r="AH909" s="101"/>
      <c r="AI909" s="101"/>
      <c r="AJ909" s="101"/>
      <c r="AK909" s="101"/>
      <c r="AL909" s="101"/>
    </row>
    <row r="910">
      <c r="A910" s="101"/>
      <c r="B910" s="644"/>
      <c r="C910" s="101"/>
      <c r="D910" s="605"/>
      <c r="E910" s="645"/>
      <c r="F910" s="101"/>
      <c r="G910" s="101"/>
      <c r="H910" s="101"/>
      <c r="I910" s="606"/>
      <c r="J910" s="606"/>
      <c r="K910" s="606"/>
      <c r="L910" s="606"/>
      <c r="M910" s="606"/>
      <c r="N910" s="606"/>
      <c r="O910" s="606"/>
      <c r="P910" s="606"/>
      <c r="Q910" s="606"/>
      <c r="R910" s="606"/>
      <c r="S910" s="606"/>
      <c r="T910" s="606"/>
      <c r="U910" s="606"/>
      <c r="V910" s="461"/>
      <c r="W910" s="461"/>
      <c r="X910" s="131"/>
      <c r="Y910" s="101"/>
      <c r="Z910" s="101"/>
      <c r="AA910" s="101"/>
      <c r="AB910" s="101"/>
      <c r="AC910" s="101"/>
      <c r="AD910" s="101"/>
      <c r="AE910" s="101"/>
      <c r="AF910" s="101"/>
      <c r="AG910" s="101"/>
      <c r="AH910" s="101"/>
      <c r="AI910" s="101"/>
      <c r="AJ910" s="101"/>
      <c r="AK910" s="101"/>
      <c r="AL910" s="101"/>
    </row>
    <row r="911">
      <c r="A911" s="101"/>
      <c r="B911" s="644"/>
      <c r="C911" s="101"/>
      <c r="D911" s="605"/>
      <c r="E911" s="645"/>
      <c r="F911" s="101"/>
      <c r="G911" s="101"/>
      <c r="H911" s="101"/>
      <c r="I911" s="606"/>
      <c r="J911" s="606"/>
      <c r="K911" s="606"/>
      <c r="L911" s="606"/>
      <c r="M911" s="606"/>
      <c r="N911" s="606"/>
      <c r="O911" s="606"/>
      <c r="P911" s="606"/>
      <c r="Q911" s="606"/>
      <c r="R911" s="606"/>
      <c r="S911" s="606"/>
      <c r="T911" s="606"/>
      <c r="U911" s="606"/>
      <c r="V911" s="461"/>
      <c r="W911" s="461"/>
      <c r="X911" s="131"/>
      <c r="Y911" s="101"/>
      <c r="Z911" s="101"/>
      <c r="AA911" s="101"/>
      <c r="AB911" s="101"/>
      <c r="AC911" s="101"/>
      <c r="AD911" s="101"/>
      <c r="AE911" s="101"/>
      <c r="AF911" s="101"/>
      <c r="AG911" s="101"/>
      <c r="AH911" s="101"/>
      <c r="AI911" s="101"/>
      <c r="AJ911" s="101"/>
      <c r="AK911" s="101"/>
      <c r="AL911" s="101"/>
    </row>
    <row r="912">
      <c r="A912" s="101"/>
      <c r="B912" s="644"/>
      <c r="C912" s="101"/>
      <c r="D912" s="605"/>
      <c r="E912" s="645"/>
      <c r="F912" s="101"/>
      <c r="G912" s="101"/>
      <c r="H912" s="101"/>
      <c r="I912" s="606"/>
      <c r="J912" s="606"/>
      <c r="K912" s="606"/>
      <c r="L912" s="606"/>
      <c r="M912" s="606"/>
      <c r="N912" s="606"/>
      <c r="O912" s="606"/>
      <c r="P912" s="606"/>
      <c r="Q912" s="606"/>
      <c r="R912" s="606"/>
      <c r="S912" s="606"/>
      <c r="T912" s="606"/>
      <c r="U912" s="606"/>
      <c r="V912" s="461"/>
      <c r="W912" s="461"/>
      <c r="X912" s="131"/>
      <c r="Y912" s="101"/>
      <c r="Z912" s="101"/>
      <c r="AA912" s="101"/>
      <c r="AB912" s="101"/>
      <c r="AC912" s="101"/>
      <c r="AD912" s="101"/>
      <c r="AE912" s="101"/>
      <c r="AF912" s="101"/>
      <c r="AG912" s="101"/>
      <c r="AH912" s="101"/>
      <c r="AI912" s="101"/>
      <c r="AJ912" s="101"/>
      <c r="AK912" s="101"/>
      <c r="AL912" s="101"/>
    </row>
    <row r="913">
      <c r="A913" s="101"/>
      <c r="B913" s="644"/>
      <c r="C913" s="101"/>
      <c r="D913" s="605"/>
      <c r="E913" s="645"/>
      <c r="F913" s="101"/>
      <c r="G913" s="101"/>
      <c r="H913" s="101"/>
      <c r="I913" s="606"/>
      <c r="J913" s="606"/>
      <c r="K913" s="606"/>
      <c r="L913" s="606"/>
      <c r="M913" s="606"/>
      <c r="N913" s="606"/>
      <c r="O913" s="606"/>
      <c r="P913" s="606"/>
      <c r="Q913" s="606"/>
      <c r="R913" s="606"/>
      <c r="S913" s="606"/>
      <c r="T913" s="606"/>
      <c r="U913" s="606"/>
      <c r="V913" s="461"/>
      <c r="W913" s="461"/>
      <c r="X913" s="131"/>
      <c r="Y913" s="101"/>
      <c r="Z913" s="101"/>
      <c r="AA913" s="101"/>
      <c r="AB913" s="101"/>
      <c r="AC913" s="101"/>
      <c r="AD913" s="101"/>
      <c r="AE913" s="101"/>
      <c r="AF913" s="101"/>
      <c r="AG913" s="101"/>
      <c r="AH913" s="101"/>
      <c r="AI913" s="101"/>
      <c r="AJ913" s="101"/>
      <c r="AK913" s="101"/>
      <c r="AL913" s="101"/>
    </row>
    <row r="914">
      <c r="A914" s="101"/>
      <c r="B914" s="644"/>
      <c r="C914" s="101"/>
      <c r="D914" s="605"/>
      <c r="E914" s="645"/>
      <c r="F914" s="101"/>
      <c r="G914" s="101"/>
      <c r="H914" s="101"/>
      <c r="I914" s="606"/>
      <c r="J914" s="606"/>
      <c r="K914" s="606"/>
      <c r="L914" s="606"/>
      <c r="M914" s="606"/>
      <c r="N914" s="606"/>
      <c r="O914" s="606"/>
      <c r="P914" s="606"/>
      <c r="Q914" s="606"/>
      <c r="R914" s="606"/>
      <c r="S914" s="606"/>
      <c r="T914" s="606"/>
      <c r="U914" s="606"/>
      <c r="V914" s="461"/>
      <c r="W914" s="461"/>
      <c r="X914" s="131"/>
      <c r="Y914" s="101"/>
      <c r="Z914" s="101"/>
      <c r="AA914" s="101"/>
      <c r="AB914" s="101"/>
      <c r="AC914" s="101"/>
      <c r="AD914" s="101"/>
      <c r="AE914" s="101"/>
      <c r="AF914" s="101"/>
      <c r="AG914" s="101"/>
      <c r="AH914" s="101"/>
      <c r="AI914" s="101"/>
      <c r="AJ914" s="101"/>
      <c r="AK914" s="101"/>
      <c r="AL914" s="101"/>
    </row>
    <row r="915">
      <c r="A915" s="101"/>
      <c r="B915" s="644"/>
      <c r="C915" s="101"/>
      <c r="D915" s="605"/>
      <c r="E915" s="645"/>
      <c r="F915" s="101"/>
      <c r="G915" s="101"/>
      <c r="H915" s="101"/>
      <c r="I915" s="606"/>
      <c r="J915" s="606"/>
      <c r="K915" s="606"/>
      <c r="L915" s="606"/>
      <c r="M915" s="606"/>
      <c r="N915" s="606"/>
      <c r="O915" s="606"/>
      <c r="P915" s="606"/>
      <c r="Q915" s="606"/>
      <c r="R915" s="606"/>
      <c r="S915" s="606"/>
      <c r="T915" s="606"/>
      <c r="U915" s="606"/>
      <c r="V915" s="461"/>
      <c r="W915" s="461"/>
      <c r="X915" s="131"/>
      <c r="Y915" s="101"/>
      <c r="Z915" s="101"/>
      <c r="AA915" s="101"/>
      <c r="AB915" s="101"/>
      <c r="AC915" s="101"/>
      <c r="AD915" s="101"/>
      <c r="AE915" s="101"/>
      <c r="AF915" s="101"/>
      <c r="AG915" s="101"/>
      <c r="AH915" s="101"/>
      <c r="AI915" s="101"/>
      <c r="AJ915" s="101"/>
      <c r="AK915" s="101"/>
      <c r="AL915" s="101"/>
    </row>
    <row r="916">
      <c r="A916" s="101"/>
      <c r="B916" s="644"/>
      <c r="C916" s="101"/>
      <c r="D916" s="605"/>
      <c r="E916" s="645"/>
      <c r="F916" s="101"/>
      <c r="G916" s="101"/>
      <c r="H916" s="101"/>
      <c r="I916" s="606"/>
      <c r="J916" s="606"/>
      <c r="K916" s="606"/>
      <c r="L916" s="606"/>
      <c r="M916" s="606"/>
      <c r="N916" s="606"/>
      <c r="O916" s="606"/>
      <c r="P916" s="606"/>
      <c r="Q916" s="606"/>
      <c r="R916" s="606"/>
      <c r="S916" s="606"/>
      <c r="T916" s="606"/>
      <c r="U916" s="606"/>
      <c r="V916" s="461"/>
      <c r="W916" s="461"/>
      <c r="X916" s="131"/>
      <c r="Y916" s="101"/>
      <c r="Z916" s="101"/>
      <c r="AA916" s="101"/>
      <c r="AB916" s="101"/>
      <c r="AC916" s="101"/>
      <c r="AD916" s="101"/>
      <c r="AE916" s="101"/>
      <c r="AF916" s="101"/>
      <c r="AG916" s="101"/>
      <c r="AH916" s="101"/>
      <c r="AI916" s="101"/>
      <c r="AJ916" s="101"/>
      <c r="AK916" s="101"/>
      <c r="AL916" s="101"/>
    </row>
    <row r="917">
      <c r="A917" s="101"/>
      <c r="B917" s="644"/>
      <c r="C917" s="101"/>
      <c r="D917" s="605"/>
      <c r="E917" s="645"/>
      <c r="F917" s="101"/>
      <c r="G917" s="101"/>
      <c r="H917" s="101"/>
      <c r="I917" s="606"/>
      <c r="J917" s="606"/>
      <c r="K917" s="606"/>
      <c r="L917" s="606"/>
      <c r="M917" s="606"/>
      <c r="N917" s="606"/>
      <c r="O917" s="606"/>
      <c r="P917" s="606"/>
      <c r="Q917" s="606"/>
      <c r="R917" s="606"/>
      <c r="S917" s="606"/>
      <c r="T917" s="606"/>
      <c r="U917" s="606"/>
      <c r="V917" s="461"/>
      <c r="W917" s="461"/>
      <c r="X917" s="131"/>
      <c r="Y917" s="101"/>
      <c r="Z917" s="101"/>
      <c r="AA917" s="101"/>
      <c r="AB917" s="101"/>
      <c r="AC917" s="101"/>
      <c r="AD917" s="101"/>
      <c r="AE917" s="101"/>
      <c r="AF917" s="101"/>
      <c r="AG917" s="101"/>
      <c r="AH917" s="101"/>
      <c r="AI917" s="101"/>
      <c r="AJ917" s="101"/>
      <c r="AK917" s="101"/>
      <c r="AL917" s="101"/>
    </row>
    <row r="918">
      <c r="A918" s="101"/>
      <c r="B918" s="644"/>
      <c r="C918" s="101"/>
      <c r="D918" s="605"/>
      <c r="E918" s="645"/>
      <c r="F918" s="101"/>
      <c r="G918" s="101"/>
      <c r="H918" s="101"/>
      <c r="I918" s="606"/>
      <c r="J918" s="606"/>
      <c r="K918" s="606"/>
      <c r="L918" s="606"/>
      <c r="M918" s="606"/>
      <c r="N918" s="606"/>
      <c r="O918" s="606"/>
      <c r="P918" s="606"/>
      <c r="Q918" s="606"/>
      <c r="R918" s="606"/>
      <c r="S918" s="606"/>
      <c r="T918" s="606"/>
      <c r="U918" s="606"/>
      <c r="V918" s="461"/>
      <c r="W918" s="461"/>
      <c r="X918" s="131"/>
      <c r="Y918" s="101"/>
      <c r="Z918" s="101"/>
      <c r="AA918" s="101"/>
      <c r="AB918" s="101"/>
      <c r="AC918" s="101"/>
      <c r="AD918" s="101"/>
      <c r="AE918" s="101"/>
      <c r="AF918" s="101"/>
      <c r="AG918" s="101"/>
      <c r="AH918" s="101"/>
      <c r="AI918" s="101"/>
      <c r="AJ918" s="101"/>
      <c r="AK918" s="101"/>
      <c r="AL918" s="101"/>
    </row>
    <row r="919">
      <c r="A919" s="101"/>
      <c r="B919" s="644"/>
      <c r="C919" s="101"/>
      <c r="D919" s="605"/>
      <c r="E919" s="645"/>
      <c r="F919" s="101"/>
      <c r="G919" s="101"/>
      <c r="H919" s="101"/>
      <c r="I919" s="606"/>
      <c r="J919" s="606"/>
      <c r="K919" s="606"/>
      <c r="L919" s="606"/>
      <c r="M919" s="606"/>
      <c r="N919" s="606"/>
      <c r="O919" s="606"/>
      <c r="P919" s="606"/>
      <c r="Q919" s="606"/>
      <c r="R919" s="606"/>
      <c r="S919" s="606"/>
      <c r="T919" s="606"/>
      <c r="U919" s="606"/>
      <c r="V919" s="461"/>
      <c r="W919" s="461"/>
      <c r="X919" s="131"/>
      <c r="Y919" s="101"/>
      <c r="Z919" s="101"/>
      <c r="AA919" s="101"/>
      <c r="AB919" s="101"/>
      <c r="AC919" s="101"/>
      <c r="AD919" s="101"/>
      <c r="AE919" s="101"/>
      <c r="AF919" s="101"/>
      <c r="AG919" s="101"/>
      <c r="AH919" s="101"/>
      <c r="AI919" s="101"/>
      <c r="AJ919" s="101"/>
      <c r="AK919" s="101"/>
      <c r="AL919" s="101"/>
    </row>
    <row r="920">
      <c r="A920" s="101"/>
      <c r="B920" s="644"/>
      <c r="C920" s="101"/>
      <c r="D920" s="605"/>
      <c r="E920" s="645"/>
      <c r="F920" s="101"/>
      <c r="G920" s="101"/>
      <c r="H920" s="101"/>
      <c r="I920" s="606"/>
      <c r="J920" s="606"/>
      <c r="K920" s="606"/>
      <c r="L920" s="606"/>
      <c r="M920" s="606"/>
      <c r="N920" s="606"/>
      <c r="O920" s="606"/>
      <c r="P920" s="606"/>
      <c r="Q920" s="606"/>
      <c r="R920" s="606"/>
      <c r="S920" s="606"/>
      <c r="T920" s="606"/>
      <c r="U920" s="606"/>
      <c r="V920" s="461"/>
      <c r="W920" s="461"/>
      <c r="X920" s="131"/>
      <c r="Y920" s="101"/>
      <c r="Z920" s="101"/>
      <c r="AA920" s="101"/>
      <c r="AB920" s="101"/>
      <c r="AC920" s="101"/>
      <c r="AD920" s="101"/>
      <c r="AE920" s="101"/>
      <c r="AF920" s="101"/>
      <c r="AG920" s="101"/>
      <c r="AH920" s="101"/>
      <c r="AI920" s="101"/>
      <c r="AJ920" s="101"/>
      <c r="AK920" s="101"/>
      <c r="AL920" s="101"/>
    </row>
    <row r="921">
      <c r="A921" s="101"/>
      <c r="B921" s="644"/>
      <c r="C921" s="101"/>
      <c r="D921" s="605"/>
      <c r="E921" s="645"/>
      <c r="F921" s="101"/>
      <c r="G921" s="101"/>
      <c r="H921" s="101"/>
      <c r="I921" s="606"/>
      <c r="J921" s="606"/>
      <c r="K921" s="606"/>
      <c r="L921" s="606"/>
      <c r="M921" s="606"/>
      <c r="N921" s="606"/>
      <c r="O921" s="606"/>
      <c r="P921" s="606"/>
      <c r="Q921" s="606"/>
      <c r="R921" s="606"/>
      <c r="S921" s="606"/>
      <c r="T921" s="606"/>
      <c r="U921" s="606"/>
      <c r="V921" s="461"/>
      <c r="W921" s="461"/>
      <c r="X921" s="131"/>
      <c r="Y921" s="101"/>
      <c r="Z921" s="101"/>
      <c r="AA921" s="101"/>
      <c r="AB921" s="101"/>
      <c r="AC921" s="101"/>
      <c r="AD921" s="101"/>
      <c r="AE921" s="101"/>
      <c r="AF921" s="101"/>
      <c r="AG921" s="101"/>
      <c r="AH921" s="101"/>
      <c r="AI921" s="101"/>
      <c r="AJ921" s="101"/>
      <c r="AK921" s="101"/>
      <c r="AL921" s="101"/>
    </row>
    <row r="922">
      <c r="A922" s="101"/>
      <c r="B922" s="644"/>
      <c r="C922" s="101"/>
      <c r="D922" s="605"/>
      <c r="E922" s="645"/>
      <c r="F922" s="101"/>
      <c r="G922" s="101"/>
      <c r="H922" s="101"/>
      <c r="I922" s="606"/>
      <c r="J922" s="606"/>
      <c r="K922" s="606"/>
      <c r="L922" s="606"/>
      <c r="M922" s="606"/>
      <c r="N922" s="606"/>
      <c r="O922" s="606"/>
      <c r="P922" s="606"/>
      <c r="Q922" s="606"/>
      <c r="R922" s="606"/>
      <c r="S922" s="606"/>
      <c r="T922" s="606"/>
      <c r="U922" s="606"/>
      <c r="V922" s="461"/>
      <c r="W922" s="461"/>
      <c r="X922" s="131"/>
      <c r="Y922" s="101"/>
      <c r="Z922" s="101"/>
      <c r="AA922" s="101"/>
      <c r="AB922" s="101"/>
      <c r="AC922" s="101"/>
      <c r="AD922" s="101"/>
      <c r="AE922" s="101"/>
      <c r="AF922" s="101"/>
      <c r="AG922" s="101"/>
      <c r="AH922" s="101"/>
      <c r="AI922" s="101"/>
      <c r="AJ922" s="101"/>
      <c r="AK922" s="101"/>
      <c r="AL922" s="101"/>
    </row>
    <row r="923">
      <c r="A923" s="101"/>
      <c r="B923" s="644"/>
      <c r="C923" s="101"/>
      <c r="D923" s="605"/>
      <c r="E923" s="645"/>
      <c r="F923" s="101"/>
      <c r="G923" s="101"/>
      <c r="H923" s="101"/>
      <c r="I923" s="606"/>
      <c r="J923" s="606"/>
      <c r="K923" s="606"/>
      <c r="L923" s="606"/>
      <c r="M923" s="606"/>
      <c r="N923" s="606"/>
      <c r="O923" s="606"/>
      <c r="P923" s="606"/>
      <c r="Q923" s="606"/>
      <c r="R923" s="606"/>
      <c r="S923" s="606"/>
      <c r="T923" s="606"/>
      <c r="U923" s="606"/>
      <c r="V923" s="461"/>
      <c r="W923" s="461"/>
      <c r="X923" s="131"/>
      <c r="Y923" s="101"/>
      <c r="Z923" s="101"/>
      <c r="AA923" s="101"/>
      <c r="AB923" s="101"/>
      <c r="AC923" s="101"/>
      <c r="AD923" s="101"/>
      <c r="AE923" s="101"/>
      <c r="AF923" s="101"/>
      <c r="AG923" s="101"/>
      <c r="AH923" s="101"/>
      <c r="AI923" s="101"/>
      <c r="AJ923" s="101"/>
      <c r="AK923" s="101"/>
      <c r="AL923" s="101"/>
    </row>
    <row r="924">
      <c r="A924" s="101"/>
      <c r="B924" s="644"/>
      <c r="C924" s="101"/>
      <c r="D924" s="605"/>
      <c r="E924" s="645"/>
      <c r="F924" s="101"/>
      <c r="G924" s="101"/>
      <c r="H924" s="101"/>
      <c r="I924" s="606"/>
      <c r="J924" s="606"/>
      <c r="K924" s="606"/>
      <c r="L924" s="606"/>
      <c r="M924" s="606"/>
      <c r="N924" s="606"/>
      <c r="O924" s="606"/>
      <c r="P924" s="606"/>
      <c r="Q924" s="606"/>
      <c r="R924" s="606"/>
      <c r="S924" s="606"/>
      <c r="T924" s="606"/>
      <c r="U924" s="606"/>
      <c r="V924" s="461"/>
      <c r="W924" s="461"/>
      <c r="X924" s="131"/>
      <c r="Y924" s="101"/>
      <c r="Z924" s="101"/>
      <c r="AA924" s="101"/>
      <c r="AB924" s="101"/>
      <c r="AC924" s="101"/>
      <c r="AD924" s="101"/>
      <c r="AE924" s="101"/>
      <c r="AF924" s="101"/>
      <c r="AG924" s="101"/>
      <c r="AH924" s="101"/>
      <c r="AI924" s="101"/>
      <c r="AJ924" s="101"/>
      <c r="AK924" s="101"/>
      <c r="AL924" s="101"/>
    </row>
    <row r="925">
      <c r="A925" s="101"/>
      <c r="B925" s="644"/>
      <c r="C925" s="101"/>
      <c r="D925" s="605"/>
      <c r="E925" s="645"/>
      <c r="F925" s="101"/>
      <c r="G925" s="101"/>
      <c r="H925" s="101"/>
      <c r="I925" s="606"/>
      <c r="J925" s="606"/>
      <c r="K925" s="606"/>
      <c r="L925" s="606"/>
      <c r="M925" s="606"/>
      <c r="N925" s="606"/>
      <c r="O925" s="606"/>
      <c r="P925" s="606"/>
      <c r="Q925" s="606"/>
      <c r="R925" s="606"/>
      <c r="S925" s="606"/>
      <c r="T925" s="606"/>
      <c r="U925" s="606"/>
      <c r="V925" s="461"/>
      <c r="W925" s="461"/>
      <c r="X925" s="131"/>
      <c r="Y925" s="101"/>
      <c r="Z925" s="101"/>
      <c r="AA925" s="101"/>
      <c r="AB925" s="101"/>
      <c r="AC925" s="101"/>
      <c r="AD925" s="101"/>
      <c r="AE925" s="101"/>
      <c r="AF925" s="101"/>
      <c r="AG925" s="101"/>
      <c r="AH925" s="101"/>
      <c r="AI925" s="101"/>
      <c r="AJ925" s="101"/>
      <c r="AK925" s="101"/>
      <c r="AL925" s="101"/>
    </row>
    <row r="926">
      <c r="A926" s="101"/>
      <c r="B926" s="644"/>
      <c r="C926" s="101"/>
      <c r="D926" s="605"/>
      <c r="E926" s="645"/>
      <c r="F926" s="101"/>
      <c r="G926" s="101"/>
      <c r="H926" s="101"/>
      <c r="I926" s="606"/>
      <c r="J926" s="606"/>
      <c r="K926" s="606"/>
      <c r="L926" s="606"/>
      <c r="M926" s="606"/>
      <c r="N926" s="606"/>
      <c r="O926" s="606"/>
      <c r="P926" s="606"/>
      <c r="Q926" s="606"/>
      <c r="R926" s="606"/>
      <c r="S926" s="606"/>
      <c r="T926" s="606"/>
      <c r="U926" s="606"/>
      <c r="V926" s="461"/>
      <c r="W926" s="461"/>
      <c r="X926" s="131"/>
      <c r="Y926" s="101"/>
      <c r="Z926" s="101"/>
      <c r="AA926" s="101"/>
      <c r="AB926" s="101"/>
      <c r="AC926" s="101"/>
      <c r="AD926" s="101"/>
      <c r="AE926" s="101"/>
      <c r="AF926" s="101"/>
      <c r="AG926" s="101"/>
      <c r="AH926" s="101"/>
      <c r="AI926" s="101"/>
      <c r="AJ926" s="101"/>
      <c r="AK926" s="101"/>
      <c r="AL926" s="101"/>
    </row>
    <row r="927">
      <c r="A927" s="101"/>
      <c r="B927" s="644"/>
      <c r="C927" s="101"/>
      <c r="D927" s="605"/>
      <c r="E927" s="645"/>
      <c r="F927" s="101"/>
      <c r="G927" s="101"/>
      <c r="H927" s="101"/>
      <c r="I927" s="606"/>
      <c r="J927" s="606"/>
      <c r="K927" s="606"/>
      <c r="L927" s="606"/>
      <c r="M927" s="606"/>
      <c r="N927" s="606"/>
      <c r="O927" s="606"/>
      <c r="P927" s="606"/>
      <c r="Q927" s="606"/>
      <c r="R927" s="606"/>
      <c r="S927" s="606"/>
      <c r="T927" s="606"/>
      <c r="U927" s="606"/>
      <c r="V927" s="461"/>
      <c r="W927" s="461"/>
      <c r="X927" s="131"/>
      <c r="Y927" s="101"/>
      <c r="Z927" s="101"/>
      <c r="AA927" s="101"/>
      <c r="AB927" s="101"/>
      <c r="AC927" s="101"/>
      <c r="AD927" s="101"/>
      <c r="AE927" s="101"/>
      <c r="AF927" s="101"/>
      <c r="AG927" s="101"/>
      <c r="AH927" s="101"/>
      <c r="AI927" s="101"/>
      <c r="AJ927" s="101"/>
      <c r="AK927" s="101"/>
      <c r="AL927" s="101"/>
    </row>
    <row r="928">
      <c r="A928" s="101"/>
      <c r="B928" s="644"/>
      <c r="C928" s="101"/>
      <c r="D928" s="605"/>
      <c r="E928" s="645"/>
      <c r="F928" s="101"/>
      <c r="G928" s="101"/>
      <c r="H928" s="101"/>
      <c r="I928" s="606"/>
      <c r="J928" s="606"/>
      <c r="K928" s="606"/>
      <c r="L928" s="606"/>
      <c r="M928" s="606"/>
      <c r="N928" s="606"/>
      <c r="O928" s="606"/>
      <c r="P928" s="606"/>
      <c r="Q928" s="606"/>
      <c r="R928" s="606"/>
      <c r="S928" s="606"/>
      <c r="T928" s="606"/>
      <c r="U928" s="606"/>
      <c r="V928" s="461"/>
      <c r="W928" s="461"/>
      <c r="X928" s="131"/>
      <c r="Y928" s="101"/>
      <c r="Z928" s="101"/>
      <c r="AA928" s="101"/>
      <c r="AB928" s="101"/>
      <c r="AC928" s="101"/>
      <c r="AD928" s="101"/>
      <c r="AE928" s="101"/>
      <c r="AF928" s="101"/>
      <c r="AG928" s="101"/>
      <c r="AH928" s="101"/>
      <c r="AI928" s="101"/>
      <c r="AJ928" s="101"/>
      <c r="AK928" s="101"/>
      <c r="AL928" s="101"/>
    </row>
    <row r="929">
      <c r="A929" s="101"/>
      <c r="B929" s="644"/>
      <c r="C929" s="101"/>
      <c r="D929" s="605"/>
      <c r="E929" s="645"/>
      <c r="F929" s="101"/>
      <c r="G929" s="101"/>
      <c r="H929" s="101"/>
      <c r="I929" s="606"/>
      <c r="J929" s="606"/>
      <c r="K929" s="606"/>
      <c r="L929" s="606"/>
      <c r="M929" s="606"/>
      <c r="N929" s="606"/>
      <c r="O929" s="606"/>
      <c r="P929" s="606"/>
      <c r="Q929" s="606"/>
      <c r="R929" s="606"/>
      <c r="S929" s="606"/>
      <c r="T929" s="606"/>
      <c r="U929" s="606"/>
      <c r="V929" s="461"/>
      <c r="W929" s="461"/>
      <c r="X929" s="131"/>
      <c r="Y929" s="101"/>
      <c r="Z929" s="101"/>
      <c r="AA929" s="101"/>
      <c r="AB929" s="101"/>
      <c r="AC929" s="101"/>
      <c r="AD929" s="101"/>
      <c r="AE929" s="101"/>
      <c r="AF929" s="101"/>
      <c r="AG929" s="101"/>
      <c r="AH929" s="101"/>
      <c r="AI929" s="101"/>
      <c r="AJ929" s="101"/>
      <c r="AK929" s="101"/>
      <c r="AL929" s="101"/>
    </row>
    <row r="930">
      <c r="A930" s="101"/>
      <c r="B930" s="644"/>
      <c r="C930" s="101"/>
      <c r="D930" s="605"/>
      <c r="E930" s="645"/>
      <c r="F930" s="101"/>
      <c r="G930" s="101"/>
      <c r="H930" s="101"/>
      <c r="I930" s="606"/>
      <c r="J930" s="606"/>
      <c r="K930" s="606"/>
      <c r="L930" s="606"/>
      <c r="M930" s="606"/>
      <c r="N930" s="606"/>
      <c r="O930" s="606"/>
      <c r="P930" s="606"/>
      <c r="Q930" s="606"/>
      <c r="R930" s="606"/>
      <c r="S930" s="606"/>
      <c r="T930" s="606"/>
      <c r="U930" s="606"/>
      <c r="V930" s="461"/>
      <c r="W930" s="461"/>
      <c r="X930" s="131"/>
      <c r="Y930" s="101"/>
      <c r="Z930" s="101"/>
      <c r="AA930" s="101"/>
      <c r="AB930" s="101"/>
      <c r="AC930" s="101"/>
      <c r="AD930" s="101"/>
      <c r="AE930" s="101"/>
      <c r="AF930" s="101"/>
      <c r="AG930" s="101"/>
      <c r="AH930" s="101"/>
      <c r="AI930" s="101"/>
      <c r="AJ930" s="101"/>
      <c r="AK930" s="101"/>
      <c r="AL930" s="101"/>
    </row>
    <row r="931">
      <c r="A931" s="101"/>
      <c r="B931" s="644"/>
      <c r="C931" s="101"/>
      <c r="D931" s="605"/>
      <c r="E931" s="645"/>
      <c r="F931" s="101"/>
      <c r="G931" s="101"/>
      <c r="H931" s="101"/>
      <c r="I931" s="606"/>
      <c r="J931" s="606"/>
      <c r="K931" s="606"/>
      <c r="L931" s="606"/>
      <c r="M931" s="606"/>
      <c r="N931" s="606"/>
      <c r="O931" s="606"/>
      <c r="P931" s="606"/>
      <c r="Q931" s="606"/>
      <c r="R931" s="606"/>
      <c r="S931" s="606"/>
      <c r="T931" s="606"/>
      <c r="U931" s="606"/>
      <c r="V931" s="461"/>
      <c r="W931" s="461"/>
      <c r="X931" s="131"/>
      <c r="Y931" s="101"/>
      <c r="Z931" s="101"/>
      <c r="AA931" s="101"/>
      <c r="AB931" s="101"/>
      <c r="AC931" s="101"/>
      <c r="AD931" s="101"/>
      <c r="AE931" s="101"/>
      <c r="AF931" s="101"/>
      <c r="AG931" s="101"/>
      <c r="AH931" s="101"/>
      <c r="AI931" s="101"/>
      <c r="AJ931" s="101"/>
      <c r="AK931" s="101"/>
      <c r="AL931" s="101"/>
    </row>
    <row r="932">
      <c r="A932" s="101"/>
      <c r="B932" s="644"/>
      <c r="C932" s="101"/>
      <c r="D932" s="605"/>
      <c r="E932" s="645"/>
      <c r="F932" s="101"/>
      <c r="G932" s="101"/>
      <c r="H932" s="101"/>
      <c r="I932" s="606"/>
      <c r="J932" s="606"/>
      <c r="K932" s="606"/>
      <c r="L932" s="606"/>
      <c r="M932" s="606"/>
      <c r="N932" s="606"/>
      <c r="O932" s="606"/>
      <c r="P932" s="606"/>
      <c r="Q932" s="606"/>
      <c r="R932" s="606"/>
      <c r="S932" s="606"/>
      <c r="T932" s="606"/>
      <c r="U932" s="606"/>
      <c r="V932" s="461"/>
      <c r="W932" s="461"/>
      <c r="X932" s="131"/>
      <c r="Y932" s="101"/>
      <c r="Z932" s="101"/>
      <c r="AA932" s="101"/>
      <c r="AB932" s="101"/>
      <c r="AC932" s="101"/>
      <c r="AD932" s="101"/>
      <c r="AE932" s="101"/>
      <c r="AF932" s="101"/>
      <c r="AG932" s="101"/>
      <c r="AH932" s="101"/>
      <c r="AI932" s="101"/>
      <c r="AJ932" s="101"/>
      <c r="AK932" s="101"/>
      <c r="AL932" s="101"/>
    </row>
    <row r="933">
      <c r="A933" s="101"/>
      <c r="B933" s="644"/>
      <c r="C933" s="101"/>
      <c r="D933" s="605"/>
      <c r="E933" s="645"/>
      <c r="F933" s="101"/>
      <c r="G933" s="101"/>
      <c r="H933" s="101"/>
      <c r="I933" s="606"/>
      <c r="J933" s="606"/>
      <c r="K933" s="606"/>
      <c r="L933" s="606"/>
      <c r="M933" s="606"/>
      <c r="N933" s="606"/>
      <c r="O933" s="606"/>
      <c r="P933" s="606"/>
      <c r="Q933" s="606"/>
      <c r="R933" s="606"/>
      <c r="S933" s="606"/>
      <c r="T933" s="606"/>
      <c r="U933" s="606"/>
      <c r="V933" s="461"/>
      <c r="W933" s="461"/>
      <c r="X933" s="131"/>
      <c r="Y933" s="101"/>
      <c r="Z933" s="101"/>
      <c r="AA933" s="101"/>
      <c r="AB933" s="101"/>
      <c r="AC933" s="101"/>
      <c r="AD933" s="101"/>
      <c r="AE933" s="101"/>
      <c r="AF933" s="101"/>
      <c r="AG933" s="101"/>
      <c r="AH933" s="101"/>
      <c r="AI933" s="101"/>
      <c r="AJ933" s="101"/>
      <c r="AK933" s="101"/>
      <c r="AL933" s="101"/>
    </row>
    <row r="934">
      <c r="A934" s="101"/>
      <c r="B934" s="644"/>
      <c r="C934" s="101"/>
      <c r="D934" s="605"/>
      <c r="E934" s="645"/>
      <c r="F934" s="101"/>
      <c r="G934" s="101"/>
      <c r="H934" s="101"/>
      <c r="I934" s="606"/>
      <c r="J934" s="606"/>
      <c r="K934" s="606"/>
      <c r="L934" s="606"/>
      <c r="M934" s="606"/>
      <c r="N934" s="606"/>
      <c r="O934" s="606"/>
      <c r="P934" s="606"/>
      <c r="Q934" s="606"/>
      <c r="R934" s="606"/>
      <c r="S934" s="606"/>
      <c r="T934" s="606"/>
      <c r="U934" s="606"/>
      <c r="V934" s="461"/>
      <c r="W934" s="461"/>
      <c r="X934" s="131"/>
      <c r="Y934" s="101"/>
      <c r="Z934" s="101"/>
      <c r="AA934" s="101"/>
      <c r="AB934" s="101"/>
      <c r="AC934" s="101"/>
      <c r="AD934" s="101"/>
      <c r="AE934" s="101"/>
      <c r="AF934" s="101"/>
      <c r="AG934" s="101"/>
      <c r="AH934" s="101"/>
      <c r="AI934" s="101"/>
      <c r="AJ934" s="101"/>
      <c r="AK934" s="101"/>
      <c r="AL934" s="101"/>
    </row>
    <row r="935">
      <c r="A935" s="101"/>
      <c r="B935" s="644"/>
      <c r="C935" s="101"/>
      <c r="D935" s="605"/>
      <c r="E935" s="645"/>
      <c r="F935" s="101"/>
      <c r="G935" s="101"/>
      <c r="H935" s="101"/>
      <c r="I935" s="606"/>
      <c r="J935" s="606"/>
      <c r="K935" s="606"/>
      <c r="L935" s="606"/>
      <c r="M935" s="606"/>
      <c r="N935" s="606"/>
      <c r="O935" s="606"/>
      <c r="P935" s="606"/>
      <c r="Q935" s="606"/>
      <c r="R935" s="606"/>
      <c r="S935" s="606"/>
      <c r="T935" s="606"/>
      <c r="U935" s="606"/>
      <c r="V935" s="461"/>
      <c r="W935" s="461"/>
      <c r="X935" s="131"/>
      <c r="Y935" s="101"/>
      <c r="Z935" s="101"/>
      <c r="AA935" s="101"/>
      <c r="AB935" s="101"/>
      <c r="AC935" s="101"/>
      <c r="AD935" s="101"/>
      <c r="AE935" s="101"/>
      <c r="AF935" s="101"/>
      <c r="AG935" s="101"/>
      <c r="AH935" s="101"/>
      <c r="AI935" s="101"/>
      <c r="AJ935" s="101"/>
      <c r="AK935" s="101"/>
      <c r="AL935" s="101"/>
    </row>
    <row r="936">
      <c r="A936" s="101"/>
      <c r="B936" s="644"/>
      <c r="C936" s="101"/>
      <c r="D936" s="605"/>
      <c r="E936" s="645"/>
      <c r="F936" s="101"/>
      <c r="G936" s="101"/>
      <c r="H936" s="101"/>
      <c r="I936" s="606"/>
      <c r="J936" s="606"/>
      <c r="K936" s="606"/>
      <c r="L936" s="606"/>
      <c r="M936" s="606"/>
      <c r="N936" s="606"/>
      <c r="O936" s="606"/>
      <c r="P936" s="606"/>
      <c r="Q936" s="606"/>
      <c r="R936" s="606"/>
      <c r="S936" s="606"/>
      <c r="T936" s="606"/>
      <c r="U936" s="606"/>
      <c r="V936" s="461"/>
      <c r="W936" s="461"/>
      <c r="X936" s="131"/>
      <c r="Y936" s="101"/>
      <c r="Z936" s="101"/>
      <c r="AA936" s="101"/>
      <c r="AB936" s="101"/>
      <c r="AC936" s="101"/>
      <c r="AD936" s="101"/>
      <c r="AE936" s="101"/>
      <c r="AF936" s="101"/>
      <c r="AG936" s="101"/>
      <c r="AH936" s="101"/>
      <c r="AI936" s="101"/>
      <c r="AJ936" s="101"/>
      <c r="AK936" s="101"/>
      <c r="AL936" s="101"/>
    </row>
    <row r="937">
      <c r="A937" s="101"/>
      <c r="B937" s="644"/>
      <c r="C937" s="101"/>
      <c r="D937" s="605"/>
      <c r="E937" s="645"/>
      <c r="F937" s="101"/>
      <c r="G937" s="101"/>
      <c r="H937" s="101"/>
      <c r="I937" s="606"/>
      <c r="J937" s="606"/>
      <c r="K937" s="606"/>
      <c r="L937" s="606"/>
      <c r="M937" s="606"/>
      <c r="N937" s="606"/>
      <c r="O937" s="606"/>
      <c r="P937" s="606"/>
      <c r="Q937" s="606"/>
      <c r="R937" s="606"/>
      <c r="S937" s="606"/>
      <c r="T937" s="606"/>
      <c r="U937" s="606"/>
      <c r="V937" s="461"/>
      <c r="W937" s="461"/>
      <c r="X937" s="131"/>
      <c r="Y937" s="101"/>
      <c r="Z937" s="101"/>
      <c r="AA937" s="101"/>
      <c r="AB937" s="101"/>
      <c r="AC937" s="101"/>
      <c r="AD937" s="101"/>
      <c r="AE937" s="101"/>
      <c r="AF937" s="101"/>
      <c r="AG937" s="101"/>
      <c r="AH937" s="101"/>
      <c r="AI937" s="101"/>
      <c r="AJ937" s="101"/>
      <c r="AK937" s="101"/>
      <c r="AL937" s="101"/>
    </row>
    <row r="938">
      <c r="A938" s="101"/>
      <c r="B938" s="644"/>
      <c r="C938" s="101"/>
      <c r="D938" s="605"/>
      <c r="E938" s="645"/>
      <c r="F938" s="101"/>
      <c r="G938" s="101"/>
      <c r="H938" s="101"/>
      <c r="I938" s="606"/>
      <c r="J938" s="606"/>
      <c r="K938" s="606"/>
      <c r="L938" s="606"/>
      <c r="M938" s="606"/>
      <c r="N938" s="606"/>
      <c r="O938" s="606"/>
      <c r="P938" s="606"/>
      <c r="Q938" s="606"/>
      <c r="R938" s="606"/>
      <c r="S938" s="606"/>
      <c r="T938" s="606"/>
      <c r="U938" s="606"/>
      <c r="V938" s="461"/>
      <c r="W938" s="461"/>
      <c r="X938" s="131"/>
      <c r="Y938" s="101"/>
      <c r="Z938" s="101"/>
      <c r="AA938" s="101"/>
      <c r="AB938" s="101"/>
      <c r="AC938" s="101"/>
      <c r="AD938" s="101"/>
      <c r="AE938" s="101"/>
      <c r="AF938" s="101"/>
      <c r="AG938" s="101"/>
      <c r="AH938" s="101"/>
      <c r="AI938" s="101"/>
      <c r="AJ938" s="101"/>
      <c r="AK938" s="101"/>
      <c r="AL938" s="101"/>
    </row>
    <row r="939">
      <c r="A939" s="101"/>
      <c r="B939" s="644"/>
      <c r="C939" s="101"/>
      <c r="D939" s="605"/>
      <c r="E939" s="645"/>
      <c r="F939" s="101"/>
      <c r="G939" s="101"/>
      <c r="H939" s="101"/>
      <c r="I939" s="606"/>
      <c r="J939" s="606"/>
      <c r="K939" s="606"/>
      <c r="L939" s="606"/>
      <c r="M939" s="606"/>
      <c r="N939" s="606"/>
      <c r="O939" s="606"/>
      <c r="P939" s="606"/>
      <c r="Q939" s="606"/>
      <c r="R939" s="606"/>
      <c r="S939" s="606"/>
      <c r="T939" s="606"/>
      <c r="U939" s="606"/>
      <c r="V939" s="461"/>
      <c r="W939" s="461"/>
      <c r="X939" s="131"/>
      <c r="Y939" s="101"/>
      <c r="Z939" s="101"/>
      <c r="AA939" s="101"/>
      <c r="AB939" s="101"/>
      <c r="AC939" s="101"/>
      <c r="AD939" s="101"/>
      <c r="AE939" s="101"/>
      <c r="AF939" s="101"/>
      <c r="AG939" s="101"/>
      <c r="AH939" s="101"/>
      <c r="AI939" s="101"/>
      <c r="AJ939" s="101"/>
      <c r="AK939" s="101"/>
      <c r="AL939" s="101"/>
    </row>
    <row r="940">
      <c r="A940" s="101"/>
      <c r="B940" s="644"/>
      <c r="C940" s="101"/>
      <c r="D940" s="605"/>
      <c r="E940" s="645"/>
      <c r="F940" s="101"/>
      <c r="G940" s="101"/>
      <c r="H940" s="101"/>
      <c r="I940" s="606"/>
      <c r="J940" s="606"/>
      <c r="K940" s="606"/>
      <c r="L940" s="606"/>
      <c r="M940" s="606"/>
      <c r="N940" s="606"/>
      <c r="O940" s="606"/>
      <c r="P940" s="606"/>
      <c r="Q940" s="606"/>
      <c r="R940" s="606"/>
      <c r="S940" s="606"/>
      <c r="T940" s="606"/>
      <c r="U940" s="606"/>
      <c r="V940" s="461"/>
      <c r="W940" s="461"/>
      <c r="X940" s="131"/>
      <c r="Y940" s="101"/>
      <c r="Z940" s="101"/>
      <c r="AA940" s="101"/>
      <c r="AB940" s="101"/>
      <c r="AC940" s="101"/>
      <c r="AD940" s="101"/>
      <c r="AE940" s="101"/>
      <c r="AF940" s="101"/>
      <c r="AG940" s="101"/>
      <c r="AH940" s="101"/>
      <c r="AI940" s="101"/>
      <c r="AJ940" s="101"/>
      <c r="AK940" s="101"/>
      <c r="AL940" s="101"/>
    </row>
    <row r="941">
      <c r="A941" s="101"/>
      <c r="B941" s="644"/>
      <c r="C941" s="101"/>
      <c r="D941" s="605"/>
      <c r="E941" s="645"/>
      <c r="F941" s="101"/>
      <c r="G941" s="101"/>
      <c r="H941" s="101"/>
      <c r="I941" s="606"/>
      <c r="J941" s="606"/>
      <c r="K941" s="606"/>
      <c r="L941" s="606"/>
      <c r="M941" s="606"/>
      <c r="N941" s="606"/>
      <c r="O941" s="606"/>
      <c r="P941" s="606"/>
      <c r="Q941" s="606"/>
      <c r="R941" s="606"/>
      <c r="S941" s="606"/>
      <c r="T941" s="606"/>
      <c r="U941" s="606"/>
      <c r="V941" s="461"/>
      <c r="W941" s="461"/>
      <c r="X941" s="131"/>
      <c r="Y941" s="101"/>
      <c r="Z941" s="101"/>
      <c r="AA941" s="101"/>
      <c r="AB941" s="101"/>
      <c r="AC941" s="101"/>
      <c r="AD941" s="101"/>
      <c r="AE941" s="101"/>
      <c r="AF941" s="101"/>
      <c r="AG941" s="101"/>
      <c r="AH941" s="101"/>
      <c r="AI941" s="101"/>
      <c r="AJ941" s="101"/>
      <c r="AK941" s="101"/>
      <c r="AL941" s="101"/>
    </row>
    <row r="942">
      <c r="A942" s="101"/>
      <c r="B942" s="644"/>
      <c r="C942" s="101"/>
      <c r="D942" s="605"/>
      <c r="E942" s="645"/>
      <c r="F942" s="101"/>
      <c r="G942" s="101"/>
      <c r="H942" s="101"/>
      <c r="I942" s="606"/>
      <c r="J942" s="606"/>
      <c r="K942" s="606"/>
      <c r="L942" s="606"/>
      <c r="M942" s="606"/>
      <c r="N942" s="606"/>
      <c r="O942" s="606"/>
      <c r="P942" s="606"/>
      <c r="Q942" s="606"/>
      <c r="R942" s="606"/>
      <c r="S942" s="606"/>
      <c r="T942" s="606"/>
      <c r="U942" s="606"/>
      <c r="V942" s="461"/>
      <c r="W942" s="461"/>
      <c r="X942" s="131"/>
      <c r="Y942" s="101"/>
      <c r="Z942" s="101"/>
      <c r="AA942" s="101"/>
      <c r="AB942" s="101"/>
      <c r="AC942" s="101"/>
      <c r="AD942" s="101"/>
      <c r="AE942" s="101"/>
      <c r="AF942" s="101"/>
      <c r="AG942" s="101"/>
      <c r="AH942" s="101"/>
      <c r="AI942" s="101"/>
      <c r="AJ942" s="101"/>
      <c r="AK942" s="101"/>
      <c r="AL942" s="101"/>
    </row>
    <row r="943">
      <c r="A943" s="101"/>
      <c r="B943" s="644"/>
      <c r="C943" s="101"/>
      <c r="D943" s="605"/>
      <c r="E943" s="645"/>
      <c r="F943" s="101"/>
      <c r="G943" s="101"/>
      <c r="H943" s="101"/>
      <c r="I943" s="606"/>
      <c r="J943" s="606"/>
      <c r="K943" s="606"/>
      <c r="L943" s="606"/>
      <c r="M943" s="606"/>
      <c r="N943" s="606"/>
      <c r="O943" s="606"/>
      <c r="P943" s="606"/>
      <c r="Q943" s="606"/>
      <c r="R943" s="606"/>
      <c r="S943" s="606"/>
      <c r="T943" s="606"/>
      <c r="U943" s="606"/>
      <c r="V943" s="461"/>
      <c r="W943" s="461"/>
      <c r="X943" s="131"/>
      <c r="Y943" s="101"/>
      <c r="Z943" s="101"/>
      <c r="AA943" s="101"/>
      <c r="AB943" s="101"/>
      <c r="AC943" s="101"/>
      <c r="AD943" s="101"/>
      <c r="AE943" s="101"/>
      <c r="AF943" s="101"/>
      <c r="AG943" s="101"/>
      <c r="AH943" s="101"/>
      <c r="AI943" s="101"/>
      <c r="AJ943" s="101"/>
      <c r="AK943" s="101"/>
      <c r="AL943" s="101"/>
    </row>
    <row r="944">
      <c r="A944" s="101"/>
      <c r="B944" s="644"/>
      <c r="C944" s="101"/>
      <c r="D944" s="605"/>
      <c r="E944" s="645"/>
      <c r="F944" s="101"/>
      <c r="G944" s="101"/>
      <c r="H944" s="101"/>
      <c r="I944" s="606"/>
      <c r="J944" s="606"/>
      <c r="K944" s="606"/>
      <c r="L944" s="606"/>
      <c r="M944" s="606"/>
      <c r="N944" s="606"/>
      <c r="O944" s="606"/>
      <c r="P944" s="606"/>
      <c r="Q944" s="606"/>
      <c r="R944" s="606"/>
      <c r="S944" s="606"/>
      <c r="T944" s="606"/>
      <c r="U944" s="606"/>
      <c r="V944" s="461"/>
      <c r="W944" s="461"/>
      <c r="X944" s="131"/>
      <c r="Y944" s="101"/>
      <c r="Z944" s="101"/>
      <c r="AA944" s="101"/>
      <c r="AB944" s="101"/>
      <c r="AC944" s="101"/>
      <c r="AD944" s="101"/>
      <c r="AE944" s="101"/>
      <c r="AF944" s="101"/>
      <c r="AG944" s="101"/>
      <c r="AH944" s="101"/>
      <c r="AI944" s="101"/>
      <c r="AJ944" s="101"/>
      <c r="AK944" s="101"/>
      <c r="AL944" s="101"/>
    </row>
    <row r="945">
      <c r="A945" s="101"/>
      <c r="B945" s="644"/>
      <c r="C945" s="101"/>
      <c r="D945" s="605"/>
      <c r="E945" s="645"/>
      <c r="F945" s="101"/>
      <c r="G945" s="101"/>
      <c r="H945" s="101"/>
      <c r="I945" s="606"/>
      <c r="J945" s="606"/>
      <c r="K945" s="606"/>
      <c r="L945" s="606"/>
      <c r="M945" s="606"/>
      <c r="N945" s="606"/>
      <c r="O945" s="606"/>
      <c r="P945" s="606"/>
      <c r="Q945" s="606"/>
      <c r="R945" s="606"/>
      <c r="S945" s="606"/>
      <c r="T945" s="606"/>
      <c r="U945" s="606"/>
      <c r="V945" s="461"/>
      <c r="W945" s="461"/>
      <c r="X945" s="131"/>
      <c r="Y945" s="101"/>
      <c r="Z945" s="101"/>
      <c r="AA945" s="101"/>
      <c r="AB945" s="101"/>
      <c r="AC945" s="101"/>
      <c r="AD945" s="101"/>
      <c r="AE945" s="101"/>
      <c r="AF945" s="101"/>
      <c r="AG945" s="101"/>
      <c r="AH945" s="101"/>
      <c r="AI945" s="101"/>
      <c r="AJ945" s="101"/>
      <c r="AK945" s="101"/>
      <c r="AL945" s="101"/>
    </row>
    <row r="946">
      <c r="A946" s="101"/>
      <c r="B946" s="644"/>
      <c r="C946" s="101"/>
      <c r="D946" s="605"/>
      <c r="E946" s="645"/>
      <c r="F946" s="101"/>
      <c r="G946" s="101"/>
      <c r="H946" s="101"/>
      <c r="I946" s="606"/>
      <c r="J946" s="606"/>
      <c r="K946" s="606"/>
      <c r="L946" s="606"/>
      <c r="M946" s="606"/>
      <c r="N946" s="606"/>
      <c r="O946" s="606"/>
      <c r="P946" s="606"/>
      <c r="Q946" s="606"/>
      <c r="R946" s="606"/>
      <c r="S946" s="606"/>
      <c r="T946" s="606"/>
      <c r="U946" s="606"/>
      <c r="V946" s="461"/>
      <c r="W946" s="461"/>
      <c r="X946" s="131"/>
      <c r="Y946" s="101"/>
      <c r="Z946" s="101"/>
      <c r="AA946" s="101"/>
      <c r="AB946" s="101"/>
      <c r="AC946" s="101"/>
      <c r="AD946" s="101"/>
      <c r="AE946" s="101"/>
      <c r="AF946" s="101"/>
      <c r="AG946" s="101"/>
      <c r="AH946" s="101"/>
      <c r="AI946" s="101"/>
      <c r="AJ946" s="101"/>
      <c r="AK946" s="101"/>
      <c r="AL946" s="101"/>
    </row>
    <row r="947">
      <c r="A947" s="101"/>
      <c r="B947" s="644"/>
      <c r="C947" s="101"/>
      <c r="D947" s="605"/>
      <c r="E947" s="645"/>
      <c r="F947" s="101"/>
      <c r="G947" s="101"/>
      <c r="H947" s="101"/>
      <c r="I947" s="606"/>
      <c r="J947" s="606"/>
      <c r="K947" s="606"/>
      <c r="L947" s="606"/>
      <c r="M947" s="606"/>
      <c r="N947" s="606"/>
      <c r="O947" s="606"/>
      <c r="P947" s="606"/>
      <c r="Q947" s="606"/>
      <c r="R947" s="606"/>
      <c r="S947" s="606"/>
      <c r="T947" s="606"/>
      <c r="U947" s="606"/>
      <c r="V947" s="461"/>
      <c r="W947" s="461"/>
      <c r="X947" s="131"/>
      <c r="Y947" s="101"/>
      <c r="Z947" s="101"/>
      <c r="AA947" s="101"/>
      <c r="AB947" s="101"/>
      <c r="AC947" s="101"/>
      <c r="AD947" s="101"/>
      <c r="AE947" s="101"/>
      <c r="AF947" s="101"/>
      <c r="AG947" s="101"/>
      <c r="AH947" s="101"/>
      <c r="AI947" s="101"/>
      <c r="AJ947" s="101"/>
      <c r="AK947" s="101"/>
      <c r="AL947" s="101"/>
    </row>
    <row r="948">
      <c r="A948" s="101"/>
      <c r="B948" s="644"/>
      <c r="C948" s="101"/>
      <c r="D948" s="605"/>
      <c r="E948" s="645"/>
      <c r="F948" s="101"/>
      <c r="G948" s="101"/>
      <c r="H948" s="101"/>
      <c r="I948" s="606"/>
      <c r="J948" s="606"/>
      <c r="K948" s="606"/>
      <c r="L948" s="606"/>
      <c r="M948" s="606"/>
      <c r="N948" s="606"/>
      <c r="O948" s="606"/>
      <c r="P948" s="606"/>
      <c r="Q948" s="606"/>
      <c r="R948" s="606"/>
      <c r="S948" s="606"/>
      <c r="T948" s="606"/>
      <c r="U948" s="606"/>
      <c r="V948" s="461"/>
      <c r="W948" s="461"/>
      <c r="X948" s="131"/>
      <c r="Y948" s="101"/>
      <c r="Z948" s="101"/>
      <c r="AA948" s="101"/>
      <c r="AB948" s="101"/>
      <c r="AC948" s="101"/>
      <c r="AD948" s="101"/>
      <c r="AE948" s="101"/>
      <c r="AF948" s="101"/>
      <c r="AG948" s="101"/>
      <c r="AH948" s="101"/>
      <c r="AI948" s="101"/>
      <c r="AJ948" s="101"/>
      <c r="AK948" s="101"/>
      <c r="AL948" s="101"/>
    </row>
    <row r="949">
      <c r="A949" s="101"/>
      <c r="B949" s="644"/>
      <c r="C949" s="101"/>
      <c r="D949" s="605"/>
      <c r="E949" s="645"/>
      <c r="F949" s="101"/>
      <c r="G949" s="101"/>
      <c r="H949" s="101"/>
      <c r="I949" s="606"/>
      <c r="J949" s="606"/>
      <c r="K949" s="606"/>
      <c r="L949" s="606"/>
      <c r="M949" s="606"/>
      <c r="N949" s="606"/>
      <c r="O949" s="606"/>
      <c r="P949" s="606"/>
      <c r="Q949" s="606"/>
      <c r="R949" s="606"/>
      <c r="S949" s="606"/>
      <c r="T949" s="606"/>
      <c r="U949" s="606"/>
      <c r="V949" s="461"/>
      <c r="W949" s="461"/>
      <c r="X949" s="131"/>
      <c r="Y949" s="101"/>
      <c r="Z949" s="101"/>
      <c r="AA949" s="101"/>
      <c r="AB949" s="101"/>
      <c r="AC949" s="101"/>
      <c r="AD949" s="101"/>
      <c r="AE949" s="101"/>
      <c r="AF949" s="101"/>
      <c r="AG949" s="101"/>
      <c r="AH949" s="101"/>
      <c r="AI949" s="101"/>
      <c r="AJ949" s="101"/>
      <c r="AK949" s="101"/>
      <c r="AL949" s="101"/>
    </row>
    <row r="950">
      <c r="A950" s="101"/>
      <c r="B950" s="644"/>
      <c r="C950" s="101"/>
      <c r="D950" s="605"/>
      <c r="E950" s="645"/>
      <c r="F950" s="101"/>
      <c r="G950" s="101"/>
      <c r="H950" s="101"/>
      <c r="I950" s="606"/>
      <c r="J950" s="606"/>
      <c r="K950" s="606"/>
      <c r="L950" s="606"/>
      <c r="M950" s="606"/>
      <c r="N950" s="606"/>
      <c r="O950" s="606"/>
      <c r="P950" s="606"/>
      <c r="Q950" s="606"/>
      <c r="R950" s="606"/>
      <c r="S950" s="606"/>
      <c r="T950" s="606"/>
      <c r="U950" s="606"/>
      <c r="V950" s="461"/>
      <c r="W950" s="461"/>
      <c r="X950" s="131"/>
      <c r="Y950" s="101"/>
      <c r="Z950" s="101"/>
      <c r="AA950" s="101"/>
      <c r="AB950" s="101"/>
      <c r="AC950" s="101"/>
      <c r="AD950" s="101"/>
      <c r="AE950" s="101"/>
      <c r="AF950" s="101"/>
      <c r="AG950" s="101"/>
      <c r="AH950" s="101"/>
      <c r="AI950" s="101"/>
      <c r="AJ950" s="101"/>
      <c r="AK950" s="101"/>
      <c r="AL950" s="101"/>
    </row>
    <row r="951">
      <c r="A951" s="101"/>
      <c r="B951" s="644"/>
      <c r="C951" s="101"/>
      <c r="D951" s="605"/>
      <c r="E951" s="645"/>
      <c r="F951" s="101"/>
      <c r="G951" s="101"/>
      <c r="H951" s="101"/>
      <c r="I951" s="606"/>
      <c r="J951" s="606"/>
      <c r="K951" s="606"/>
      <c r="L951" s="606"/>
      <c r="M951" s="606"/>
      <c r="N951" s="606"/>
      <c r="O951" s="606"/>
      <c r="P951" s="606"/>
      <c r="Q951" s="606"/>
      <c r="R951" s="606"/>
      <c r="S951" s="606"/>
      <c r="T951" s="606"/>
      <c r="U951" s="606"/>
      <c r="V951" s="461"/>
      <c r="W951" s="461"/>
      <c r="X951" s="131"/>
      <c r="Y951" s="101"/>
      <c r="Z951" s="101"/>
      <c r="AA951" s="101"/>
      <c r="AB951" s="101"/>
      <c r="AC951" s="101"/>
      <c r="AD951" s="101"/>
      <c r="AE951" s="101"/>
      <c r="AF951" s="101"/>
      <c r="AG951" s="101"/>
      <c r="AH951" s="101"/>
      <c r="AI951" s="101"/>
      <c r="AJ951" s="101"/>
      <c r="AK951" s="101"/>
      <c r="AL951" s="101"/>
    </row>
    <row r="952">
      <c r="A952" s="101"/>
      <c r="B952" s="644"/>
      <c r="C952" s="101"/>
      <c r="D952" s="605"/>
      <c r="E952" s="645"/>
      <c r="F952" s="101"/>
      <c r="G952" s="101"/>
      <c r="H952" s="101"/>
      <c r="I952" s="606"/>
      <c r="J952" s="606"/>
      <c r="K952" s="606"/>
      <c r="L952" s="606"/>
      <c r="M952" s="606"/>
      <c r="N952" s="606"/>
      <c r="O952" s="606"/>
      <c r="P952" s="606"/>
      <c r="Q952" s="606"/>
      <c r="R952" s="606"/>
      <c r="S952" s="606"/>
      <c r="T952" s="606"/>
      <c r="U952" s="606"/>
      <c r="V952" s="461"/>
      <c r="W952" s="461"/>
      <c r="X952" s="131"/>
      <c r="Y952" s="101"/>
      <c r="Z952" s="101"/>
      <c r="AA952" s="101"/>
      <c r="AB952" s="101"/>
      <c r="AC952" s="101"/>
      <c r="AD952" s="101"/>
      <c r="AE952" s="101"/>
      <c r="AF952" s="101"/>
      <c r="AG952" s="101"/>
      <c r="AH952" s="101"/>
      <c r="AI952" s="101"/>
      <c r="AJ952" s="101"/>
      <c r="AK952" s="101"/>
      <c r="AL952" s="101"/>
    </row>
    <row r="953">
      <c r="A953" s="101"/>
      <c r="B953" s="644"/>
      <c r="C953" s="101"/>
      <c r="D953" s="605"/>
      <c r="E953" s="645"/>
      <c r="F953" s="101"/>
      <c r="G953" s="101"/>
      <c r="H953" s="101"/>
      <c r="I953" s="606"/>
      <c r="J953" s="606"/>
      <c r="K953" s="606"/>
      <c r="L953" s="606"/>
      <c r="M953" s="606"/>
      <c r="N953" s="606"/>
      <c r="O953" s="606"/>
      <c r="P953" s="606"/>
      <c r="Q953" s="606"/>
      <c r="R953" s="606"/>
      <c r="S953" s="606"/>
      <c r="T953" s="606"/>
      <c r="U953" s="606"/>
      <c r="V953" s="461"/>
      <c r="W953" s="461"/>
      <c r="X953" s="131"/>
      <c r="Y953" s="101"/>
      <c r="Z953" s="101"/>
      <c r="AA953" s="101"/>
      <c r="AB953" s="101"/>
      <c r="AC953" s="101"/>
      <c r="AD953" s="101"/>
      <c r="AE953" s="101"/>
      <c r="AF953" s="101"/>
      <c r="AG953" s="101"/>
      <c r="AH953" s="101"/>
      <c r="AI953" s="101"/>
      <c r="AJ953" s="101"/>
      <c r="AK953" s="101"/>
      <c r="AL953" s="101"/>
    </row>
    <row r="954">
      <c r="A954" s="101"/>
      <c r="B954" s="644"/>
      <c r="C954" s="101"/>
      <c r="D954" s="605"/>
      <c r="E954" s="645"/>
      <c r="F954" s="101"/>
      <c r="G954" s="101"/>
      <c r="H954" s="101"/>
      <c r="I954" s="606"/>
      <c r="J954" s="606"/>
      <c r="K954" s="606"/>
      <c r="L954" s="606"/>
      <c r="M954" s="606"/>
      <c r="N954" s="606"/>
      <c r="O954" s="606"/>
      <c r="P954" s="606"/>
      <c r="Q954" s="606"/>
      <c r="R954" s="606"/>
      <c r="S954" s="606"/>
      <c r="T954" s="606"/>
      <c r="U954" s="606"/>
      <c r="V954" s="461"/>
      <c r="W954" s="461"/>
      <c r="X954" s="131"/>
      <c r="Y954" s="101"/>
      <c r="Z954" s="101"/>
      <c r="AA954" s="101"/>
      <c r="AB954" s="101"/>
      <c r="AC954" s="101"/>
      <c r="AD954" s="101"/>
      <c r="AE954" s="101"/>
      <c r="AF954" s="101"/>
      <c r="AG954" s="101"/>
      <c r="AH954" s="101"/>
      <c r="AI954" s="101"/>
      <c r="AJ954" s="101"/>
      <c r="AK954" s="101"/>
      <c r="AL954" s="101"/>
    </row>
    <row r="955">
      <c r="A955" s="101"/>
      <c r="B955" s="644"/>
      <c r="C955" s="101"/>
      <c r="D955" s="605"/>
      <c r="E955" s="645"/>
      <c r="F955" s="101"/>
      <c r="G955" s="101"/>
      <c r="H955" s="101"/>
      <c r="I955" s="606"/>
      <c r="J955" s="606"/>
      <c r="K955" s="606"/>
      <c r="L955" s="606"/>
      <c r="M955" s="606"/>
      <c r="N955" s="606"/>
      <c r="O955" s="606"/>
      <c r="P955" s="606"/>
      <c r="Q955" s="606"/>
      <c r="R955" s="606"/>
      <c r="S955" s="606"/>
      <c r="T955" s="606"/>
      <c r="U955" s="606"/>
      <c r="V955" s="461"/>
      <c r="W955" s="461"/>
      <c r="X955" s="131"/>
      <c r="Y955" s="101"/>
      <c r="Z955" s="101"/>
      <c r="AA955" s="101"/>
      <c r="AB955" s="101"/>
      <c r="AC955" s="101"/>
      <c r="AD955" s="101"/>
      <c r="AE955" s="101"/>
      <c r="AF955" s="101"/>
      <c r="AG955" s="101"/>
      <c r="AH955" s="101"/>
      <c r="AI955" s="101"/>
      <c r="AJ955" s="101"/>
      <c r="AK955" s="101"/>
      <c r="AL955" s="101"/>
    </row>
    <row r="956">
      <c r="A956" s="101"/>
      <c r="B956" s="644"/>
      <c r="C956" s="101"/>
      <c r="D956" s="605"/>
      <c r="E956" s="645"/>
      <c r="F956" s="101"/>
      <c r="G956" s="101"/>
      <c r="H956" s="101"/>
      <c r="I956" s="606"/>
      <c r="J956" s="606"/>
      <c r="K956" s="606"/>
      <c r="L956" s="606"/>
      <c r="M956" s="606"/>
      <c r="N956" s="606"/>
      <c r="O956" s="606"/>
      <c r="P956" s="606"/>
      <c r="Q956" s="606"/>
      <c r="R956" s="606"/>
      <c r="S956" s="606"/>
      <c r="T956" s="606"/>
      <c r="U956" s="606"/>
      <c r="V956" s="461"/>
      <c r="W956" s="461"/>
      <c r="X956" s="131"/>
      <c r="Y956" s="101"/>
      <c r="Z956" s="101"/>
      <c r="AA956" s="101"/>
      <c r="AB956" s="101"/>
      <c r="AC956" s="101"/>
      <c r="AD956" s="101"/>
      <c r="AE956" s="101"/>
      <c r="AF956" s="101"/>
      <c r="AG956" s="101"/>
      <c r="AH956" s="101"/>
      <c r="AI956" s="101"/>
      <c r="AJ956" s="101"/>
      <c r="AK956" s="101"/>
      <c r="AL956" s="101"/>
    </row>
    <row r="957">
      <c r="A957" s="101"/>
      <c r="B957" s="644"/>
      <c r="C957" s="101"/>
      <c r="D957" s="605"/>
      <c r="E957" s="645"/>
      <c r="F957" s="101"/>
      <c r="G957" s="101"/>
      <c r="H957" s="101"/>
      <c r="I957" s="606"/>
      <c r="J957" s="606"/>
      <c r="K957" s="606"/>
      <c r="L957" s="606"/>
      <c r="M957" s="606"/>
      <c r="N957" s="606"/>
      <c r="O957" s="606"/>
      <c r="P957" s="606"/>
      <c r="Q957" s="606"/>
      <c r="R957" s="606"/>
      <c r="S957" s="606"/>
      <c r="T957" s="606"/>
      <c r="U957" s="606"/>
      <c r="V957" s="461"/>
      <c r="W957" s="461"/>
      <c r="X957" s="131"/>
      <c r="Y957" s="101"/>
      <c r="Z957" s="101"/>
      <c r="AA957" s="101"/>
      <c r="AB957" s="101"/>
      <c r="AC957" s="101"/>
      <c r="AD957" s="101"/>
      <c r="AE957" s="101"/>
      <c r="AF957" s="101"/>
      <c r="AG957" s="101"/>
      <c r="AH957" s="101"/>
      <c r="AI957" s="101"/>
      <c r="AJ957" s="101"/>
      <c r="AK957" s="101"/>
      <c r="AL957" s="101"/>
    </row>
    <row r="958">
      <c r="A958" s="101"/>
      <c r="B958" s="644"/>
      <c r="C958" s="101"/>
      <c r="D958" s="605"/>
      <c r="E958" s="645"/>
      <c r="F958" s="101"/>
      <c r="G958" s="101"/>
      <c r="H958" s="101"/>
      <c r="I958" s="606"/>
      <c r="J958" s="606"/>
      <c r="K958" s="606"/>
      <c r="L958" s="606"/>
      <c r="M958" s="606"/>
      <c r="N958" s="606"/>
      <c r="O958" s="606"/>
      <c r="P958" s="606"/>
      <c r="Q958" s="606"/>
      <c r="R958" s="606"/>
      <c r="S958" s="606"/>
      <c r="T958" s="606"/>
      <c r="U958" s="606"/>
      <c r="V958" s="461"/>
      <c r="W958" s="461"/>
      <c r="X958" s="131"/>
      <c r="Y958" s="101"/>
      <c r="Z958" s="101"/>
      <c r="AA958" s="101"/>
      <c r="AB958" s="101"/>
      <c r="AC958" s="101"/>
      <c r="AD958" s="101"/>
      <c r="AE958" s="101"/>
      <c r="AF958" s="101"/>
      <c r="AG958" s="101"/>
      <c r="AH958" s="101"/>
      <c r="AI958" s="101"/>
      <c r="AJ958" s="101"/>
      <c r="AK958" s="101"/>
      <c r="AL958" s="101"/>
    </row>
    <row r="959">
      <c r="A959" s="101"/>
      <c r="B959" s="644"/>
      <c r="C959" s="101"/>
      <c r="D959" s="605"/>
      <c r="E959" s="645"/>
      <c r="F959" s="101"/>
      <c r="G959" s="101"/>
      <c r="H959" s="101"/>
      <c r="I959" s="606"/>
      <c r="J959" s="606"/>
      <c r="K959" s="606"/>
      <c r="L959" s="606"/>
      <c r="M959" s="606"/>
      <c r="N959" s="606"/>
      <c r="O959" s="606"/>
      <c r="P959" s="606"/>
      <c r="Q959" s="606"/>
      <c r="R959" s="606"/>
      <c r="S959" s="606"/>
      <c r="T959" s="606"/>
      <c r="U959" s="606"/>
      <c r="V959" s="461"/>
      <c r="W959" s="461"/>
      <c r="X959" s="131"/>
      <c r="Y959" s="101"/>
      <c r="Z959" s="101"/>
      <c r="AA959" s="101"/>
      <c r="AB959" s="101"/>
      <c r="AC959" s="101"/>
      <c r="AD959" s="101"/>
      <c r="AE959" s="101"/>
      <c r="AF959" s="101"/>
      <c r="AG959" s="101"/>
      <c r="AH959" s="101"/>
      <c r="AI959" s="101"/>
      <c r="AJ959" s="101"/>
      <c r="AK959" s="101"/>
      <c r="AL959" s="101"/>
    </row>
    <row r="960">
      <c r="A960" s="101"/>
      <c r="B960" s="644"/>
      <c r="C960" s="101"/>
      <c r="D960" s="605"/>
      <c r="E960" s="645"/>
      <c r="F960" s="101"/>
      <c r="G960" s="101"/>
      <c r="H960" s="101"/>
      <c r="I960" s="606"/>
      <c r="J960" s="606"/>
      <c r="K960" s="606"/>
      <c r="L960" s="606"/>
      <c r="M960" s="606"/>
      <c r="N960" s="606"/>
      <c r="O960" s="606"/>
      <c r="P960" s="606"/>
      <c r="Q960" s="606"/>
      <c r="R960" s="606"/>
      <c r="S960" s="606"/>
      <c r="T960" s="606"/>
      <c r="U960" s="606"/>
      <c r="V960" s="461"/>
      <c r="W960" s="461"/>
      <c r="X960" s="131"/>
      <c r="Y960" s="101"/>
      <c r="Z960" s="101"/>
      <c r="AA960" s="101"/>
      <c r="AB960" s="101"/>
      <c r="AC960" s="101"/>
      <c r="AD960" s="101"/>
      <c r="AE960" s="101"/>
      <c r="AF960" s="101"/>
      <c r="AG960" s="101"/>
      <c r="AH960" s="101"/>
      <c r="AI960" s="101"/>
      <c r="AJ960" s="101"/>
      <c r="AK960" s="101"/>
      <c r="AL960" s="101"/>
    </row>
    <row r="961">
      <c r="A961" s="101"/>
      <c r="B961" s="644"/>
      <c r="C961" s="101"/>
      <c r="D961" s="605"/>
      <c r="E961" s="645"/>
      <c r="F961" s="101"/>
      <c r="G961" s="101"/>
      <c r="H961" s="101"/>
      <c r="I961" s="606"/>
      <c r="J961" s="606"/>
      <c r="K961" s="606"/>
      <c r="L961" s="606"/>
      <c r="M961" s="606"/>
      <c r="N961" s="606"/>
      <c r="O961" s="606"/>
      <c r="P961" s="606"/>
      <c r="Q961" s="606"/>
      <c r="R961" s="606"/>
      <c r="S961" s="606"/>
      <c r="T961" s="606"/>
      <c r="U961" s="606"/>
      <c r="V961" s="461"/>
      <c r="W961" s="461"/>
      <c r="X961" s="131"/>
      <c r="Y961" s="101"/>
      <c r="Z961" s="101"/>
      <c r="AA961" s="101"/>
      <c r="AB961" s="101"/>
      <c r="AC961" s="101"/>
      <c r="AD961" s="101"/>
      <c r="AE961" s="101"/>
      <c r="AF961" s="101"/>
      <c r="AG961" s="101"/>
      <c r="AH961" s="101"/>
      <c r="AI961" s="101"/>
      <c r="AJ961" s="101"/>
      <c r="AK961" s="101"/>
      <c r="AL961" s="101"/>
    </row>
    <row r="962">
      <c r="A962" s="101"/>
      <c r="B962" s="644"/>
      <c r="C962" s="101"/>
      <c r="D962" s="605"/>
      <c r="E962" s="645"/>
      <c r="F962" s="101"/>
      <c r="G962" s="101"/>
      <c r="H962" s="101"/>
      <c r="I962" s="606"/>
      <c r="J962" s="606"/>
      <c r="K962" s="606"/>
      <c r="L962" s="606"/>
      <c r="M962" s="606"/>
      <c r="N962" s="606"/>
      <c r="O962" s="606"/>
      <c r="P962" s="606"/>
      <c r="Q962" s="606"/>
      <c r="R962" s="606"/>
      <c r="S962" s="606"/>
      <c r="T962" s="606"/>
      <c r="U962" s="606"/>
      <c r="V962" s="461"/>
      <c r="W962" s="461"/>
      <c r="X962" s="131"/>
      <c r="Y962" s="101"/>
      <c r="Z962" s="101"/>
      <c r="AA962" s="101"/>
      <c r="AB962" s="101"/>
      <c r="AC962" s="101"/>
      <c r="AD962" s="101"/>
      <c r="AE962" s="101"/>
      <c r="AF962" s="101"/>
      <c r="AG962" s="101"/>
      <c r="AH962" s="101"/>
      <c r="AI962" s="101"/>
      <c r="AJ962" s="101"/>
      <c r="AK962" s="101"/>
      <c r="AL962" s="101"/>
    </row>
    <row r="963">
      <c r="A963" s="101"/>
      <c r="B963" s="644"/>
      <c r="C963" s="101"/>
      <c r="D963" s="605"/>
      <c r="E963" s="645"/>
      <c r="F963" s="101"/>
      <c r="G963" s="101"/>
      <c r="H963" s="101"/>
      <c r="I963" s="606"/>
      <c r="J963" s="606"/>
      <c r="K963" s="606"/>
      <c r="L963" s="606"/>
      <c r="M963" s="606"/>
      <c r="N963" s="606"/>
      <c r="O963" s="606"/>
      <c r="P963" s="606"/>
      <c r="Q963" s="606"/>
      <c r="R963" s="606"/>
      <c r="S963" s="606"/>
      <c r="T963" s="606"/>
      <c r="U963" s="606"/>
      <c r="V963" s="461"/>
      <c r="W963" s="461"/>
      <c r="X963" s="131"/>
      <c r="Y963" s="101"/>
      <c r="Z963" s="101"/>
      <c r="AA963" s="101"/>
      <c r="AB963" s="101"/>
      <c r="AC963" s="101"/>
      <c r="AD963" s="101"/>
      <c r="AE963" s="101"/>
      <c r="AF963" s="101"/>
      <c r="AG963" s="101"/>
      <c r="AH963" s="101"/>
      <c r="AI963" s="101"/>
      <c r="AJ963" s="101"/>
      <c r="AK963" s="101"/>
      <c r="AL963" s="101"/>
    </row>
    <row r="964">
      <c r="A964" s="101"/>
      <c r="B964" s="644"/>
      <c r="C964" s="101"/>
      <c r="D964" s="605"/>
      <c r="E964" s="645"/>
      <c r="F964" s="101"/>
      <c r="G964" s="101"/>
      <c r="H964" s="101"/>
      <c r="I964" s="606"/>
      <c r="J964" s="606"/>
      <c r="K964" s="606"/>
      <c r="L964" s="606"/>
      <c r="M964" s="606"/>
      <c r="N964" s="606"/>
      <c r="O964" s="606"/>
      <c r="P964" s="606"/>
      <c r="Q964" s="606"/>
      <c r="R964" s="606"/>
      <c r="S964" s="606"/>
      <c r="T964" s="606"/>
      <c r="U964" s="606"/>
      <c r="V964" s="461"/>
      <c r="W964" s="461"/>
      <c r="X964" s="131"/>
      <c r="Y964" s="101"/>
      <c r="Z964" s="101"/>
      <c r="AA964" s="101"/>
      <c r="AB964" s="101"/>
      <c r="AC964" s="101"/>
      <c r="AD964" s="101"/>
      <c r="AE964" s="101"/>
      <c r="AF964" s="101"/>
      <c r="AG964" s="101"/>
      <c r="AH964" s="101"/>
      <c r="AI964" s="101"/>
      <c r="AJ964" s="101"/>
      <c r="AK964" s="101"/>
      <c r="AL964" s="101"/>
    </row>
    <row r="965">
      <c r="A965" s="101"/>
      <c r="B965" s="644"/>
      <c r="C965" s="101"/>
      <c r="D965" s="605"/>
      <c r="E965" s="645"/>
      <c r="F965" s="101"/>
      <c r="G965" s="101"/>
      <c r="H965" s="101"/>
      <c r="I965" s="606"/>
      <c r="J965" s="606"/>
      <c r="K965" s="606"/>
      <c r="L965" s="606"/>
      <c r="M965" s="606"/>
      <c r="N965" s="606"/>
      <c r="O965" s="606"/>
      <c r="P965" s="606"/>
      <c r="Q965" s="606"/>
      <c r="R965" s="606"/>
      <c r="S965" s="606"/>
      <c r="T965" s="606"/>
      <c r="U965" s="606"/>
      <c r="V965" s="461"/>
      <c r="W965" s="461"/>
      <c r="X965" s="131"/>
      <c r="Y965" s="101"/>
      <c r="Z965" s="101"/>
      <c r="AA965" s="101"/>
      <c r="AB965" s="101"/>
      <c r="AC965" s="101"/>
      <c r="AD965" s="101"/>
      <c r="AE965" s="101"/>
      <c r="AF965" s="101"/>
      <c r="AG965" s="101"/>
      <c r="AH965" s="101"/>
      <c r="AI965" s="101"/>
      <c r="AJ965" s="101"/>
      <c r="AK965" s="101"/>
      <c r="AL965" s="101"/>
    </row>
    <row r="966">
      <c r="A966" s="101"/>
      <c r="B966" s="644"/>
      <c r="C966" s="101"/>
      <c r="D966" s="605"/>
      <c r="E966" s="645"/>
      <c r="F966" s="101"/>
      <c r="G966" s="101"/>
      <c r="H966" s="101"/>
      <c r="I966" s="606"/>
      <c r="J966" s="606"/>
      <c r="K966" s="606"/>
      <c r="L966" s="606"/>
      <c r="M966" s="606"/>
      <c r="N966" s="606"/>
      <c r="O966" s="606"/>
      <c r="P966" s="606"/>
      <c r="Q966" s="606"/>
      <c r="R966" s="606"/>
      <c r="S966" s="606"/>
      <c r="T966" s="606"/>
      <c r="U966" s="606"/>
      <c r="V966" s="461"/>
      <c r="W966" s="461"/>
      <c r="X966" s="131"/>
      <c r="Y966" s="101"/>
      <c r="Z966" s="101"/>
      <c r="AA966" s="101"/>
      <c r="AB966" s="101"/>
      <c r="AC966" s="101"/>
      <c r="AD966" s="101"/>
      <c r="AE966" s="101"/>
      <c r="AF966" s="101"/>
      <c r="AG966" s="101"/>
      <c r="AH966" s="101"/>
      <c r="AI966" s="101"/>
      <c r="AJ966" s="101"/>
      <c r="AK966" s="101"/>
      <c r="AL966" s="101"/>
    </row>
    <row r="967">
      <c r="A967" s="101"/>
      <c r="B967" s="644"/>
      <c r="C967" s="101"/>
      <c r="D967" s="605"/>
      <c r="E967" s="645"/>
      <c r="F967" s="101"/>
      <c r="G967" s="101"/>
      <c r="H967" s="101"/>
      <c r="I967" s="606"/>
      <c r="J967" s="606"/>
      <c r="K967" s="606"/>
      <c r="L967" s="606"/>
      <c r="M967" s="606"/>
      <c r="N967" s="606"/>
      <c r="O967" s="606"/>
      <c r="P967" s="606"/>
      <c r="Q967" s="606"/>
      <c r="R967" s="606"/>
      <c r="S967" s="606"/>
      <c r="T967" s="606"/>
      <c r="U967" s="606"/>
      <c r="V967" s="461"/>
      <c r="W967" s="461"/>
      <c r="X967" s="131"/>
      <c r="Y967" s="101"/>
      <c r="Z967" s="101"/>
      <c r="AA967" s="101"/>
      <c r="AB967" s="101"/>
      <c r="AC967" s="101"/>
      <c r="AD967" s="101"/>
      <c r="AE967" s="101"/>
      <c r="AF967" s="101"/>
      <c r="AG967" s="101"/>
      <c r="AH967" s="101"/>
      <c r="AI967" s="101"/>
      <c r="AJ967" s="101"/>
      <c r="AK967" s="101"/>
      <c r="AL967" s="101"/>
    </row>
    <row r="968">
      <c r="A968" s="101"/>
      <c r="B968" s="644"/>
      <c r="C968" s="101"/>
      <c r="D968" s="605"/>
      <c r="E968" s="645"/>
      <c r="F968" s="101"/>
      <c r="G968" s="101"/>
      <c r="H968" s="101"/>
      <c r="I968" s="606"/>
      <c r="J968" s="606"/>
      <c r="K968" s="606"/>
      <c r="L968" s="606"/>
      <c r="M968" s="606"/>
      <c r="N968" s="606"/>
      <c r="O968" s="606"/>
      <c r="P968" s="606"/>
      <c r="Q968" s="606"/>
      <c r="R968" s="606"/>
      <c r="S968" s="606"/>
      <c r="T968" s="606"/>
      <c r="U968" s="606"/>
      <c r="V968" s="461"/>
      <c r="W968" s="461"/>
      <c r="X968" s="131"/>
      <c r="Y968" s="101"/>
      <c r="Z968" s="101"/>
      <c r="AA968" s="101"/>
      <c r="AB968" s="101"/>
      <c r="AC968" s="101"/>
      <c r="AD968" s="101"/>
      <c r="AE968" s="101"/>
      <c r="AF968" s="101"/>
      <c r="AG968" s="101"/>
      <c r="AH968" s="101"/>
      <c r="AI968" s="101"/>
      <c r="AJ968" s="101"/>
      <c r="AK968" s="101"/>
      <c r="AL968" s="101"/>
    </row>
    <row r="969">
      <c r="A969" s="101"/>
      <c r="B969" s="644"/>
      <c r="C969" s="101"/>
      <c r="D969" s="605"/>
      <c r="E969" s="645"/>
      <c r="F969" s="101"/>
      <c r="G969" s="101"/>
      <c r="H969" s="101"/>
      <c r="I969" s="606"/>
      <c r="J969" s="606"/>
      <c r="K969" s="606"/>
      <c r="L969" s="606"/>
      <c r="M969" s="606"/>
      <c r="N969" s="606"/>
      <c r="O969" s="606"/>
      <c r="P969" s="606"/>
      <c r="Q969" s="606"/>
      <c r="R969" s="606"/>
      <c r="S969" s="606"/>
      <c r="T969" s="606"/>
      <c r="U969" s="606"/>
      <c r="V969" s="461"/>
      <c r="W969" s="461"/>
      <c r="X969" s="131"/>
      <c r="Y969" s="101"/>
      <c r="Z969" s="101"/>
      <c r="AA969" s="101"/>
      <c r="AB969" s="101"/>
      <c r="AC969" s="101"/>
      <c r="AD969" s="101"/>
      <c r="AE969" s="101"/>
      <c r="AF969" s="101"/>
      <c r="AG969" s="101"/>
      <c r="AH969" s="101"/>
      <c r="AI969" s="101"/>
      <c r="AJ969" s="101"/>
      <c r="AK969" s="101"/>
      <c r="AL969" s="101"/>
    </row>
    <row r="970">
      <c r="A970" s="101"/>
      <c r="B970" s="644"/>
      <c r="C970" s="101"/>
      <c r="D970" s="605"/>
      <c r="E970" s="645"/>
      <c r="F970" s="101"/>
      <c r="G970" s="101"/>
      <c r="H970" s="101"/>
      <c r="I970" s="606"/>
      <c r="J970" s="606"/>
      <c r="K970" s="606"/>
      <c r="L970" s="606"/>
      <c r="M970" s="606"/>
      <c r="N970" s="606"/>
      <c r="O970" s="606"/>
      <c r="P970" s="606"/>
      <c r="Q970" s="606"/>
      <c r="R970" s="606"/>
      <c r="S970" s="606"/>
      <c r="T970" s="606"/>
      <c r="U970" s="606"/>
      <c r="V970" s="461"/>
      <c r="W970" s="461"/>
      <c r="X970" s="131"/>
      <c r="Y970" s="101"/>
      <c r="Z970" s="101"/>
      <c r="AA970" s="101"/>
      <c r="AB970" s="101"/>
      <c r="AC970" s="101"/>
      <c r="AD970" s="101"/>
      <c r="AE970" s="101"/>
      <c r="AF970" s="101"/>
      <c r="AG970" s="101"/>
      <c r="AH970" s="101"/>
      <c r="AI970" s="101"/>
      <c r="AJ970" s="101"/>
      <c r="AK970" s="101"/>
      <c r="AL970" s="101"/>
    </row>
    <row r="971">
      <c r="A971" s="101"/>
      <c r="B971" s="644"/>
      <c r="C971" s="101"/>
      <c r="D971" s="605"/>
      <c r="E971" s="645"/>
      <c r="F971" s="101"/>
      <c r="G971" s="101"/>
      <c r="H971" s="101"/>
      <c r="I971" s="606"/>
      <c r="J971" s="606"/>
      <c r="K971" s="606"/>
      <c r="L971" s="606"/>
      <c r="M971" s="606"/>
      <c r="N971" s="606"/>
      <c r="O971" s="606"/>
      <c r="P971" s="606"/>
      <c r="Q971" s="606"/>
      <c r="R971" s="606"/>
      <c r="S971" s="606"/>
      <c r="T971" s="606"/>
      <c r="U971" s="606"/>
      <c r="V971" s="461"/>
      <c r="W971" s="461"/>
      <c r="X971" s="131"/>
      <c r="Y971" s="101"/>
      <c r="Z971" s="101"/>
      <c r="AA971" s="101"/>
      <c r="AB971" s="101"/>
      <c r="AC971" s="101"/>
      <c r="AD971" s="101"/>
      <c r="AE971" s="101"/>
      <c r="AF971" s="101"/>
      <c r="AG971" s="101"/>
      <c r="AH971" s="101"/>
      <c r="AI971" s="101"/>
      <c r="AJ971" s="101"/>
      <c r="AK971" s="101"/>
      <c r="AL971" s="101"/>
    </row>
    <row r="972">
      <c r="A972" s="101"/>
      <c r="B972" s="644"/>
      <c r="C972" s="101"/>
      <c r="D972" s="605"/>
      <c r="E972" s="645"/>
      <c r="F972" s="101"/>
      <c r="G972" s="101"/>
      <c r="H972" s="101"/>
      <c r="I972" s="606"/>
      <c r="J972" s="606"/>
      <c r="K972" s="606"/>
      <c r="L972" s="606"/>
      <c r="M972" s="606"/>
      <c r="N972" s="606"/>
      <c r="O972" s="606"/>
      <c r="P972" s="606"/>
      <c r="Q972" s="606"/>
      <c r="R972" s="606"/>
      <c r="S972" s="606"/>
      <c r="T972" s="606"/>
      <c r="U972" s="606"/>
      <c r="V972" s="461"/>
      <c r="W972" s="461"/>
      <c r="X972" s="131"/>
      <c r="Y972" s="101"/>
      <c r="Z972" s="101"/>
      <c r="AA972" s="101"/>
      <c r="AB972" s="101"/>
      <c r="AC972" s="101"/>
      <c r="AD972" s="101"/>
      <c r="AE972" s="101"/>
      <c r="AF972" s="101"/>
      <c r="AG972" s="101"/>
      <c r="AH972" s="101"/>
      <c r="AI972" s="101"/>
      <c r="AJ972" s="101"/>
      <c r="AK972" s="101"/>
      <c r="AL972" s="101"/>
    </row>
    <row r="973">
      <c r="A973" s="101"/>
      <c r="B973" s="644"/>
      <c r="C973" s="101"/>
      <c r="D973" s="605"/>
      <c r="E973" s="645"/>
      <c r="F973" s="101"/>
      <c r="G973" s="101"/>
      <c r="H973" s="101"/>
      <c r="I973" s="606"/>
      <c r="J973" s="606"/>
      <c r="K973" s="606"/>
      <c r="L973" s="606"/>
      <c r="M973" s="606"/>
      <c r="N973" s="606"/>
      <c r="O973" s="606"/>
      <c r="P973" s="606"/>
      <c r="Q973" s="606"/>
      <c r="R973" s="606"/>
      <c r="S973" s="606"/>
      <c r="T973" s="606"/>
      <c r="U973" s="606"/>
      <c r="V973" s="461"/>
      <c r="W973" s="461"/>
      <c r="X973" s="131"/>
      <c r="Y973" s="101"/>
      <c r="Z973" s="101"/>
      <c r="AA973" s="101"/>
      <c r="AB973" s="101"/>
      <c r="AC973" s="101"/>
      <c r="AD973" s="101"/>
      <c r="AE973" s="101"/>
      <c r="AF973" s="101"/>
      <c r="AG973" s="101"/>
      <c r="AH973" s="101"/>
      <c r="AI973" s="101"/>
      <c r="AJ973" s="101"/>
      <c r="AK973" s="101"/>
      <c r="AL973" s="101"/>
    </row>
    <row r="974">
      <c r="A974" s="101"/>
      <c r="B974" s="644"/>
      <c r="C974" s="101"/>
      <c r="D974" s="605"/>
      <c r="E974" s="645"/>
      <c r="F974" s="101"/>
      <c r="G974" s="101"/>
      <c r="H974" s="101"/>
      <c r="I974" s="606"/>
      <c r="J974" s="606"/>
      <c r="K974" s="606"/>
      <c r="L974" s="606"/>
      <c r="M974" s="606"/>
      <c r="N974" s="606"/>
      <c r="O974" s="606"/>
      <c r="P974" s="606"/>
      <c r="Q974" s="606"/>
      <c r="R974" s="606"/>
      <c r="S974" s="606"/>
      <c r="T974" s="606"/>
      <c r="U974" s="606"/>
      <c r="V974" s="461"/>
      <c r="W974" s="461"/>
      <c r="X974" s="131"/>
      <c r="Y974" s="101"/>
      <c r="Z974" s="101"/>
      <c r="AA974" s="101"/>
      <c r="AB974" s="101"/>
      <c r="AC974" s="101"/>
      <c r="AD974" s="101"/>
      <c r="AE974" s="101"/>
      <c r="AF974" s="101"/>
      <c r="AG974" s="101"/>
      <c r="AH974" s="101"/>
      <c r="AI974" s="101"/>
      <c r="AJ974" s="101"/>
      <c r="AK974" s="101"/>
      <c r="AL974" s="101"/>
    </row>
    <row r="975">
      <c r="A975" s="101"/>
      <c r="B975" s="644"/>
      <c r="C975" s="101"/>
      <c r="D975" s="605"/>
      <c r="E975" s="645"/>
      <c r="F975" s="101"/>
      <c r="G975" s="101"/>
      <c r="H975" s="101"/>
      <c r="I975" s="606"/>
      <c r="J975" s="606"/>
      <c r="K975" s="606"/>
      <c r="L975" s="606"/>
      <c r="M975" s="606"/>
      <c r="N975" s="606"/>
      <c r="O975" s="606"/>
      <c r="P975" s="606"/>
      <c r="Q975" s="606"/>
      <c r="R975" s="606"/>
      <c r="S975" s="606"/>
      <c r="T975" s="606"/>
      <c r="U975" s="606"/>
      <c r="V975" s="461"/>
      <c r="W975" s="461"/>
      <c r="X975" s="131"/>
      <c r="Y975" s="101"/>
      <c r="Z975" s="101"/>
      <c r="AA975" s="101"/>
      <c r="AB975" s="101"/>
      <c r="AC975" s="101"/>
      <c r="AD975" s="101"/>
      <c r="AE975" s="101"/>
      <c r="AF975" s="101"/>
      <c r="AG975" s="101"/>
      <c r="AH975" s="101"/>
      <c r="AI975" s="101"/>
      <c r="AJ975" s="101"/>
      <c r="AK975" s="101"/>
      <c r="AL975" s="101"/>
    </row>
    <row r="976">
      <c r="A976" s="101"/>
      <c r="B976" s="644"/>
      <c r="C976" s="101"/>
      <c r="D976" s="605"/>
      <c r="E976" s="645"/>
      <c r="F976" s="101"/>
      <c r="G976" s="101"/>
      <c r="H976" s="101"/>
      <c r="I976" s="606"/>
      <c r="J976" s="606"/>
      <c r="K976" s="606"/>
      <c r="L976" s="606"/>
      <c r="M976" s="606"/>
      <c r="N976" s="606"/>
      <c r="O976" s="606"/>
      <c r="P976" s="606"/>
      <c r="Q976" s="606"/>
      <c r="R976" s="606"/>
      <c r="S976" s="606"/>
      <c r="T976" s="606"/>
      <c r="U976" s="606"/>
      <c r="V976" s="461"/>
      <c r="W976" s="461"/>
      <c r="X976" s="131"/>
      <c r="Y976" s="101"/>
      <c r="Z976" s="101"/>
      <c r="AA976" s="101"/>
      <c r="AB976" s="101"/>
      <c r="AC976" s="101"/>
      <c r="AD976" s="101"/>
      <c r="AE976" s="101"/>
      <c r="AF976" s="101"/>
      <c r="AG976" s="101"/>
      <c r="AH976" s="101"/>
      <c r="AI976" s="101"/>
      <c r="AJ976" s="101"/>
      <c r="AK976" s="101"/>
      <c r="AL976" s="101"/>
    </row>
    <row r="977">
      <c r="A977" s="101"/>
      <c r="B977" s="644"/>
      <c r="C977" s="101"/>
      <c r="D977" s="605"/>
      <c r="E977" s="645"/>
      <c r="F977" s="101"/>
      <c r="G977" s="101"/>
      <c r="H977" s="101"/>
      <c r="I977" s="606"/>
      <c r="J977" s="606"/>
      <c r="K977" s="606"/>
      <c r="L977" s="606"/>
      <c r="M977" s="606"/>
      <c r="N977" s="606"/>
      <c r="O977" s="606"/>
      <c r="P977" s="606"/>
      <c r="Q977" s="606"/>
      <c r="R977" s="606"/>
      <c r="S977" s="606"/>
      <c r="T977" s="606"/>
      <c r="U977" s="606"/>
      <c r="V977" s="461"/>
      <c r="W977" s="461"/>
      <c r="X977" s="131"/>
      <c r="Y977" s="101"/>
      <c r="Z977" s="101"/>
      <c r="AA977" s="101"/>
      <c r="AB977" s="101"/>
      <c r="AC977" s="101"/>
      <c r="AD977" s="101"/>
      <c r="AE977" s="101"/>
      <c r="AF977" s="101"/>
      <c r="AG977" s="101"/>
      <c r="AH977" s="101"/>
      <c r="AI977" s="101"/>
      <c r="AJ977" s="101"/>
      <c r="AK977" s="101"/>
      <c r="AL977" s="101"/>
    </row>
    <row r="978">
      <c r="A978" s="101"/>
      <c r="B978" s="644"/>
      <c r="C978" s="101"/>
      <c r="D978" s="605"/>
      <c r="E978" s="645"/>
      <c r="F978" s="101"/>
      <c r="G978" s="101"/>
      <c r="H978" s="101"/>
      <c r="I978" s="606"/>
      <c r="J978" s="606"/>
      <c r="K978" s="606"/>
      <c r="L978" s="606"/>
      <c r="M978" s="606"/>
      <c r="N978" s="606"/>
      <c r="O978" s="606"/>
      <c r="P978" s="606"/>
      <c r="Q978" s="606"/>
      <c r="R978" s="606"/>
      <c r="S978" s="606"/>
      <c r="T978" s="606"/>
      <c r="U978" s="606"/>
      <c r="V978" s="461"/>
      <c r="W978" s="461"/>
      <c r="X978" s="131"/>
      <c r="Y978" s="101"/>
      <c r="Z978" s="101"/>
      <c r="AA978" s="101"/>
      <c r="AB978" s="101"/>
      <c r="AC978" s="101"/>
      <c r="AD978" s="101"/>
      <c r="AE978" s="101"/>
      <c r="AF978" s="101"/>
      <c r="AG978" s="101"/>
      <c r="AH978" s="101"/>
      <c r="AI978" s="101"/>
      <c r="AJ978" s="101"/>
      <c r="AK978" s="101"/>
      <c r="AL978" s="101"/>
    </row>
    <row r="979">
      <c r="A979" s="101"/>
      <c r="B979" s="644"/>
      <c r="C979" s="101"/>
      <c r="D979" s="605"/>
      <c r="E979" s="645"/>
      <c r="F979" s="101"/>
      <c r="G979" s="101"/>
      <c r="H979" s="101"/>
      <c r="I979" s="606"/>
      <c r="J979" s="606"/>
      <c r="K979" s="606"/>
      <c r="L979" s="606"/>
      <c r="M979" s="606"/>
      <c r="N979" s="606"/>
      <c r="O979" s="606"/>
      <c r="P979" s="606"/>
      <c r="Q979" s="606"/>
      <c r="R979" s="606"/>
      <c r="S979" s="606"/>
      <c r="T979" s="606"/>
      <c r="U979" s="606"/>
      <c r="V979" s="461"/>
      <c r="W979" s="461"/>
      <c r="X979" s="131"/>
      <c r="Y979" s="101"/>
      <c r="Z979" s="101"/>
      <c r="AA979" s="101"/>
      <c r="AB979" s="101"/>
      <c r="AC979" s="101"/>
      <c r="AD979" s="101"/>
      <c r="AE979" s="101"/>
      <c r="AF979" s="101"/>
      <c r="AG979" s="101"/>
      <c r="AH979" s="101"/>
      <c r="AI979" s="101"/>
      <c r="AJ979" s="101"/>
      <c r="AK979" s="101"/>
      <c r="AL979" s="101"/>
    </row>
    <row r="980">
      <c r="A980" s="101"/>
      <c r="B980" s="644"/>
      <c r="C980" s="101"/>
      <c r="D980" s="605"/>
      <c r="E980" s="645"/>
      <c r="F980" s="101"/>
      <c r="G980" s="101"/>
      <c r="H980" s="101"/>
      <c r="I980" s="606"/>
      <c r="J980" s="606"/>
      <c r="K980" s="606"/>
      <c r="L980" s="606"/>
      <c r="M980" s="606"/>
      <c r="N980" s="606"/>
      <c r="O980" s="606"/>
      <c r="P980" s="606"/>
      <c r="Q980" s="606"/>
      <c r="R980" s="606"/>
      <c r="S980" s="606"/>
      <c r="T980" s="606"/>
      <c r="U980" s="606"/>
      <c r="V980" s="461"/>
      <c r="W980" s="461"/>
      <c r="X980" s="131"/>
      <c r="Y980" s="101"/>
      <c r="Z980" s="101"/>
      <c r="AA980" s="101"/>
      <c r="AB980" s="101"/>
      <c r="AC980" s="101"/>
      <c r="AD980" s="101"/>
      <c r="AE980" s="101"/>
      <c r="AF980" s="101"/>
      <c r="AG980" s="101"/>
      <c r="AH980" s="101"/>
      <c r="AI980" s="101"/>
      <c r="AJ980" s="101"/>
      <c r="AK980" s="101"/>
      <c r="AL980" s="101"/>
    </row>
    <row r="981">
      <c r="A981" s="101"/>
      <c r="B981" s="644"/>
      <c r="C981" s="101"/>
      <c r="D981" s="605"/>
      <c r="E981" s="645"/>
      <c r="F981" s="101"/>
      <c r="G981" s="101"/>
      <c r="H981" s="101"/>
      <c r="I981" s="606"/>
      <c r="J981" s="606"/>
      <c r="K981" s="606"/>
      <c r="L981" s="606"/>
      <c r="M981" s="606"/>
      <c r="N981" s="606"/>
      <c r="O981" s="606"/>
      <c r="P981" s="606"/>
      <c r="Q981" s="606"/>
      <c r="R981" s="606"/>
      <c r="S981" s="606"/>
      <c r="T981" s="606"/>
      <c r="U981" s="606"/>
      <c r="V981" s="461"/>
      <c r="W981" s="461"/>
      <c r="X981" s="131"/>
      <c r="Y981" s="101"/>
      <c r="Z981" s="101"/>
      <c r="AA981" s="101"/>
      <c r="AB981" s="101"/>
      <c r="AC981" s="101"/>
      <c r="AD981" s="101"/>
      <c r="AE981" s="101"/>
      <c r="AF981" s="101"/>
      <c r="AG981" s="101"/>
      <c r="AH981" s="101"/>
      <c r="AI981" s="101"/>
      <c r="AJ981" s="101"/>
      <c r="AK981" s="101"/>
      <c r="AL981" s="101"/>
    </row>
    <row r="982">
      <c r="A982" s="101"/>
      <c r="B982" s="644"/>
      <c r="C982" s="101"/>
      <c r="D982" s="605"/>
      <c r="E982" s="645"/>
      <c r="F982" s="101"/>
      <c r="G982" s="101"/>
      <c r="H982" s="101"/>
      <c r="I982" s="606"/>
      <c r="J982" s="606"/>
      <c r="K982" s="606"/>
      <c r="L982" s="606"/>
      <c r="M982" s="606"/>
      <c r="N982" s="606"/>
      <c r="O982" s="606"/>
      <c r="P982" s="606"/>
      <c r="Q982" s="606"/>
      <c r="R982" s="606"/>
      <c r="S982" s="606"/>
      <c r="T982" s="606"/>
      <c r="U982" s="606"/>
      <c r="V982" s="461"/>
      <c r="W982" s="461"/>
      <c r="X982" s="131"/>
      <c r="Y982" s="101"/>
      <c r="Z982" s="101"/>
      <c r="AA982" s="101"/>
      <c r="AB982" s="101"/>
      <c r="AC982" s="101"/>
      <c r="AD982" s="101"/>
      <c r="AE982" s="101"/>
      <c r="AF982" s="101"/>
      <c r="AG982" s="101"/>
      <c r="AH982" s="101"/>
      <c r="AI982" s="101"/>
      <c r="AJ982" s="101"/>
      <c r="AK982" s="101"/>
      <c r="AL982" s="101"/>
    </row>
    <row r="983">
      <c r="A983" s="101"/>
      <c r="B983" s="644"/>
      <c r="C983" s="101"/>
      <c r="D983" s="605"/>
      <c r="E983" s="645"/>
      <c r="F983" s="101"/>
      <c r="G983" s="101"/>
      <c r="H983" s="101"/>
      <c r="I983" s="606"/>
      <c r="J983" s="606"/>
      <c r="K983" s="606"/>
      <c r="L983" s="606"/>
      <c r="M983" s="606"/>
      <c r="N983" s="606"/>
      <c r="O983" s="606"/>
      <c r="P983" s="606"/>
      <c r="Q983" s="606"/>
      <c r="R983" s="606"/>
      <c r="S983" s="606"/>
      <c r="T983" s="606"/>
      <c r="U983" s="606"/>
      <c r="V983" s="461"/>
      <c r="W983" s="461"/>
      <c r="X983" s="131"/>
      <c r="Y983" s="101"/>
      <c r="Z983" s="101"/>
      <c r="AA983" s="101"/>
      <c r="AB983" s="101"/>
      <c r="AC983" s="101"/>
      <c r="AD983" s="101"/>
      <c r="AE983" s="101"/>
      <c r="AF983" s="101"/>
      <c r="AG983" s="101"/>
      <c r="AH983" s="101"/>
      <c r="AI983" s="101"/>
      <c r="AJ983" s="101"/>
      <c r="AK983" s="101"/>
      <c r="AL983" s="101"/>
    </row>
    <row r="984">
      <c r="A984" s="101"/>
      <c r="B984" s="644"/>
      <c r="C984" s="101"/>
      <c r="D984" s="605"/>
      <c r="E984" s="645"/>
      <c r="F984" s="101"/>
      <c r="G984" s="101"/>
      <c r="H984" s="101"/>
      <c r="I984" s="606"/>
      <c r="J984" s="606"/>
      <c r="K984" s="606"/>
      <c r="L984" s="606"/>
      <c r="M984" s="606"/>
      <c r="N984" s="606"/>
      <c r="O984" s="606"/>
      <c r="P984" s="606"/>
      <c r="Q984" s="606"/>
      <c r="R984" s="606"/>
      <c r="S984" s="606"/>
      <c r="T984" s="606"/>
      <c r="U984" s="606"/>
      <c r="V984" s="461"/>
      <c r="W984" s="461"/>
      <c r="X984" s="131"/>
      <c r="Y984" s="101"/>
      <c r="Z984" s="101"/>
      <c r="AA984" s="101"/>
      <c r="AB984" s="101"/>
      <c r="AC984" s="101"/>
      <c r="AD984" s="101"/>
      <c r="AE984" s="101"/>
      <c r="AF984" s="101"/>
      <c r="AG984" s="101"/>
      <c r="AH984" s="101"/>
      <c r="AI984" s="101"/>
      <c r="AJ984" s="101"/>
      <c r="AK984" s="101"/>
      <c r="AL984" s="101"/>
    </row>
    <row r="985">
      <c r="A985" s="101"/>
      <c r="B985" s="644"/>
      <c r="C985" s="101"/>
      <c r="D985" s="605"/>
      <c r="E985" s="645"/>
      <c r="F985" s="101"/>
      <c r="G985" s="101"/>
      <c r="H985" s="101"/>
      <c r="I985" s="606"/>
      <c r="J985" s="606"/>
      <c r="K985" s="606"/>
      <c r="L985" s="606"/>
      <c r="M985" s="606"/>
      <c r="N985" s="606"/>
      <c r="O985" s="606"/>
      <c r="P985" s="606"/>
      <c r="Q985" s="606"/>
      <c r="R985" s="606"/>
      <c r="S985" s="606"/>
      <c r="T985" s="606"/>
      <c r="U985" s="606"/>
      <c r="V985" s="461"/>
      <c r="W985" s="461"/>
      <c r="X985" s="131"/>
      <c r="Y985" s="101"/>
      <c r="Z985" s="101"/>
      <c r="AA985" s="101"/>
      <c r="AB985" s="101"/>
      <c r="AC985" s="101"/>
      <c r="AD985" s="101"/>
      <c r="AE985" s="101"/>
      <c r="AF985" s="101"/>
      <c r="AG985" s="101"/>
      <c r="AH985" s="101"/>
      <c r="AI985" s="101"/>
      <c r="AJ985" s="101"/>
      <c r="AK985" s="101"/>
      <c r="AL985" s="101"/>
    </row>
    <row r="986">
      <c r="A986" s="101"/>
      <c r="B986" s="644"/>
      <c r="C986" s="101"/>
      <c r="D986" s="605"/>
      <c r="E986" s="645"/>
      <c r="F986" s="101"/>
      <c r="G986" s="101"/>
      <c r="H986" s="101"/>
      <c r="I986" s="606"/>
      <c r="J986" s="606"/>
      <c r="K986" s="606"/>
      <c r="L986" s="606"/>
      <c r="M986" s="606"/>
      <c r="N986" s="606"/>
      <c r="O986" s="606"/>
      <c r="P986" s="606"/>
      <c r="Q986" s="606"/>
      <c r="R986" s="606"/>
      <c r="S986" s="606"/>
      <c r="T986" s="606"/>
      <c r="U986" s="606"/>
      <c r="V986" s="461"/>
      <c r="W986" s="461"/>
      <c r="X986" s="131"/>
      <c r="Y986" s="101"/>
      <c r="Z986" s="101"/>
      <c r="AA986" s="101"/>
      <c r="AB986" s="101"/>
      <c r="AC986" s="101"/>
      <c r="AD986" s="101"/>
      <c r="AE986" s="101"/>
      <c r="AF986" s="101"/>
      <c r="AG986" s="101"/>
      <c r="AH986" s="101"/>
      <c r="AI986" s="101"/>
      <c r="AJ986" s="101"/>
      <c r="AK986" s="101"/>
      <c r="AL986" s="101"/>
    </row>
    <row r="987">
      <c r="A987" s="101"/>
      <c r="B987" s="644"/>
      <c r="C987" s="101"/>
      <c r="D987" s="605"/>
      <c r="E987" s="645"/>
      <c r="F987" s="101"/>
      <c r="G987" s="101"/>
      <c r="H987" s="101"/>
      <c r="I987" s="606"/>
      <c r="J987" s="606"/>
      <c r="K987" s="606"/>
      <c r="L987" s="606"/>
      <c r="M987" s="606"/>
      <c r="N987" s="606"/>
      <c r="O987" s="606"/>
      <c r="P987" s="606"/>
      <c r="Q987" s="606"/>
      <c r="R987" s="606"/>
      <c r="S987" s="606"/>
      <c r="T987" s="606"/>
      <c r="U987" s="606"/>
      <c r="V987" s="461"/>
      <c r="W987" s="461"/>
      <c r="X987" s="131"/>
      <c r="Y987" s="101"/>
      <c r="Z987" s="101"/>
      <c r="AA987" s="101"/>
      <c r="AB987" s="101"/>
      <c r="AC987" s="101"/>
      <c r="AD987" s="101"/>
      <c r="AE987" s="101"/>
      <c r="AF987" s="101"/>
      <c r="AG987" s="101"/>
      <c r="AH987" s="101"/>
      <c r="AI987" s="101"/>
      <c r="AJ987" s="101"/>
      <c r="AK987" s="101"/>
      <c r="AL987" s="101"/>
    </row>
    <row r="988">
      <c r="A988" s="101"/>
      <c r="B988" s="644"/>
      <c r="C988" s="101"/>
      <c r="D988" s="605"/>
      <c r="E988" s="645"/>
      <c r="F988" s="101"/>
      <c r="G988" s="101"/>
      <c r="H988" s="101"/>
      <c r="I988" s="606"/>
      <c r="J988" s="606"/>
      <c r="K988" s="606"/>
      <c r="L988" s="606"/>
      <c r="M988" s="606"/>
      <c r="N988" s="606"/>
      <c r="O988" s="606"/>
      <c r="P988" s="606"/>
      <c r="Q988" s="606"/>
      <c r="R988" s="606"/>
      <c r="S988" s="606"/>
      <c r="T988" s="606"/>
      <c r="U988" s="606"/>
      <c r="V988" s="461"/>
      <c r="W988" s="461"/>
      <c r="X988" s="131"/>
      <c r="Y988" s="101"/>
      <c r="Z988" s="101"/>
      <c r="AA988" s="101"/>
      <c r="AB988" s="101"/>
      <c r="AC988" s="101"/>
      <c r="AD988" s="101"/>
      <c r="AE988" s="101"/>
      <c r="AF988" s="101"/>
      <c r="AG988" s="101"/>
      <c r="AH988" s="101"/>
      <c r="AI988" s="101"/>
      <c r="AJ988" s="101"/>
      <c r="AK988" s="101"/>
      <c r="AL988" s="101"/>
    </row>
    <row r="989">
      <c r="A989" s="101"/>
      <c r="B989" s="644"/>
      <c r="C989" s="101"/>
      <c r="D989" s="605"/>
      <c r="E989" s="645"/>
      <c r="F989" s="101"/>
      <c r="G989" s="101"/>
      <c r="H989" s="101"/>
      <c r="I989" s="606"/>
      <c r="J989" s="606"/>
      <c r="K989" s="606"/>
      <c r="L989" s="606"/>
      <c r="M989" s="606"/>
      <c r="N989" s="606"/>
      <c r="O989" s="606"/>
      <c r="P989" s="606"/>
      <c r="Q989" s="606"/>
      <c r="R989" s="606"/>
      <c r="S989" s="606"/>
      <c r="T989" s="606"/>
      <c r="U989" s="606"/>
      <c r="V989" s="461"/>
      <c r="W989" s="461"/>
      <c r="X989" s="131"/>
      <c r="Y989" s="101"/>
      <c r="Z989" s="101"/>
      <c r="AA989" s="101"/>
      <c r="AB989" s="101"/>
      <c r="AC989" s="101"/>
      <c r="AD989" s="101"/>
      <c r="AE989" s="101"/>
      <c r="AF989" s="101"/>
      <c r="AG989" s="101"/>
      <c r="AH989" s="101"/>
      <c r="AI989" s="101"/>
      <c r="AJ989" s="101"/>
      <c r="AK989" s="101"/>
      <c r="AL989" s="101"/>
    </row>
    <row r="990">
      <c r="A990" s="101"/>
      <c r="B990" s="644"/>
      <c r="C990" s="101"/>
      <c r="D990" s="605"/>
      <c r="E990" s="645"/>
      <c r="F990" s="101"/>
      <c r="G990" s="101"/>
      <c r="H990" s="101"/>
      <c r="I990" s="606"/>
      <c r="J990" s="606"/>
      <c r="K990" s="606"/>
      <c r="L990" s="606"/>
      <c r="M990" s="606"/>
      <c r="N990" s="606"/>
      <c r="O990" s="606"/>
      <c r="P990" s="606"/>
      <c r="Q990" s="606"/>
      <c r="R990" s="606"/>
      <c r="S990" s="606"/>
      <c r="T990" s="606"/>
      <c r="U990" s="606"/>
      <c r="V990" s="461"/>
      <c r="W990" s="461"/>
      <c r="X990" s="131"/>
      <c r="Y990" s="101"/>
      <c r="Z990" s="101"/>
      <c r="AA990" s="101"/>
      <c r="AB990" s="101"/>
      <c r="AC990" s="101"/>
      <c r="AD990" s="101"/>
      <c r="AE990" s="101"/>
      <c r="AF990" s="101"/>
      <c r="AG990" s="101"/>
      <c r="AH990" s="101"/>
      <c r="AI990" s="101"/>
      <c r="AJ990" s="101"/>
      <c r="AK990" s="101"/>
      <c r="AL990" s="101"/>
    </row>
    <row r="991">
      <c r="A991" s="101"/>
      <c r="B991" s="644"/>
      <c r="C991" s="101"/>
      <c r="D991" s="605"/>
      <c r="E991" s="645"/>
      <c r="F991" s="101"/>
      <c r="G991" s="101"/>
      <c r="H991" s="101"/>
      <c r="I991" s="606"/>
      <c r="J991" s="606"/>
      <c r="K991" s="606"/>
      <c r="L991" s="606"/>
      <c r="M991" s="606"/>
      <c r="N991" s="606"/>
      <c r="O991" s="606"/>
      <c r="P991" s="606"/>
      <c r="Q991" s="606"/>
      <c r="R991" s="606"/>
      <c r="S991" s="606"/>
      <c r="T991" s="606"/>
      <c r="U991" s="606"/>
      <c r="V991" s="461"/>
      <c r="W991" s="461"/>
      <c r="X991" s="131"/>
      <c r="Y991" s="101"/>
      <c r="Z991" s="101"/>
      <c r="AA991" s="101"/>
      <c r="AB991" s="101"/>
      <c r="AC991" s="101"/>
      <c r="AD991" s="101"/>
      <c r="AE991" s="101"/>
      <c r="AF991" s="101"/>
      <c r="AG991" s="101"/>
      <c r="AH991" s="101"/>
      <c r="AI991" s="101"/>
      <c r="AJ991" s="101"/>
      <c r="AK991" s="101"/>
      <c r="AL991" s="101"/>
    </row>
    <row r="992">
      <c r="A992" s="101"/>
      <c r="B992" s="644"/>
      <c r="C992" s="101"/>
      <c r="D992" s="605"/>
      <c r="E992" s="645"/>
      <c r="F992" s="101"/>
      <c r="G992" s="101"/>
      <c r="H992" s="101"/>
      <c r="I992" s="606"/>
      <c r="J992" s="606"/>
      <c r="K992" s="606"/>
      <c r="L992" s="606"/>
      <c r="M992" s="606"/>
      <c r="N992" s="606"/>
      <c r="O992" s="606"/>
      <c r="P992" s="606"/>
      <c r="Q992" s="606"/>
      <c r="R992" s="606"/>
      <c r="S992" s="606"/>
      <c r="T992" s="606"/>
      <c r="U992" s="606"/>
      <c r="V992" s="461"/>
      <c r="W992" s="461"/>
      <c r="X992" s="131"/>
      <c r="Y992" s="101"/>
      <c r="Z992" s="101"/>
      <c r="AA992" s="101"/>
      <c r="AB992" s="101"/>
      <c r="AC992" s="101"/>
      <c r="AD992" s="101"/>
      <c r="AE992" s="101"/>
      <c r="AF992" s="101"/>
      <c r="AG992" s="101"/>
      <c r="AH992" s="101"/>
      <c r="AI992" s="101"/>
      <c r="AJ992" s="101"/>
      <c r="AK992" s="101"/>
      <c r="AL992" s="101"/>
    </row>
    <row r="993">
      <c r="A993" s="101"/>
      <c r="B993" s="644"/>
      <c r="C993" s="101"/>
      <c r="D993" s="605"/>
      <c r="E993" s="645"/>
      <c r="F993" s="101"/>
      <c r="G993" s="101"/>
      <c r="H993" s="101"/>
      <c r="I993" s="606"/>
      <c r="J993" s="606"/>
      <c r="K993" s="606"/>
      <c r="L993" s="606"/>
      <c r="M993" s="606"/>
      <c r="N993" s="606"/>
      <c r="O993" s="606"/>
      <c r="P993" s="606"/>
      <c r="Q993" s="606"/>
      <c r="R993" s="606"/>
      <c r="S993" s="606"/>
      <c r="T993" s="606"/>
      <c r="U993" s="606"/>
      <c r="V993" s="461"/>
      <c r="W993" s="461"/>
      <c r="X993" s="131"/>
      <c r="Y993" s="101"/>
      <c r="Z993" s="101"/>
      <c r="AA993" s="101"/>
      <c r="AB993" s="101"/>
      <c r="AC993" s="101"/>
      <c r="AD993" s="101"/>
      <c r="AE993" s="101"/>
      <c r="AF993" s="101"/>
      <c r="AG993" s="101"/>
      <c r="AH993" s="101"/>
      <c r="AI993" s="101"/>
      <c r="AJ993" s="101"/>
      <c r="AK993" s="101"/>
      <c r="AL993" s="101"/>
    </row>
    <row r="994">
      <c r="A994" s="101"/>
      <c r="B994" s="644"/>
      <c r="C994" s="101"/>
      <c r="D994" s="605"/>
      <c r="E994" s="645"/>
      <c r="F994" s="101"/>
      <c r="G994" s="101"/>
      <c r="H994" s="101"/>
      <c r="I994" s="606"/>
      <c r="J994" s="606"/>
      <c r="K994" s="606"/>
      <c r="L994" s="606"/>
      <c r="M994" s="606"/>
      <c r="N994" s="606"/>
      <c r="O994" s="606"/>
      <c r="P994" s="606"/>
      <c r="Q994" s="606"/>
      <c r="R994" s="606"/>
      <c r="S994" s="606"/>
      <c r="T994" s="606"/>
      <c r="U994" s="606"/>
      <c r="V994" s="461"/>
      <c r="W994" s="461"/>
      <c r="X994" s="131"/>
      <c r="Y994" s="101"/>
      <c r="Z994" s="101"/>
      <c r="AA994" s="101"/>
      <c r="AB994" s="101"/>
      <c r="AC994" s="101"/>
      <c r="AD994" s="101"/>
      <c r="AE994" s="101"/>
      <c r="AF994" s="101"/>
      <c r="AG994" s="101"/>
      <c r="AH994" s="101"/>
      <c r="AI994" s="101"/>
      <c r="AJ994" s="101"/>
      <c r="AK994" s="101"/>
      <c r="AL994" s="101"/>
    </row>
    <row r="995">
      <c r="A995" s="101"/>
      <c r="B995" s="644"/>
      <c r="C995" s="101"/>
      <c r="D995" s="605"/>
      <c r="E995" s="645"/>
      <c r="F995" s="101"/>
      <c r="G995" s="101"/>
      <c r="H995" s="101"/>
      <c r="I995" s="606"/>
      <c r="J995" s="606"/>
      <c r="K995" s="606"/>
      <c r="L995" s="606"/>
      <c r="M995" s="606"/>
      <c r="N995" s="606"/>
      <c r="O995" s="606"/>
      <c r="P995" s="606"/>
      <c r="Q995" s="606"/>
      <c r="R995" s="606"/>
      <c r="S995" s="606"/>
      <c r="T995" s="606"/>
      <c r="U995" s="606"/>
      <c r="V995" s="461"/>
      <c r="W995" s="461"/>
      <c r="X995" s="131"/>
      <c r="Y995" s="101"/>
      <c r="Z995" s="101"/>
      <c r="AA995" s="101"/>
      <c r="AB995" s="101"/>
      <c r="AC995" s="101"/>
      <c r="AD995" s="101"/>
      <c r="AE995" s="101"/>
      <c r="AF995" s="101"/>
      <c r="AG995" s="101"/>
      <c r="AH995" s="101"/>
      <c r="AI995" s="101"/>
      <c r="AJ995" s="101"/>
      <c r="AK995" s="101"/>
      <c r="AL995" s="101"/>
    </row>
    <row r="996">
      <c r="A996" s="101"/>
      <c r="B996" s="644"/>
      <c r="C996" s="101"/>
      <c r="D996" s="605"/>
      <c r="E996" s="645"/>
      <c r="F996" s="101"/>
      <c r="G996" s="101"/>
      <c r="H996" s="101"/>
      <c r="I996" s="606"/>
      <c r="J996" s="606"/>
      <c r="K996" s="606"/>
      <c r="L996" s="606"/>
      <c r="M996" s="606"/>
      <c r="N996" s="606"/>
      <c r="O996" s="606"/>
      <c r="P996" s="606"/>
      <c r="Q996" s="606"/>
      <c r="R996" s="606"/>
      <c r="S996" s="606"/>
      <c r="T996" s="606"/>
      <c r="U996" s="606"/>
      <c r="V996" s="461"/>
      <c r="W996" s="461"/>
      <c r="X996" s="131"/>
      <c r="Y996" s="101"/>
      <c r="Z996" s="101"/>
      <c r="AA996" s="101"/>
      <c r="AB996" s="101"/>
      <c r="AC996" s="101"/>
      <c r="AD996" s="101"/>
      <c r="AE996" s="101"/>
      <c r="AF996" s="101"/>
      <c r="AG996" s="101"/>
      <c r="AH996" s="101"/>
      <c r="AI996" s="101"/>
      <c r="AJ996" s="101"/>
      <c r="AK996" s="101"/>
      <c r="AL996" s="101"/>
    </row>
    <row r="997">
      <c r="A997" s="101"/>
      <c r="B997" s="644"/>
      <c r="C997" s="101"/>
      <c r="D997" s="605"/>
      <c r="E997" s="645"/>
      <c r="F997" s="101"/>
      <c r="G997" s="101"/>
      <c r="H997" s="101"/>
      <c r="I997" s="606"/>
      <c r="J997" s="606"/>
      <c r="K997" s="606"/>
      <c r="L997" s="606"/>
      <c r="M997" s="606"/>
      <c r="N997" s="606"/>
      <c r="O997" s="606"/>
      <c r="P997" s="606"/>
      <c r="Q997" s="606"/>
      <c r="R997" s="606"/>
      <c r="S997" s="606"/>
      <c r="T997" s="606"/>
      <c r="U997" s="606"/>
      <c r="V997" s="461"/>
      <c r="W997" s="461"/>
      <c r="X997" s="131"/>
      <c r="Y997" s="101"/>
      <c r="Z997" s="101"/>
      <c r="AA997" s="101"/>
      <c r="AB997" s="101"/>
      <c r="AC997" s="101"/>
      <c r="AD997" s="101"/>
      <c r="AE997" s="101"/>
      <c r="AF997" s="101"/>
      <c r="AG997" s="101"/>
      <c r="AH997" s="101"/>
      <c r="AI997" s="101"/>
      <c r="AJ997" s="101"/>
      <c r="AK997" s="101"/>
      <c r="AL997" s="101"/>
    </row>
    <row r="998">
      <c r="A998" s="101"/>
      <c r="B998" s="644"/>
      <c r="C998" s="101"/>
      <c r="D998" s="605"/>
      <c r="E998" s="645"/>
      <c r="F998" s="101"/>
      <c r="G998" s="101"/>
      <c r="H998" s="101"/>
      <c r="I998" s="606"/>
      <c r="J998" s="606"/>
      <c r="K998" s="606"/>
      <c r="L998" s="606"/>
      <c r="M998" s="606"/>
      <c r="N998" s="606"/>
      <c r="O998" s="606"/>
      <c r="P998" s="606"/>
      <c r="Q998" s="606"/>
      <c r="R998" s="606"/>
      <c r="S998" s="606"/>
      <c r="T998" s="606"/>
      <c r="U998" s="606"/>
      <c r="V998" s="461"/>
      <c r="W998" s="461"/>
      <c r="X998" s="131"/>
      <c r="Y998" s="101"/>
      <c r="Z998" s="101"/>
      <c r="AA998" s="101"/>
      <c r="AB998" s="101"/>
      <c r="AC998" s="101"/>
      <c r="AD998" s="101"/>
      <c r="AE998" s="101"/>
      <c r="AF998" s="101"/>
      <c r="AG998" s="101"/>
      <c r="AH998" s="101"/>
      <c r="AI998" s="101"/>
      <c r="AJ998" s="101"/>
      <c r="AK998" s="101"/>
      <c r="AL998" s="101"/>
    </row>
    <row r="999">
      <c r="A999" s="101"/>
      <c r="B999" s="644"/>
      <c r="C999" s="101"/>
      <c r="D999" s="605"/>
      <c r="E999" s="645"/>
      <c r="F999" s="101"/>
      <c r="G999" s="101"/>
      <c r="H999" s="101"/>
      <c r="I999" s="606"/>
      <c r="J999" s="606"/>
      <c r="K999" s="606"/>
      <c r="L999" s="606"/>
      <c r="M999" s="606"/>
      <c r="N999" s="606"/>
      <c r="O999" s="606"/>
      <c r="P999" s="606"/>
      <c r="Q999" s="606"/>
      <c r="R999" s="606"/>
      <c r="S999" s="606"/>
      <c r="T999" s="606"/>
      <c r="U999" s="606"/>
      <c r="V999" s="461"/>
      <c r="W999" s="461"/>
      <c r="X999" s="131"/>
      <c r="Y999" s="101"/>
      <c r="Z999" s="101"/>
      <c r="AA999" s="101"/>
      <c r="AB999" s="101"/>
      <c r="AC999" s="101"/>
      <c r="AD999" s="101"/>
      <c r="AE999" s="101"/>
      <c r="AF999" s="101"/>
      <c r="AG999" s="101"/>
      <c r="AH999" s="101"/>
      <c r="AI999" s="101"/>
      <c r="AJ999" s="101"/>
      <c r="AK999" s="101"/>
      <c r="AL999" s="101"/>
    </row>
    <row r="1000">
      <c r="A1000" s="101"/>
      <c r="B1000" s="644"/>
      <c r="C1000" s="101"/>
      <c r="D1000" s="605"/>
      <c r="E1000" s="645"/>
      <c r="F1000" s="101"/>
      <c r="G1000" s="101"/>
      <c r="H1000" s="101"/>
      <c r="I1000" s="606"/>
      <c r="J1000" s="606"/>
      <c r="K1000" s="606"/>
      <c r="L1000" s="606"/>
      <c r="M1000" s="606"/>
      <c r="N1000" s="606"/>
      <c r="O1000" s="606"/>
      <c r="P1000" s="606"/>
      <c r="Q1000" s="606"/>
      <c r="R1000" s="606"/>
      <c r="S1000" s="606"/>
      <c r="T1000" s="606"/>
      <c r="U1000" s="606"/>
      <c r="V1000" s="461"/>
      <c r="W1000" s="461"/>
      <c r="X1000" s="131"/>
      <c r="Y1000" s="101"/>
      <c r="Z1000" s="101"/>
      <c r="AA1000" s="101"/>
      <c r="AB1000" s="101"/>
      <c r="AC1000" s="101"/>
      <c r="AD1000" s="101"/>
      <c r="AE1000" s="101"/>
      <c r="AF1000" s="101"/>
      <c r="AG1000" s="101"/>
      <c r="AH1000" s="101"/>
      <c r="AI1000" s="101"/>
      <c r="AJ1000" s="101"/>
      <c r="AK1000" s="101"/>
      <c r="AL1000" s="101"/>
    </row>
    <row r="1001">
      <c r="A1001" s="101"/>
      <c r="B1001" s="644"/>
      <c r="C1001" s="101"/>
      <c r="D1001" s="605"/>
      <c r="E1001" s="645"/>
      <c r="F1001" s="101"/>
      <c r="G1001" s="101"/>
      <c r="H1001" s="101"/>
      <c r="I1001" s="606"/>
      <c r="J1001" s="606"/>
      <c r="K1001" s="606"/>
      <c r="L1001" s="606"/>
      <c r="M1001" s="606"/>
      <c r="N1001" s="606"/>
      <c r="O1001" s="606"/>
      <c r="P1001" s="606"/>
      <c r="Q1001" s="606"/>
      <c r="R1001" s="606"/>
      <c r="S1001" s="606"/>
      <c r="T1001" s="606"/>
      <c r="U1001" s="606"/>
      <c r="V1001" s="461"/>
      <c r="W1001" s="461"/>
      <c r="X1001" s="131"/>
      <c r="Y1001" s="101"/>
      <c r="Z1001" s="101"/>
      <c r="AA1001" s="101"/>
      <c r="AB1001" s="101"/>
      <c r="AC1001" s="101"/>
      <c r="AD1001" s="101"/>
      <c r="AE1001" s="101"/>
      <c r="AF1001" s="101"/>
      <c r="AG1001" s="101"/>
      <c r="AH1001" s="101"/>
      <c r="AI1001" s="101"/>
      <c r="AJ1001" s="101"/>
      <c r="AK1001" s="101"/>
      <c r="AL1001" s="101"/>
    </row>
    <row r="1002">
      <c r="A1002" s="101"/>
      <c r="B1002" s="644"/>
      <c r="C1002" s="101"/>
      <c r="D1002" s="605"/>
      <c r="E1002" s="645"/>
      <c r="F1002" s="101"/>
      <c r="G1002" s="101"/>
      <c r="H1002" s="101"/>
      <c r="I1002" s="606"/>
      <c r="J1002" s="606"/>
      <c r="K1002" s="606"/>
      <c r="L1002" s="606"/>
      <c r="M1002" s="606"/>
      <c r="N1002" s="606"/>
      <c r="O1002" s="606"/>
      <c r="P1002" s="606"/>
      <c r="Q1002" s="606"/>
      <c r="R1002" s="606"/>
      <c r="S1002" s="606"/>
      <c r="T1002" s="606"/>
      <c r="U1002" s="606"/>
      <c r="V1002" s="461"/>
      <c r="W1002" s="461"/>
      <c r="X1002" s="131"/>
      <c r="Y1002" s="101"/>
      <c r="Z1002" s="101"/>
      <c r="AA1002" s="101"/>
      <c r="AB1002" s="101"/>
      <c r="AC1002" s="101"/>
      <c r="AD1002" s="101"/>
      <c r="AE1002" s="101"/>
      <c r="AF1002" s="101"/>
      <c r="AG1002" s="101"/>
      <c r="AH1002" s="101"/>
      <c r="AI1002" s="101"/>
      <c r="AJ1002" s="101"/>
      <c r="AK1002" s="101"/>
      <c r="AL1002" s="101"/>
    </row>
    <row r="1003">
      <c r="A1003" s="101"/>
      <c r="B1003" s="644"/>
      <c r="C1003" s="101"/>
      <c r="D1003" s="605"/>
      <c r="E1003" s="645"/>
      <c r="F1003" s="101"/>
      <c r="G1003" s="101"/>
      <c r="H1003" s="101"/>
      <c r="I1003" s="606"/>
      <c r="J1003" s="606"/>
      <c r="K1003" s="606"/>
      <c r="L1003" s="606"/>
      <c r="M1003" s="606"/>
      <c r="N1003" s="606"/>
      <c r="O1003" s="606"/>
      <c r="P1003" s="606"/>
      <c r="Q1003" s="606"/>
      <c r="R1003" s="606"/>
      <c r="S1003" s="606"/>
      <c r="T1003" s="606"/>
      <c r="U1003" s="606"/>
      <c r="V1003" s="461"/>
      <c r="W1003" s="461"/>
      <c r="X1003" s="131"/>
      <c r="Y1003" s="101"/>
      <c r="Z1003" s="101"/>
      <c r="AA1003" s="101"/>
      <c r="AB1003" s="101"/>
      <c r="AC1003" s="101"/>
      <c r="AD1003" s="101"/>
      <c r="AE1003" s="101"/>
      <c r="AF1003" s="101"/>
      <c r="AG1003" s="101"/>
      <c r="AH1003" s="101"/>
      <c r="AI1003" s="101"/>
      <c r="AJ1003" s="101"/>
      <c r="AK1003" s="101"/>
      <c r="AL1003" s="101"/>
    </row>
    <row r="1004">
      <c r="A1004" s="101"/>
      <c r="B1004" s="644"/>
      <c r="C1004" s="101"/>
      <c r="D1004" s="605"/>
      <c r="E1004" s="645"/>
      <c r="F1004" s="101"/>
      <c r="G1004" s="101"/>
      <c r="H1004" s="101"/>
      <c r="I1004" s="606"/>
      <c r="J1004" s="606"/>
      <c r="K1004" s="606"/>
      <c r="L1004" s="606"/>
      <c r="M1004" s="606"/>
      <c r="N1004" s="606"/>
      <c r="O1004" s="606"/>
      <c r="P1004" s="606"/>
      <c r="Q1004" s="606"/>
      <c r="R1004" s="606"/>
      <c r="S1004" s="606"/>
      <c r="T1004" s="606"/>
      <c r="U1004" s="606"/>
      <c r="V1004" s="461"/>
      <c r="W1004" s="461"/>
      <c r="X1004" s="131"/>
      <c r="Y1004" s="101"/>
      <c r="Z1004" s="101"/>
      <c r="AA1004" s="101"/>
      <c r="AB1004" s="101"/>
      <c r="AC1004" s="101"/>
      <c r="AD1004" s="101"/>
      <c r="AE1004" s="101"/>
      <c r="AF1004" s="101"/>
      <c r="AG1004" s="101"/>
      <c r="AH1004" s="101"/>
      <c r="AI1004" s="101"/>
      <c r="AJ1004" s="101"/>
      <c r="AK1004" s="101"/>
      <c r="AL1004" s="101"/>
    </row>
    <row r="1005">
      <c r="A1005" s="101"/>
      <c r="B1005" s="644"/>
      <c r="C1005" s="101"/>
      <c r="D1005" s="605"/>
      <c r="E1005" s="645"/>
      <c r="F1005" s="101"/>
      <c r="G1005" s="101"/>
      <c r="H1005" s="101"/>
      <c r="I1005" s="606"/>
      <c r="J1005" s="606"/>
      <c r="K1005" s="606"/>
      <c r="L1005" s="606"/>
      <c r="M1005" s="606"/>
      <c r="N1005" s="606"/>
      <c r="O1005" s="606"/>
      <c r="P1005" s="606"/>
      <c r="Q1005" s="606"/>
      <c r="R1005" s="606"/>
      <c r="S1005" s="606"/>
      <c r="T1005" s="606"/>
      <c r="U1005" s="606"/>
      <c r="V1005" s="461"/>
      <c r="W1005" s="461"/>
      <c r="X1005" s="131"/>
      <c r="Y1005" s="101"/>
      <c r="Z1005" s="101"/>
      <c r="AA1005" s="101"/>
      <c r="AB1005" s="101"/>
      <c r="AC1005" s="101"/>
      <c r="AD1005" s="101"/>
      <c r="AE1005" s="101"/>
      <c r="AF1005" s="101"/>
      <c r="AG1005" s="101"/>
      <c r="AH1005" s="101"/>
      <c r="AI1005" s="101"/>
      <c r="AJ1005" s="101"/>
      <c r="AK1005" s="101"/>
      <c r="AL1005" s="101"/>
    </row>
    <row r="1006">
      <c r="A1006" s="101"/>
      <c r="B1006" s="644"/>
      <c r="C1006" s="101"/>
      <c r="D1006" s="605"/>
      <c r="E1006" s="645"/>
      <c r="F1006" s="101"/>
      <c r="G1006" s="101"/>
      <c r="H1006" s="101"/>
      <c r="I1006" s="606"/>
      <c r="J1006" s="606"/>
      <c r="K1006" s="606"/>
      <c r="L1006" s="606"/>
      <c r="M1006" s="606"/>
      <c r="N1006" s="606"/>
      <c r="O1006" s="606"/>
      <c r="P1006" s="606"/>
      <c r="Q1006" s="606"/>
      <c r="R1006" s="606"/>
      <c r="S1006" s="606"/>
      <c r="T1006" s="606"/>
      <c r="U1006" s="606"/>
      <c r="V1006" s="461"/>
      <c r="W1006" s="461"/>
      <c r="X1006" s="131"/>
      <c r="Y1006" s="101"/>
      <c r="Z1006" s="101"/>
      <c r="AA1006" s="101"/>
      <c r="AB1006" s="101"/>
      <c r="AC1006" s="101"/>
      <c r="AD1006" s="101"/>
      <c r="AE1006" s="101"/>
      <c r="AF1006" s="101"/>
      <c r="AG1006" s="101"/>
      <c r="AH1006" s="101"/>
      <c r="AI1006" s="101"/>
      <c r="AJ1006" s="101"/>
      <c r="AK1006" s="101"/>
      <c r="AL1006" s="101"/>
    </row>
    <row r="1007">
      <c r="A1007" s="101"/>
      <c r="B1007" s="644"/>
      <c r="C1007" s="101"/>
      <c r="D1007" s="605"/>
      <c r="E1007" s="645"/>
      <c r="F1007" s="101"/>
      <c r="G1007" s="101"/>
      <c r="H1007" s="101"/>
      <c r="I1007" s="606"/>
      <c r="J1007" s="606"/>
      <c r="K1007" s="606"/>
      <c r="L1007" s="606"/>
      <c r="M1007" s="606"/>
      <c r="N1007" s="606"/>
      <c r="O1007" s="606"/>
      <c r="P1007" s="606"/>
      <c r="Q1007" s="606"/>
      <c r="R1007" s="606"/>
      <c r="S1007" s="606"/>
      <c r="T1007" s="606"/>
      <c r="U1007" s="606"/>
      <c r="V1007" s="461"/>
      <c r="W1007" s="461"/>
      <c r="X1007" s="131"/>
      <c r="Y1007" s="101"/>
      <c r="Z1007" s="101"/>
      <c r="AA1007" s="101"/>
      <c r="AB1007" s="101"/>
      <c r="AC1007" s="101"/>
      <c r="AD1007" s="101"/>
      <c r="AE1007" s="101"/>
      <c r="AF1007" s="101"/>
      <c r="AG1007" s="101"/>
      <c r="AH1007" s="101"/>
      <c r="AI1007" s="101"/>
      <c r="AJ1007" s="101"/>
      <c r="AK1007" s="101"/>
      <c r="AL1007" s="101"/>
    </row>
    <row r="1008">
      <c r="A1008" s="101"/>
      <c r="B1008" s="644"/>
      <c r="C1008" s="101"/>
      <c r="D1008" s="605"/>
      <c r="E1008" s="645"/>
      <c r="F1008" s="101"/>
      <c r="G1008" s="101"/>
      <c r="H1008" s="101"/>
      <c r="I1008" s="606"/>
      <c r="J1008" s="606"/>
      <c r="K1008" s="606"/>
      <c r="L1008" s="606"/>
      <c r="M1008" s="606"/>
      <c r="N1008" s="606"/>
      <c r="O1008" s="606"/>
      <c r="P1008" s="606"/>
      <c r="Q1008" s="606"/>
      <c r="R1008" s="606"/>
      <c r="S1008" s="606"/>
      <c r="T1008" s="606"/>
      <c r="U1008" s="606"/>
      <c r="V1008" s="461"/>
      <c r="W1008" s="461"/>
      <c r="X1008" s="131"/>
      <c r="Y1008" s="101"/>
      <c r="Z1008" s="101"/>
      <c r="AA1008" s="101"/>
      <c r="AB1008" s="101"/>
      <c r="AC1008" s="101"/>
      <c r="AD1008" s="101"/>
      <c r="AE1008" s="101"/>
      <c r="AF1008" s="101"/>
      <c r="AG1008" s="101"/>
      <c r="AH1008" s="101"/>
      <c r="AI1008" s="101"/>
      <c r="AJ1008" s="101"/>
      <c r="AK1008" s="101"/>
      <c r="AL1008" s="101"/>
    </row>
    <row r="1009">
      <c r="A1009" s="101"/>
      <c r="B1009" s="644"/>
      <c r="C1009" s="101"/>
      <c r="D1009" s="605"/>
      <c r="E1009" s="645"/>
      <c r="F1009" s="101"/>
      <c r="G1009" s="101"/>
      <c r="H1009" s="101"/>
      <c r="I1009" s="606"/>
      <c r="J1009" s="606"/>
      <c r="K1009" s="606"/>
      <c r="L1009" s="606"/>
      <c r="M1009" s="606"/>
      <c r="N1009" s="606"/>
      <c r="O1009" s="606"/>
      <c r="P1009" s="606"/>
      <c r="Q1009" s="606"/>
      <c r="R1009" s="606"/>
      <c r="S1009" s="606"/>
      <c r="T1009" s="606"/>
      <c r="U1009" s="606"/>
      <c r="V1009" s="461"/>
      <c r="W1009" s="461"/>
      <c r="X1009" s="131"/>
      <c r="Y1009" s="101"/>
      <c r="Z1009" s="101"/>
      <c r="AA1009" s="101"/>
      <c r="AB1009" s="101"/>
      <c r="AC1009" s="101"/>
      <c r="AD1009" s="101"/>
      <c r="AE1009" s="101"/>
      <c r="AF1009" s="101"/>
      <c r="AG1009" s="101"/>
      <c r="AH1009" s="101"/>
      <c r="AI1009" s="101"/>
      <c r="AJ1009" s="101"/>
      <c r="AK1009" s="101"/>
      <c r="AL1009" s="101"/>
    </row>
    <row r="1010">
      <c r="A1010" s="101"/>
      <c r="B1010" s="644"/>
      <c r="C1010" s="101"/>
      <c r="D1010" s="605"/>
      <c r="E1010" s="645"/>
      <c r="F1010" s="101"/>
      <c r="G1010" s="101"/>
      <c r="H1010" s="101"/>
      <c r="I1010" s="606"/>
      <c r="J1010" s="606"/>
      <c r="K1010" s="606"/>
      <c r="L1010" s="606"/>
      <c r="M1010" s="606"/>
      <c r="N1010" s="606"/>
      <c r="O1010" s="606"/>
      <c r="P1010" s="606"/>
      <c r="Q1010" s="606"/>
      <c r="R1010" s="606"/>
      <c r="S1010" s="606"/>
      <c r="T1010" s="606"/>
      <c r="U1010" s="606"/>
      <c r="V1010" s="461"/>
      <c r="W1010" s="461"/>
      <c r="X1010" s="131"/>
      <c r="Y1010" s="101"/>
      <c r="Z1010" s="101"/>
      <c r="AA1010" s="101"/>
      <c r="AB1010" s="101"/>
      <c r="AC1010" s="101"/>
      <c r="AD1010" s="101"/>
      <c r="AE1010" s="101"/>
      <c r="AF1010" s="101"/>
      <c r="AG1010" s="101"/>
      <c r="AH1010" s="101"/>
      <c r="AI1010" s="101"/>
      <c r="AJ1010" s="101"/>
      <c r="AK1010" s="101"/>
      <c r="AL1010" s="101"/>
    </row>
    <row r="1011">
      <c r="A1011" s="101"/>
      <c r="B1011" s="644"/>
      <c r="C1011" s="101"/>
      <c r="D1011" s="605"/>
      <c r="E1011" s="645"/>
      <c r="F1011" s="101"/>
      <c r="G1011" s="101"/>
      <c r="H1011" s="101"/>
      <c r="I1011" s="606"/>
      <c r="J1011" s="606"/>
      <c r="K1011" s="606"/>
      <c r="L1011" s="606"/>
      <c r="M1011" s="606"/>
      <c r="N1011" s="606"/>
      <c r="O1011" s="606"/>
      <c r="P1011" s="606"/>
      <c r="Q1011" s="606"/>
      <c r="R1011" s="606"/>
      <c r="S1011" s="606"/>
      <c r="T1011" s="606"/>
      <c r="U1011" s="606"/>
      <c r="V1011" s="461"/>
      <c r="W1011" s="461"/>
      <c r="X1011" s="131"/>
      <c r="Y1011" s="101"/>
      <c r="Z1011" s="101"/>
      <c r="AA1011" s="101"/>
      <c r="AB1011" s="101"/>
      <c r="AC1011" s="101"/>
      <c r="AD1011" s="101"/>
      <c r="AE1011" s="101"/>
      <c r="AF1011" s="101"/>
      <c r="AG1011" s="101"/>
      <c r="AH1011" s="101"/>
      <c r="AI1011" s="101"/>
      <c r="AJ1011" s="101"/>
      <c r="AK1011" s="101"/>
      <c r="AL1011" s="101"/>
    </row>
    <row r="1012">
      <c r="A1012" s="101"/>
      <c r="B1012" s="644"/>
      <c r="C1012" s="101"/>
      <c r="D1012" s="605"/>
      <c r="E1012" s="645"/>
      <c r="F1012" s="101"/>
      <c r="G1012" s="101"/>
      <c r="H1012" s="101"/>
      <c r="I1012" s="606"/>
      <c r="J1012" s="606"/>
      <c r="K1012" s="606"/>
      <c r="L1012" s="606"/>
      <c r="M1012" s="606"/>
      <c r="N1012" s="606"/>
      <c r="O1012" s="606"/>
      <c r="P1012" s="606"/>
      <c r="Q1012" s="606"/>
      <c r="R1012" s="606"/>
      <c r="S1012" s="606"/>
      <c r="T1012" s="606"/>
      <c r="U1012" s="606"/>
      <c r="V1012" s="461"/>
      <c r="W1012" s="461"/>
      <c r="X1012" s="131"/>
      <c r="Y1012" s="101"/>
      <c r="Z1012" s="101"/>
      <c r="AA1012" s="101"/>
      <c r="AB1012" s="101"/>
      <c r="AC1012" s="101"/>
      <c r="AD1012" s="101"/>
      <c r="AE1012" s="101"/>
      <c r="AF1012" s="101"/>
      <c r="AG1012" s="101"/>
      <c r="AH1012" s="101"/>
      <c r="AI1012" s="101"/>
      <c r="AJ1012" s="101"/>
      <c r="AK1012" s="101"/>
      <c r="AL1012" s="101"/>
    </row>
    <row r="1013">
      <c r="A1013" s="101"/>
      <c r="B1013" s="644"/>
      <c r="C1013" s="101"/>
      <c r="D1013" s="605"/>
      <c r="E1013" s="645"/>
      <c r="F1013" s="101"/>
      <c r="G1013" s="101"/>
      <c r="H1013" s="101"/>
      <c r="I1013" s="606"/>
      <c r="J1013" s="606"/>
      <c r="K1013" s="606"/>
      <c r="L1013" s="606"/>
      <c r="M1013" s="606"/>
      <c r="N1013" s="606"/>
      <c r="O1013" s="606"/>
      <c r="P1013" s="606"/>
      <c r="Q1013" s="606"/>
      <c r="R1013" s="606"/>
      <c r="S1013" s="606"/>
      <c r="T1013" s="606"/>
      <c r="U1013" s="606"/>
      <c r="V1013" s="461"/>
      <c r="W1013" s="461"/>
      <c r="X1013" s="131"/>
      <c r="Y1013" s="101"/>
      <c r="Z1013" s="101"/>
      <c r="AA1013" s="101"/>
      <c r="AB1013" s="101"/>
      <c r="AC1013" s="101"/>
      <c r="AD1013" s="101"/>
      <c r="AE1013" s="101"/>
      <c r="AF1013" s="101"/>
      <c r="AG1013" s="101"/>
      <c r="AH1013" s="101"/>
      <c r="AI1013" s="101"/>
      <c r="AJ1013" s="101"/>
      <c r="AK1013" s="101"/>
      <c r="AL1013" s="101"/>
    </row>
    <row r="1014">
      <c r="A1014" s="101"/>
      <c r="B1014" s="644"/>
      <c r="C1014" s="101"/>
      <c r="D1014" s="605"/>
      <c r="E1014" s="645"/>
      <c r="F1014" s="101"/>
      <c r="G1014" s="101"/>
      <c r="H1014" s="101"/>
      <c r="I1014" s="606"/>
      <c r="J1014" s="606"/>
      <c r="K1014" s="606"/>
      <c r="L1014" s="606"/>
      <c r="M1014" s="606"/>
      <c r="N1014" s="606"/>
      <c r="O1014" s="606"/>
      <c r="P1014" s="606"/>
      <c r="Q1014" s="606"/>
      <c r="R1014" s="606"/>
      <c r="S1014" s="606"/>
      <c r="T1014" s="606"/>
      <c r="U1014" s="606"/>
      <c r="V1014" s="461"/>
      <c r="W1014" s="461"/>
      <c r="X1014" s="131"/>
      <c r="Y1014" s="101"/>
      <c r="Z1014" s="101"/>
      <c r="AA1014" s="101"/>
      <c r="AB1014" s="101"/>
      <c r="AC1014" s="101"/>
      <c r="AD1014" s="101"/>
      <c r="AE1014" s="101"/>
      <c r="AF1014" s="101"/>
      <c r="AG1014" s="101"/>
      <c r="AH1014" s="101"/>
      <c r="AI1014" s="101"/>
      <c r="AJ1014" s="101"/>
      <c r="AK1014" s="101"/>
      <c r="AL1014" s="101"/>
    </row>
    <row r="1015">
      <c r="A1015" s="101"/>
      <c r="B1015" s="644"/>
      <c r="C1015" s="101"/>
      <c r="D1015" s="605"/>
      <c r="E1015" s="645"/>
      <c r="F1015" s="101"/>
      <c r="G1015" s="101"/>
      <c r="H1015" s="101"/>
      <c r="I1015" s="606"/>
      <c r="J1015" s="606"/>
      <c r="K1015" s="606"/>
      <c r="L1015" s="606"/>
      <c r="M1015" s="606"/>
      <c r="N1015" s="606"/>
      <c r="O1015" s="606"/>
      <c r="P1015" s="606"/>
      <c r="Q1015" s="606"/>
      <c r="R1015" s="606"/>
      <c r="S1015" s="606"/>
      <c r="T1015" s="606"/>
      <c r="U1015" s="606"/>
      <c r="V1015" s="461"/>
      <c r="W1015" s="461"/>
      <c r="X1015" s="131"/>
      <c r="Y1015" s="101"/>
      <c r="Z1015" s="101"/>
      <c r="AA1015" s="101"/>
      <c r="AB1015" s="101"/>
      <c r="AC1015" s="101"/>
      <c r="AD1015" s="101"/>
      <c r="AE1015" s="101"/>
      <c r="AF1015" s="101"/>
      <c r="AG1015" s="101"/>
      <c r="AH1015" s="101"/>
      <c r="AI1015" s="101"/>
      <c r="AJ1015" s="101"/>
      <c r="AK1015" s="101"/>
      <c r="AL1015" s="101"/>
    </row>
    <row r="1016">
      <c r="A1016" s="101"/>
      <c r="B1016" s="644"/>
      <c r="C1016" s="101"/>
      <c r="D1016" s="605"/>
      <c r="E1016" s="645"/>
      <c r="F1016" s="101"/>
      <c r="G1016" s="101"/>
      <c r="H1016" s="101"/>
      <c r="I1016" s="606"/>
      <c r="J1016" s="606"/>
      <c r="K1016" s="606"/>
      <c r="L1016" s="606"/>
      <c r="M1016" s="606"/>
      <c r="N1016" s="606"/>
      <c r="O1016" s="606"/>
      <c r="P1016" s="606"/>
      <c r="Q1016" s="606"/>
      <c r="R1016" s="606"/>
      <c r="S1016" s="606"/>
      <c r="T1016" s="606"/>
      <c r="U1016" s="606"/>
      <c r="V1016" s="461"/>
      <c r="W1016" s="461"/>
      <c r="X1016" s="131"/>
      <c r="Y1016" s="101"/>
      <c r="Z1016" s="101"/>
      <c r="AA1016" s="101"/>
      <c r="AB1016" s="101"/>
      <c r="AC1016" s="101"/>
      <c r="AD1016" s="101"/>
      <c r="AE1016" s="101"/>
      <c r="AF1016" s="101"/>
      <c r="AG1016" s="101"/>
      <c r="AH1016" s="101"/>
      <c r="AI1016" s="101"/>
      <c r="AJ1016" s="101"/>
      <c r="AK1016" s="101"/>
      <c r="AL1016" s="101"/>
    </row>
    <row r="1017">
      <c r="A1017" s="101"/>
      <c r="B1017" s="644"/>
      <c r="C1017" s="101"/>
      <c r="D1017" s="605"/>
      <c r="E1017" s="645"/>
      <c r="F1017" s="101"/>
      <c r="G1017" s="101"/>
      <c r="H1017" s="101"/>
      <c r="I1017" s="606"/>
      <c r="J1017" s="606"/>
      <c r="K1017" s="606"/>
      <c r="L1017" s="606"/>
      <c r="M1017" s="606"/>
      <c r="N1017" s="606"/>
      <c r="O1017" s="606"/>
      <c r="P1017" s="606"/>
      <c r="Q1017" s="606"/>
      <c r="R1017" s="606"/>
      <c r="S1017" s="606"/>
      <c r="T1017" s="606"/>
      <c r="U1017" s="606"/>
      <c r="V1017" s="461"/>
      <c r="W1017" s="461"/>
      <c r="X1017" s="131"/>
      <c r="Y1017" s="101"/>
      <c r="Z1017" s="101"/>
      <c r="AA1017" s="101"/>
      <c r="AB1017" s="101"/>
      <c r="AC1017" s="101"/>
      <c r="AD1017" s="101"/>
      <c r="AE1017" s="101"/>
      <c r="AF1017" s="101"/>
      <c r="AG1017" s="101"/>
      <c r="AH1017" s="101"/>
      <c r="AI1017" s="101"/>
      <c r="AJ1017" s="101"/>
      <c r="AK1017" s="101"/>
      <c r="AL1017" s="101"/>
    </row>
    <row r="1018">
      <c r="A1018" s="101"/>
      <c r="B1018" s="644"/>
      <c r="C1018" s="101"/>
      <c r="D1018" s="605"/>
      <c r="E1018" s="645"/>
      <c r="F1018" s="101"/>
      <c r="G1018" s="101"/>
      <c r="H1018" s="101"/>
      <c r="I1018" s="606"/>
      <c r="J1018" s="606"/>
      <c r="K1018" s="606"/>
      <c r="L1018" s="606"/>
      <c r="M1018" s="606"/>
      <c r="N1018" s="606"/>
      <c r="O1018" s="606"/>
      <c r="P1018" s="606"/>
      <c r="Q1018" s="606"/>
      <c r="R1018" s="606"/>
      <c r="S1018" s="606"/>
      <c r="T1018" s="606"/>
      <c r="U1018" s="606"/>
      <c r="V1018" s="461"/>
      <c r="W1018" s="461"/>
      <c r="X1018" s="131"/>
      <c r="Y1018" s="101"/>
      <c r="Z1018" s="101"/>
      <c r="AA1018" s="101"/>
      <c r="AB1018" s="101"/>
      <c r="AC1018" s="101"/>
      <c r="AD1018" s="101"/>
      <c r="AE1018" s="101"/>
      <c r="AF1018" s="101"/>
      <c r="AG1018" s="101"/>
      <c r="AH1018" s="101"/>
      <c r="AI1018" s="101"/>
      <c r="AJ1018" s="101"/>
      <c r="AK1018" s="101"/>
      <c r="AL1018" s="101"/>
    </row>
    <row r="1019">
      <c r="A1019" s="101"/>
      <c r="B1019" s="644"/>
      <c r="C1019" s="101"/>
      <c r="D1019" s="605"/>
      <c r="E1019" s="645"/>
      <c r="F1019" s="101"/>
      <c r="G1019" s="101"/>
      <c r="H1019" s="101"/>
      <c r="I1019" s="606"/>
      <c r="J1019" s="606"/>
      <c r="K1019" s="606"/>
      <c r="L1019" s="606"/>
      <c r="M1019" s="606"/>
      <c r="N1019" s="606"/>
      <c r="O1019" s="606"/>
      <c r="P1019" s="606"/>
      <c r="Q1019" s="606"/>
      <c r="R1019" s="606"/>
      <c r="S1019" s="606"/>
      <c r="T1019" s="606"/>
      <c r="U1019" s="606"/>
      <c r="V1019" s="461"/>
      <c r="W1019" s="461"/>
      <c r="X1019" s="131"/>
      <c r="Y1019" s="101"/>
      <c r="Z1019" s="101"/>
      <c r="AA1019" s="101"/>
      <c r="AB1019" s="101"/>
      <c r="AC1019" s="101"/>
      <c r="AD1019" s="101"/>
      <c r="AE1019" s="101"/>
      <c r="AF1019" s="101"/>
      <c r="AG1019" s="101"/>
      <c r="AH1019" s="101"/>
      <c r="AI1019" s="101"/>
      <c r="AJ1019" s="101"/>
      <c r="AK1019" s="101"/>
      <c r="AL1019" s="101"/>
    </row>
    <row r="1020">
      <c r="A1020" s="101"/>
      <c r="B1020" s="644"/>
      <c r="C1020" s="101"/>
      <c r="D1020" s="605"/>
      <c r="E1020" s="645"/>
      <c r="F1020" s="101"/>
      <c r="G1020" s="101"/>
      <c r="H1020" s="101"/>
      <c r="I1020" s="606"/>
      <c r="J1020" s="606"/>
      <c r="K1020" s="606"/>
      <c r="L1020" s="606"/>
      <c r="M1020" s="606"/>
      <c r="N1020" s="606"/>
      <c r="O1020" s="606"/>
      <c r="P1020" s="606"/>
      <c r="Q1020" s="606"/>
      <c r="R1020" s="606"/>
      <c r="S1020" s="606"/>
      <c r="T1020" s="606"/>
      <c r="U1020" s="606"/>
      <c r="V1020" s="461"/>
      <c r="W1020" s="461"/>
      <c r="X1020" s="131"/>
      <c r="Y1020" s="101"/>
      <c r="Z1020" s="101"/>
      <c r="AA1020" s="101"/>
      <c r="AB1020" s="101"/>
      <c r="AC1020" s="101"/>
      <c r="AD1020" s="101"/>
      <c r="AE1020" s="101"/>
      <c r="AF1020" s="101"/>
      <c r="AG1020" s="101"/>
      <c r="AH1020" s="101"/>
      <c r="AI1020" s="101"/>
      <c r="AJ1020" s="101"/>
      <c r="AK1020" s="101"/>
      <c r="AL1020" s="101"/>
    </row>
    <row r="1021">
      <c r="A1021" s="101"/>
      <c r="B1021" s="644"/>
      <c r="C1021" s="101"/>
      <c r="D1021" s="605"/>
      <c r="E1021" s="645"/>
      <c r="F1021" s="101"/>
      <c r="G1021" s="101"/>
      <c r="H1021" s="101"/>
      <c r="I1021" s="606"/>
      <c r="J1021" s="606"/>
      <c r="K1021" s="606"/>
      <c r="L1021" s="606"/>
      <c r="M1021" s="606"/>
      <c r="N1021" s="606"/>
      <c r="O1021" s="606"/>
      <c r="P1021" s="606"/>
      <c r="Q1021" s="606"/>
      <c r="R1021" s="606"/>
      <c r="S1021" s="606"/>
      <c r="T1021" s="606"/>
      <c r="U1021" s="606"/>
      <c r="V1021" s="461"/>
      <c r="W1021" s="461"/>
      <c r="X1021" s="131"/>
      <c r="Y1021" s="101"/>
      <c r="Z1021" s="101"/>
      <c r="AA1021" s="101"/>
      <c r="AB1021" s="101"/>
      <c r="AC1021" s="101"/>
      <c r="AD1021" s="101"/>
      <c r="AE1021" s="101"/>
      <c r="AF1021" s="101"/>
      <c r="AG1021" s="101"/>
      <c r="AH1021" s="101"/>
      <c r="AI1021" s="101"/>
      <c r="AJ1021" s="101"/>
      <c r="AK1021" s="101"/>
      <c r="AL1021" s="101"/>
    </row>
    <row r="1022">
      <c r="A1022" s="101"/>
      <c r="B1022" s="644"/>
      <c r="C1022" s="101"/>
      <c r="D1022" s="605"/>
      <c r="E1022" s="645"/>
      <c r="F1022" s="101"/>
      <c r="G1022" s="101"/>
      <c r="H1022" s="101"/>
      <c r="I1022" s="606"/>
      <c r="J1022" s="606"/>
      <c r="K1022" s="606"/>
      <c r="L1022" s="606"/>
      <c r="M1022" s="606"/>
      <c r="N1022" s="606"/>
      <c r="O1022" s="606"/>
      <c r="P1022" s="606"/>
      <c r="Q1022" s="606"/>
      <c r="R1022" s="606"/>
      <c r="S1022" s="606"/>
      <c r="T1022" s="606"/>
      <c r="U1022" s="606"/>
      <c r="V1022" s="461"/>
      <c r="W1022" s="461"/>
      <c r="X1022" s="131"/>
      <c r="Y1022" s="101"/>
      <c r="Z1022" s="101"/>
      <c r="AA1022" s="101"/>
      <c r="AB1022" s="101"/>
      <c r="AC1022" s="101"/>
      <c r="AD1022" s="101"/>
      <c r="AE1022" s="101"/>
      <c r="AF1022" s="101"/>
      <c r="AG1022" s="101"/>
      <c r="AH1022" s="101"/>
      <c r="AI1022" s="101"/>
      <c r="AJ1022" s="101"/>
      <c r="AK1022" s="101"/>
      <c r="AL1022" s="101"/>
    </row>
    <row r="1023">
      <c r="A1023" s="101"/>
      <c r="B1023" s="644"/>
      <c r="C1023" s="101"/>
      <c r="D1023" s="605"/>
      <c r="E1023" s="645"/>
      <c r="F1023" s="101"/>
      <c r="G1023" s="101"/>
      <c r="H1023" s="101"/>
      <c r="I1023" s="606"/>
      <c r="J1023" s="606"/>
      <c r="K1023" s="606"/>
      <c r="L1023" s="606"/>
      <c r="M1023" s="606"/>
      <c r="N1023" s="606"/>
      <c r="O1023" s="606"/>
      <c r="P1023" s="606"/>
      <c r="Q1023" s="606"/>
      <c r="R1023" s="606"/>
      <c r="S1023" s="606"/>
      <c r="T1023" s="606"/>
      <c r="U1023" s="606"/>
      <c r="V1023" s="461"/>
      <c r="W1023" s="461"/>
      <c r="X1023" s="131"/>
      <c r="Y1023" s="101"/>
      <c r="Z1023" s="101"/>
      <c r="AA1023" s="101"/>
      <c r="AB1023" s="101"/>
      <c r="AC1023" s="101"/>
      <c r="AD1023" s="101"/>
      <c r="AE1023" s="101"/>
      <c r="AF1023" s="101"/>
      <c r="AG1023" s="101"/>
      <c r="AH1023" s="101"/>
      <c r="AI1023" s="101"/>
      <c r="AJ1023" s="101"/>
      <c r="AK1023" s="101"/>
      <c r="AL1023" s="101"/>
    </row>
    <row r="1024">
      <c r="A1024" s="101"/>
      <c r="B1024" s="644"/>
      <c r="C1024" s="101"/>
      <c r="D1024" s="605"/>
      <c r="E1024" s="645"/>
      <c r="F1024" s="101"/>
      <c r="G1024" s="101"/>
      <c r="H1024" s="101"/>
      <c r="I1024" s="606"/>
      <c r="J1024" s="606"/>
      <c r="K1024" s="606"/>
      <c r="L1024" s="606"/>
      <c r="M1024" s="606"/>
      <c r="N1024" s="606"/>
      <c r="O1024" s="606"/>
      <c r="P1024" s="606"/>
      <c r="Q1024" s="606"/>
      <c r="R1024" s="606"/>
      <c r="S1024" s="606"/>
      <c r="T1024" s="606"/>
      <c r="U1024" s="606"/>
      <c r="V1024" s="461"/>
      <c r="W1024" s="461"/>
      <c r="X1024" s="131"/>
      <c r="Y1024" s="101"/>
      <c r="Z1024" s="101"/>
      <c r="AA1024" s="101"/>
      <c r="AB1024" s="101"/>
      <c r="AC1024" s="101"/>
      <c r="AD1024" s="101"/>
      <c r="AE1024" s="101"/>
      <c r="AF1024" s="101"/>
      <c r="AG1024" s="101"/>
      <c r="AH1024" s="101"/>
      <c r="AI1024" s="101"/>
      <c r="AJ1024" s="101"/>
      <c r="AK1024" s="101"/>
      <c r="AL1024" s="101"/>
    </row>
    <row r="1025">
      <c r="A1025" s="101"/>
      <c r="B1025" s="644"/>
      <c r="C1025" s="101"/>
      <c r="D1025" s="605"/>
      <c r="E1025" s="645"/>
      <c r="F1025" s="101"/>
      <c r="G1025" s="101"/>
      <c r="H1025" s="101"/>
      <c r="I1025" s="606"/>
      <c r="J1025" s="606"/>
      <c r="K1025" s="606"/>
      <c r="L1025" s="606"/>
      <c r="M1025" s="606"/>
      <c r="N1025" s="606"/>
      <c r="O1025" s="606"/>
      <c r="P1025" s="606"/>
      <c r="Q1025" s="606"/>
      <c r="R1025" s="606"/>
      <c r="S1025" s="606"/>
      <c r="T1025" s="606"/>
      <c r="U1025" s="606"/>
      <c r="V1025" s="461"/>
      <c r="W1025" s="461"/>
      <c r="X1025" s="131"/>
      <c r="Y1025" s="101"/>
      <c r="Z1025" s="101"/>
      <c r="AA1025" s="101"/>
      <c r="AB1025" s="101"/>
      <c r="AC1025" s="101"/>
      <c r="AD1025" s="101"/>
      <c r="AE1025" s="101"/>
      <c r="AF1025" s="101"/>
      <c r="AG1025" s="101"/>
      <c r="AH1025" s="101"/>
      <c r="AI1025" s="101"/>
      <c r="AJ1025" s="101"/>
      <c r="AK1025" s="101"/>
      <c r="AL1025" s="101"/>
    </row>
    <row r="1026">
      <c r="A1026" s="101"/>
      <c r="B1026" s="644"/>
      <c r="C1026" s="101"/>
      <c r="D1026" s="605"/>
      <c r="E1026" s="645"/>
      <c r="F1026" s="101"/>
      <c r="G1026" s="101"/>
      <c r="H1026" s="101"/>
      <c r="I1026" s="606"/>
      <c r="J1026" s="606"/>
      <c r="K1026" s="606"/>
      <c r="L1026" s="606"/>
      <c r="M1026" s="606"/>
      <c r="N1026" s="606"/>
      <c r="O1026" s="606"/>
      <c r="P1026" s="606"/>
      <c r="Q1026" s="606"/>
      <c r="R1026" s="606"/>
      <c r="S1026" s="606"/>
      <c r="T1026" s="606"/>
      <c r="U1026" s="606"/>
      <c r="V1026" s="461"/>
      <c r="W1026" s="461"/>
      <c r="X1026" s="131"/>
      <c r="Y1026" s="101"/>
      <c r="Z1026" s="101"/>
      <c r="AA1026" s="101"/>
      <c r="AB1026" s="101"/>
      <c r="AC1026" s="101"/>
      <c r="AD1026" s="101"/>
      <c r="AE1026" s="101"/>
      <c r="AF1026" s="101"/>
      <c r="AG1026" s="101"/>
      <c r="AH1026" s="101"/>
      <c r="AI1026" s="101"/>
      <c r="AJ1026" s="101"/>
      <c r="AK1026" s="101"/>
      <c r="AL1026" s="101"/>
    </row>
    <row r="1027">
      <c r="A1027" s="101"/>
      <c r="B1027" s="644"/>
      <c r="C1027" s="101"/>
      <c r="D1027" s="605"/>
      <c r="E1027" s="645"/>
      <c r="F1027" s="101"/>
      <c r="G1027" s="101"/>
      <c r="H1027" s="101"/>
      <c r="I1027" s="606"/>
      <c r="J1027" s="606"/>
      <c r="K1027" s="606"/>
      <c r="L1027" s="606"/>
      <c r="M1027" s="606"/>
      <c r="N1027" s="606"/>
      <c r="O1027" s="606"/>
      <c r="P1027" s="606"/>
      <c r="Q1027" s="606"/>
      <c r="R1027" s="606"/>
      <c r="S1027" s="606"/>
      <c r="T1027" s="606"/>
      <c r="U1027" s="606"/>
      <c r="V1027" s="461"/>
      <c r="W1027" s="461"/>
      <c r="X1027" s="131"/>
      <c r="Y1027" s="101"/>
      <c r="Z1027" s="101"/>
      <c r="AA1027" s="101"/>
      <c r="AB1027" s="101"/>
      <c r="AC1027" s="101"/>
      <c r="AD1027" s="101"/>
      <c r="AE1027" s="101"/>
      <c r="AF1027" s="101"/>
      <c r="AG1027" s="101"/>
      <c r="AH1027" s="101"/>
      <c r="AI1027" s="101"/>
      <c r="AJ1027" s="101"/>
      <c r="AK1027" s="101"/>
      <c r="AL1027" s="101"/>
    </row>
    <row r="1028">
      <c r="A1028" s="101"/>
      <c r="B1028" s="644"/>
      <c r="C1028" s="101"/>
      <c r="D1028" s="605"/>
      <c r="E1028" s="645"/>
      <c r="F1028" s="101"/>
      <c r="G1028" s="101"/>
      <c r="H1028" s="101"/>
      <c r="I1028" s="606"/>
      <c r="J1028" s="606"/>
      <c r="K1028" s="606"/>
      <c r="L1028" s="606"/>
      <c r="M1028" s="606"/>
      <c r="N1028" s="606"/>
      <c r="O1028" s="606"/>
      <c r="P1028" s="606"/>
      <c r="Q1028" s="606"/>
      <c r="R1028" s="606"/>
      <c r="S1028" s="606"/>
      <c r="T1028" s="606"/>
      <c r="U1028" s="606"/>
      <c r="V1028" s="461"/>
      <c r="W1028" s="461"/>
      <c r="X1028" s="131"/>
      <c r="Y1028" s="101"/>
      <c r="Z1028" s="101"/>
      <c r="AA1028" s="101"/>
      <c r="AB1028" s="101"/>
      <c r="AC1028" s="101"/>
      <c r="AD1028" s="101"/>
      <c r="AE1028" s="101"/>
      <c r="AF1028" s="101"/>
      <c r="AG1028" s="101"/>
      <c r="AH1028" s="101"/>
      <c r="AI1028" s="101"/>
      <c r="AJ1028" s="101"/>
      <c r="AK1028" s="101"/>
      <c r="AL1028" s="101"/>
    </row>
    <row r="1029">
      <c r="A1029" s="101"/>
      <c r="B1029" s="644"/>
      <c r="C1029" s="101"/>
      <c r="D1029" s="605"/>
      <c r="E1029" s="645"/>
      <c r="F1029" s="101"/>
      <c r="G1029" s="101"/>
      <c r="H1029" s="101"/>
      <c r="I1029" s="606"/>
      <c r="J1029" s="606"/>
      <c r="K1029" s="606"/>
      <c r="L1029" s="606"/>
      <c r="M1029" s="606"/>
      <c r="N1029" s="606"/>
      <c r="O1029" s="606"/>
      <c r="P1029" s="606"/>
      <c r="Q1029" s="606"/>
      <c r="R1029" s="606"/>
      <c r="S1029" s="606"/>
      <c r="T1029" s="606"/>
      <c r="U1029" s="606"/>
      <c r="V1029" s="461"/>
      <c r="W1029" s="461"/>
      <c r="X1029" s="131"/>
      <c r="Y1029" s="101"/>
      <c r="Z1029" s="101"/>
      <c r="AA1029" s="101"/>
      <c r="AB1029" s="101"/>
      <c r="AC1029" s="101"/>
      <c r="AD1029" s="101"/>
      <c r="AE1029" s="101"/>
      <c r="AF1029" s="101"/>
      <c r="AG1029" s="101"/>
      <c r="AH1029" s="101"/>
      <c r="AI1029" s="101"/>
      <c r="AJ1029" s="101"/>
      <c r="AK1029" s="101"/>
      <c r="AL1029" s="101"/>
    </row>
    <row r="1030">
      <c r="A1030" s="101"/>
      <c r="B1030" s="644"/>
      <c r="C1030" s="101"/>
      <c r="D1030" s="605"/>
      <c r="E1030" s="645"/>
      <c r="F1030" s="101"/>
      <c r="G1030" s="101"/>
      <c r="H1030" s="101"/>
      <c r="I1030" s="606"/>
      <c r="J1030" s="606"/>
      <c r="K1030" s="606"/>
      <c r="L1030" s="606"/>
      <c r="M1030" s="606"/>
      <c r="N1030" s="606"/>
      <c r="O1030" s="606"/>
      <c r="P1030" s="606"/>
      <c r="Q1030" s="606"/>
      <c r="R1030" s="606"/>
      <c r="S1030" s="606"/>
      <c r="T1030" s="606"/>
      <c r="U1030" s="606"/>
      <c r="V1030" s="461"/>
      <c r="W1030" s="461"/>
      <c r="X1030" s="131"/>
      <c r="Y1030" s="101"/>
      <c r="Z1030" s="101"/>
      <c r="AA1030" s="101"/>
      <c r="AB1030" s="101"/>
      <c r="AC1030" s="101"/>
      <c r="AD1030" s="101"/>
      <c r="AE1030" s="101"/>
      <c r="AF1030" s="101"/>
      <c r="AG1030" s="101"/>
      <c r="AH1030" s="101"/>
      <c r="AI1030" s="101"/>
      <c r="AJ1030" s="101"/>
      <c r="AK1030" s="101"/>
      <c r="AL1030" s="101"/>
    </row>
    <row r="1031">
      <c r="A1031" s="101"/>
      <c r="B1031" s="644"/>
      <c r="C1031" s="101"/>
      <c r="D1031" s="605"/>
      <c r="E1031" s="645"/>
      <c r="F1031" s="101"/>
      <c r="G1031" s="101"/>
      <c r="H1031" s="101"/>
      <c r="I1031" s="606"/>
      <c r="J1031" s="606"/>
      <c r="K1031" s="606"/>
      <c r="L1031" s="606"/>
      <c r="M1031" s="606"/>
      <c r="N1031" s="606"/>
      <c r="O1031" s="606"/>
      <c r="P1031" s="606"/>
      <c r="Q1031" s="606"/>
      <c r="R1031" s="606"/>
      <c r="S1031" s="606"/>
      <c r="T1031" s="606"/>
      <c r="U1031" s="606"/>
      <c r="V1031" s="461"/>
      <c r="W1031" s="461"/>
      <c r="X1031" s="131"/>
      <c r="Y1031" s="101"/>
      <c r="Z1031" s="101"/>
      <c r="AA1031" s="101"/>
      <c r="AB1031" s="101"/>
      <c r="AC1031" s="101"/>
      <c r="AD1031" s="101"/>
      <c r="AE1031" s="101"/>
      <c r="AF1031" s="101"/>
      <c r="AG1031" s="101"/>
      <c r="AH1031" s="101"/>
      <c r="AI1031" s="101"/>
      <c r="AJ1031" s="101"/>
      <c r="AK1031" s="101"/>
      <c r="AL1031" s="101"/>
    </row>
    <row r="1032">
      <c r="A1032" s="101"/>
      <c r="B1032" s="644"/>
      <c r="C1032" s="101"/>
      <c r="D1032" s="605"/>
      <c r="E1032" s="645"/>
      <c r="F1032" s="101"/>
      <c r="G1032" s="101"/>
      <c r="H1032" s="101"/>
      <c r="I1032" s="606"/>
      <c r="J1032" s="606"/>
      <c r="K1032" s="606"/>
      <c r="L1032" s="606"/>
      <c r="M1032" s="606"/>
      <c r="N1032" s="606"/>
      <c r="O1032" s="606"/>
      <c r="P1032" s="606"/>
      <c r="Q1032" s="606"/>
      <c r="R1032" s="606"/>
      <c r="S1032" s="606"/>
      <c r="T1032" s="606"/>
      <c r="U1032" s="606"/>
      <c r="V1032" s="461"/>
      <c r="W1032" s="461"/>
      <c r="X1032" s="131"/>
      <c r="Y1032" s="101"/>
      <c r="Z1032" s="101"/>
      <c r="AA1032" s="101"/>
      <c r="AB1032" s="101"/>
      <c r="AC1032" s="101"/>
      <c r="AD1032" s="101"/>
      <c r="AE1032" s="101"/>
      <c r="AF1032" s="101"/>
      <c r="AG1032" s="101"/>
      <c r="AH1032" s="101"/>
      <c r="AI1032" s="101"/>
      <c r="AJ1032" s="101"/>
      <c r="AK1032" s="101"/>
      <c r="AL1032" s="101"/>
    </row>
    <row r="1033">
      <c r="A1033" s="101"/>
      <c r="B1033" s="644"/>
      <c r="C1033" s="101"/>
      <c r="D1033" s="605"/>
      <c r="E1033" s="645"/>
      <c r="F1033" s="101"/>
      <c r="G1033" s="101"/>
      <c r="H1033" s="101"/>
      <c r="I1033" s="606"/>
      <c r="J1033" s="606"/>
      <c r="K1033" s="606"/>
      <c r="L1033" s="606"/>
      <c r="M1033" s="606"/>
      <c r="N1033" s="606"/>
      <c r="O1033" s="606"/>
      <c r="P1033" s="606"/>
      <c r="Q1033" s="606"/>
      <c r="R1033" s="606"/>
      <c r="S1033" s="606"/>
      <c r="T1033" s="606"/>
      <c r="U1033" s="606"/>
      <c r="V1033" s="461"/>
      <c r="W1033" s="461"/>
      <c r="X1033" s="131"/>
      <c r="Y1033" s="101"/>
      <c r="Z1033" s="101"/>
      <c r="AA1033" s="101"/>
      <c r="AB1033" s="101"/>
      <c r="AC1033" s="101"/>
      <c r="AD1033" s="101"/>
      <c r="AE1033" s="101"/>
      <c r="AF1033" s="101"/>
      <c r="AG1033" s="101"/>
      <c r="AH1033" s="101"/>
      <c r="AI1033" s="101"/>
      <c r="AJ1033" s="101"/>
      <c r="AK1033" s="101"/>
      <c r="AL1033" s="101"/>
    </row>
    <row r="1034">
      <c r="A1034" s="101"/>
      <c r="B1034" s="644"/>
      <c r="C1034" s="101"/>
      <c r="D1034" s="605"/>
      <c r="E1034" s="645"/>
      <c r="F1034" s="101"/>
      <c r="G1034" s="101"/>
      <c r="H1034" s="101"/>
      <c r="I1034" s="606"/>
      <c r="J1034" s="606"/>
      <c r="K1034" s="606"/>
      <c r="L1034" s="606"/>
      <c r="M1034" s="606"/>
      <c r="N1034" s="606"/>
      <c r="O1034" s="606"/>
      <c r="P1034" s="606"/>
      <c r="Q1034" s="606"/>
      <c r="R1034" s="606"/>
      <c r="S1034" s="606"/>
      <c r="T1034" s="606"/>
      <c r="U1034" s="606"/>
      <c r="V1034" s="461"/>
      <c r="W1034" s="461"/>
      <c r="X1034" s="131"/>
      <c r="Y1034" s="101"/>
      <c r="Z1034" s="101"/>
      <c r="AA1034" s="101"/>
      <c r="AB1034" s="101"/>
      <c r="AC1034" s="101"/>
      <c r="AD1034" s="101"/>
      <c r="AE1034" s="101"/>
      <c r="AF1034" s="101"/>
      <c r="AG1034" s="101"/>
      <c r="AH1034" s="101"/>
      <c r="AI1034" s="101"/>
      <c r="AJ1034" s="101"/>
      <c r="AK1034" s="101"/>
      <c r="AL1034" s="101"/>
    </row>
    <row r="1035">
      <c r="A1035" s="101"/>
      <c r="B1035" s="644"/>
      <c r="C1035" s="101"/>
      <c r="D1035" s="605"/>
      <c r="E1035" s="645"/>
      <c r="F1035" s="101"/>
      <c r="G1035" s="101"/>
      <c r="H1035" s="101"/>
      <c r="I1035" s="606"/>
      <c r="J1035" s="606"/>
      <c r="K1035" s="606"/>
      <c r="L1035" s="606"/>
      <c r="M1035" s="606"/>
      <c r="N1035" s="606"/>
      <c r="O1035" s="606"/>
      <c r="P1035" s="606"/>
      <c r="Q1035" s="606"/>
      <c r="R1035" s="606"/>
      <c r="S1035" s="606"/>
      <c r="T1035" s="606"/>
      <c r="U1035" s="606"/>
      <c r="V1035" s="461"/>
      <c r="W1035" s="461"/>
      <c r="X1035" s="131"/>
      <c r="Y1035" s="101"/>
      <c r="Z1035" s="101"/>
      <c r="AA1035" s="101"/>
      <c r="AB1035" s="101"/>
      <c r="AC1035" s="101"/>
      <c r="AD1035" s="101"/>
      <c r="AE1035" s="101"/>
      <c r="AF1035" s="101"/>
      <c r="AG1035" s="101"/>
      <c r="AH1035" s="101"/>
      <c r="AI1035" s="101"/>
      <c r="AJ1035" s="101"/>
      <c r="AK1035" s="101"/>
      <c r="AL1035" s="101"/>
    </row>
    <row r="1036">
      <c r="A1036" s="101"/>
      <c r="B1036" s="644"/>
      <c r="C1036" s="101"/>
      <c r="D1036" s="605"/>
      <c r="E1036" s="645"/>
      <c r="F1036" s="101"/>
      <c r="G1036" s="101"/>
      <c r="H1036" s="101"/>
      <c r="I1036" s="606"/>
      <c r="J1036" s="606"/>
      <c r="K1036" s="606"/>
      <c r="L1036" s="606"/>
      <c r="M1036" s="606"/>
      <c r="N1036" s="606"/>
      <c r="O1036" s="606"/>
      <c r="P1036" s="606"/>
      <c r="Q1036" s="606"/>
      <c r="R1036" s="606"/>
      <c r="S1036" s="606"/>
      <c r="T1036" s="606"/>
      <c r="U1036" s="606"/>
      <c r="V1036" s="461"/>
      <c r="W1036" s="461"/>
      <c r="X1036" s="131"/>
      <c r="Y1036" s="101"/>
      <c r="Z1036" s="101"/>
      <c r="AA1036" s="101"/>
      <c r="AB1036" s="101"/>
      <c r="AC1036" s="101"/>
      <c r="AD1036" s="101"/>
      <c r="AE1036" s="101"/>
      <c r="AF1036" s="101"/>
      <c r="AG1036" s="101"/>
      <c r="AH1036" s="101"/>
      <c r="AI1036" s="101"/>
      <c r="AJ1036" s="101"/>
      <c r="AK1036" s="101"/>
      <c r="AL1036" s="101"/>
    </row>
    <row r="1037">
      <c r="A1037" s="101"/>
      <c r="B1037" s="644"/>
      <c r="C1037" s="101"/>
      <c r="D1037" s="605"/>
      <c r="E1037" s="645"/>
      <c r="F1037" s="101"/>
      <c r="G1037" s="101"/>
      <c r="H1037" s="101"/>
      <c r="I1037" s="606"/>
      <c r="J1037" s="606"/>
      <c r="K1037" s="606"/>
      <c r="L1037" s="606"/>
      <c r="M1037" s="606"/>
      <c r="N1037" s="606"/>
      <c r="O1037" s="606"/>
      <c r="P1037" s="606"/>
      <c r="Q1037" s="606"/>
      <c r="R1037" s="606"/>
      <c r="S1037" s="606"/>
      <c r="T1037" s="606"/>
      <c r="U1037" s="606"/>
      <c r="V1037" s="461"/>
      <c r="W1037" s="461"/>
      <c r="X1037" s="131"/>
      <c r="Y1037" s="101"/>
      <c r="Z1037" s="101"/>
      <c r="AA1037" s="101"/>
      <c r="AB1037" s="101"/>
      <c r="AC1037" s="101"/>
      <c r="AD1037" s="101"/>
      <c r="AE1037" s="101"/>
      <c r="AF1037" s="101"/>
      <c r="AG1037" s="101"/>
      <c r="AH1037" s="101"/>
      <c r="AI1037" s="101"/>
      <c r="AJ1037" s="101"/>
      <c r="AK1037" s="101"/>
      <c r="AL1037" s="101"/>
    </row>
    <row r="1038">
      <c r="A1038" s="101"/>
      <c r="B1038" s="644"/>
      <c r="C1038" s="101"/>
      <c r="D1038" s="605"/>
      <c r="E1038" s="645"/>
      <c r="F1038" s="101"/>
      <c r="G1038" s="101"/>
      <c r="H1038" s="101"/>
      <c r="I1038" s="606"/>
      <c r="J1038" s="606"/>
      <c r="K1038" s="606"/>
      <c r="L1038" s="606"/>
      <c r="M1038" s="606"/>
      <c r="N1038" s="606"/>
      <c r="O1038" s="606"/>
      <c r="P1038" s="606"/>
      <c r="Q1038" s="606"/>
      <c r="R1038" s="606"/>
      <c r="S1038" s="606"/>
      <c r="T1038" s="606"/>
      <c r="U1038" s="606"/>
      <c r="V1038" s="461"/>
      <c r="W1038" s="461"/>
      <c r="X1038" s="131"/>
      <c r="Y1038" s="101"/>
      <c r="Z1038" s="101"/>
      <c r="AA1038" s="101"/>
      <c r="AB1038" s="101"/>
      <c r="AC1038" s="101"/>
      <c r="AD1038" s="101"/>
      <c r="AE1038" s="101"/>
      <c r="AF1038" s="101"/>
      <c r="AG1038" s="101"/>
      <c r="AH1038" s="101"/>
      <c r="AI1038" s="101"/>
      <c r="AJ1038" s="101"/>
      <c r="AK1038" s="101"/>
      <c r="AL1038" s="101"/>
    </row>
    <row r="1039">
      <c r="A1039" s="101"/>
      <c r="B1039" s="644"/>
      <c r="C1039" s="101"/>
      <c r="D1039" s="605"/>
      <c r="E1039" s="645"/>
      <c r="F1039" s="101"/>
      <c r="G1039" s="101"/>
      <c r="H1039" s="101"/>
      <c r="I1039" s="606"/>
      <c r="J1039" s="606"/>
      <c r="K1039" s="606"/>
      <c r="L1039" s="606"/>
      <c r="M1039" s="606"/>
      <c r="N1039" s="606"/>
      <c r="O1039" s="606"/>
      <c r="P1039" s="606"/>
      <c r="Q1039" s="606"/>
      <c r="R1039" s="606"/>
      <c r="S1039" s="606"/>
      <c r="T1039" s="606"/>
      <c r="U1039" s="606"/>
      <c r="V1039" s="461"/>
      <c r="W1039" s="461"/>
      <c r="X1039" s="131"/>
      <c r="Y1039" s="101"/>
      <c r="Z1039" s="101"/>
      <c r="AA1039" s="101"/>
      <c r="AB1039" s="101"/>
      <c r="AC1039" s="101"/>
      <c r="AD1039" s="101"/>
      <c r="AE1039" s="101"/>
      <c r="AF1039" s="101"/>
      <c r="AG1039" s="101"/>
      <c r="AH1039" s="101"/>
      <c r="AI1039" s="101"/>
      <c r="AJ1039" s="101"/>
      <c r="AK1039" s="101"/>
      <c r="AL1039" s="101"/>
    </row>
    <row r="1040">
      <c r="A1040" s="101"/>
      <c r="B1040" s="644"/>
      <c r="C1040" s="101"/>
      <c r="D1040" s="605"/>
      <c r="E1040" s="645"/>
      <c r="F1040" s="101"/>
      <c r="G1040" s="101"/>
      <c r="H1040" s="101"/>
      <c r="I1040" s="606"/>
      <c r="J1040" s="606"/>
      <c r="K1040" s="606"/>
      <c r="L1040" s="606"/>
      <c r="M1040" s="606"/>
      <c r="N1040" s="606"/>
      <c r="O1040" s="606"/>
      <c r="P1040" s="606"/>
      <c r="Q1040" s="606"/>
      <c r="R1040" s="606"/>
      <c r="S1040" s="606"/>
      <c r="T1040" s="606"/>
      <c r="U1040" s="606"/>
      <c r="V1040" s="461"/>
      <c r="W1040" s="461"/>
      <c r="X1040" s="131"/>
      <c r="Y1040" s="101"/>
      <c r="Z1040" s="101"/>
      <c r="AA1040" s="101"/>
      <c r="AB1040" s="101"/>
      <c r="AC1040" s="101"/>
      <c r="AD1040" s="101"/>
      <c r="AE1040" s="101"/>
      <c r="AF1040" s="101"/>
      <c r="AG1040" s="101"/>
      <c r="AH1040" s="101"/>
      <c r="AI1040" s="101"/>
      <c r="AJ1040" s="101"/>
      <c r="AK1040" s="101"/>
      <c r="AL1040" s="101"/>
    </row>
    <row r="1041">
      <c r="A1041" s="101"/>
      <c r="B1041" s="644"/>
      <c r="C1041" s="101"/>
      <c r="D1041" s="605"/>
      <c r="E1041" s="645"/>
      <c r="F1041" s="101"/>
      <c r="G1041" s="101"/>
      <c r="H1041" s="101"/>
      <c r="I1041" s="606"/>
      <c r="J1041" s="606"/>
      <c r="K1041" s="606"/>
      <c r="L1041" s="606"/>
      <c r="M1041" s="606"/>
      <c r="N1041" s="606"/>
      <c r="O1041" s="606"/>
      <c r="P1041" s="606"/>
      <c r="Q1041" s="606"/>
      <c r="R1041" s="606"/>
      <c r="S1041" s="606"/>
      <c r="T1041" s="606"/>
      <c r="U1041" s="606"/>
      <c r="V1041" s="461"/>
      <c r="W1041" s="461"/>
      <c r="X1041" s="131"/>
      <c r="Y1041" s="101"/>
      <c r="Z1041" s="101"/>
      <c r="AA1041" s="101"/>
      <c r="AB1041" s="101"/>
      <c r="AC1041" s="101"/>
      <c r="AD1041" s="101"/>
      <c r="AE1041" s="101"/>
      <c r="AF1041" s="101"/>
      <c r="AG1041" s="101"/>
      <c r="AH1041" s="101"/>
      <c r="AI1041" s="101"/>
      <c r="AJ1041" s="101"/>
      <c r="AK1041" s="101"/>
      <c r="AL1041" s="101"/>
    </row>
    <row r="1042">
      <c r="A1042" s="101"/>
      <c r="B1042" s="644"/>
      <c r="C1042" s="101"/>
      <c r="D1042" s="605"/>
      <c r="E1042" s="645"/>
      <c r="F1042" s="101"/>
      <c r="G1042" s="101"/>
      <c r="H1042" s="101"/>
      <c r="I1042" s="606"/>
      <c r="J1042" s="606"/>
      <c r="K1042" s="606"/>
      <c r="L1042" s="606"/>
      <c r="M1042" s="606"/>
      <c r="N1042" s="606"/>
      <c r="O1042" s="606"/>
      <c r="P1042" s="606"/>
      <c r="Q1042" s="606"/>
      <c r="R1042" s="606"/>
      <c r="S1042" s="606"/>
      <c r="T1042" s="606"/>
      <c r="U1042" s="606"/>
      <c r="V1042" s="461"/>
      <c r="W1042" s="461"/>
      <c r="X1042" s="131"/>
      <c r="Y1042" s="101"/>
      <c r="Z1042" s="101"/>
      <c r="AA1042" s="101"/>
      <c r="AB1042" s="101"/>
      <c r="AC1042" s="101"/>
      <c r="AD1042" s="101"/>
      <c r="AE1042" s="101"/>
      <c r="AF1042" s="101"/>
      <c r="AG1042" s="101"/>
      <c r="AH1042" s="101"/>
      <c r="AI1042" s="101"/>
      <c r="AJ1042" s="101"/>
      <c r="AK1042" s="101"/>
      <c r="AL1042" s="101"/>
    </row>
    <row r="1043">
      <c r="A1043" s="101"/>
      <c r="B1043" s="644"/>
      <c r="C1043" s="101"/>
      <c r="D1043" s="605"/>
      <c r="E1043" s="645"/>
      <c r="F1043" s="101"/>
      <c r="G1043" s="101"/>
      <c r="H1043" s="101"/>
      <c r="I1043" s="606"/>
      <c r="J1043" s="606"/>
      <c r="K1043" s="606"/>
      <c r="L1043" s="606"/>
      <c r="M1043" s="606"/>
      <c r="N1043" s="606"/>
      <c r="O1043" s="606"/>
      <c r="P1043" s="606"/>
      <c r="Q1043" s="606"/>
      <c r="R1043" s="606"/>
      <c r="S1043" s="606"/>
      <c r="T1043" s="606"/>
      <c r="U1043" s="606"/>
      <c r="V1043" s="461"/>
      <c r="W1043" s="461"/>
      <c r="X1043" s="131"/>
      <c r="Y1043" s="101"/>
      <c r="Z1043" s="101"/>
      <c r="AA1043" s="101"/>
      <c r="AB1043" s="101"/>
      <c r="AC1043" s="101"/>
      <c r="AD1043" s="101"/>
      <c r="AE1043" s="101"/>
      <c r="AF1043" s="101"/>
      <c r="AG1043" s="101"/>
      <c r="AH1043" s="101"/>
      <c r="AI1043" s="101"/>
      <c r="AJ1043" s="101"/>
      <c r="AK1043" s="101"/>
      <c r="AL1043" s="101"/>
    </row>
    <row r="1044">
      <c r="A1044" s="101"/>
      <c r="B1044" s="644"/>
      <c r="C1044" s="101"/>
      <c r="D1044" s="605"/>
      <c r="E1044" s="645"/>
      <c r="F1044" s="101"/>
      <c r="G1044" s="101"/>
      <c r="H1044" s="101"/>
      <c r="I1044" s="606"/>
      <c r="J1044" s="606"/>
      <c r="K1044" s="606"/>
      <c r="L1044" s="606"/>
      <c r="M1044" s="606"/>
      <c r="N1044" s="606"/>
      <c r="O1044" s="606"/>
      <c r="P1044" s="606"/>
      <c r="Q1044" s="606"/>
      <c r="R1044" s="606"/>
      <c r="S1044" s="606"/>
      <c r="T1044" s="606"/>
      <c r="U1044" s="606"/>
      <c r="V1044" s="461"/>
      <c r="W1044" s="461"/>
      <c r="X1044" s="131"/>
      <c r="Y1044" s="101"/>
      <c r="Z1044" s="101"/>
      <c r="AA1044" s="101"/>
      <c r="AB1044" s="101"/>
      <c r="AC1044" s="101"/>
      <c r="AD1044" s="101"/>
      <c r="AE1044" s="101"/>
      <c r="AF1044" s="101"/>
      <c r="AG1044" s="101"/>
      <c r="AH1044" s="101"/>
      <c r="AI1044" s="101"/>
      <c r="AJ1044" s="101"/>
      <c r="AK1044" s="101"/>
      <c r="AL1044" s="101"/>
    </row>
    <row r="1045">
      <c r="A1045" s="101"/>
      <c r="B1045" s="644"/>
      <c r="C1045" s="101"/>
      <c r="D1045" s="605"/>
      <c r="E1045" s="645"/>
      <c r="F1045" s="101"/>
      <c r="G1045" s="101"/>
      <c r="H1045" s="101"/>
      <c r="I1045" s="606"/>
      <c r="J1045" s="606"/>
      <c r="K1045" s="606"/>
      <c r="L1045" s="606"/>
      <c r="M1045" s="606"/>
      <c r="N1045" s="606"/>
      <c r="O1045" s="606"/>
      <c r="P1045" s="606"/>
      <c r="Q1045" s="606"/>
      <c r="R1045" s="606"/>
      <c r="S1045" s="606"/>
      <c r="T1045" s="606"/>
      <c r="U1045" s="606"/>
      <c r="V1045" s="461"/>
      <c r="W1045" s="461"/>
      <c r="X1045" s="131"/>
      <c r="Y1045" s="101"/>
      <c r="Z1045" s="101"/>
      <c r="AA1045" s="101"/>
      <c r="AB1045" s="101"/>
      <c r="AC1045" s="101"/>
      <c r="AD1045" s="101"/>
      <c r="AE1045" s="101"/>
      <c r="AF1045" s="101"/>
      <c r="AG1045" s="101"/>
      <c r="AH1045" s="101"/>
      <c r="AI1045" s="101"/>
      <c r="AJ1045" s="101"/>
      <c r="AK1045" s="101"/>
      <c r="AL1045" s="101"/>
    </row>
    <row r="1046">
      <c r="A1046" s="101"/>
      <c r="B1046" s="644"/>
      <c r="C1046" s="101"/>
      <c r="D1046" s="605"/>
      <c r="E1046" s="645"/>
      <c r="F1046" s="101"/>
      <c r="G1046" s="101"/>
      <c r="H1046" s="101"/>
      <c r="I1046" s="606"/>
      <c r="J1046" s="606"/>
      <c r="K1046" s="606"/>
      <c r="L1046" s="606"/>
      <c r="M1046" s="606"/>
      <c r="N1046" s="606"/>
      <c r="O1046" s="606"/>
      <c r="P1046" s="606"/>
      <c r="Q1046" s="606"/>
      <c r="R1046" s="606"/>
      <c r="S1046" s="606"/>
      <c r="T1046" s="606"/>
      <c r="U1046" s="606"/>
      <c r="V1046" s="461"/>
      <c r="W1046" s="461"/>
      <c r="X1046" s="131"/>
      <c r="Y1046" s="101"/>
      <c r="Z1046" s="101"/>
      <c r="AA1046" s="101"/>
      <c r="AB1046" s="101"/>
      <c r="AC1046" s="101"/>
      <c r="AD1046" s="101"/>
      <c r="AE1046" s="101"/>
      <c r="AF1046" s="101"/>
      <c r="AG1046" s="101"/>
      <c r="AH1046" s="101"/>
      <c r="AI1046" s="101"/>
      <c r="AJ1046" s="101"/>
      <c r="AK1046" s="101"/>
      <c r="AL1046" s="101"/>
    </row>
    <row r="1047">
      <c r="A1047" s="101"/>
      <c r="B1047" s="644"/>
      <c r="C1047" s="101"/>
      <c r="D1047" s="605"/>
      <c r="E1047" s="645"/>
      <c r="F1047" s="101"/>
      <c r="G1047" s="101"/>
      <c r="H1047" s="101"/>
      <c r="I1047" s="606"/>
      <c r="J1047" s="606"/>
      <c r="K1047" s="606"/>
      <c r="L1047" s="606"/>
      <c r="M1047" s="606"/>
      <c r="N1047" s="606"/>
      <c r="O1047" s="606"/>
      <c r="P1047" s="606"/>
      <c r="Q1047" s="606"/>
      <c r="R1047" s="606"/>
      <c r="S1047" s="606"/>
      <c r="T1047" s="606"/>
      <c r="U1047" s="606"/>
      <c r="V1047" s="461"/>
      <c r="W1047" s="461"/>
      <c r="X1047" s="131"/>
      <c r="Y1047" s="101"/>
      <c r="Z1047" s="101"/>
      <c r="AA1047" s="101"/>
      <c r="AB1047" s="101"/>
      <c r="AC1047" s="101"/>
      <c r="AD1047" s="101"/>
      <c r="AE1047" s="101"/>
      <c r="AF1047" s="101"/>
      <c r="AG1047" s="101"/>
      <c r="AH1047" s="101"/>
      <c r="AI1047" s="101"/>
      <c r="AJ1047" s="101"/>
      <c r="AK1047" s="101"/>
      <c r="AL1047" s="101"/>
    </row>
    <row r="1048">
      <c r="A1048" s="101"/>
      <c r="B1048" s="644"/>
      <c r="C1048" s="101"/>
      <c r="D1048" s="605"/>
      <c r="E1048" s="645"/>
      <c r="F1048" s="101"/>
      <c r="G1048" s="101"/>
      <c r="H1048" s="101"/>
      <c r="I1048" s="606"/>
      <c r="J1048" s="606"/>
      <c r="K1048" s="606"/>
      <c r="L1048" s="606"/>
      <c r="M1048" s="606"/>
      <c r="N1048" s="606"/>
      <c r="O1048" s="606"/>
      <c r="P1048" s="606"/>
      <c r="Q1048" s="606"/>
      <c r="R1048" s="606"/>
      <c r="S1048" s="606"/>
      <c r="T1048" s="606"/>
      <c r="U1048" s="606"/>
      <c r="V1048" s="461"/>
      <c r="W1048" s="461"/>
      <c r="X1048" s="131"/>
      <c r="Y1048" s="101"/>
      <c r="Z1048" s="101"/>
      <c r="AA1048" s="101"/>
      <c r="AB1048" s="101"/>
      <c r="AC1048" s="101"/>
      <c r="AD1048" s="101"/>
      <c r="AE1048" s="101"/>
      <c r="AF1048" s="101"/>
      <c r="AG1048" s="101"/>
      <c r="AH1048" s="101"/>
      <c r="AI1048" s="101"/>
      <c r="AJ1048" s="101"/>
      <c r="AK1048" s="101"/>
      <c r="AL1048" s="101"/>
    </row>
    <row r="1049">
      <c r="A1049" s="101"/>
      <c r="B1049" s="644"/>
      <c r="C1049" s="101"/>
      <c r="D1049" s="605"/>
      <c r="E1049" s="645"/>
      <c r="F1049" s="101"/>
      <c r="G1049" s="101"/>
      <c r="H1049" s="101"/>
      <c r="I1049" s="606"/>
      <c r="J1049" s="606"/>
      <c r="K1049" s="606"/>
      <c r="L1049" s="606"/>
      <c r="M1049" s="606"/>
      <c r="N1049" s="606"/>
      <c r="O1049" s="606"/>
      <c r="P1049" s="606"/>
      <c r="Q1049" s="606"/>
      <c r="R1049" s="606"/>
      <c r="S1049" s="606"/>
      <c r="T1049" s="606"/>
      <c r="U1049" s="606"/>
      <c r="V1049" s="461"/>
      <c r="W1049" s="461"/>
      <c r="X1049" s="131"/>
      <c r="Y1049" s="101"/>
      <c r="Z1049" s="101"/>
      <c r="AA1049" s="101"/>
      <c r="AB1049" s="101"/>
      <c r="AC1049" s="101"/>
      <c r="AD1049" s="101"/>
      <c r="AE1049" s="101"/>
      <c r="AF1049" s="101"/>
      <c r="AG1049" s="101"/>
      <c r="AH1049" s="101"/>
      <c r="AI1049" s="101"/>
      <c r="AJ1049" s="101"/>
      <c r="AK1049" s="101"/>
      <c r="AL1049" s="101"/>
    </row>
    <row r="1050">
      <c r="A1050" s="101"/>
      <c r="B1050" s="644"/>
      <c r="C1050" s="101"/>
      <c r="D1050" s="605"/>
      <c r="E1050" s="645"/>
      <c r="F1050" s="101"/>
      <c r="G1050" s="101"/>
      <c r="H1050" s="101"/>
      <c r="I1050" s="606"/>
      <c r="J1050" s="606"/>
      <c r="K1050" s="606"/>
      <c r="L1050" s="606"/>
      <c r="M1050" s="606"/>
      <c r="N1050" s="606"/>
      <c r="O1050" s="606"/>
      <c r="P1050" s="606"/>
      <c r="Q1050" s="606"/>
      <c r="R1050" s="606"/>
      <c r="S1050" s="606"/>
      <c r="T1050" s="606"/>
      <c r="U1050" s="606"/>
      <c r="V1050" s="461"/>
      <c r="W1050" s="461"/>
      <c r="X1050" s="131"/>
      <c r="Y1050" s="101"/>
      <c r="Z1050" s="101"/>
      <c r="AA1050" s="101"/>
      <c r="AB1050" s="101"/>
      <c r="AC1050" s="101"/>
      <c r="AD1050" s="101"/>
      <c r="AE1050" s="101"/>
      <c r="AF1050" s="101"/>
      <c r="AG1050" s="101"/>
      <c r="AH1050" s="101"/>
      <c r="AI1050" s="101"/>
      <c r="AJ1050" s="101"/>
      <c r="AK1050" s="101"/>
      <c r="AL1050" s="101"/>
    </row>
  </sheetData>
  <mergeCells count="212">
    <mergeCell ref="B1:W1"/>
    <mergeCell ref="I2:I3"/>
    <mergeCell ref="L2:L3"/>
    <mergeCell ref="O2:O3"/>
    <mergeCell ref="U2:U3"/>
    <mergeCell ref="G3:H3"/>
    <mergeCell ref="J3:K3"/>
    <mergeCell ref="S3:T3"/>
    <mergeCell ref="M3:N3"/>
    <mergeCell ref="P3:Q3"/>
    <mergeCell ref="A4:A7"/>
    <mergeCell ref="I4:I15"/>
    <mergeCell ref="W4:W17"/>
    <mergeCell ref="X4:X17"/>
    <mergeCell ref="A8:A9"/>
    <mergeCell ref="W30:W31"/>
    <mergeCell ref="X30:X31"/>
    <mergeCell ref="R32:R43"/>
    <mergeCell ref="Y16:Y29"/>
    <mergeCell ref="Y32:Y34"/>
    <mergeCell ref="Y35:Y51"/>
    <mergeCell ref="Y53:Y57"/>
    <mergeCell ref="Y64:Y91"/>
    <mergeCell ref="L30:L31"/>
    <mergeCell ref="L35:L40"/>
    <mergeCell ref="L41:L43"/>
    <mergeCell ref="A76:A79"/>
    <mergeCell ref="A80:A83"/>
    <mergeCell ref="I80:I91"/>
    <mergeCell ref="L80:L91"/>
    <mergeCell ref="O80:O91"/>
    <mergeCell ref="A84:A87"/>
    <mergeCell ref="A88:A91"/>
    <mergeCell ref="A10:A11"/>
    <mergeCell ref="A12:A13"/>
    <mergeCell ref="A41:A43"/>
    <mergeCell ref="A44:A47"/>
    <mergeCell ref="A48:A51"/>
    <mergeCell ref="A68:A71"/>
    <mergeCell ref="A72:A75"/>
    <mergeCell ref="Y168:Y180"/>
    <mergeCell ref="Y184:Y215"/>
    <mergeCell ref="W156:W180"/>
    <mergeCell ref="V168:V175"/>
    <mergeCell ref="X168:X175"/>
    <mergeCell ref="U176:U179"/>
    <mergeCell ref="V176:V179"/>
    <mergeCell ref="AK181:AK212"/>
    <mergeCell ref="W182:W219"/>
    <mergeCell ref="C261:C263"/>
    <mergeCell ref="C266:C268"/>
    <mergeCell ref="C271:C273"/>
    <mergeCell ref="C276:C278"/>
    <mergeCell ref="U186:U196"/>
    <mergeCell ref="U197:U212"/>
    <mergeCell ref="S218:T219"/>
    <mergeCell ref="A247:W247"/>
    <mergeCell ref="B252:H255"/>
    <mergeCell ref="C256:C258"/>
    <mergeCell ref="E256:E258"/>
    <mergeCell ref="R44:R51"/>
    <mergeCell ref="U52:U56"/>
    <mergeCell ref="V64:V67"/>
    <mergeCell ref="V68:V71"/>
    <mergeCell ref="V72:V75"/>
    <mergeCell ref="V76:V79"/>
    <mergeCell ref="V80:V83"/>
    <mergeCell ref="V84:V91"/>
    <mergeCell ref="V92:V97"/>
    <mergeCell ref="W92:W97"/>
    <mergeCell ref="X92:X97"/>
    <mergeCell ref="Y92:Y117"/>
    <mergeCell ref="V98:V103"/>
    <mergeCell ref="V110:V117"/>
    <mergeCell ref="V118:V123"/>
    <mergeCell ref="V124:V126"/>
    <mergeCell ref="V127:V129"/>
    <mergeCell ref="V130:V132"/>
    <mergeCell ref="V133:V135"/>
    <mergeCell ref="V136:V141"/>
    <mergeCell ref="V142:V144"/>
    <mergeCell ref="V156:V157"/>
    <mergeCell ref="V158:V161"/>
    <mergeCell ref="V151:V153"/>
    <mergeCell ref="V162:V163"/>
    <mergeCell ref="V148:V150"/>
    <mergeCell ref="V164:V167"/>
    <mergeCell ref="V145:V147"/>
    <mergeCell ref="U156:U157"/>
    <mergeCell ref="X156:X163"/>
    <mergeCell ref="Y156:Y157"/>
    <mergeCell ref="Y158:Y161"/>
    <mergeCell ref="Y162:Y163"/>
    <mergeCell ref="Y164:Y167"/>
    <mergeCell ref="I213:I219"/>
    <mergeCell ref="I220:I235"/>
    <mergeCell ref="I118:I120"/>
    <mergeCell ref="I121:I126"/>
    <mergeCell ref="I136:I138"/>
    <mergeCell ref="I139:I144"/>
    <mergeCell ref="I155:I180"/>
    <mergeCell ref="I182:I205"/>
    <mergeCell ref="I210:I212"/>
    <mergeCell ref="I16:I17"/>
    <mergeCell ref="L16:L17"/>
    <mergeCell ref="I18:I29"/>
    <mergeCell ref="O26:O29"/>
    <mergeCell ref="I30:I31"/>
    <mergeCell ref="I32:I34"/>
    <mergeCell ref="I35:I37"/>
    <mergeCell ref="I38:I40"/>
    <mergeCell ref="I41:I43"/>
    <mergeCell ref="O41:O43"/>
    <mergeCell ref="I44:I51"/>
    <mergeCell ref="L44:L51"/>
    <mergeCell ref="I52:I57"/>
    <mergeCell ref="L52:L57"/>
    <mergeCell ref="I58:I60"/>
    <mergeCell ref="I61:I63"/>
    <mergeCell ref="I64:I71"/>
    <mergeCell ref="L64:L79"/>
    <mergeCell ref="O64:O67"/>
    <mergeCell ref="I72:I79"/>
    <mergeCell ref="O72:O75"/>
    <mergeCell ref="I92:I97"/>
    <mergeCell ref="L92:L97"/>
    <mergeCell ref="O92:O117"/>
    <mergeCell ref="I98:I103"/>
    <mergeCell ref="K98:K103"/>
    <mergeCell ref="I104:I109"/>
    <mergeCell ref="I110:I117"/>
    <mergeCell ref="L98:L103"/>
    <mergeCell ref="L110:L117"/>
    <mergeCell ref="K118:K144"/>
    <mergeCell ref="L118:L144"/>
    <mergeCell ref="L158:L161"/>
    <mergeCell ref="O158:O161"/>
    <mergeCell ref="L162:L167"/>
    <mergeCell ref="L200:L202"/>
    <mergeCell ref="O200:O202"/>
    <mergeCell ref="L203:L205"/>
    <mergeCell ref="L213:L215"/>
    <mergeCell ref="G218:H219"/>
    <mergeCell ref="L168:L169"/>
    <mergeCell ref="O168:O169"/>
    <mergeCell ref="L172:L173"/>
    <mergeCell ref="O172:O173"/>
    <mergeCell ref="L176:L180"/>
    <mergeCell ref="O176:O180"/>
    <mergeCell ref="L184:L189"/>
    <mergeCell ref="A182:A183"/>
    <mergeCell ref="A184:A185"/>
    <mergeCell ref="A186:A187"/>
    <mergeCell ref="A188:A190"/>
    <mergeCell ref="A191:A196"/>
    <mergeCell ref="A197:A198"/>
    <mergeCell ref="A200:A201"/>
    <mergeCell ref="A206:A207"/>
    <mergeCell ref="A208:A209"/>
    <mergeCell ref="A210:A212"/>
    <mergeCell ref="A213:A215"/>
    <mergeCell ref="A216:A217"/>
    <mergeCell ref="A218:A219"/>
    <mergeCell ref="A232:A234"/>
    <mergeCell ref="A14:A15"/>
    <mergeCell ref="A16:A17"/>
    <mergeCell ref="A18:A21"/>
    <mergeCell ref="A22:A25"/>
    <mergeCell ref="A26:A29"/>
    <mergeCell ref="A30:A31"/>
    <mergeCell ref="A32:A34"/>
    <mergeCell ref="A35:A37"/>
    <mergeCell ref="A38:A40"/>
    <mergeCell ref="A52:A57"/>
    <mergeCell ref="A58:A60"/>
    <mergeCell ref="A61:A63"/>
    <mergeCell ref="A64:A67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8:A159"/>
    <mergeCell ref="A160:A161"/>
    <mergeCell ref="A164:A165"/>
    <mergeCell ref="A166:A167"/>
    <mergeCell ref="A168:A169"/>
    <mergeCell ref="A170:A171"/>
    <mergeCell ref="A172:A173"/>
    <mergeCell ref="A174:A175"/>
    <mergeCell ref="A252:A255"/>
    <mergeCell ref="A256:A258"/>
    <mergeCell ref="A261:A263"/>
    <mergeCell ref="A266:A268"/>
    <mergeCell ref="A271:A273"/>
    <mergeCell ref="A276:A278"/>
  </mergeCells>
  <conditionalFormatting sqref="E155:F180">
    <cfRule type="containsBlanks" dxfId="1" priority="1">
      <formula>LEN(TRIM(E155))=0</formula>
    </cfRule>
  </conditionalFormatting>
  <conditionalFormatting sqref="E182:F244">
    <cfRule type="containsBlanks" dxfId="1" priority="2">
      <formula>LEN(TRIM(E182))=0</formula>
    </cfRule>
  </conditionalFormatting>
  <conditionalFormatting sqref="E4:F153">
    <cfRule type="containsBlanks" dxfId="1" priority="3">
      <formula>LEN(TRIM(E4))=0</formula>
    </cfRule>
  </conditionalFormatting>
  <hyperlinks>
    <hyperlink r:id="rId1" ref="X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6.88"/>
    <col customWidth="1" min="2" max="2" width="24.25"/>
    <col customWidth="1" min="3" max="3" width="14.75"/>
    <col customWidth="1" min="5" max="5" width="8.25"/>
    <col customWidth="1" min="6" max="6" width="8.13"/>
    <col customWidth="1" min="7" max="7" width="16.75"/>
    <col customWidth="1" min="8" max="8" width="13.5"/>
    <col customWidth="1" min="9" max="9" width="8.13"/>
    <col customWidth="1" min="10" max="10" width="16.63"/>
    <col customWidth="1" min="11" max="11" width="13.5"/>
    <col customWidth="1" min="12" max="12" width="8.88"/>
    <col customWidth="1" min="13" max="13" width="30.0"/>
  </cols>
  <sheetData>
    <row r="1">
      <c r="A1" s="5" t="s">
        <v>0</v>
      </c>
      <c r="B1" s="9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3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25"/>
      <c r="B2" s="28"/>
      <c r="C2" s="25"/>
      <c r="D2" s="30"/>
      <c r="E2" s="32" t="s">
        <v>14</v>
      </c>
      <c r="F2" s="32" t="s">
        <v>15</v>
      </c>
      <c r="G2" s="36" t="s">
        <v>16</v>
      </c>
      <c r="H2" s="39" t="s">
        <v>18</v>
      </c>
      <c r="I2" s="42" t="s">
        <v>19</v>
      </c>
      <c r="J2" s="36" t="s">
        <v>16</v>
      </c>
      <c r="K2" s="39" t="s">
        <v>18</v>
      </c>
      <c r="L2" s="42" t="s">
        <v>19</v>
      </c>
      <c r="M2" s="50" t="s">
        <v>21</v>
      </c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</row>
    <row r="3">
      <c r="A3" s="57"/>
      <c r="B3" s="62"/>
      <c r="C3" s="65"/>
      <c r="D3" s="68"/>
      <c r="E3" s="71"/>
      <c r="F3" s="74"/>
      <c r="G3" s="77" t="s">
        <v>36</v>
      </c>
      <c r="H3" s="78"/>
      <c r="I3" s="80"/>
      <c r="J3" s="77" t="s">
        <v>38</v>
      </c>
      <c r="K3" s="78"/>
      <c r="L3" s="80"/>
      <c r="M3" s="82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>
      <c r="A4" s="93" t="s">
        <v>43</v>
      </c>
      <c r="B4" s="96" t="s">
        <v>45</v>
      </c>
      <c r="C4" s="97" t="s">
        <v>52</v>
      </c>
      <c r="D4" s="98">
        <v>3099.0</v>
      </c>
      <c r="E4" s="105" t="str">
        <f t="array" ref="E4">_xlfn.XLOOKUP(B4,Stock1!F:F,Stock1!J:J,"")</f>
        <v/>
      </c>
      <c r="F4" s="121" t="str">
        <f t="array" ref="F4">_xlfn.XLOOKUP(B4,Stock2!F:F,Stock2!J:J,"")</f>
        <v/>
      </c>
      <c r="G4" s="122"/>
      <c r="H4" s="123"/>
      <c r="I4" s="125" t="s">
        <v>76</v>
      </c>
      <c r="J4" s="122"/>
      <c r="K4" s="122"/>
      <c r="L4" s="122"/>
      <c r="M4" s="128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</row>
    <row r="5">
      <c r="A5" s="80"/>
      <c r="B5" s="133" t="s">
        <v>80</v>
      </c>
      <c r="C5" s="136" t="s">
        <v>82</v>
      </c>
      <c r="D5" s="137">
        <v>3099.0</v>
      </c>
      <c r="E5" s="139" t="str">
        <f t="array" ref="E5">_xlfn.XLOOKUP(B5,Stock1!F:F,Stock1!J:J,"")</f>
        <v/>
      </c>
      <c r="F5" s="140" t="str">
        <f t="array" ref="F5">_xlfn.XLOOKUP(B5,Stock2!F:F,Stock2!J:J,"")</f>
        <v/>
      </c>
      <c r="G5" s="141"/>
      <c r="H5" s="142"/>
      <c r="I5" s="144"/>
      <c r="J5" s="141"/>
      <c r="K5" s="141"/>
      <c r="L5" s="141"/>
      <c r="M5" s="145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>
      <c r="A6" s="93" t="s">
        <v>85</v>
      </c>
      <c r="B6" s="96" t="s">
        <v>86</v>
      </c>
      <c r="C6" s="97" t="s">
        <v>52</v>
      </c>
      <c r="D6" s="98">
        <v>3999.0</v>
      </c>
      <c r="E6" s="105" t="str">
        <f t="array" ref="E6">_xlfn.XLOOKUP(B6,Stock1!F:F,Stock1!J:J,"")</f>
        <v/>
      </c>
      <c r="F6" s="121" t="str">
        <f t="array" ref="F6">_xlfn.XLOOKUP(B6,Stock2!F:F,Stock2!J:J,"")</f>
        <v/>
      </c>
      <c r="G6" s="122">
        <v>700.0</v>
      </c>
      <c r="H6" s="123">
        <f t="shared" ref="H6:H7" si="1">D6-G6</f>
        <v>3299</v>
      </c>
      <c r="I6" s="157"/>
      <c r="J6" s="122"/>
      <c r="K6" s="122"/>
      <c r="L6" s="122"/>
      <c r="M6" s="159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</row>
    <row r="7">
      <c r="A7" s="80"/>
      <c r="B7" s="133" t="s">
        <v>90</v>
      </c>
      <c r="C7" s="136" t="s">
        <v>82</v>
      </c>
      <c r="D7" s="137">
        <v>3999.0</v>
      </c>
      <c r="E7" s="139" t="str">
        <f t="array" ref="E7">_xlfn.XLOOKUP(B7,Stock1!F:F,Stock1!J:J,"")</f>
        <v/>
      </c>
      <c r="F7" s="140" t="str">
        <f t="array" ref="F7">_xlfn.XLOOKUP(B7,Stock2!F:F,Stock2!J:J,"")</f>
        <v/>
      </c>
      <c r="G7" s="141">
        <v>700.0</v>
      </c>
      <c r="H7" s="142">
        <f t="shared" si="1"/>
        <v>3299</v>
      </c>
      <c r="I7" s="144"/>
      <c r="J7" s="141"/>
      <c r="K7" s="141"/>
      <c r="L7" s="141"/>
      <c r="M7" s="145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>
      <c r="A8" s="93" t="s">
        <v>91</v>
      </c>
      <c r="B8" s="96" t="s">
        <v>93</v>
      </c>
      <c r="C8" s="97" t="s">
        <v>84</v>
      </c>
      <c r="D8" s="98">
        <v>2999.0</v>
      </c>
      <c r="E8" s="105" t="str">
        <f t="array" ref="E8">_xlfn.XLOOKUP(B8,Stock1!F:F,Stock1!J:J,"")</f>
        <v/>
      </c>
      <c r="F8" s="121" t="str">
        <f t="array" ref="F8">_xlfn.XLOOKUP(B8,Stock2!F:F,Stock2!J:J,"")</f>
        <v/>
      </c>
      <c r="G8" s="122"/>
      <c r="H8" s="123"/>
      <c r="I8" s="157"/>
      <c r="J8" s="122"/>
      <c r="K8" s="122"/>
      <c r="L8" s="157"/>
      <c r="M8" s="159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>
      <c r="A9" s="80"/>
      <c r="B9" s="133" t="s">
        <v>96</v>
      </c>
      <c r="C9" s="136" t="s">
        <v>82</v>
      </c>
      <c r="D9" s="137">
        <v>2999.0</v>
      </c>
      <c r="E9" s="139" t="str">
        <f t="array" ref="E9">_xlfn.XLOOKUP(B9,Stock1!F:F,Stock1!J:J,"")</f>
        <v/>
      </c>
      <c r="F9" s="140" t="str">
        <f t="array" ref="F9">_xlfn.XLOOKUP(B9,Stock2!F:F,Stock2!J:J,"")</f>
        <v/>
      </c>
      <c r="G9" s="141"/>
      <c r="H9" s="142"/>
      <c r="I9" s="144"/>
      <c r="J9" s="141"/>
      <c r="K9" s="141"/>
      <c r="L9" s="144"/>
      <c r="M9" s="145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>
      <c r="A10" s="93" t="s">
        <v>100</v>
      </c>
      <c r="B10" s="96" t="s">
        <v>101</v>
      </c>
      <c r="C10" s="97" t="s">
        <v>84</v>
      </c>
      <c r="D10" s="98">
        <v>3999.0</v>
      </c>
      <c r="E10" s="105" t="str">
        <f t="array" ref="E10">_xlfn.XLOOKUP(B10,Stock1!F:F,Stock1!J:J,"")</f>
        <v/>
      </c>
      <c r="F10" s="121" t="str">
        <f t="array" ref="F10">_xlfn.XLOOKUP(B10,Stock2!F:F,Stock2!J:J,"")</f>
        <v/>
      </c>
      <c r="G10" s="122"/>
      <c r="H10" s="123"/>
      <c r="I10" s="157"/>
      <c r="J10" s="122"/>
      <c r="K10" s="122"/>
      <c r="L10" s="122"/>
      <c r="M10" s="159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>
      <c r="A11" s="80"/>
      <c r="B11" s="133" t="s">
        <v>103</v>
      </c>
      <c r="C11" s="136" t="s">
        <v>82</v>
      </c>
      <c r="D11" s="137">
        <v>3999.0</v>
      </c>
      <c r="E11" s="139" t="str">
        <f t="array" ref="E11">_xlfn.XLOOKUP(B11,Stock1!F:F,Stock1!J:J,"")</f>
        <v/>
      </c>
      <c r="F11" s="140" t="str">
        <f t="array" ref="F11">_xlfn.XLOOKUP(B11,Stock2!F:F,Stock2!J:J,"")</f>
        <v/>
      </c>
      <c r="G11" s="141"/>
      <c r="H11" s="142"/>
      <c r="I11" s="144"/>
      <c r="J11" s="141"/>
      <c r="K11" s="141"/>
      <c r="L11" s="141"/>
      <c r="M11" s="80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>
      <c r="A12" s="93" t="s">
        <v>106</v>
      </c>
      <c r="B12" s="96" t="s">
        <v>107</v>
      </c>
      <c r="C12" s="97" t="s">
        <v>52</v>
      </c>
      <c r="D12" s="98">
        <v>4499.0</v>
      </c>
      <c r="E12" s="186" t="str">
        <f t="array" ref="E12">_xlfn.XLOOKUP(B12,Stock1!F:F,Stock1!J:J,"")</f>
        <v/>
      </c>
      <c r="F12" s="186" t="str">
        <f t="array" ref="F12">_xlfn.XLOOKUP(B12,Stock2!F:F,Stock2!J:J,"")</f>
        <v/>
      </c>
      <c r="G12" s="122">
        <v>500.0</v>
      </c>
      <c r="H12" s="123">
        <f t="shared" ref="H12:H17" si="2">D12-G12</f>
        <v>3999</v>
      </c>
      <c r="I12" s="125" t="s">
        <v>76</v>
      </c>
      <c r="J12" s="122"/>
      <c r="K12" s="122"/>
      <c r="L12" s="157"/>
      <c r="M12" s="187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>
      <c r="A13" s="80"/>
      <c r="B13" s="133" t="s">
        <v>110</v>
      </c>
      <c r="C13" s="190" t="s">
        <v>82</v>
      </c>
      <c r="D13" s="137">
        <v>4499.0</v>
      </c>
      <c r="E13" s="192" t="str">
        <f t="array" ref="E13">_xlfn.XLOOKUP(B13,Stock1!F:F,Stock1!J:J,"")</f>
        <v/>
      </c>
      <c r="F13" s="192" t="str">
        <f t="array" ref="F13">_xlfn.XLOOKUP(B13,Stock2!F:F,Stock2!J:J,"")</f>
        <v/>
      </c>
      <c r="G13" s="141">
        <v>500.0</v>
      </c>
      <c r="H13" s="142">
        <f t="shared" si="2"/>
        <v>3999</v>
      </c>
      <c r="I13" s="144"/>
      <c r="J13" s="141"/>
      <c r="K13" s="141"/>
      <c r="L13" s="144"/>
      <c r="M13" s="145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>
      <c r="A14" s="93" t="s">
        <v>115</v>
      </c>
      <c r="B14" s="96" t="s">
        <v>116</v>
      </c>
      <c r="C14" s="97" t="s">
        <v>52</v>
      </c>
      <c r="D14" s="98">
        <v>5499.0</v>
      </c>
      <c r="E14" s="186" t="str">
        <f t="array" ref="E14">_xlfn.XLOOKUP(B14,Stock1!F:F,Stock1!J:J,"")</f>
        <v/>
      </c>
      <c r="F14" s="186" t="str">
        <f t="array" ref="F14">_xlfn.XLOOKUP(B14,Stock2!F:F,Stock2!J:J,"")</f>
        <v/>
      </c>
      <c r="G14" s="122">
        <v>1500.0</v>
      </c>
      <c r="H14" s="123">
        <f t="shared" si="2"/>
        <v>3999</v>
      </c>
      <c r="I14" s="157"/>
      <c r="J14" s="122"/>
      <c r="K14" s="122"/>
      <c r="L14" s="157"/>
      <c r="M14" s="159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80"/>
      <c r="B15" s="133" t="s">
        <v>121</v>
      </c>
      <c r="C15" s="136" t="s">
        <v>82</v>
      </c>
      <c r="D15" s="137">
        <v>5499.0</v>
      </c>
      <c r="E15" s="192" t="str">
        <f t="array" ref="E15">_xlfn.XLOOKUP(B15,Stock1!F:F,Stock1!J:J,"")</f>
        <v/>
      </c>
      <c r="F15" s="192" t="str">
        <f t="array" ref="F15">_xlfn.XLOOKUP(B15,Stock2!F:F,Stock2!J:J,"")</f>
        <v/>
      </c>
      <c r="G15" s="141">
        <v>1500.0</v>
      </c>
      <c r="H15" s="142">
        <f t="shared" si="2"/>
        <v>3999</v>
      </c>
      <c r="I15" s="144"/>
      <c r="J15" s="141"/>
      <c r="K15" s="141"/>
      <c r="L15" s="144"/>
      <c r="M15" s="145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>
      <c r="A16" s="197" t="s">
        <v>122</v>
      </c>
      <c r="B16" s="198" t="s">
        <v>123</v>
      </c>
      <c r="C16" s="97" t="s">
        <v>52</v>
      </c>
      <c r="D16" s="199">
        <v>6999.0</v>
      </c>
      <c r="E16" s="186" t="str">
        <f t="array" ref="E16">_xlfn.XLOOKUP(B16,Stock1!F:F,Stock1!J:J,"")</f>
        <v/>
      </c>
      <c r="F16" s="186" t="str">
        <f t="array" ref="F16">_xlfn.XLOOKUP(B16,Stock2!F:F,Stock2!J:J,"")</f>
        <v/>
      </c>
      <c r="G16" s="200">
        <v>1500.0</v>
      </c>
      <c r="H16" s="123">
        <f t="shared" si="2"/>
        <v>5499</v>
      </c>
      <c r="I16" s="157"/>
      <c r="J16" s="122"/>
      <c r="K16" s="122"/>
      <c r="L16" s="122"/>
      <c r="M16" s="159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>
      <c r="A17" s="80"/>
      <c r="B17" s="201" t="s">
        <v>129</v>
      </c>
      <c r="C17" s="136" t="s">
        <v>82</v>
      </c>
      <c r="D17" s="202">
        <v>6999.0</v>
      </c>
      <c r="E17" s="192" t="str">
        <f t="array" ref="E17">_xlfn.XLOOKUP(B17,Stock1!F:F,Stock1!J:J,"")</f>
        <v/>
      </c>
      <c r="F17" s="192" t="str">
        <f t="array" ref="F17">_xlfn.XLOOKUP(B17,Stock2!F:F,Stock2!J:J,"")</f>
        <v/>
      </c>
      <c r="G17" s="203">
        <v>1500.0</v>
      </c>
      <c r="H17" s="142">
        <f t="shared" si="2"/>
        <v>5499</v>
      </c>
      <c r="I17" s="144"/>
      <c r="J17" s="141"/>
      <c r="K17" s="141"/>
      <c r="L17" s="141"/>
      <c r="M17" s="145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>
      <c r="A18" s="204" t="s">
        <v>133</v>
      </c>
      <c r="B18" s="198" t="s">
        <v>134</v>
      </c>
      <c r="C18" s="173" t="s">
        <v>82</v>
      </c>
      <c r="D18" s="199">
        <v>4999.0</v>
      </c>
      <c r="E18" s="186" t="str">
        <f t="array" ref="E18">_xlfn.XLOOKUP(B18,Stock1!F:F,Stock1!J:J,"")</f>
        <v/>
      </c>
      <c r="F18" s="186" t="str">
        <f t="array" ref="F18">_xlfn.XLOOKUP(B18,Stock2!F:F,Stock2!J:J,"")</f>
        <v/>
      </c>
      <c r="G18" s="200"/>
      <c r="H18" s="123"/>
      <c r="I18" s="157"/>
      <c r="J18" s="122"/>
      <c r="K18" s="122"/>
      <c r="L18" s="122"/>
      <c r="M18" s="159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>
      <c r="A19" s="206" t="s">
        <v>137</v>
      </c>
      <c r="B19" s="201" t="s">
        <v>139</v>
      </c>
      <c r="C19" s="190" t="s">
        <v>52</v>
      </c>
      <c r="D19" s="202">
        <v>5999.0</v>
      </c>
      <c r="E19" s="192" t="str">
        <f t="array" ref="E19">_xlfn.XLOOKUP(B19,Stock1!F:F,Stock1!J:J,"")</f>
        <v/>
      </c>
      <c r="F19" s="192" t="str">
        <f t="array" ref="F19">_xlfn.XLOOKUP(B19,Stock2!F:F,Stock2!J:J,"")</f>
        <v/>
      </c>
      <c r="G19" s="203">
        <v>1500.0</v>
      </c>
      <c r="H19" s="142">
        <f t="shared" ref="H19:H20" si="3">D19-G19</f>
        <v>4499</v>
      </c>
      <c r="I19" s="144"/>
      <c r="J19" s="141"/>
      <c r="K19" s="141"/>
      <c r="L19" s="210"/>
      <c r="M19" s="145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>
      <c r="A20" s="212"/>
      <c r="B20" s="198" t="s">
        <v>142</v>
      </c>
      <c r="C20" s="173" t="s">
        <v>82</v>
      </c>
      <c r="D20" s="199">
        <v>5999.0</v>
      </c>
      <c r="E20" s="186" t="str">
        <f t="array" ref="E20">_xlfn.XLOOKUP(B20,Stock1!F:F,Stock1!J:J,"")</f>
        <v/>
      </c>
      <c r="F20" s="186" t="str">
        <f t="array" ref="F20">_xlfn.XLOOKUP(B20,Stock2!F:F,Stock2!J:J,"")</f>
        <v/>
      </c>
      <c r="G20" s="200">
        <v>1500.0</v>
      </c>
      <c r="H20" s="123">
        <f t="shared" si="3"/>
        <v>4499</v>
      </c>
      <c r="I20" s="157"/>
      <c r="J20" s="122"/>
      <c r="K20" s="122"/>
      <c r="L20" s="214"/>
      <c r="M20" s="159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>
      <c r="A21" s="206" t="s">
        <v>146</v>
      </c>
      <c r="B21" s="201" t="s">
        <v>147</v>
      </c>
      <c r="C21" s="190" t="s">
        <v>52</v>
      </c>
      <c r="D21" s="202">
        <v>6999.0</v>
      </c>
      <c r="E21" s="192" t="str">
        <f t="array" ref="E21">_xlfn.XLOOKUP(B21,Stock1!F:F,Stock1!J:J,"")</f>
        <v/>
      </c>
      <c r="F21" s="192" t="str">
        <f t="array" ref="F21">_xlfn.XLOOKUP(B21,Stock2!F:F,Stock2!J:J,"")</f>
        <v/>
      </c>
      <c r="G21" s="203"/>
      <c r="H21" s="142"/>
      <c r="I21" s="144"/>
      <c r="J21" s="141"/>
      <c r="K21" s="141"/>
      <c r="L21" s="141"/>
      <c r="M21" s="145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>
      <c r="A22" s="212"/>
      <c r="B22" s="198" t="s">
        <v>151</v>
      </c>
      <c r="C22" s="97" t="s">
        <v>82</v>
      </c>
      <c r="D22" s="199">
        <v>6999.0</v>
      </c>
      <c r="E22" s="186" t="str">
        <f t="array" ref="E22">_xlfn.XLOOKUP(B22,Stock1!F:F,Stock1!J:J,"")</f>
        <v/>
      </c>
      <c r="F22" s="186" t="str">
        <f t="array" ref="F22">_xlfn.XLOOKUP(B22,Stock2!F:F,Stock2!J:J,"")</f>
        <v/>
      </c>
      <c r="G22" s="200"/>
      <c r="H22" s="123"/>
      <c r="I22" s="157"/>
      <c r="J22" s="122"/>
      <c r="K22" s="122"/>
      <c r="L22" s="122"/>
      <c r="M22" s="159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>
      <c r="A23" s="206" t="s">
        <v>154</v>
      </c>
      <c r="B23" s="201" t="s">
        <v>155</v>
      </c>
      <c r="C23" s="190" t="s">
        <v>52</v>
      </c>
      <c r="D23" s="202">
        <v>8499.0</v>
      </c>
      <c r="E23" s="192" t="str">
        <f t="array" ref="E23">_xlfn.XLOOKUP(B23,Stock1!F:F,Stock1!J:J,"")</f>
        <v/>
      </c>
      <c r="F23" s="192" t="str">
        <f t="array" ref="F23">_xlfn.XLOOKUP(B23,Stock2!F:F,Stock2!J:J,"")</f>
        <v/>
      </c>
      <c r="G23" s="203">
        <v>1500.0</v>
      </c>
      <c r="H23" s="142">
        <f t="shared" ref="H23:H50" si="4">D23-G23</f>
        <v>6999</v>
      </c>
      <c r="I23" s="144"/>
      <c r="J23" s="141"/>
      <c r="K23" s="141"/>
      <c r="L23" s="141"/>
      <c r="M23" s="145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>
      <c r="A24" s="212"/>
      <c r="B24" s="198" t="s">
        <v>159</v>
      </c>
      <c r="C24" s="173" t="s">
        <v>82</v>
      </c>
      <c r="D24" s="199">
        <v>8499.0</v>
      </c>
      <c r="E24" s="186" t="str">
        <f t="array" ref="E24">_xlfn.XLOOKUP(B24,Stock1!F:F,Stock1!J:J,"")</f>
        <v/>
      </c>
      <c r="F24" s="186" t="str">
        <f t="array" ref="F24">_xlfn.XLOOKUP(B24,Stock2!F:F,Stock2!J:J,"")</f>
        <v/>
      </c>
      <c r="G24" s="200">
        <v>1500.0</v>
      </c>
      <c r="H24" s="123">
        <f t="shared" si="4"/>
        <v>6999</v>
      </c>
      <c r="I24" s="157"/>
      <c r="J24" s="122"/>
      <c r="K24" s="122"/>
      <c r="L24" s="122"/>
      <c r="M24" s="159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>
      <c r="A25" s="206" t="s">
        <v>156</v>
      </c>
      <c r="B25" s="201" t="s">
        <v>157</v>
      </c>
      <c r="C25" s="190" t="s">
        <v>158</v>
      </c>
      <c r="D25" s="202">
        <v>5999.0</v>
      </c>
      <c r="E25" s="192" t="str">
        <f t="array" ref="E25">_xlfn.XLOOKUP(B25,Stock1!F:F,Stock1!J:J,"")</f>
        <v/>
      </c>
      <c r="F25" s="192" t="str">
        <f t="array" ref="F25">_xlfn.XLOOKUP(B25,Stock2!F:F,Stock2!J:J,"")</f>
        <v/>
      </c>
      <c r="G25" s="203">
        <v>500.0</v>
      </c>
      <c r="H25" s="142">
        <f t="shared" si="4"/>
        <v>5499</v>
      </c>
      <c r="I25" s="144"/>
      <c r="J25" s="141"/>
      <c r="K25" s="141"/>
      <c r="L25" s="144"/>
      <c r="M25" s="145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>
      <c r="A26" s="212"/>
      <c r="B26" s="198" t="s">
        <v>162</v>
      </c>
      <c r="C26" s="97" t="s">
        <v>82</v>
      </c>
      <c r="D26" s="199">
        <v>5999.0</v>
      </c>
      <c r="E26" s="186" t="str">
        <f t="array" ref="E26">_xlfn.XLOOKUP(B26,Stock1!F:F,Stock1!J:J,"")</f>
        <v/>
      </c>
      <c r="F26" s="186" t="str">
        <f t="array" ref="F26">_xlfn.XLOOKUP(B26,Stock2!F:F,Stock2!J:J,"")</f>
        <v/>
      </c>
      <c r="G26" s="200">
        <v>500.0</v>
      </c>
      <c r="H26" s="123">
        <f t="shared" si="4"/>
        <v>5499</v>
      </c>
      <c r="I26" s="157"/>
      <c r="J26" s="122"/>
      <c r="K26" s="122"/>
      <c r="L26" s="157"/>
      <c r="M26" s="159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>
      <c r="A27" s="206" t="s">
        <v>169</v>
      </c>
      <c r="B27" s="201" t="s">
        <v>170</v>
      </c>
      <c r="C27" s="190" t="s">
        <v>171</v>
      </c>
      <c r="D27" s="202">
        <v>7499.0</v>
      </c>
      <c r="E27" s="192">
        <f t="array" ref="E27">_xlfn.XLOOKUP(B27,Stock1!F:F,Stock1!J:J,"")</f>
        <v>3</v>
      </c>
      <c r="F27" s="192">
        <f t="array" ref="F27">_xlfn.XLOOKUP(B27,Stock2!F:F,Stock2!J:J,"")</f>
        <v>6</v>
      </c>
      <c r="G27" s="203">
        <v>500.0</v>
      </c>
      <c r="H27" s="142">
        <f t="shared" si="4"/>
        <v>6999</v>
      </c>
      <c r="I27" s="144"/>
      <c r="J27" s="141"/>
      <c r="K27" s="141"/>
      <c r="L27" s="141"/>
      <c r="M27" s="145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>
      <c r="A28" s="159"/>
      <c r="B28" s="198" t="s">
        <v>172</v>
      </c>
      <c r="C28" s="97" t="s">
        <v>82</v>
      </c>
      <c r="D28" s="199">
        <v>7499.0</v>
      </c>
      <c r="E28" s="186">
        <f t="array" ref="E28">_xlfn.XLOOKUP(B28,Stock1!F:F,Stock1!J:J,"")</f>
        <v>7</v>
      </c>
      <c r="F28" s="186">
        <f t="array" ref="F28">_xlfn.XLOOKUP(B28,Stock2!F:F,Stock2!J:J,"")</f>
        <v>7</v>
      </c>
      <c r="G28" s="200">
        <v>500.0</v>
      </c>
      <c r="H28" s="123">
        <f t="shared" si="4"/>
        <v>6999</v>
      </c>
      <c r="I28" s="157"/>
      <c r="J28" s="122"/>
      <c r="K28" s="122"/>
      <c r="L28" s="122"/>
      <c r="M28" s="159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>
      <c r="A29" s="145"/>
      <c r="B29" s="201" t="s">
        <v>175</v>
      </c>
      <c r="C29" s="190" t="s">
        <v>171</v>
      </c>
      <c r="D29" s="202">
        <v>7499.0</v>
      </c>
      <c r="E29" s="192" t="str">
        <f t="array" ref="E29">_xlfn.XLOOKUP(B29,Stock1!F:F,Stock1!J:J,"")</f>
        <v/>
      </c>
      <c r="F29" s="192" t="str">
        <f t="array" ref="F29">_xlfn.XLOOKUP(B29,Stock2!F:F,Stock2!J:J,"")</f>
        <v/>
      </c>
      <c r="G29" s="203">
        <v>500.0</v>
      </c>
      <c r="H29" s="142">
        <f t="shared" si="4"/>
        <v>6999</v>
      </c>
      <c r="I29" s="144"/>
      <c r="J29" s="141"/>
      <c r="K29" s="141"/>
      <c r="L29" s="141"/>
      <c r="M29" s="145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>
      <c r="A30" s="212"/>
      <c r="B30" s="198" t="s">
        <v>178</v>
      </c>
      <c r="C30" s="173" t="s">
        <v>82</v>
      </c>
      <c r="D30" s="199">
        <v>7499.0</v>
      </c>
      <c r="E30" s="186" t="str">
        <f t="array" ref="E30">_xlfn.XLOOKUP(B30,Stock1!F:F,Stock1!J:J,"")</f>
        <v/>
      </c>
      <c r="F30" s="186" t="str">
        <f t="array" ref="F30">_xlfn.XLOOKUP(B30,Stock2!F:F,Stock2!J:J,"")</f>
        <v/>
      </c>
      <c r="G30" s="200">
        <v>500.0</v>
      </c>
      <c r="H30" s="123">
        <f t="shared" si="4"/>
        <v>6999</v>
      </c>
      <c r="I30" s="157"/>
      <c r="J30" s="122"/>
      <c r="K30" s="122"/>
      <c r="L30" s="122"/>
      <c r="M30" s="159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206" t="s">
        <v>181</v>
      </c>
      <c r="B31" s="201" t="s">
        <v>182</v>
      </c>
      <c r="C31" s="190" t="s">
        <v>82</v>
      </c>
      <c r="D31" s="202">
        <v>8999.0</v>
      </c>
      <c r="E31" s="192">
        <f t="array" ref="E31">_xlfn.XLOOKUP(B31,Stock1!F:F,Stock1!J:J,"")</f>
        <v>2</v>
      </c>
      <c r="F31" s="192">
        <f t="array" ref="F31">_xlfn.XLOOKUP(B31,Stock2!F:F,Stock2!J:J,"")</f>
        <v>4</v>
      </c>
      <c r="G31" s="203">
        <v>1000.0</v>
      </c>
      <c r="H31" s="142">
        <f t="shared" si="4"/>
        <v>7999</v>
      </c>
      <c r="I31" s="144"/>
      <c r="J31" s="141"/>
      <c r="K31" s="141"/>
      <c r="L31" s="141"/>
      <c r="M31" s="145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>
      <c r="A32" s="159"/>
      <c r="B32" s="198" t="s">
        <v>183</v>
      </c>
      <c r="C32" s="97" t="s">
        <v>171</v>
      </c>
      <c r="D32" s="199">
        <v>8999.0</v>
      </c>
      <c r="E32" s="186" t="str">
        <f t="array" ref="E32">_xlfn.XLOOKUP(B32,Stock1!F:F,Stock1!J:J,"")</f>
        <v/>
      </c>
      <c r="F32" s="186" t="str">
        <f t="array" ref="F32">_xlfn.XLOOKUP(B32,Stock2!F:F,Stock2!J:J,"")</f>
        <v/>
      </c>
      <c r="G32" s="200">
        <v>1000.0</v>
      </c>
      <c r="H32" s="123">
        <f t="shared" si="4"/>
        <v>7999</v>
      </c>
      <c r="I32" s="157"/>
      <c r="J32" s="122"/>
      <c r="K32" s="122"/>
      <c r="L32" s="122"/>
      <c r="M32" s="159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>
      <c r="A33" s="80"/>
      <c r="B33" s="201" t="s">
        <v>187</v>
      </c>
      <c r="C33" s="136" t="s">
        <v>82</v>
      </c>
      <c r="D33" s="202">
        <v>8999.0</v>
      </c>
      <c r="E33" s="192" t="str">
        <f t="array" ref="E33">_xlfn.XLOOKUP(B33,Stock1!F:F,Stock1!J:J,"")</f>
        <v/>
      </c>
      <c r="F33" s="192" t="str">
        <f t="array" ref="F33">_xlfn.XLOOKUP(B33,Stock2!F:F,Stock2!J:J,"")</f>
        <v/>
      </c>
      <c r="G33" s="203">
        <v>1000.0</v>
      </c>
      <c r="H33" s="142">
        <f t="shared" si="4"/>
        <v>7999</v>
      </c>
      <c r="I33" s="144"/>
      <c r="J33" s="141"/>
      <c r="K33" s="141"/>
      <c r="L33" s="141"/>
      <c r="M33" s="80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>
      <c r="A34" s="241" t="s">
        <v>190</v>
      </c>
      <c r="B34" s="242" t="s">
        <v>191</v>
      </c>
      <c r="C34" s="243" t="s">
        <v>82</v>
      </c>
      <c r="D34" s="244">
        <v>10999.0</v>
      </c>
      <c r="E34" s="245" t="str">
        <f t="array" ref="E34">_xlfn.XLOOKUP(B34,Stock1!F:F,Stock1!J:J,"")</f>
        <v/>
      </c>
      <c r="F34" s="245" t="str">
        <f t="array" ref="F34">_xlfn.XLOOKUP(B34,Stock2!F:F,Stock2!J:J,"")</f>
        <v/>
      </c>
      <c r="G34" s="246">
        <v>1000.0</v>
      </c>
      <c r="H34" s="247">
        <f t="shared" si="4"/>
        <v>9999</v>
      </c>
      <c r="I34" s="125" t="s">
        <v>76</v>
      </c>
      <c r="J34" s="157"/>
      <c r="K34" s="157"/>
      <c r="L34" s="157"/>
      <c r="M34" s="248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80"/>
      <c r="B35" s="250" t="s">
        <v>194</v>
      </c>
      <c r="C35" s="252" t="s">
        <v>52</v>
      </c>
      <c r="D35" s="254">
        <v>10999.0</v>
      </c>
      <c r="E35" s="256" t="str">
        <f t="array" ref="E35">_xlfn.XLOOKUP(B35,Stock1!F:F,Stock1!J:J,"")</f>
        <v/>
      </c>
      <c r="F35" s="256" t="str">
        <f t="array" ref="F35">_xlfn.XLOOKUP(B35,Stock2!F:F,Stock2!J:J,"")</f>
        <v/>
      </c>
      <c r="G35" s="257">
        <v>1000.0</v>
      </c>
      <c r="H35" s="258">
        <f t="shared" si="4"/>
        <v>9999</v>
      </c>
      <c r="I35" s="144"/>
      <c r="J35" s="144"/>
      <c r="K35" s="144"/>
      <c r="L35" s="144"/>
      <c r="M35" s="259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>
      <c r="A36" s="241" t="s">
        <v>198</v>
      </c>
      <c r="B36" s="242" t="s">
        <v>199</v>
      </c>
      <c r="C36" s="243" t="s">
        <v>52</v>
      </c>
      <c r="D36" s="263">
        <v>11999.0</v>
      </c>
      <c r="E36" s="245" t="str">
        <f t="array" ref="E36">_xlfn.XLOOKUP(B36,Stock1!F:F,Stock1!J:J,"")</f>
        <v/>
      </c>
      <c r="F36" s="245" t="str">
        <f t="array" ref="F36">_xlfn.XLOOKUP(B36,Stock2!F:F,Stock2!J:J,"")</f>
        <v/>
      </c>
      <c r="G36" s="246">
        <v>800.0</v>
      </c>
      <c r="H36" s="247">
        <f t="shared" si="4"/>
        <v>11199</v>
      </c>
      <c r="I36" s="157"/>
      <c r="J36" s="157"/>
      <c r="K36" s="157"/>
      <c r="L36" s="157"/>
      <c r="M36" s="267" t="s">
        <v>204</v>
      </c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>
      <c r="A37" s="145"/>
      <c r="B37" s="250" t="s">
        <v>206</v>
      </c>
      <c r="C37" s="252" t="s">
        <v>207</v>
      </c>
      <c r="D37" s="269">
        <v>11999.0</v>
      </c>
      <c r="E37" s="256" t="str">
        <f t="array" ref="E37">_xlfn.XLOOKUP(B37,Stock1!F:F,Stock1!J:J,"")</f>
        <v/>
      </c>
      <c r="F37" s="256" t="str">
        <f t="array" ref="F37">_xlfn.XLOOKUP(B37,Stock2!F:F,Stock2!J:J,"")</f>
        <v/>
      </c>
      <c r="G37" s="257">
        <v>800.0</v>
      </c>
      <c r="H37" s="258">
        <f t="shared" si="4"/>
        <v>11199</v>
      </c>
      <c r="I37" s="144"/>
      <c r="J37" s="144"/>
      <c r="K37" s="144"/>
      <c r="L37" s="144"/>
      <c r="M37" s="145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>
      <c r="A38" s="212"/>
      <c r="B38" s="242" t="s">
        <v>209</v>
      </c>
      <c r="C38" s="243" t="s">
        <v>82</v>
      </c>
      <c r="D38" s="263">
        <v>11999.0</v>
      </c>
      <c r="E38" s="245" t="str">
        <f t="array" ref="E38">_xlfn.XLOOKUP(B38,Stock1!F:F,Stock1!J:J,"")</f>
        <v/>
      </c>
      <c r="F38" s="245" t="str">
        <f t="array" ref="F38">_xlfn.XLOOKUP(B38,Stock2!F:F,Stock2!J:J,"")</f>
        <v/>
      </c>
      <c r="G38" s="246">
        <v>800.0</v>
      </c>
      <c r="H38" s="247">
        <f t="shared" si="4"/>
        <v>11199</v>
      </c>
      <c r="I38" s="157"/>
      <c r="J38" s="157"/>
      <c r="K38" s="157"/>
      <c r="L38" s="157"/>
      <c r="M38" s="159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>
      <c r="A39" s="279" t="s">
        <v>213</v>
      </c>
      <c r="B39" s="250" t="s">
        <v>214</v>
      </c>
      <c r="C39" s="252" t="s">
        <v>215</v>
      </c>
      <c r="D39" s="269">
        <v>13999.0</v>
      </c>
      <c r="E39" s="256" t="str">
        <f t="array" ref="E39">_xlfn.XLOOKUP(B39,Stock1!F:F,Stock1!J:J,"")</f>
        <v/>
      </c>
      <c r="F39" s="256" t="str">
        <f t="array" ref="F39">_xlfn.XLOOKUP(B39,Stock2!F:F,Stock2!J:J,"")</f>
        <v/>
      </c>
      <c r="G39" s="257">
        <v>1000.0</v>
      </c>
      <c r="H39" s="258">
        <f t="shared" si="4"/>
        <v>12999</v>
      </c>
      <c r="I39" s="144"/>
      <c r="J39" s="144"/>
      <c r="K39" s="144"/>
      <c r="L39" s="144"/>
      <c r="M39" s="145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>
      <c r="A40" s="159"/>
      <c r="B40" s="242" t="s">
        <v>218</v>
      </c>
      <c r="C40" s="243" t="s">
        <v>219</v>
      </c>
      <c r="D40" s="263">
        <v>13999.0</v>
      </c>
      <c r="E40" s="245" t="str">
        <f t="array" ref="E40">_xlfn.XLOOKUP(B40,Stock1!F:F,Stock1!J:J,"")</f>
        <v/>
      </c>
      <c r="F40" s="245" t="str">
        <f t="array" ref="F40">_xlfn.XLOOKUP(B40,Stock2!F:F,Stock2!J:J,"")</f>
        <v/>
      </c>
      <c r="G40" s="246">
        <v>1000.0</v>
      </c>
      <c r="H40" s="247">
        <f t="shared" si="4"/>
        <v>12999</v>
      </c>
      <c r="I40" s="157"/>
      <c r="J40" s="157"/>
      <c r="K40" s="157"/>
      <c r="L40" s="157"/>
      <c r="M40" s="159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>
      <c r="A41" s="80"/>
      <c r="B41" s="250" t="s">
        <v>221</v>
      </c>
      <c r="C41" s="285" t="s">
        <v>82</v>
      </c>
      <c r="D41" s="269">
        <v>13999.0</v>
      </c>
      <c r="E41" s="256" t="str">
        <f t="array" ref="E41">_xlfn.XLOOKUP(B41,Stock1!F:F,Stock1!J:J,"")</f>
        <v/>
      </c>
      <c r="F41" s="256" t="str">
        <f t="array" ref="F41">_xlfn.XLOOKUP(B41,Stock2!F:F,Stock2!J:J,"")</f>
        <v/>
      </c>
      <c r="G41" s="257">
        <v>1000.0</v>
      </c>
      <c r="H41" s="258">
        <f t="shared" si="4"/>
        <v>12999</v>
      </c>
      <c r="I41" s="144"/>
      <c r="J41" s="144"/>
      <c r="K41" s="144"/>
      <c r="L41" s="144"/>
      <c r="M41" s="145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>
      <c r="A42" s="241" t="s">
        <v>224</v>
      </c>
      <c r="B42" s="242" t="s">
        <v>225</v>
      </c>
      <c r="C42" s="243" t="s">
        <v>215</v>
      </c>
      <c r="D42" s="263">
        <v>15999.0</v>
      </c>
      <c r="E42" s="245" t="str">
        <f t="array" ref="E42">_xlfn.XLOOKUP(B42,Stock1!F:F,Stock1!J:J,"")</f>
        <v/>
      </c>
      <c r="F42" s="245" t="str">
        <f t="array" ref="F42">_xlfn.XLOOKUP(B42,Stock2!F:F,Stock2!J:J,"")</f>
        <v/>
      </c>
      <c r="G42" s="246">
        <v>1000.0</v>
      </c>
      <c r="H42" s="247">
        <f t="shared" si="4"/>
        <v>14999</v>
      </c>
      <c r="I42" s="157"/>
      <c r="J42" s="292"/>
      <c r="K42" s="157"/>
      <c r="L42" s="157"/>
      <c r="M42" s="159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>
      <c r="A43" s="145"/>
      <c r="B43" s="250" t="s">
        <v>229</v>
      </c>
      <c r="C43" s="252" t="s">
        <v>219</v>
      </c>
      <c r="D43" s="269">
        <v>15999.0</v>
      </c>
      <c r="E43" s="256" t="str">
        <f t="array" ref="E43">_xlfn.XLOOKUP(B43,Stock1!F:F,Stock1!J:J,"")</f>
        <v/>
      </c>
      <c r="F43" s="256" t="str">
        <f t="array" ref="F43">_xlfn.XLOOKUP(B43,Stock2!F:F,Stock2!J:J,"")</f>
        <v/>
      </c>
      <c r="G43" s="257">
        <v>1000.0</v>
      </c>
      <c r="H43" s="258">
        <f t="shared" si="4"/>
        <v>14999</v>
      </c>
      <c r="I43" s="144"/>
      <c r="J43" s="293"/>
      <c r="K43" s="144"/>
      <c r="L43" s="144"/>
      <c r="M43" s="145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>
      <c r="A44" s="212"/>
      <c r="B44" s="242" t="s">
        <v>230</v>
      </c>
      <c r="C44" s="294" t="s">
        <v>82</v>
      </c>
      <c r="D44" s="263">
        <v>15999.0</v>
      </c>
      <c r="E44" s="245" t="str">
        <f t="array" ref="E44">_xlfn.XLOOKUP(B44,Stock1!F:F,Stock1!J:J,"")</f>
        <v/>
      </c>
      <c r="F44" s="245" t="str">
        <f t="array" ref="F44">_xlfn.XLOOKUP(B44,Stock2!F:F,Stock2!J:J,"")</f>
        <v/>
      </c>
      <c r="G44" s="246">
        <v>1000.0</v>
      </c>
      <c r="H44" s="247">
        <f t="shared" si="4"/>
        <v>14999</v>
      </c>
      <c r="I44" s="157"/>
      <c r="J44" s="292"/>
      <c r="K44" s="157"/>
      <c r="L44" s="157"/>
      <c r="M44" s="212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>
      <c r="A45" s="297" t="s">
        <v>231</v>
      </c>
      <c r="B45" s="299" t="s">
        <v>233</v>
      </c>
      <c r="C45" s="301" t="s">
        <v>171</v>
      </c>
      <c r="D45" s="137">
        <v>19900.0</v>
      </c>
      <c r="E45" s="192" t="str">
        <f t="array" ref="E45">_xlfn.XLOOKUP(B45,Stock1!F:F,Stock1!J:J,"")</f>
        <v/>
      </c>
      <c r="F45" s="192" t="str">
        <f t="array" ref="F45">_xlfn.XLOOKUP(B45,Stock2!F:F,Stock2!J:J,"")</f>
        <v/>
      </c>
      <c r="G45" s="257">
        <v>4000.0</v>
      </c>
      <c r="H45" s="257">
        <f t="shared" si="4"/>
        <v>15900</v>
      </c>
      <c r="I45" s="305" t="s">
        <v>76</v>
      </c>
      <c r="J45" s="257"/>
      <c r="K45" s="257"/>
      <c r="L45" s="144"/>
      <c r="M45" s="309" t="s">
        <v>240</v>
      </c>
      <c r="N45" s="84"/>
      <c r="O45" s="311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>
      <c r="A46" s="159"/>
      <c r="B46" s="315" t="s">
        <v>246</v>
      </c>
      <c r="C46" s="316" t="s">
        <v>247</v>
      </c>
      <c r="D46" s="98">
        <v>19900.0</v>
      </c>
      <c r="E46" s="186" t="str">
        <f t="array" ref="E46">_xlfn.XLOOKUP(B46,Stock1!F:F,Stock1!J:J,"")</f>
        <v/>
      </c>
      <c r="F46" s="186" t="str">
        <f t="array" ref="F46">_xlfn.XLOOKUP(B46,Stock2!F:F,Stock2!J:J,"")</f>
        <v/>
      </c>
      <c r="G46" s="246">
        <v>4000.0</v>
      </c>
      <c r="H46" s="246">
        <f t="shared" si="4"/>
        <v>15900</v>
      </c>
      <c r="I46" s="157"/>
      <c r="J46" s="246"/>
      <c r="K46" s="246"/>
      <c r="L46" s="157"/>
      <c r="M46" s="159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>
      <c r="A47" s="80"/>
      <c r="B47" s="299" t="s">
        <v>250</v>
      </c>
      <c r="C47" s="301" t="s">
        <v>251</v>
      </c>
      <c r="D47" s="137">
        <v>19900.0</v>
      </c>
      <c r="E47" s="192" t="str">
        <f t="array" ref="E47">_xlfn.XLOOKUP(B47,Stock1!F:F,Stock1!J:J,"")</f>
        <v/>
      </c>
      <c r="F47" s="192" t="str">
        <f t="array" ref="F47">_xlfn.XLOOKUP(B47,Stock2!F:F,Stock2!J:J,"")</f>
        <v/>
      </c>
      <c r="G47" s="257">
        <v>4000.0</v>
      </c>
      <c r="H47" s="257">
        <f t="shared" si="4"/>
        <v>15900</v>
      </c>
      <c r="I47" s="144"/>
      <c r="J47" s="257"/>
      <c r="K47" s="257"/>
      <c r="L47" s="144"/>
      <c r="M47" s="145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 ht="15.75" customHeight="1">
      <c r="A48" s="319" t="s">
        <v>257</v>
      </c>
      <c r="B48" s="320" t="s">
        <v>260</v>
      </c>
      <c r="C48" s="316" t="s">
        <v>171</v>
      </c>
      <c r="D48" s="98">
        <v>22900.0</v>
      </c>
      <c r="E48" s="186" t="str">
        <f t="array" ref="E48">_xlfn.XLOOKUP(B48,Stock1!F:F,Stock1!J:J,"")</f>
        <v/>
      </c>
      <c r="F48" s="186" t="str">
        <f t="array" ref="F48">_xlfn.XLOOKUP(B48,Stock2!F:F,Stock2!J:J,"")</f>
        <v/>
      </c>
      <c r="G48" s="246">
        <v>4000.0</v>
      </c>
      <c r="H48" s="246">
        <f t="shared" si="4"/>
        <v>18900</v>
      </c>
      <c r="I48" s="157"/>
      <c r="J48" s="246"/>
      <c r="K48" s="246"/>
      <c r="L48" s="157"/>
      <c r="M48" s="159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ht="15.75" customHeight="1">
      <c r="A49" s="145"/>
      <c r="B49" s="323" t="s">
        <v>266</v>
      </c>
      <c r="C49" s="301" t="s">
        <v>247</v>
      </c>
      <c r="D49" s="137">
        <v>22900.0</v>
      </c>
      <c r="E49" s="192" t="str">
        <f t="array" ref="E49">_xlfn.XLOOKUP(B49,Stock1!F:F,Stock1!J:J,"")</f>
        <v/>
      </c>
      <c r="F49" s="192" t="str">
        <f t="array" ref="F49">_xlfn.XLOOKUP(B49,Stock2!F:F,Stock2!J:J,"")</f>
        <v/>
      </c>
      <c r="G49" s="257">
        <v>4000.0</v>
      </c>
      <c r="H49" s="257">
        <f t="shared" si="4"/>
        <v>18900</v>
      </c>
      <c r="I49" s="144"/>
      <c r="J49" s="257"/>
      <c r="K49" s="257"/>
      <c r="L49" s="144"/>
      <c r="M49" s="145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>
      <c r="A50" s="212"/>
      <c r="B50" s="320" t="s">
        <v>275</v>
      </c>
      <c r="C50" s="316" t="s">
        <v>251</v>
      </c>
      <c r="D50" s="98">
        <v>22900.0</v>
      </c>
      <c r="E50" s="186" t="str">
        <f t="array" ref="E50">_xlfn.XLOOKUP(B50,Stock1!F:F,Stock1!J:J,"")</f>
        <v/>
      </c>
      <c r="F50" s="186" t="str">
        <f t="array" ref="F50">_xlfn.XLOOKUP(B50,Stock2!F:F,Stock2!J:J,"")</f>
        <v/>
      </c>
      <c r="G50" s="246">
        <v>4000.0</v>
      </c>
      <c r="H50" s="246">
        <f t="shared" si="4"/>
        <v>18900</v>
      </c>
      <c r="I50" s="157"/>
      <c r="J50" s="246"/>
      <c r="K50" s="246"/>
      <c r="L50" s="157"/>
      <c r="M50" s="212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</row>
    <row r="51">
      <c r="A51" s="297" t="s">
        <v>281</v>
      </c>
      <c r="B51" s="323" t="s">
        <v>282</v>
      </c>
      <c r="C51" s="301" t="s">
        <v>283</v>
      </c>
      <c r="D51" s="137">
        <v>22900.0</v>
      </c>
      <c r="E51" s="192" t="str">
        <f t="array" ref="E51">_xlfn.XLOOKUP(B51,Stock1!F:F,Stock1!J:J,"")</f>
        <v/>
      </c>
      <c r="F51" s="192" t="str">
        <f t="array" ref="F51">_xlfn.XLOOKUP(B51,Stock2!F:F,Stock2!J:J,"")</f>
        <v/>
      </c>
      <c r="G51" s="257"/>
      <c r="H51" s="257"/>
      <c r="I51" s="144"/>
      <c r="J51" s="257"/>
      <c r="K51" s="257"/>
      <c r="L51" s="144"/>
      <c r="M51" s="309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>
      <c r="A52" s="159"/>
      <c r="B52" s="320" t="s">
        <v>289</v>
      </c>
      <c r="C52" s="316" t="s">
        <v>290</v>
      </c>
      <c r="D52" s="98">
        <v>22900.0</v>
      </c>
      <c r="E52" s="186" t="str">
        <f t="array" ref="E52">_xlfn.XLOOKUP(B52,Stock1!F:F,Stock1!J:J,"")</f>
        <v/>
      </c>
      <c r="F52" s="186" t="str">
        <f t="array" ref="F52">_xlfn.XLOOKUP(B52,Stock2!F:F,Stock2!J:J,"")</f>
        <v/>
      </c>
      <c r="G52" s="246"/>
      <c r="H52" s="246"/>
      <c r="I52" s="157"/>
      <c r="J52" s="246"/>
      <c r="K52" s="246"/>
      <c r="L52" s="157"/>
      <c r="M52" s="159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</row>
    <row r="53">
      <c r="A53" s="145"/>
      <c r="B53" s="323" t="s">
        <v>293</v>
      </c>
      <c r="C53" s="301" t="s">
        <v>294</v>
      </c>
      <c r="D53" s="137">
        <v>22900.0</v>
      </c>
      <c r="E53" s="192" t="str">
        <f t="array" ref="E53">_xlfn.XLOOKUP(B53,Stock1!F:F,Stock1!J:J,"")</f>
        <v/>
      </c>
      <c r="F53" s="192" t="str">
        <f t="array" ref="F53">_xlfn.XLOOKUP(B53,Stock2!F:F,Stock2!J:J,"")</f>
        <v/>
      </c>
      <c r="G53" s="257"/>
      <c r="H53" s="257"/>
      <c r="I53" s="144"/>
      <c r="J53" s="257"/>
      <c r="K53" s="257"/>
      <c r="L53" s="144"/>
      <c r="M53" s="145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>
      <c r="A54" s="212"/>
      <c r="B54" s="320" t="s">
        <v>300</v>
      </c>
      <c r="C54" s="316" t="s">
        <v>301</v>
      </c>
      <c r="D54" s="98">
        <v>22900.0</v>
      </c>
      <c r="E54" s="186" t="str">
        <f t="array" ref="E54">_xlfn.XLOOKUP(B54,Stock1!F:F,Stock1!J:J,"")</f>
        <v/>
      </c>
      <c r="F54" s="186" t="str">
        <f t="array" ref="F54">_xlfn.XLOOKUP(B54,Stock2!F:F,Stock2!J:J,"")</f>
        <v/>
      </c>
      <c r="G54" s="246"/>
      <c r="H54" s="246"/>
      <c r="I54" s="157"/>
      <c r="J54" s="246"/>
      <c r="K54" s="246"/>
      <c r="L54" s="157"/>
      <c r="M54" s="159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</row>
    <row r="55">
      <c r="A55" s="297" t="s">
        <v>306</v>
      </c>
      <c r="B55" s="323" t="s">
        <v>307</v>
      </c>
      <c r="C55" s="301" t="s">
        <v>283</v>
      </c>
      <c r="D55" s="137">
        <v>25900.0</v>
      </c>
      <c r="E55" s="192" t="str">
        <f t="array" ref="E55">_xlfn.XLOOKUP(B55,Stock1!F:F,Stock1!J:J,"")</f>
        <v/>
      </c>
      <c r="F55" s="192" t="str">
        <f t="array" ref="F55">_xlfn.XLOOKUP(B55,Stock2!F:F,Stock2!J:J,"")</f>
        <v/>
      </c>
      <c r="G55" s="257"/>
      <c r="H55" s="257"/>
      <c r="I55" s="144"/>
      <c r="J55" s="257"/>
      <c r="K55" s="257"/>
      <c r="L55" s="144"/>
      <c r="M55" s="145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>
      <c r="A56" s="159"/>
      <c r="B56" s="320" t="s">
        <v>313</v>
      </c>
      <c r="C56" s="316" t="s">
        <v>290</v>
      </c>
      <c r="D56" s="98">
        <v>25900.0</v>
      </c>
      <c r="E56" s="186" t="str">
        <f t="array" ref="E56">_xlfn.XLOOKUP(B56,Stock1!F:F,Stock1!J:J,"")</f>
        <v/>
      </c>
      <c r="F56" s="186" t="str">
        <f t="array" ref="F56">_xlfn.XLOOKUP(B56,Stock2!F:F,Stock2!J:J,"")</f>
        <v/>
      </c>
      <c r="G56" s="246"/>
      <c r="H56" s="246"/>
      <c r="I56" s="157"/>
      <c r="J56" s="246"/>
      <c r="K56" s="246"/>
      <c r="L56" s="157"/>
      <c r="M56" s="159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</row>
    <row r="57">
      <c r="A57" s="145"/>
      <c r="B57" s="323" t="s">
        <v>319</v>
      </c>
      <c r="C57" s="301" t="s">
        <v>294</v>
      </c>
      <c r="D57" s="137">
        <v>25900.0</v>
      </c>
      <c r="E57" s="192" t="str">
        <f t="array" ref="E57">_xlfn.XLOOKUP(B57,Stock1!F:F,Stock1!J:J,"")</f>
        <v/>
      </c>
      <c r="F57" s="192" t="str">
        <f t="array" ref="F57">_xlfn.XLOOKUP(B57,Stock2!F:F,Stock2!J:J,"")</f>
        <v/>
      </c>
      <c r="G57" s="257"/>
      <c r="H57" s="257"/>
      <c r="I57" s="144"/>
      <c r="J57" s="257"/>
      <c r="K57" s="257"/>
      <c r="L57" s="144"/>
      <c r="M57" s="145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>
      <c r="A58" s="212"/>
      <c r="B58" s="320" t="s">
        <v>326</v>
      </c>
      <c r="C58" s="316" t="s">
        <v>301</v>
      </c>
      <c r="D58" s="98">
        <v>25900.0</v>
      </c>
      <c r="E58" s="186" t="str">
        <f t="array" ref="E58">_xlfn.XLOOKUP(B58,Stock1!F:F,Stock1!J:J,"")</f>
        <v/>
      </c>
      <c r="F58" s="186" t="str">
        <f t="array" ref="F58">_xlfn.XLOOKUP(B58,Stock2!F:F,Stock2!J:J,"")</f>
        <v/>
      </c>
      <c r="G58" s="246"/>
      <c r="H58" s="246"/>
      <c r="I58" s="157"/>
      <c r="J58" s="246"/>
      <c r="K58" s="246"/>
      <c r="L58" s="157"/>
      <c r="M58" s="159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</row>
    <row r="59">
      <c r="A59" s="297" t="s">
        <v>306</v>
      </c>
      <c r="B59" s="323" t="s">
        <v>327</v>
      </c>
      <c r="C59" s="301" t="s">
        <v>283</v>
      </c>
      <c r="D59" s="137">
        <v>25900.0</v>
      </c>
      <c r="E59" s="192">
        <f t="array" ref="E59">_xlfn.XLOOKUP(B59,Stock1!F:F,Stock1!J:J,"")</f>
        <v>3</v>
      </c>
      <c r="F59" s="192">
        <f t="array" ref="F59">_xlfn.XLOOKUP(B59,Stock2!F:F,Stock2!J:J,"")</f>
        <v>6</v>
      </c>
      <c r="G59" s="257"/>
      <c r="H59" s="257"/>
      <c r="I59" s="144"/>
      <c r="J59" s="257"/>
      <c r="K59" s="257"/>
      <c r="L59" s="144"/>
      <c r="M59" s="145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>
      <c r="A60" s="159"/>
      <c r="B60" s="320" t="s">
        <v>333</v>
      </c>
      <c r="C60" s="316" t="s">
        <v>290</v>
      </c>
      <c r="D60" s="98">
        <v>25900.0</v>
      </c>
      <c r="E60" s="186">
        <f t="array" ref="E60">_xlfn.XLOOKUP(B60,Stock1!F:F,Stock1!J:J,"")</f>
        <v>3</v>
      </c>
      <c r="F60" s="186">
        <f t="array" ref="F60">_xlfn.XLOOKUP(B60,Stock2!F:F,Stock2!J:J,"")</f>
        <v>3</v>
      </c>
      <c r="G60" s="246"/>
      <c r="H60" s="246"/>
      <c r="I60" s="157"/>
      <c r="J60" s="246"/>
      <c r="K60" s="246"/>
      <c r="L60" s="157"/>
      <c r="M60" s="159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>
      <c r="A61" s="145"/>
      <c r="B61" s="323" t="s">
        <v>339</v>
      </c>
      <c r="C61" s="301" t="s">
        <v>294</v>
      </c>
      <c r="D61" s="137">
        <v>25900.0</v>
      </c>
      <c r="E61" s="192">
        <f t="array" ref="E61">_xlfn.XLOOKUP(B61,Stock1!F:F,Stock1!J:J,"")</f>
        <v>4</v>
      </c>
      <c r="F61" s="192">
        <f t="array" ref="F61">_xlfn.XLOOKUP(B61,Stock2!F:F,Stock2!J:J,"")</f>
        <v>4</v>
      </c>
      <c r="G61" s="257"/>
      <c r="H61" s="257"/>
      <c r="I61" s="144"/>
      <c r="J61" s="257"/>
      <c r="K61" s="257"/>
      <c r="L61" s="144"/>
      <c r="M61" s="145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>
      <c r="A62" s="212"/>
      <c r="B62" s="320" t="s">
        <v>347</v>
      </c>
      <c r="C62" s="316" t="s">
        <v>301</v>
      </c>
      <c r="D62" s="98">
        <v>25900.0</v>
      </c>
      <c r="E62" s="186">
        <f t="array" ref="E62">_xlfn.XLOOKUP(B62,Stock1!F:F,Stock1!J:J,"")</f>
        <v>2</v>
      </c>
      <c r="F62" s="186" t="str">
        <f t="array" ref="F62">_xlfn.XLOOKUP(B62,Stock2!F:F,Stock2!J:J,"")</f>
        <v/>
      </c>
      <c r="G62" s="246"/>
      <c r="H62" s="246"/>
      <c r="I62" s="157"/>
      <c r="J62" s="246"/>
      <c r="K62" s="246"/>
      <c r="L62" s="157"/>
      <c r="M62" s="159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>
      <c r="A63" s="297" t="s">
        <v>357</v>
      </c>
      <c r="B63" s="323" t="s">
        <v>360</v>
      </c>
      <c r="C63" s="301" t="s">
        <v>356</v>
      </c>
      <c r="D63" s="137">
        <v>34900.0</v>
      </c>
      <c r="E63" s="192" t="str">
        <f t="array" ref="E63">_xlfn.XLOOKUP(B63,Stock1!F:F,Stock1!J:J,"")</f>
        <v/>
      </c>
      <c r="F63" s="192" t="str">
        <f t="array" ref="F63">_xlfn.XLOOKUP(B63,Stock2!F:F,Stock2!J:J,"")</f>
        <v/>
      </c>
      <c r="G63" s="257">
        <v>4000.0</v>
      </c>
      <c r="H63" s="257">
        <f t="shared" ref="H63:H94" si="5">D63-G63</f>
        <v>30900</v>
      </c>
      <c r="I63" s="144"/>
      <c r="J63" s="257"/>
      <c r="K63" s="257"/>
      <c r="L63" s="144"/>
      <c r="M63" s="145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>
      <c r="A64" s="159"/>
      <c r="B64" s="320" t="s">
        <v>367</v>
      </c>
      <c r="C64" s="316" t="s">
        <v>368</v>
      </c>
      <c r="D64" s="98">
        <v>34900.0</v>
      </c>
      <c r="E64" s="186" t="str">
        <f t="array" ref="E64">_xlfn.XLOOKUP(B64,Stock1!F:F,Stock1!J:J,"")</f>
        <v/>
      </c>
      <c r="F64" s="186" t="str">
        <f t="array" ref="F64">_xlfn.XLOOKUP(B64,Stock2!F:F,Stock2!J:J,"")</f>
        <v/>
      </c>
      <c r="G64" s="246">
        <v>4000.0</v>
      </c>
      <c r="H64" s="246">
        <f t="shared" si="5"/>
        <v>30900</v>
      </c>
      <c r="I64" s="157"/>
      <c r="J64" s="246"/>
      <c r="K64" s="246"/>
      <c r="L64" s="157"/>
      <c r="M64" s="159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</row>
    <row r="65">
      <c r="A65" s="145"/>
      <c r="B65" s="323" t="s">
        <v>374</v>
      </c>
      <c r="C65" s="301" t="s">
        <v>375</v>
      </c>
      <c r="D65" s="137">
        <v>34900.0</v>
      </c>
      <c r="E65" s="192" t="str">
        <f t="array" ref="E65">_xlfn.XLOOKUP(B65,Stock1!F:F,Stock1!J:J,"")</f>
        <v/>
      </c>
      <c r="F65" s="192" t="str">
        <f t="array" ref="F65">_xlfn.XLOOKUP(B65,Stock2!F:F,Stock2!J:J,"")</f>
        <v/>
      </c>
      <c r="G65" s="257">
        <v>4000.0</v>
      </c>
      <c r="H65" s="257">
        <f t="shared" si="5"/>
        <v>30900</v>
      </c>
      <c r="I65" s="144"/>
      <c r="J65" s="257"/>
      <c r="K65" s="257"/>
      <c r="L65" s="144"/>
      <c r="M65" s="145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>
      <c r="A66" s="212"/>
      <c r="B66" s="320" t="s">
        <v>384</v>
      </c>
      <c r="C66" s="316" t="s">
        <v>386</v>
      </c>
      <c r="D66" s="98">
        <v>34900.0</v>
      </c>
      <c r="E66" s="186" t="str">
        <f t="array" ref="E66">_xlfn.XLOOKUP(B66,Stock1!F:F,Stock1!J:J,"")</f>
        <v/>
      </c>
      <c r="F66" s="186" t="str">
        <f t="array" ref="F66">_xlfn.XLOOKUP(B66,Stock2!F:F,Stock2!J:J,"")</f>
        <v/>
      </c>
      <c r="G66" s="246">
        <v>4000.0</v>
      </c>
      <c r="H66" s="246">
        <f t="shared" si="5"/>
        <v>30900</v>
      </c>
      <c r="I66" s="157"/>
      <c r="J66" s="246"/>
      <c r="K66" s="246"/>
      <c r="L66" s="157"/>
      <c r="M66" s="212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>
      <c r="A67" s="297" t="s">
        <v>392</v>
      </c>
      <c r="B67" s="250" t="s">
        <v>393</v>
      </c>
      <c r="C67" s="344" t="s">
        <v>383</v>
      </c>
      <c r="D67" s="137">
        <v>29900.0</v>
      </c>
      <c r="E67" s="192" t="str">
        <f t="array" ref="E67">_xlfn.XLOOKUP(B67,Stock1!F:F,Stock1!J:J,"")</f>
        <v/>
      </c>
      <c r="F67" s="192" t="str">
        <f t="array" ref="F67">_xlfn.XLOOKUP(B67,Stock2!F:F,Stock2!J:J,"")</f>
        <v/>
      </c>
      <c r="G67" s="203">
        <v>5000.0</v>
      </c>
      <c r="H67" s="257">
        <f t="shared" si="5"/>
        <v>24900</v>
      </c>
      <c r="I67" s="144"/>
      <c r="J67" s="257">
        <v>8000.0</v>
      </c>
      <c r="K67" s="257">
        <f t="shared" ref="K67:K94" si="6">D67-J67</f>
        <v>21900</v>
      </c>
      <c r="L67" s="345" t="s">
        <v>397</v>
      </c>
      <c r="M67" s="346" t="s">
        <v>398</v>
      </c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>
      <c r="A68" s="159"/>
      <c r="B68" s="242" t="s">
        <v>399</v>
      </c>
      <c r="C68" s="347" t="s">
        <v>247</v>
      </c>
      <c r="D68" s="98">
        <v>29900.0</v>
      </c>
      <c r="E68" s="186" t="str">
        <f t="array" ref="E68">_xlfn.XLOOKUP(B68,Stock1!F:F,Stock1!J:J,"")</f>
        <v/>
      </c>
      <c r="F68" s="186" t="str">
        <f t="array" ref="F68">_xlfn.XLOOKUP(B68,Stock2!F:F,Stock2!J:J,"")</f>
        <v/>
      </c>
      <c r="G68" s="200">
        <v>5000.0</v>
      </c>
      <c r="H68" s="246">
        <f t="shared" si="5"/>
        <v>24900</v>
      </c>
      <c r="I68" s="157"/>
      <c r="J68" s="246">
        <v>8000.0</v>
      </c>
      <c r="K68" s="246">
        <f t="shared" si="6"/>
        <v>21900</v>
      </c>
      <c r="L68" s="350"/>
      <c r="M68" s="159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>
      <c r="A69" s="145"/>
      <c r="B69" s="344" t="s">
        <v>401</v>
      </c>
      <c r="C69" s="344" t="s">
        <v>283</v>
      </c>
      <c r="D69" s="137">
        <v>29900.0</v>
      </c>
      <c r="E69" s="192" t="str">
        <f t="array" ref="E69">_xlfn.XLOOKUP(B69,Stock1!F:F,Stock1!J:J,"")</f>
        <v/>
      </c>
      <c r="F69" s="192" t="str">
        <f t="array" ref="F69">_xlfn.XLOOKUP(B69,Stock2!F:F,Stock2!J:J,"")</f>
        <v/>
      </c>
      <c r="G69" s="203">
        <v>5000.0</v>
      </c>
      <c r="H69" s="257">
        <f t="shared" si="5"/>
        <v>24900</v>
      </c>
      <c r="I69" s="144"/>
      <c r="J69" s="257">
        <v>8000.0</v>
      </c>
      <c r="K69" s="257">
        <f t="shared" si="6"/>
        <v>21900</v>
      </c>
      <c r="L69" s="354"/>
      <c r="M69" s="145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>
      <c r="A70" s="212"/>
      <c r="B70" s="347" t="s">
        <v>405</v>
      </c>
      <c r="C70" s="347" t="s">
        <v>406</v>
      </c>
      <c r="D70" s="98">
        <v>29900.0</v>
      </c>
      <c r="E70" s="186" t="str">
        <f t="array" ref="E70">_xlfn.XLOOKUP(B70,Stock1!F:F,Stock1!J:J,"")</f>
        <v/>
      </c>
      <c r="F70" s="186" t="str">
        <f t="array" ref="F70">_xlfn.XLOOKUP(B70,Stock2!F:F,Stock2!J:J,"")</f>
        <v/>
      </c>
      <c r="G70" s="200">
        <v>5000.0</v>
      </c>
      <c r="H70" s="246">
        <f t="shared" si="5"/>
        <v>24900</v>
      </c>
      <c r="I70" s="157"/>
      <c r="J70" s="246">
        <v>8000.0</v>
      </c>
      <c r="K70" s="246">
        <f t="shared" si="6"/>
        <v>21900</v>
      </c>
      <c r="L70" s="350"/>
      <c r="M70" s="159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>
      <c r="A71" s="297" t="s">
        <v>409</v>
      </c>
      <c r="B71" s="250" t="s">
        <v>410</v>
      </c>
      <c r="C71" s="344" t="s">
        <v>383</v>
      </c>
      <c r="D71" s="137">
        <v>34900.0</v>
      </c>
      <c r="E71" s="192" t="str">
        <f t="array" ref="E71">_xlfn.XLOOKUP(B71,Stock1!F:F,Stock1!J:J,"")</f>
        <v/>
      </c>
      <c r="F71" s="192" t="str">
        <f t="array" ref="F71">_xlfn.XLOOKUP(B71,Stock2!F:F,Stock2!J:J,"")</f>
        <v/>
      </c>
      <c r="G71" s="203">
        <v>5000.0</v>
      </c>
      <c r="H71" s="257">
        <f t="shared" si="5"/>
        <v>29900</v>
      </c>
      <c r="I71" s="144"/>
      <c r="J71" s="257">
        <v>8000.0</v>
      </c>
      <c r="K71" s="257">
        <f t="shared" si="6"/>
        <v>26900</v>
      </c>
      <c r="L71" s="354"/>
      <c r="M71" s="145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>
      <c r="A72" s="159"/>
      <c r="B72" s="242" t="s">
        <v>413</v>
      </c>
      <c r="C72" s="347" t="s">
        <v>247</v>
      </c>
      <c r="D72" s="98">
        <v>34900.0</v>
      </c>
      <c r="E72" s="186" t="str">
        <f t="array" ref="E72">_xlfn.XLOOKUP(B72,Stock1!F:F,Stock1!J:J,"")</f>
        <v/>
      </c>
      <c r="F72" s="186" t="str">
        <f t="array" ref="F72">_xlfn.XLOOKUP(B72,Stock2!F:F,Stock2!J:J,"")</f>
        <v/>
      </c>
      <c r="G72" s="200">
        <v>5000.0</v>
      </c>
      <c r="H72" s="246">
        <f t="shared" si="5"/>
        <v>29900</v>
      </c>
      <c r="I72" s="157"/>
      <c r="J72" s="246">
        <v>8000.0</v>
      </c>
      <c r="K72" s="246">
        <f t="shared" si="6"/>
        <v>26900</v>
      </c>
      <c r="L72" s="350"/>
      <c r="M72" s="159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>
      <c r="A73" s="145"/>
      <c r="B73" s="250" t="s">
        <v>416</v>
      </c>
      <c r="C73" s="344" t="s">
        <v>283</v>
      </c>
      <c r="D73" s="137">
        <v>34900.0</v>
      </c>
      <c r="E73" s="192" t="str">
        <f t="array" ref="E73">_xlfn.XLOOKUP(B73,Stock1!F:F,Stock1!J:J,"")</f>
        <v/>
      </c>
      <c r="F73" s="192" t="str">
        <f t="array" ref="F73">_xlfn.XLOOKUP(B73,Stock2!F:F,Stock2!J:J,"")</f>
        <v/>
      </c>
      <c r="G73" s="203">
        <v>5000.0</v>
      </c>
      <c r="H73" s="257">
        <f t="shared" si="5"/>
        <v>29900</v>
      </c>
      <c r="I73" s="144"/>
      <c r="J73" s="257">
        <v>8000.0</v>
      </c>
      <c r="K73" s="257">
        <f t="shared" si="6"/>
        <v>26900</v>
      </c>
      <c r="L73" s="354"/>
      <c r="M73" s="145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>
      <c r="A74" s="212"/>
      <c r="B74" s="242" t="s">
        <v>419</v>
      </c>
      <c r="C74" s="347" t="s">
        <v>406</v>
      </c>
      <c r="D74" s="98">
        <v>34900.0</v>
      </c>
      <c r="E74" s="186" t="str">
        <f t="array" ref="E74">_xlfn.XLOOKUP(B74,Stock1!F:F,Stock1!J:J,"")</f>
        <v/>
      </c>
      <c r="F74" s="186" t="str">
        <f t="array" ref="F74">_xlfn.XLOOKUP(B74,Stock2!F:F,Stock2!J:J,"")</f>
        <v/>
      </c>
      <c r="G74" s="200">
        <v>5000.0</v>
      </c>
      <c r="H74" s="246">
        <f t="shared" si="5"/>
        <v>29900</v>
      </c>
      <c r="I74" s="157"/>
      <c r="J74" s="246">
        <v>8000.0</v>
      </c>
      <c r="K74" s="246">
        <f t="shared" si="6"/>
        <v>26900</v>
      </c>
      <c r="L74" s="350"/>
      <c r="M74" s="159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</row>
    <row r="75">
      <c r="A75" s="297" t="s">
        <v>422</v>
      </c>
      <c r="B75" s="250" t="s">
        <v>423</v>
      </c>
      <c r="C75" s="344" t="s">
        <v>383</v>
      </c>
      <c r="D75" s="137">
        <v>36900.0</v>
      </c>
      <c r="E75" s="192" t="str">
        <f t="array" ref="E75">_xlfn.XLOOKUP(B75,Stock1!F:F,Stock1!J:J,"")</f>
        <v/>
      </c>
      <c r="F75" s="192" t="str">
        <f t="array" ref="F75">_xlfn.XLOOKUP(B75,Stock2!F:F,Stock2!J:J,"")</f>
        <v/>
      </c>
      <c r="G75" s="203">
        <v>5000.0</v>
      </c>
      <c r="H75" s="257">
        <f t="shared" si="5"/>
        <v>31900</v>
      </c>
      <c r="I75" s="144"/>
      <c r="J75" s="257">
        <v>8000.0</v>
      </c>
      <c r="K75" s="257">
        <f t="shared" si="6"/>
        <v>28900</v>
      </c>
      <c r="L75" s="354"/>
      <c r="M75" s="145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>
      <c r="A76" s="159"/>
      <c r="B76" s="242" t="s">
        <v>433</v>
      </c>
      <c r="C76" s="347" t="s">
        <v>247</v>
      </c>
      <c r="D76" s="98">
        <v>36900.0</v>
      </c>
      <c r="E76" s="186" t="str">
        <f t="array" ref="E76">_xlfn.XLOOKUP(B76,Stock1!F:F,Stock1!J:J,"")</f>
        <v/>
      </c>
      <c r="F76" s="186" t="str">
        <f t="array" ref="F76">_xlfn.XLOOKUP(B76,Stock2!F:F,Stock2!J:J,"")</f>
        <v/>
      </c>
      <c r="G76" s="200">
        <v>5000.0</v>
      </c>
      <c r="H76" s="246">
        <f t="shared" si="5"/>
        <v>31900</v>
      </c>
      <c r="I76" s="157"/>
      <c r="J76" s="246">
        <v>8000.0</v>
      </c>
      <c r="K76" s="246">
        <f t="shared" si="6"/>
        <v>28900</v>
      </c>
      <c r="L76" s="350"/>
      <c r="M76" s="159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>
      <c r="A77" s="145"/>
      <c r="B77" s="250" t="s">
        <v>439</v>
      </c>
      <c r="C77" s="344" t="s">
        <v>283</v>
      </c>
      <c r="D77" s="137">
        <v>36900.0</v>
      </c>
      <c r="E77" s="192" t="str">
        <f t="array" ref="E77">_xlfn.XLOOKUP(B77,Stock1!F:F,Stock1!J:J,"")</f>
        <v/>
      </c>
      <c r="F77" s="192" t="str">
        <f t="array" ref="F77">_xlfn.XLOOKUP(B77,Stock2!F:F,Stock2!J:J,"")</f>
        <v/>
      </c>
      <c r="G77" s="203">
        <v>5000.0</v>
      </c>
      <c r="H77" s="257">
        <f t="shared" si="5"/>
        <v>31900</v>
      </c>
      <c r="I77" s="144"/>
      <c r="J77" s="257">
        <v>8000.0</v>
      </c>
      <c r="K77" s="257">
        <f t="shared" si="6"/>
        <v>28900</v>
      </c>
      <c r="L77" s="354"/>
      <c r="M77" s="145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>
      <c r="A78" s="212"/>
      <c r="B78" s="242" t="s">
        <v>444</v>
      </c>
      <c r="C78" s="347" t="s">
        <v>406</v>
      </c>
      <c r="D78" s="98">
        <v>36900.0</v>
      </c>
      <c r="E78" s="186" t="str">
        <f t="array" ref="E78">_xlfn.XLOOKUP(B78,Stock1!F:F,Stock1!J:J,"")</f>
        <v/>
      </c>
      <c r="F78" s="186" t="str">
        <f t="array" ref="F78">_xlfn.XLOOKUP(B78,Stock2!F:F,Stock2!J:J,"")</f>
        <v/>
      </c>
      <c r="G78" s="200">
        <v>5000.0</v>
      </c>
      <c r="H78" s="246">
        <f t="shared" si="5"/>
        <v>31900</v>
      </c>
      <c r="I78" s="157"/>
      <c r="J78" s="246">
        <v>8000.0</v>
      </c>
      <c r="K78" s="246">
        <f t="shared" si="6"/>
        <v>28900</v>
      </c>
      <c r="L78" s="350"/>
      <c r="M78" s="159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>
      <c r="A79" s="297" t="s">
        <v>449</v>
      </c>
      <c r="B79" s="250" t="s">
        <v>450</v>
      </c>
      <c r="C79" s="344" t="s">
        <v>383</v>
      </c>
      <c r="D79" s="137">
        <v>41900.0</v>
      </c>
      <c r="E79" s="192" t="str">
        <f t="array" ref="E79">_xlfn.XLOOKUP(B79,Stock1!F:F,Stock1!J:J,"")</f>
        <v/>
      </c>
      <c r="F79" s="192" t="str">
        <f t="array" ref="F79">_xlfn.XLOOKUP(B79,Stock2!F:F,Stock2!J:J,"")</f>
        <v/>
      </c>
      <c r="G79" s="203">
        <v>5000.0</v>
      </c>
      <c r="H79" s="257">
        <f t="shared" si="5"/>
        <v>36900</v>
      </c>
      <c r="I79" s="144"/>
      <c r="J79" s="257">
        <v>8000.0</v>
      </c>
      <c r="K79" s="257">
        <f t="shared" si="6"/>
        <v>33900</v>
      </c>
      <c r="L79" s="354"/>
      <c r="M79" s="145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>
      <c r="A80" s="159"/>
      <c r="B80" s="242" t="s">
        <v>459</v>
      </c>
      <c r="C80" s="347" t="s">
        <v>247</v>
      </c>
      <c r="D80" s="98">
        <v>41900.0</v>
      </c>
      <c r="E80" s="186" t="str">
        <f t="array" ref="E80">_xlfn.XLOOKUP(B80,Stock1!F:F,Stock1!J:J,"")</f>
        <v/>
      </c>
      <c r="F80" s="186" t="str">
        <f t="array" ref="F80">_xlfn.XLOOKUP(B80,Stock2!F:F,Stock2!J:J,"")</f>
        <v/>
      </c>
      <c r="G80" s="200">
        <v>5000.0</v>
      </c>
      <c r="H80" s="246">
        <f t="shared" si="5"/>
        <v>36900</v>
      </c>
      <c r="I80" s="157"/>
      <c r="J80" s="246">
        <v>8000.0</v>
      </c>
      <c r="K80" s="246">
        <f t="shared" si="6"/>
        <v>33900</v>
      </c>
      <c r="L80" s="350"/>
      <c r="M80" s="159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>
      <c r="A81" s="145"/>
      <c r="B81" s="250" t="s">
        <v>468</v>
      </c>
      <c r="C81" s="344" t="s">
        <v>283</v>
      </c>
      <c r="D81" s="137">
        <v>41900.0</v>
      </c>
      <c r="E81" s="192" t="str">
        <f t="array" ref="E81">_xlfn.XLOOKUP(B81,Stock1!F:F,Stock1!J:J,"")</f>
        <v/>
      </c>
      <c r="F81" s="192" t="str">
        <f t="array" ref="F81">_xlfn.XLOOKUP(B81,Stock2!F:F,Stock2!J:J,"")</f>
        <v/>
      </c>
      <c r="G81" s="203">
        <v>5000.0</v>
      </c>
      <c r="H81" s="257">
        <f t="shared" si="5"/>
        <v>36900</v>
      </c>
      <c r="I81" s="144"/>
      <c r="J81" s="257">
        <v>8000.0</v>
      </c>
      <c r="K81" s="257">
        <f t="shared" si="6"/>
        <v>33900</v>
      </c>
      <c r="L81" s="354"/>
      <c r="M81" s="145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>
      <c r="A82" s="212"/>
      <c r="B82" s="242" t="s">
        <v>477</v>
      </c>
      <c r="C82" s="347" t="s">
        <v>406</v>
      </c>
      <c r="D82" s="98">
        <v>41900.0</v>
      </c>
      <c r="E82" s="186" t="str">
        <f t="array" ref="E82">_xlfn.XLOOKUP(B82,Stock1!F:F,Stock1!J:J,"")</f>
        <v/>
      </c>
      <c r="F82" s="186" t="str">
        <f t="array" ref="F82">_xlfn.XLOOKUP(B82,Stock2!F:F,Stock2!J:J,"")</f>
        <v/>
      </c>
      <c r="G82" s="200">
        <v>5000.0</v>
      </c>
      <c r="H82" s="246">
        <f t="shared" si="5"/>
        <v>36900</v>
      </c>
      <c r="I82" s="157"/>
      <c r="J82" s="246">
        <v>8000.0</v>
      </c>
      <c r="K82" s="246">
        <f t="shared" si="6"/>
        <v>33900</v>
      </c>
      <c r="L82" s="350"/>
      <c r="M82" s="212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>
      <c r="A83" s="297" t="s">
        <v>353</v>
      </c>
      <c r="B83" s="250" t="s">
        <v>371</v>
      </c>
      <c r="C83" s="344" t="s">
        <v>356</v>
      </c>
      <c r="D83" s="137">
        <v>46900.0</v>
      </c>
      <c r="E83" s="192" t="str">
        <f t="array" ref="E83">_xlfn.XLOOKUP(B83,Stock1!F:F,Stock1!J:J,"")</f>
        <v/>
      </c>
      <c r="F83" s="192" t="str">
        <f t="array" ref="F83">_xlfn.XLOOKUP(B83,Stock2!F:F,Stock2!J:J,"")</f>
        <v/>
      </c>
      <c r="G83" s="203">
        <v>6000.0</v>
      </c>
      <c r="H83" s="257">
        <f t="shared" si="5"/>
        <v>40900</v>
      </c>
      <c r="I83" s="144"/>
      <c r="J83" s="257">
        <v>8000.0</v>
      </c>
      <c r="K83" s="257">
        <f t="shared" si="6"/>
        <v>38900</v>
      </c>
      <c r="L83" s="354"/>
      <c r="M83" s="346" t="s">
        <v>491</v>
      </c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>
      <c r="A84" s="159"/>
      <c r="B84" s="242" t="s">
        <v>381</v>
      </c>
      <c r="C84" s="347" t="s">
        <v>383</v>
      </c>
      <c r="D84" s="98">
        <v>46900.0</v>
      </c>
      <c r="E84" s="186" t="str">
        <f t="array" ref="E84">_xlfn.XLOOKUP(B84,Stock1!F:F,Stock1!J:J,"")</f>
        <v/>
      </c>
      <c r="F84" s="186" t="str">
        <f t="array" ref="F84">_xlfn.XLOOKUP(B84,Stock2!F:F,Stock2!J:J,"")</f>
        <v/>
      </c>
      <c r="G84" s="200">
        <v>6000.0</v>
      </c>
      <c r="H84" s="246">
        <f t="shared" si="5"/>
        <v>40900</v>
      </c>
      <c r="I84" s="157"/>
      <c r="J84" s="246">
        <v>8000.0</v>
      </c>
      <c r="K84" s="246">
        <f t="shared" si="6"/>
        <v>38900</v>
      </c>
      <c r="L84" s="350"/>
      <c r="M84" s="159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</row>
    <row r="85">
      <c r="A85" s="145"/>
      <c r="B85" s="250" t="s">
        <v>390</v>
      </c>
      <c r="C85" s="344" t="s">
        <v>391</v>
      </c>
      <c r="D85" s="137">
        <v>46900.0</v>
      </c>
      <c r="E85" s="192" t="str">
        <f t="array" ref="E85">_xlfn.XLOOKUP(B85,Stock1!F:F,Stock1!J:J,"")</f>
        <v/>
      </c>
      <c r="F85" s="192" t="str">
        <f t="array" ref="F85">_xlfn.XLOOKUP(B85,Stock2!F:F,Stock2!J:J,"")</f>
        <v/>
      </c>
      <c r="G85" s="203">
        <v>6000.0</v>
      </c>
      <c r="H85" s="257">
        <f t="shared" si="5"/>
        <v>40900</v>
      </c>
      <c r="I85" s="144"/>
      <c r="J85" s="257">
        <v>8000.0</v>
      </c>
      <c r="K85" s="257">
        <f t="shared" si="6"/>
        <v>38900</v>
      </c>
      <c r="L85" s="354"/>
      <c r="M85" s="145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>
      <c r="A86" s="212"/>
      <c r="B86" s="242" t="s">
        <v>395</v>
      </c>
      <c r="C86" s="347" t="s">
        <v>396</v>
      </c>
      <c r="D86" s="98">
        <v>46900.0</v>
      </c>
      <c r="E86" s="186" t="str">
        <f t="array" ref="E86">_xlfn.XLOOKUP(B86,Stock1!F:F,Stock1!J:J,"")</f>
        <v/>
      </c>
      <c r="F86" s="186" t="str">
        <f t="array" ref="F86">_xlfn.XLOOKUP(B86,Stock2!F:F,Stock2!J:J,"")</f>
        <v/>
      </c>
      <c r="G86" s="200">
        <v>6000.0</v>
      </c>
      <c r="H86" s="246">
        <f t="shared" si="5"/>
        <v>40900</v>
      </c>
      <c r="I86" s="157"/>
      <c r="J86" s="246">
        <v>8000.0</v>
      </c>
      <c r="K86" s="246">
        <f t="shared" si="6"/>
        <v>38900</v>
      </c>
      <c r="L86" s="350"/>
      <c r="M86" s="159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</row>
    <row r="87">
      <c r="A87" s="297" t="s">
        <v>514</v>
      </c>
      <c r="B87" s="250" t="s">
        <v>515</v>
      </c>
      <c r="C87" s="344" t="s">
        <v>356</v>
      </c>
      <c r="D87" s="137">
        <v>52900.0</v>
      </c>
      <c r="E87" s="192" t="str">
        <f t="array" ref="E87">_xlfn.XLOOKUP(B87,Stock1!F:F,Stock1!J:J,"")</f>
        <v/>
      </c>
      <c r="F87" s="192" t="str">
        <f t="array" ref="F87">_xlfn.XLOOKUP(B87,Stock2!F:F,Stock2!J:J,"")</f>
        <v/>
      </c>
      <c r="G87" s="203">
        <v>6000.0</v>
      </c>
      <c r="H87" s="257">
        <f t="shared" si="5"/>
        <v>46900</v>
      </c>
      <c r="I87" s="144"/>
      <c r="J87" s="257">
        <v>8000.0</v>
      </c>
      <c r="K87" s="257">
        <f t="shared" si="6"/>
        <v>44900</v>
      </c>
      <c r="L87" s="354"/>
      <c r="M87" s="145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>
      <c r="A88" s="159"/>
      <c r="B88" s="242" t="s">
        <v>522</v>
      </c>
      <c r="C88" s="347" t="s">
        <v>383</v>
      </c>
      <c r="D88" s="98">
        <v>52900.0</v>
      </c>
      <c r="E88" s="186" t="str">
        <f t="array" ref="E88">_xlfn.XLOOKUP(B88,Stock1!F:F,Stock1!J:J,"")</f>
        <v/>
      </c>
      <c r="F88" s="186" t="str">
        <f t="array" ref="F88">_xlfn.XLOOKUP(B88,Stock2!F:F,Stock2!J:J,"")</f>
        <v/>
      </c>
      <c r="G88" s="200">
        <v>6000.0</v>
      </c>
      <c r="H88" s="247">
        <f t="shared" si="5"/>
        <v>46900</v>
      </c>
      <c r="I88" s="157"/>
      <c r="J88" s="246">
        <v>8000.0</v>
      </c>
      <c r="K88" s="246">
        <f t="shared" si="6"/>
        <v>44900</v>
      </c>
      <c r="L88" s="350"/>
      <c r="M88" s="159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</row>
    <row r="89">
      <c r="A89" s="145"/>
      <c r="B89" s="250" t="s">
        <v>528</v>
      </c>
      <c r="C89" s="344" t="s">
        <v>391</v>
      </c>
      <c r="D89" s="137">
        <v>52900.0</v>
      </c>
      <c r="E89" s="192" t="str">
        <f t="array" ref="E89">_xlfn.XLOOKUP(B89,Stock1!F:F,Stock1!J:J,"")</f>
        <v/>
      </c>
      <c r="F89" s="192" t="str">
        <f t="array" ref="F89">_xlfn.XLOOKUP(B89,Stock2!F:F,Stock2!J:J,"")</f>
        <v/>
      </c>
      <c r="G89" s="203">
        <v>6000.0</v>
      </c>
      <c r="H89" s="258">
        <f t="shared" si="5"/>
        <v>46900</v>
      </c>
      <c r="I89" s="144"/>
      <c r="J89" s="257">
        <v>8000.0</v>
      </c>
      <c r="K89" s="257">
        <f t="shared" si="6"/>
        <v>44900</v>
      </c>
      <c r="L89" s="354"/>
      <c r="M89" s="145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>
      <c r="A90" s="212"/>
      <c r="B90" s="242" t="s">
        <v>536</v>
      </c>
      <c r="C90" s="347" t="s">
        <v>396</v>
      </c>
      <c r="D90" s="98">
        <v>52900.0</v>
      </c>
      <c r="E90" s="186" t="str">
        <f t="array" ref="E90">_xlfn.XLOOKUP(B90,Stock1!F:F,Stock1!J:J,"")</f>
        <v/>
      </c>
      <c r="F90" s="186" t="str">
        <f t="array" ref="F90">_xlfn.XLOOKUP(B90,Stock2!F:F,Stock2!J:J,"")</f>
        <v/>
      </c>
      <c r="G90" s="200">
        <v>6000.0</v>
      </c>
      <c r="H90" s="247">
        <f t="shared" si="5"/>
        <v>46900</v>
      </c>
      <c r="I90" s="157"/>
      <c r="J90" s="246">
        <v>8000.0</v>
      </c>
      <c r="K90" s="246">
        <f t="shared" si="6"/>
        <v>44900</v>
      </c>
      <c r="L90" s="350"/>
      <c r="M90" s="159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</row>
    <row r="91">
      <c r="A91" s="297" t="s">
        <v>542</v>
      </c>
      <c r="B91" s="250" t="s">
        <v>545</v>
      </c>
      <c r="C91" s="344" t="s">
        <v>356</v>
      </c>
      <c r="D91" s="137">
        <v>62900.0</v>
      </c>
      <c r="E91" s="192" t="str">
        <f t="array" ref="E91">_xlfn.XLOOKUP(B91,Stock1!F:F,Stock1!J:J,"")</f>
        <v/>
      </c>
      <c r="F91" s="192" t="str">
        <f t="array" ref="F91">_xlfn.XLOOKUP(B91,Stock2!F:F,Stock2!J:J,"")</f>
        <v/>
      </c>
      <c r="G91" s="203">
        <v>6000.0</v>
      </c>
      <c r="H91" s="258">
        <f t="shared" si="5"/>
        <v>56900</v>
      </c>
      <c r="I91" s="144"/>
      <c r="J91" s="257">
        <v>8000.0</v>
      </c>
      <c r="K91" s="257">
        <f t="shared" si="6"/>
        <v>54900</v>
      </c>
      <c r="L91" s="354"/>
      <c r="M91" s="145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>
      <c r="A92" s="159"/>
      <c r="B92" s="242" t="s">
        <v>554</v>
      </c>
      <c r="C92" s="347" t="s">
        <v>383</v>
      </c>
      <c r="D92" s="98">
        <v>62900.0</v>
      </c>
      <c r="E92" s="186" t="str">
        <f t="array" ref="E92">_xlfn.XLOOKUP(B92,Stock1!F:F,Stock1!J:J,"")</f>
        <v/>
      </c>
      <c r="F92" s="186" t="str">
        <f t="array" ref="F92">_xlfn.XLOOKUP(B92,Stock2!F:F,Stock2!J:J,"")</f>
        <v/>
      </c>
      <c r="G92" s="200">
        <v>6000.0</v>
      </c>
      <c r="H92" s="247">
        <f t="shared" si="5"/>
        <v>56900</v>
      </c>
      <c r="I92" s="157"/>
      <c r="J92" s="246">
        <v>8000.0</v>
      </c>
      <c r="K92" s="246">
        <f t="shared" si="6"/>
        <v>54900</v>
      </c>
      <c r="L92" s="350"/>
      <c r="M92" s="159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</row>
    <row r="93">
      <c r="A93" s="145"/>
      <c r="B93" s="250" t="s">
        <v>560</v>
      </c>
      <c r="C93" s="344" t="s">
        <v>391</v>
      </c>
      <c r="D93" s="137">
        <v>62900.0</v>
      </c>
      <c r="E93" s="192" t="str">
        <f t="array" ref="E93">_xlfn.XLOOKUP(B93,Stock1!F:F,Stock1!J:J,"")</f>
        <v/>
      </c>
      <c r="F93" s="192" t="str">
        <f t="array" ref="F93">_xlfn.XLOOKUP(B93,Stock2!F:F,Stock2!J:J,"")</f>
        <v/>
      </c>
      <c r="G93" s="203">
        <v>6000.0</v>
      </c>
      <c r="H93" s="258">
        <f t="shared" si="5"/>
        <v>56900</v>
      </c>
      <c r="I93" s="144"/>
      <c r="J93" s="257">
        <v>8000.0</v>
      </c>
      <c r="K93" s="257">
        <f t="shared" si="6"/>
        <v>54900</v>
      </c>
      <c r="L93" s="354"/>
      <c r="M93" s="145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>
      <c r="A94" s="212"/>
      <c r="B94" s="242" t="s">
        <v>568</v>
      </c>
      <c r="C94" s="347" t="s">
        <v>396</v>
      </c>
      <c r="D94" s="98">
        <v>62900.0</v>
      </c>
      <c r="E94" s="186" t="str">
        <f t="array" ref="E94">_xlfn.XLOOKUP(B94,Stock1!F:F,Stock1!J:J,"")</f>
        <v/>
      </c>
      <c r="F94" s="186" t="str">
        <f t="array" ref="F94">_xlfn.XLOOKUP(B94,Stock2!F:F,Stock2!J:J,"")</f>
        <v/>
      </c>
      <c r="G94" s="200">
        <v>6000.0</v>
      </c>
      <c r="H94" s="247">
        <f t="shared" si="5"/>
        <v>56900</v>
      </c>
      <c r="I94" s="157"/>
      <c r="J94" s="246">
        <v>8000.0</v>
      </c>
      <c r="K94" s="246">
        <f t="shared" si="6"/>
        <v>54900</v>
      </c>
      <c r="L94" s="350"/>
      <c r="M94" s="212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</row>
    <row r="95">
      <c r="A95" s="297" t="s">
        <v>575</v>
      </c>
      <c r="B95" s="250" t="s">
        <v>576</v>
      </c>
      <c r="C95" s="344" t="s">
        <v>82</v>
      </c>
      <c r="D95" s="137">
        <v>25900.0</v>
      </c>
      <c r="E95" s="192" t="str">
        <f t="array" ref="E95">_xlfn.XLOOKUP(B95,Stock1!F:F,Stock1!J:J,"")</f>
        <v/>
      </c>
      <c r="F95" s="192" t="str">
        <f t="array" ref="F95">_xlfn.XLOOKUP(B95,Stock2!F:F,Stock2!J:J,"")</f>
        <v/>
      </c>
      <c r="G95" s="203"/>
      <c r="H95" s="258"/>
      <c r="I95" s="144"/>
      <c r="J95" s="257"/>
      <c r="K95" s="257"/>
      <c r="L95" s="257"/>
      <c r="M95" s="346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>
      <c r="A96" s="212"/>
      <c r="B96" s="242" t="s">
        <v>585</v>
      </c>
      <c r="C96" s="347" t="s">
        <v>586</v>
      </c>
      <c r="D96" s="98">
        <v>25900.0</v>
      </c>
      <c r="E96" s="186" t="str">
        <f t="array" ref="E96">_xlfn.XLOOKUP(B96,Stock1!F:F,Stock1!J:J,"")</f>
        <v/>
      </c>
      <c r="F96" s="186" t="str">
        <f t="array" ref="F96">_xlfn.XLOOKUP(B96,Stock2!F:F,Stock2!J:J,"")</f>
        <v/>
      </c>
      <c r="G96" s="200"/>
      <c r="H96" s="247"/>
      <c r="I96" s="157"/>
      <c r="J96" s="246"/>
      <c r="K96" s="246"/>
      <c r="L96" s="246"/>
      <c r="M96" s="159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</row>
    <row r="97">
      <c r="A97" s="297" t="s">
        <v>594</v>
      </c>
      <c r="B97" s="250" t="s">
        <v>595</v>
      </c>
      <c r="C97" s="344" t="s">
        <v>82</v>
      </c>
      <c r="D97" s="137">
        <v>27900.0</v>
      </c>
      <c r="E97" s="192" t="str">
        <f t="array" ref="E97">_xlfn.XLOOKUP(B97,Stock1!F:F,Stock1!J:J,"")</f>
        <v/>
      </c>
      <c r="F97" s="192" t="str">
        <f t="array" ref="F97">_xlfn.XLOOKUP(B97,Stock2!F:F,Stock2!J:J,"")</f>
        <v/>
      </c>
      <c r="G97" s="203"/>
      <c r="H97" s="258"/>
      <c r="I97" s="144"/>
      <c r="J97" s="257"/>
      <c r="K97" s="257"/>
      <c r="L97" s="257"/>
      <c r="M97" s="145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>
      <c r="A98" s="212"/>
      <c r="B98" s="242" t="s">
        <v>601</v>
      </c>
      <c r="C98" s="347" t="s">
        <v>586</v>
      </c>
      <c r="D98" s="98">
        <v>27900.0</v>
      </c>
      <c r="E98" s="186" t="str">
        <f t="array" ref="E98">_xlfn.XLOOKUP(B98,Stock1!F:F,Stock1!J:J,"")</f>
        <v/>
      </c>
      <c r="F98" s="186" t="str">
        <f t="array" ref="F98">_xlfn.XLOOKUP(B98,Stock2!F:F,Stock2!J:J,"")</f>
        <v/>
      </c>
      <c r="G98" s="200"/>
      <c r="H98" s="247"/>
      <c r="I98" s="157"/>
      <c r="J98" s="246"/>
      <c r="K98" s="246"/>
      <c r="L98" s="246"/>
      <c r="M98" s="212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</row>
    <row r="99">
      <c r="A99" s="297" t="s">
        <v>608</v>
      </c>
      <c r="B99" s="250" t="s">
        <v>609</v>
      </c>
      <c r="C99" s="344" t="s">
        <v>610</v>
      </c>
      <c r="D99" s="137">
        <v>40900.0</v>
      </c>
      <c r="E99" s="192" t="str">
        <f t="array" ref="E99">_xlfn.XLOOKUP(B99,Stock1!F:F,Stock1!J:J,"")</f>
        <v/>
      </c>
      <c r="F99" s="192" t="str">
        <f t="array" ref="F99">_xlfn.XLOOKUP(B99,Stock2!F:F,Stock2!J:J,"")</f>
        <v/>
      </c>
      <c r="G99" s="203">
        <v>3000.0</v>
      </c>
      <c r="H99" s="258">
        <f t="shared" ref="H99:H112" si="7">D99-G99</f>
        <v>37900</v>
      </c>
      <c r="I99" s="144"/>
      <c r="J99" s="257"/>
      <c r="K99" s="257"/>
      <c r="L99" s="257"/>
      <c r="M99" s="346" t="s">
        <v>615</v>
      </c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>
      <c r="A100" s="159"/>
      <c r="B100" s="242" t="s">
        <v>618</v>
      </c>
      <c r="C100" s="347" t="s">
        <v>619</v>
      </c>
      <c r="D100" s="98">
        <v>40900.0</v>
      </c>
      <c r="E100" s="186" t="str">
        <f t="array" ref="E100">_xlfn.XLOOKUP(B100,Stock1!F:F,Stock1!J:J,"")</f>
        <v/>
      </c>
      <c r="F100" s="186" t="str">
        <f t="array" ref="F100">_xlfn.XLOOKUP(B100,Stock2!F:F,Stock2!J:J,"")</f>
        <v/>
      </c>
      <c r="G100" s="200">
        <v>3000.0</v>
      </c>
      <c r="H100" s="247">
        <f t="shared" si="7"/>
        <v>37900</v>
      </c>
      <c r="I100" s="157"/>
      <c r="J100" s="246"/>
      <c r="K100" s="246"/>
      <c r="L100" s="246"/>
      <c r="M100" s="159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</row>
    <row r="101">
      <c r="A101" s="80"/>
      <c r="B101" s="250" t="s">
        <v>627</v>
      </c>
      <c r="C101" s="344" t="s">
        <v>628</v>
      </c>
      <c r="D101" s="137">
        <v>40900.0</v>
      </c>
      <c r="E101" s="192" t="str">
        <f t="array" ref="E101">_xlfn.XLOOKUP(B101,Stock1!F:F,Stock1!J:J,"")</f>
        <v/>
      </c>
      <c r="F101" s="192" t="str">
        <f t="array" ref="F101">_xlfn.XLOOKUP(B101,Stock2!F:F,Stock2!J:J,"")</f>
        <v/>
      </c>
      <c r="G101" s="203">
        <v>3000.0</v>
      </c>
      <c r="H101" s="258">
        <f t="shared" si="7"/>
        <v>37900</v>
      </c>
      <c r="I101" s="144"/>
      <c r="J101" s="257"/>
      <c r="K101" s="257"/>
      <c r="L101" s="257"/>
      <c r="M101" s="80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>
      <c r="A102" s="319" t="s">
        <v>635</v>
      </c>
      <c r="B102" s="242" t="s">
        <v>636</v>
      </c>
      <c r="C102" s="347" t="s">
        <v>610</v>
      </c>
      <c r="D102" s="98">
        <v>45900.0</v>
      </c>
      <c r="E102" s="186" t="str">
        <f t="array" ref="E102">_xlfn.XLOOKUP(B102,Stock1!F:F,Stock1!J:J,"")</f>
        <v/>
      </c>
      <c r="F102" s="186" t="str">
        <f t="array" ref="F102">_xlfn.XLOOKUP(B102,Stock2!F:F,Stock2!J:J,"")</f>
        <v/>
      </c>
      <c r="G102" s="200">
        <v>3000.0</v>
      </c>
      <c r="H102" s="247">
        <f t="shared" si="7"/>
        <v>42900</v>
      </c>
      <c r="I102" s="157"/>
      <c r="J102" s="246">
        <v>8000.0</v>
      </c>
      <c r="K102" s="246">
        <f t="shared" ref="K102:K104" si="8">D102-J102</f>
        <v>37900</v>
      </c>
      <c r="L102" s="360" t="s">
        <v>397</v>
      </c>
      <c r="M102" s="361" t="s">
        <v>640</v>
      </c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</row>
    <row r="103">
      <c r="A103" s="145"/>
      <c r="B103" s="250" t="s">
        <v>646</v>
      </c>
      <c r="C103" s="344" t="s">
        <v>619</v>
      </c>
      <c r="D103" s="137">
        <v>45900.0</v>
      </c>
      <c r="E103" s="192" t="str">
        <f t="array" ref="E103">_xlfn.XLOOKUP(B103,Stock1!F:F,Stock1!J:J,"")</f>
        <v/>
      </c>
      <c r="F103" s="192" t="str">
        <f t="array" ref="F103">_xlfn.XLOOKUP(B103,Stock2!F:F,Stock2!J:J,"")</f>
        <v/>
      </c>
      <c r="G103" s="203">
        <v>3000.0</v>
      </c>
      <c r="H103" s="258">
        <f t="shared" si="7"/>
        <v>42900</v>
      </c>
      <c r="I103" s="144"/>
      <c r="J103" s="257">
        <v>8000.0</v>
      </c>
      <c r="K103" s="257">
        <f t="shared" si="8"/>
        <v>37900</v>
      </c>
      <c r="L103" s="354"/>
      <c r="M103" s="145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>
      <c r="A104" s="212"/>
      <c r="B104" s="242" t="s">
        <v>651</v>
      </c>
      <c r="C104" s="347" t="s">
        <v>628</v>
      </c>
      <c r="D104" s="98">
        <v>45900.0</v>
      </c>
      <c r="E104" s="186" t="str">
        <f t="array" ref="E104">_xlfn.XLOOKUP(B104,Stock1!F:F,Stock1!J:J,"")</f>
        <v/>
      </c>
      <c r="F104" s="186" t="str">
        <f t="array" ref="F104">_xlfn.XLOOKUP(B104,Stock2!F:F,Stock2!J:J,"")</f>
        <v/>
      </c>
      <c r="G104" s="200">
        <v>3000.0</v>
      </c>
      <c r="H104" s="247">
        <f t="shared" si="7"/>
        <v>42900</v>
      </c>
      <c r="I104" s="157"/>
      <c r="J104" s="246">
        <v>8000.0</v>
      </c>
      <c r="K104" s="246">
        <f t="shared" si="8"/>
        <v>37900</v>
      </c>
      <c r="L104" s="350"/>
      <c r="M104" s="212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</row>
    <row r="105">
      <c r="A105" s="297" t="s">
        <v>658</v>
      </c>
      <c r="B105" s="250" t="s">
        <v>659</v>
      </c>
      <c r="C105" s="344" t="s">
        <v>619</v>
      </c>
      <c r="D105" s="137">
        <v>67900.0</v>
      </c>
      <c r="E105" s="192" t="str">
        <f t="array" ref="E105">_xlfn.XLOOKUP(B105,Stock1!F:F,Stock1!J:J,"")</f>
        <v/>
      </c>
      <c r="F105" s="192" t="str">
        <f t="array" ref="F105">_xlfn.XLOOKUP(B105,Stock2!F:F,Stock2!J:J,"")</f>
        <v/>
      </c>
      <c r="G105" s="203">
        <v>3000.0</v>
      </c>
      <c r="H105" s="258">
        <f t="shared" si="7"/>
        <v>64900</v>
      </c>
      <c r="I105" s="144"/>
      <c r="J105" s="257"/>
      <c r="K105" s="257"/>
      <c r="L105" s="257"/>
      <c r="M105" s="346" t="s">
        <v>664</v>
      </c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>
      <c r="A106" s="159"/>
      <c r="B106" s="242" t="s">
        <v>668</v>
      </c>
      <c r="C106" s="347" t="s">
        <v>669</v>
      </c>
      <c r="D106" s="98">
        <v>67900.0</v>
      </c>
      <c r="E106" s="186" t="str">
        <f t="array" ref="E106">_xlfn.XLOOKUP(B106,Stock1!F:F,Stock1!J:J,"")</f>
        <v/>
      </c>
      <c r="F106" s="186" t="str">
        <f t="array" ref="F106">_xlfn.XLOOKUP(B106,Stock2!F:F,Stock2!J:J,"")</f>
        <v/>
      </c>
      <c r="G106" s="200">
        <v>3000.0</v>
      </c>
      <c r="H106" s="247">
        <f t="shared" si="7"/>
        <v>64900</v>
      </c>
      <c r="I106" s="157"/>
      <c r="J106" s="246"/>
      <c r="K106" s="246"/>
      <c r="L106" s="246"/>
      <c r="M106" s="159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</row>
    <row r="107">
      <c r="A107" s="80"/>
      <c r="B107" s="250" t="s">
        <v>676</v>
      </c>
      <c r="C107" s="344" t="s">
        <v>628</v>
      </c>
      <c r="D107" s="137">
        <v>67900.0</v>
      </c>
      <c r="E107" s="192" t="str">
        <f t="array" ref="E107">_xlfn.XLOOKUP(B107,Stock1!F:F,Stock1!J:J,"")</f>
        <v/>
      </c>
      <c r="F107" s="192" t="str">
        <f t="array" ref="F107">_xlfn.XLOOKUP(B107,Stock2!F:F,Stock2!J:J,"")</f>
        <v/>
      </c>
      <c r="G107" s="203">
        <v>3000.0</v>
      </c>
      <c r="H107" s="258">
        <f t="shared" si="7"/>
        <v>64900</v>
      </c>
      <c r="I107" s="144"/>
      <c r="J107" s="257"/>
      <c r="K107" s="257"/>
      <c r="L107" s="257"/>
      <c r="M107" s="80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>
      <c r="A108" s="319" t="s">
        <v>683</v>
      </c>
      <c r="B108" s="242" t="s">
        <v>686</v>
      </c>
      <c r="C108" s="347" t="s">
        <v>619</v>
      </c>
      <c r="D108" s="98">
        <v>72900.0</v>
      </c>
      <c r="E108" s="186" t="str">
        <f t="array" ref="E108">_xlfn.XLOOKUP(B108,Stock1!F:F,Stock1!J:J,"")</f>
        <v/>
      </c>
      <c r="F108" s="186" t="str">
        <f t="array" ref="F108">_xlfn.XLOOKUP(B108,Stock2!F:F,Stock2!J:J,"")</f>
        <v/>
      </c>
      <c r="G108" s="200">
        <v>3000.0</v>
      </c>
      <c r="H108" s="247">
        <f t="shared" si="7"/>
        <v>69900</v>
      </c>
      <c r="I108" s="157"/>
      <c r="J108" s="246"/>
      <c r="K108" s="246"/>
      <c r="L108" s="246"/>
      <c r="M108" s="361" t="s">
        <v>689</v>
      </c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</row>
    <row r="109">
      <c r="A109" s="145"/>
      <c r="B109" s="250" t="s">
        <v>692</v>
      </c>
      <c r="C109" s="344" t="s">
        <v>669</v>
      </c>
      <c r="D109" s="137">
        <v>72900.0</v>
      </c>
      <c r="E109" s="192" t="str">
        <f t="array" ref="E109">_xlfn.XLOOKUP(B109,Stock1!F:F,Stock1!J:J,"")</f>
        <v/>
      </c>
      <c r="F109" s="192" t="str">
        <f t="array" ref="F109">_xlfn.XLOOKUP(B109,Stock2!F:F,Stock2!J:J,"")</f>
        <v/>
      </c>
      <c r="G109" s="203">
        <v>3000.0</v>
      </c>
      <c r="H109" s="258">
        <f t="shared" si="7"/>
        <v>69900</v>
      </c>
      <c r="I109" s="144"/>
      <c r="J109" s="257"/>
      <c r="K109" s="257"/>
      <c r="L109" s="257"/>
      <c r="M109" s="145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>
      <c r="A110" s="212"/>
      <c r="B110" s="242" t="s">
        <v>695</v>
      </c>
      <c r="C110" s="347" t="s">
        <v>628</v>
      </c>
      <c r="D110" s="98">
        <v>72900.0</v>
      </c>
      <c r="E110" s="186" t="str">
        <f t="array" ref="E110">_xlfn.XLOOKUP(B110,Stock1!F:F,Stock1!J:J,"")</f>
        <v/>
      </c>
      <c r="F110" s="186" t="str">
        <f t="array" ref="F110">_xlfn.XLOOKUP(B110,Stock2!F:F,Stock2!J:J,"")</f>
        <v/>
      </c>
      <c r="G110" s="200">
        <v>3000.0</v>
      </c>
      <c r="H110" s="247">
        <f t="shared" si="7"/>
        <v>69900</v>
      </c>
      <c r="I110" s="157"/>
      <c r="J110" s="246"/>
      <c r="K110" s="246"/>
      <c r="L110" s="246"/>
      <c r="M110" s="159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</row>
    <row r="111">
      <c r="A111" s="297" t="s">
        <v>702</v>
      </c>
      <c r="B111" s="250" t="s">
        <v>703</v>
      </c>
      <c r="C111" s="344" t="s">
        <v>619</v>
      </c>
      <c r="D111" s="137">
        <v>85900.0</v>
      </c>
      <c r="E111" s="192" t="str">
        <f t="array" ref="E111">_xlfn.XLOOKUP(B111,Stock1!F:F,Stock1!J:J,"")</f>
        <v/>
      </c>
      <c r="F111" s="192" t="str">
        <f t="array" ref="F111">_xlfn.XLOOKUP(B111,Stock2!F:F,Stock2!J:J,"")</f>
        <v/>
      </c>
      <c r="G111" s="203">
        <v>3000.0</v>
      </c>
      <c r="H111" s="258">
        <f t="shared" si="7"/>
        <v>82900</v>
      </c>
      <c r="I111" s="144"/>
      <c r="J111" s="257"/>
      <c r="K111" s="257"/>
      <c r="L111" s="257"/>
      <c r="M111" s="145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>
      <c r="A112" s="212"/>
      <c r="B112" s="242" t="s">
        <v>707</v>
      </c>
      <c r="C112" s="347" t="s">
        <v>628</v>
      </c>
      <c r="D112" s="98">
        <v>85900.0</v>
      </c>
      <c r="E112" s="186" t="str">
        <f t="array" ref="E112">_xlfn.XLOOKUP(B112,Stock1!F:F,Stock1!J:J,"")</f>
        <v/>
      </c>
      <c r="F112" s="186" t="str">
        <f t="array" ref="F112">_xlfn.XLOOKUP(B112,Stock2!F:F,Stock2!J:J,"")</f>
        <v/>
      </c>
      <c r="G112" s="200">
        <v>3000.0</v>
      </c>
      <c r="H112" s="247">
        <f t="shared" si="7"/>
        <v>82900</v>
      </c>
      <c r="I112" s="157"/>
      <c r="J112" s="246"/>
      <c r="K112" s="246"/>
      <c r="L112" s="246"/>
      <c r="M112" s="212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</row>
    <row r="113">
      <c r="A113" s="367" t="s">
        <v>711</v>
      </c>
      <c r="B113" s="368"/>
      <c r="C113" s="368"/>
      <c r="D113" s="368"/>
      <c r="E113" s="368"/>
      <c r="F113" s="368"/>
      <c r="G113" s="368"/>
      <c r="H113" s="368"/>
      <c r="I113" s="368"/>
      <c r="J113" s="368"/>
      <c r="K113" s="368"/>
      <c r="L113" s="368"/>
      <c r="M113" s="78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>
      <c r="A114" s="204" t="s">
        <v>714</v>
      </c>
      <c r="B114" s="370" t="s">
        <v>715</v>
      </c>
      <c r="C114" s="371" t="s">
        <v>223</v>
      </c>
      <c r="D114" s="372"/>
      <c r="E114" s="373" t="str">
        <f t="array" ref="E114">_xlfn.XLOOKUP(B114,Stock1!F:F,Stock1!J:J,"")</f>
        <v/>
      </c>
      <c r="F114" s="373" t="str">
        <f t="array" ref="F114">_xlfn.XLOOKUP(B114,Stock2!F:F,Stock2!J:J,"")</f>
        <v/>
      </c>
      <c r="G114" s="292"/>
      <c r="H114" s="374"/>
      <c r="I114" s="375"/>
      <c r="J114" s="376"/>
      <c r="K114" s="376"/>
      <c r="L114" s="157"/>
      <c r="M114" s="377" t="s">
        <v>718</v>
      </c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</row>
    <row r="115">
      <c r="A115" s="378" t="s">
        <v>720</v>
      </c>
      <c r="B115" s="379" t="s">
        <v>722</v>
      </c>
      <c r="C115" s="380" t="s">
        <v>223</v>
      </c>
      <c r="D115" s="381">
        <v>46900.0</v>
      </c>
      <c r="E115" s="382">
        <f t="array" ref="E115">_xlfn.XLOOKUP(B115,Stock1!F:F,Stock1!J:J,"")</f>
        <v>3</v>
      </c>
      <c r="F115" s="382">
        <f t="array" ref="F115">_xlfn.XLOOKUP(B115,Stock2!F:F,Stock2!J:J,"")</f>
        <v>2</v>
      </c>
      <c r="G115" s="293"/>
      <c r="H115" s="383"/>
      <c r="I115" s="384"/>
      <c r="J115" s="385"/>
      <c r="K115" s="385"/>
      <c r="L115" s="144"/>
      <c r="M115" s="80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 ht="27.0" customHeight="1">
      <c r="A116" s="204" t="s">
        <v>738</v>
      </c>
      <c r="B116" s="242" t="s">
        <v>739</v>
      </c>
      <c r="C116" s="347" t="s">
        <v>223</v>
      </c>
      <c r="D116" s="263">
        <v>41900.0</v>
      </c>
      <c r="E116" s="373" t="str">
        <f t="array" ref="E116">_xlfn.XLOOKUP(B116,Stock1!F:F,Stock1!J:J,"")</f>
        <v/>
      </c>
      <c r="F116" s="373" t="str">
        <f t="array" ref="F116">_xlfn.XLOOKUP(B116,Stock2!F:F,Stock2!J:J,"")</f>
        <v/>
      </c>
      <c r="G116" s="292">
        <v>6000.0</v>
      </c>
      <c r="H116" s="123">
        <f t="shared" ref="H116:H117" si="9">D116-G116</f>
        <v>35900</v>
      </c>
      <c r="I116" s="375"/>
      <c r="J116" s="376"/>
      <c r="K116" s="376"/>
      <c r="L116" s="157"/>
      <c r="M116" s="377" t="s">
        <v>746</v>
      </c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</row>
    <row r="117" ht="28.5" customHeight="1">
      <c r="A117" s="378" t="s">
        <v>749</v>
      </c>
      <c r="B117" s="250" t="s">
        <v>750</v>
      </c>
      <c r="C117" s="344" t="s">
        <v>223</v>
      </c>
      <c r="D117" s="269">
        <v>36900.0</v>
      </c>
      <c r="E117" s="382" t="str">
        <f t="array" ref="E117">_xlfn.XLOOKUP(B117,Stock1!F:F,Stock1!J:J,"")</f>
        <v/>
      </c>
      <c r="F117" s="382" t="str">
        <f t="array" ref="F117">_xlfn.XLOOKUP(B117,Stock2!F:F,Stock2!J:J,"")</f>
        <v/>
      </c>
      <c r="G117" s="293">
        <v>6000.0</v>
      </c>
      <c r="H117" s="142">
        <f t="shared" si="9"/>
        <v>30900</v>
      </c>
      <c r="I117" s="384"/>
      <c r="J117" s="385"/>
      <c r="K117" s="385"/>
      <c r="L117" s="144"/>
      <c r="M117" s="80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>
      <c r="A118" s="197" t="s">
        <v>756</v>
      </c>
      <c r="B118" s="242" t="s">
        <v>757</v>
      </c>
      <c r="C118" s="347" t="s">
        <v>223</v>
      </c>
      <c r="D118" s="387">
        <v>32900.0</v>
      </c>
      <c r="E118" s="373" t="str">
        <f t="array" ref="E118">_xlfn.XLOOKUP(B118,Stock1!F:F,Stock1!J:J,"")</f>
        <v/>
      </c>
      <c r="F118" s="373" t="str">
        <f t="array" ref="F118">_xlfn.XLOOKUP(B118,Stock2!F:F,Stock2!J:J,"")</f>
        <v/>
      </c>
      <c r="G118" s="292"/>
      <c r="H118" s="123"/>
      <c r="I118" s="375"/>
      <c r="J118" s="376"/>
      <c r="K118" s="376"/>
      <c r="L118" s="157"/>
      <c r="M118" s="377" t="s">
        <v>763</v>
      </c>
      <c r="N118" s="347"/>
      <c r="O118" s="387"/>
      <c r="P118" s="53"/>
      <c r="Q118" s="53"/>
      <c r="R118" s="53"/>
      <c r="S118" s="53"/>
      <c r="T118" s="53"/>
      <c r="U118" s="53"/>
      <c r="V118" s="53"/>
      <c r="W118" s="53"/>
      <c r="X118" s="53"/>
      <c r="Y118" s="53"/>
    </row>
    <row r="119">
      <c r="A119" s="80"/>
      <c r="B119" s="250" t="s">
        <v>767</v>
      </c>
      <c r="C119" s="344" t="s">
        <v>769</v>
      </c>
      <c r="D119" s="388">
        <v>32900.0</v>
      </c>
      <c r="E119" s="382" t="str">
        <f t="array" ref="E119">_xlfn.XLOOKUP(B119,Stock1!F:F,Stock1!J:J,"")</f>
        <v/>
      </c>
      <c r="F119" s="382" t="str">
        <f t="array" ref="F119">_xlfn.XLOOKUP(B119,Stock2!F:F,Stock2!J:J,"")</f>
        <v/>
      </c>
      <c r="G119" s="293"/>
      <c r="H119" s="142"/>
      <c r="I119" s="384"/>
      <c r="J119" s="385"/>
      <c r="K119" s="385"/>
      <c r="L119" s="144"/>
      <c r="M119" s="145"/>
      <c r="N119" s="344"/>
      <c r="O119" s="388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>
      <c r="A120" s="197" t="s">
        <v>773</v>
      </c>
      <c r="B120" s="242" t="s">
        <v>774</v>
      </c>
      <c r="C120" s="347" t="s">
        <v>223</v>
      </c>
      <c r="D120" s="387">
        <v>32900.0</v>
      </c>
      <c r="E120" s="373" t="str">
        <f t="array" ref="E120">_xlfn.XLOOKUP(B120,Stock1!F:F,Stock1!J:J,"")</f>
        <v/>
      </c>
      <c r="F120" s="373" t="str">
        <f t="array" ref="F120">_xlfn.XLOOKUP(B120,Stock2!F:F,Stock2!J:J,"")</f>
        <v/>
      </c>
      <c r="G120" s="292"/>
      <c r="H120" s="123"/>
      <c r="I120" s="375"/>
      <c r="J120" s="376"/>
      <c r="K120" s="376"/>
      <c r="L120" s="157"/>
      <c r="M120" s="159"/>
      <c r="N120" s="347"/>
      <c r="O120" s="387"/>
      <c r="P120" s="53"/>
      <c r="Q120" s="53"/>
      <c r="R120" s="53"/>
      <c r="S120" s="53"/>
      <c r="T120" s="53"/>
      <c r="U120" s="53"/>
      <c r="V120" s="53"/>
      <c r="W120" s="53"/>
      <c r="X120" s="53"/>
      <c r="Y120" s="53"/>
    </row>
    <row r="121">
      <c r="A121" s="80"/>
      <c r="B121" s="250" t="s">
        <v>778</v>
      </c>
      <c r="C121" s="344" t="s">
        <v>769</v>
      </c>
      <c r="D121" s="388">
        <v>32900.0</v>
      </c>
      <c r="E121" s="382" t="str">
        <f t="array" ref="E121">_xlfn.XLOOKUP(B121,Stock1!F:F,Stock1!J:J,"")</f>
        <v/>
      </c>
      <c r="F121" s="382" t="str">
        <f t="array" ref="F121">_xlfn.XLOOKUP(B121,Stock2!F:F,Stock2!J:J,"")</f>
        <v/>
      </c>
      <c r="G121" s="293"/>
      <c r="H121" s="142"/>
      <c r="I121" s="384"/>
      <c r="J121" s="385"/>
      <c r="K121" s="385"/>
      <c r="L121" s="144"/>
      <c r="M121" s="145"/>
      <c r="N121" s="344"/>
      <c r="O121" s="388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>
      <c r="A122" s="197" t="s">
        <v>783</v>
      </c>
      <c r="B122" s="242" t="s">
        <v>784</v>
      </c>
      <c r="C122" s="347" t="s">
        <v>223</v>
      </c>
      <c r="D122" s="387">
        <v>27900.0</v>
      </c>
      <c r="E122" s="373" t="str">
        <f t="array" ref="E122">_xlfn.XLOOKUP(B122,Stock1!F:F,Stock1!J:J,"")</f>
        <v/>
      </c>
      <c r="F122" s="373" t="str">
        <f t="array" ref="F122">_xlfn.XLOOKUP(B122,Stock2!F:F,Stock2!J:J,"")</f>
        <v/>
      </c>
      <c r="G122" s="292"/>
      <c r="H122" s="123"/>
      <c r="I122" s="375"/>
      <c r="J122" s="376"/>
      <c r="K122" s="376"/>
      <c r="L122" s="157"/>
      <c r="M122" s="159"/>
      <c r="N122" s="347"/>
      <c r="O122" s="387"/>
      <c r="P122" s="53"/>
      <c r="Q122" s="53"/>
      <c r="R122" s="53"/>
      <c r="S122" s="53"/>
      <c r="T122" s="53"/>
      <c r="U122" s="53"/>
      <c r="V122" s="53"/>
      <c r="W122" s="53"/>
      <c r="X122" s="53"/>
      <c r="Y122" s="53"/>
    </row>
    <row r="123">
      <c r="A123" s="80"/>
      <c r="B123" s="250" t="s">
        <v>790</v>
      </c>
      <c r="C123" s="344" t="s">
        <v>769</v>
      </c>
      <c r="D123" s="388">
        <v>27900.0</v>
      </c>
      <c r="E123" s="382">
        <f t="array" ref="E123">_xlfn.XLOOKUP(B123,Stock1!F:F,Stock1!J:J,"")</f>
        <v>1</v>
      </c>
      <c r="F123" s="382">
        <f t="array" ref="F123">_xlfn.XLOOKUP(B123,Stock2!F:F,Stock2!J:J,"")</f>
        <v>1</v>
      </c>
      <c r="G123" s="293"/>
      <c r="H123" s="142"/>
      <c r="I123" s="384"/>
      <c r="J123" s="385"/>
      <c r="K123" s="385"/>
      <c r="L123" s="144"/>
      <c r="M123" s="80"/>
      <c r="N123" s="344"/>
      <c r="O123" s="388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>
      <c r="A124" s="204" t="s">
        <v>795</v>
      </c>
      <c r="B124" s="370" t="s">
        <v>797</v>
      </c>
      <c r="C124" s="371" t="s">
        <v>223</v>
      </c>
      <c r="D124" s="389">
        <v>29900.0</v>
      </c>
      <c r="E124" s="373" t="str">
        <f t="array" ref="E124">_xlfn.XLOOKUP(B124,Stock1!F:F,Stock1!J:J,"")</f>
        <v/>
      </c>
      <c r="F124" s="373" t="str">
        <f t="array" ref="F124">_xlfn.XLOOKUP(B124,Stock2!F:F,Stock2!J:J,"")</f>
        <v/>
      </c>
      <c r="G124" s="292">
        <v>4000.0</v>
      </c>
      <c r="H124" s="123">
        <f t="shared" ref="H124:H133" si="10">D124-G124</f>
        <v>25900</v>
      </c>
      <c r="I124" s="375"/>
      <c r="J124" s="376"/>
      <c r="K124" s="376"/>
      <c r="L124" s="376"/>
      <c r="M124" s="377" t="s">
        <v>803</v>
      </c>
      <c r="N124" s="347"/>
      <c r="O124" s="387"/>
      <c r="P124" s="53"/>
      <c r="Q124" s="53"/>
      <c r="R124" s="53"/>
      <c r="S124" s="53"/>
      <c r="T124" s="53"/>
      <c r="U124" s="53"/>
      <c r="V124" s="53"/>
      <c r="W124" s="53"/>
      <c r="X124" s="53"/>
      <c r="Y124" s="53"/>
    </row>
    <row r="125">
      <c r="A125" s="378" t="s">
        <v>804</v>
      </c>
      <c r="B125" s="379" t="s">
        <v>805</v>
      </c>
      <c r="C125" s="380" t="s">
        <v>223</v>
      </c>
      <c r="D125" s="390">
        <v>26900.0</v>
      </c>
      <c r="E125" s="382">
        <f t="array" ref="E125">_xlfn.XLOOKUP(B125,Stock1!F:F,Stock1!J:J,"")</f>
        <v>2</v>
      </c>
      <c r="F125" s="382" t="str">
        <f t="array" ref="F125">_xlfn.XLOOKUP(B125,Stock2!F:F,Stock2!J:J,"")</f>
        <v/>
      </c>
      <c r="G125" s="293">
        <v>4000.0</v>
      </c>
      <c r="H125" s="383">
        <f t="shared" si="10"/>
        <v>22900</v>
      </c>
      <c r="I125" s="384"/>
      <c r="J125" s="385"/>
      <c r="K125" s="385"/>
      <c r="L125" s="385"/>
      <c r="M125" s="145"/>
      <c r="N125" s="380"/>
      <c r="O125" s="390"/>
      <c r="P125" s="391"/>
      <c r="Q125" s="391"/>
      <c r="R125" s="391"/>
      <c r="S125" s="391"/>
      <c r="T125" s="391"/>
      <c r="U125" s="391"/>
      <c r="V125" s="391"/>
      <c r="W125" s="391"/>
      <c r="X125" s="391"/>
      <c r="Y125" s="391"/>
    </row>
    <row r="126">
      <c r="A126" s="197" t="s">
        <v>812</v>
      </c>
      <c r="B126" s="242" t="s">
        <v>813</v>
      </c>
      <c r="C126" s="347" t="s">
        <v>223</v>
      </c>
      <c r="D126" s="387">
        <v>27900.0</v>
      </c>
      <c r="E126" s="186" t="str">
        <f t="array" ref="E126">_xlfn.XLOOKUP(B126,Stock1!F:F,Stock1!J:J,"")</f>
        <v/>
      </c>
      <c r="F126" s="186" t="str">
        <f t="array" ref="F126">_xlfn.XLOOKUP(B126,Stock2!F:F,Stock2!J:J,"")</f>
        <v/>
      </c>
      <c r="G126" s="292">
        <v>10000.0</v>
      </c>
      <c r="H126" s="123">
        <f t="shared" si="10"/>
        <v>17900</v>
      </c>
      <c r="I126" s="375"/>
      <c r="J126" s="376"/>
      <c r="K126" s="376"/>
      <c r="L126" s="157"/>
      <c r="M126" s="159"/>
      <c r="N126" s="347"/>
      <c r="O126" s="387"/>
      <c r="P126" s="53"/>
      <c r="Q126" s="53"/>
      <c r="R126" s="53"/>
      <c r="S126" s="53"/>
      <c r="T126" s="53"/>
      <c r="U126" s="53"/>
      <c r="V126" s="53"/>
      <c r="W126" s="53"/>
      <c r="X126" s="53"/>
      <c r="Y126" s="53"/>
    </row>
    <row r="127">
      <c r="A127" s="80"/>
      <c r="B127" s="250" t="s">
        <v>818</v>
      </c>
      <c r="C127" s="344" t="s">
        <v>819</v>
      </c>
      <c r="D127" s="388">
        <v>27900.0</v>
      </c>
      <c r="E127" s="192" t="str">
        <f t="array" ref="E127">_xlfn.XLOOKUP(B127,Stock1!F:F,Stock1!J:J,"")</f>
        <v/>
      </c>
      <c r="F127" s="192" t="str">
        <f t="array" ref="F127">_xlfn.XLOOKUP(B127,Stock2!F:F,Stock2!J:J,"")</f>
        <v/>
      </c>
      <c r="G127" s="293">
        <v>10000.0</v>
      </c>
      <c r="H127" s="142">
        <f t="shared" si="10"/>
        <v>17900</v>
      </c>
      <c r="I127" s="384"/>
      <c r="J127" s="385"/>
      <c r="K127" s="385"/>
      <c r="L127" s="144"/>
      <c r="M127" s="145"/>
      <c r="N127" s="344"/>
      <c r="O127" s="388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>
      <c r="A128" s="197" t="s">
        <v>827</v>
      </c>
      <c r="B128" s="242" t="s">
        <v>829</v>
      </c>
      <c r="C128" s="347" t="s">
        <v>223</v>
      </c>
      <c r="D128" s="387">
        <v>23900.0</v>
      </c>
      <c r="E128" s="186" t="str">
        <f t="array" ref="E128">_xlfn.XLOOKUP(B128,Stock1!F:F,Stock1!J:J,"")</f>
        <v/>
      </c>
      <c r="F128" s="186" t="str">
        <f t="array" ref="F128">_xlfn.XLOOKUP(B128,Stock2!F:F,Stock2!J:J,"")</f>
        <v/>
      </c>
      <c r="G128" s="292">
        <v>10000.0</v>
      </c>
      <c r="H128" s="123">
        <f t="shared" si="10"/>
        <v>13900</v>
      </c>
      <c r="I128" s="375"/>
      <c r="J128" s="376"/>
      <c r="K128" s="376"/>
      <c r="L128" s="157"/>
      <c r="M128" s="159"/>
      <c r="N128" s="347"/>
      <c r="O128" s="387"/>
      <c r="P128" s="53"/>
      <c r="Q128" s="53"/>
      <c r="R128" s="53"/>
      <c r="S128" s="53"/>
      <c r="T128" s="53"/>
      <c r="U128" s="53"/>
      <c r="V128" s="53"/>
      <c r="W128" s="53"/>
      <c r="X128" s="53"/>
      <c r="Y128" s="53"/>
    </row>
    <row r="129">
      <c r="A129" s="80"/>
      <c r="B129" s="250" t="s">
        <v>835</v>
      </c>
      <c r="C129" s="344" t="s">
        <v>819</v>
      </c>
      <c r="D129" s="388">
        <v>23900.0</v>
      </c>
      <c r="E129" s="192" t="str">
        <f t="array" ref="E129">_xlfn.XLOOKUP(B129,Stock1!F:F,Stock1!J:J,"")</f>
        <v/>
      </c>
      <c r="F129" s="192" t="str">
        <f t="array" ref="F129">_xlfn.XLOOKUP(B129,Stock2!F:F,Stock2!J:J,"")</f>
        <v/>
      </c>
      <c r="G129" s="293">
        <v>10000.0</v>
      </c>
      <c r="H129" s="142">
        <f t="shared" si="10"/>
        <v>13900</v>
      </c>
      <c r="I129" s="384"/>
      <c r="J129" s="385"/>
      <c r="K129" s="385"/>
      <c r="L129" s="144"/>
      <c r="M129" s="80"/>
      <c r="N129" s="344"/>
      <c r="O129" s="388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>
      <c r="A130" s="197" t="s">
        <v>841</v>
      </c>
      <c r="B130" s="242" t="s">
        <v>842</v>
      </c>
      <c r="C130" s="347" t="s">
        <v>171</v>
      </c>
      <c r="D130" s="387">
        <v>20900.0</v>
      </c>
      <c r="E130" s="186">
        <f t="array" ref="E130">_xlfn.XLOOKUP(B130,Stock1!F:F,Stock1!J:J,"")</f>
        <v>1</v>
      </c>
      <c r="F130" s="186" t="str">
        <f t="array" ref="F130">_xlfn.XLOOKUP(B130,Stock2!F:F,Stock2!J:J,"")</f>
        <v/>
      </c>
      <c r="G130" s="292">
        <v>3000.0</v>
      </c>
      <c r="H130" s="123">
        <f t="shared" si="10"/>
        <v>17900</v>
      </c>
      <c r="I130" s="375"/>
      <c r="J130" s="376"/>
      <c r="K130" s="376"/>
      <c r="L130" s="157"/>
      <c r="M130" s="377" t="s">
        <v>803</v>
      </c>
      <c r="N130" s="400"/>
      <c r="O130" s="402"/>
      <c r="P130" s="53"/>
      <c r="Q130" s="53"/>
      <c r="R130" s="53"/>
      <c r="S130" s="53"/>
      <c r="T130" s="53"/>
      <c r="U130" s="53"/>
      <c r="V130" s="53"/>
      <c r="W130" s="53"/>
      <c r="X130" s="53"/>
      <c r="Y130" s="53"/>
    </row>
    <row r="131">
      <c r="A131" s="80"/>
      <c r="B131" s="250" t="s">
        <v>850</v>
      </c>
      <c r="C131" s="344" t="s">
        <v>223</v>
      </c>
      <c r="D131" s="388">
        <v>20900.0</v>
      </c>
      <c r="E131" s="192" t="str">
        <f t="array" ref="E131">_xlfn.XLOOKUP(B131,Stock1!F:F,Stock1!J:J,"")</f>
        <v/>
      </c>
      <c r="F131" s="192" t="str">
        <f t="array" ref="F131">_xlfn.XLOOKUP(B131,Stock2!F:F,Stock2!J:J,"")</f>
        <v/>
      </c>
      <c r="G131" s="293">
        <v>3000.0</v>
      </c>
      <c r="H131" s="142">
        <f t="shared" si="10"/>
        <v>17900</v>
      </c>
      <c r="I131" s="384"/>
      <c r="J131" s="385"/>
      <c r="K131" s="385"/>
      <c r="L131" s="144"/>
      <c r="M131" s="145"/>
      <c r="N131" s="403"/>
      <c r="O131" s="40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>
      <c r="A132" s="197" t="s">
        <v>857</v>
      </c>
      <c r="B132" s="242" t="s">
        <v>860</v>
      </c>
      <c r="C132" s="347" t="s">
        <v>171</v>
      </c>
      <c r="D132" s="387">
        <v>17900.0</v>
      </c>
      <c r="E132" s="186">
        <f t="array" ref="E132">_xlfn.XLOOKUP(B132,Stock1!F:F,Stock1!J:J,"")</f>
        <v>1</v>
      </c>
      <c r="F132" s="186">
        <f t="array" ref="F132">_xlfn.XLOOKUP(B132,Stock2!F:F,Stock2!J:J,"")</f>
        <v>1</v>
      </c>
      <c r="G132" s="292">
        <v>3000.0</v>
      </c>
      <c r="H132" s="123">
        <f t="shared" si="10"/>
        <v>14900</v>
      </c>
      <c r="I132" s="375"/>
      <c r="J132" s="376"/>
      <c r="K132" s="376"/>
      <c r="L132" s="157"/>
      <c r="M132" s="159"/>
      <c r="N132" s="400"/>
      <c r="O132" s="402"/>
      <c r="P132" s="53"/>
      <c r="Q132" s="53"/>
      <c r="R132" s="53"/>
      <c r="S132" s="53"/>
      <c r="T132" s="53"/>
      <c r="U132" s="53"/>
      <c r="V132" s="53"/>
      <c r="W132" s="53"/>
      <c r="X132" s="53"/>
      <c r="Y132" s="53"/>
    </row>
    <row r="133">
      <c r="A133" s="80"/>
      <c r="B133" s="250" t="s">
        <v>867</v>
      </c>
      <c r="C133" s="344" t="s">
        <v>223</v>
      </c>
      <c r="D133" s="388">
        <v>17900.0</v>
      </c>
      <c r="E133" s="192" t="str">
        <f t="array" ref="E133">_xlfn.XLOOKUP(B133,Stock1!F:F,Stock1!J:J,"")</f>
        <v/>
      </c>
      <c r="F133" s="192">
        <f t="array" ref="F133">_xlfn.XLOOKUP(B133,Stock2!F:F,Stock2!J:J,"")</f>
        <v>1</v>
      </c>
      <c r="G133" s="293">
        <v>3000.0</v>
      </c>
      <c r="H133" s="142">
        <f t="shared" si="10"/>
        <v>14900</v>
      </c>
      <c r="I133" s="384"/>
      <c r="J133" s="385"/>
      <c r="K133" s="385"/>
      <c r="L133" s="144"/>
      <c r="M133" s="80"/>
      <c r="N133" s="403"/>
      <c r="O133" s="40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>
      <c r="A134" s="197" t="s">
        <v>874</v>
      </c>
      <c r="B134" s="242" t="s">
        <v>878</v>
      </c>
      <c r="C134" s="347" t="s">
        <v>223</v>
      </c>
      <c r="D134" s="387">
        <v>15990.0</v>
      </c>
      <c r="E134" s="186">
        <f t="array" ref="E134">_xlfn.XLOOKUP(B134,Stock1!F:F,Stock1!J:J,"")</f>
        <v>2</v>
      </c>
      <c r="F134" s="186" t="str">
        <f t="array" ref="F134">_xlfn.XLOOKUP(B134,Stock2!F:F,Stock2!J:J,"")</f>
        <v/>
      </c>
      <c r="G134" s="405"/>
      <c r="H134" s="123"/>
      <c r="I134" s="375"/>
      <c r="J134" s="376"/>
      <c r="K134" s="376"/>
      <c r="L134" s="157"/>
      <c r="M134" s="377" t="s">
        <v>882</v>
      </c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</row>
    <row r="135">
      <c r="A135" s="145"/>
      <c r="B135" s="250" t="s">
        <v>885</v>
      </c>
      <c r="C135" s="344" t="s">
        <v>223</v>
      </c>
      <c r="D135" s="388">
        <v>15990.0</v>
      </c>
      <c r="E135" s="192">
        <f t="array" ref="E135">_xlfn.XLOOKUP(B135,Stock1!F:F,Stock1!J:J,"")</f>
        <v>1</v>
      </c>
      <c r="F135" s="192">
        <f t="array" ref="F135">_xlfn.XLOOKUP(B135,Stock2!F:F,Stock2!J:J,"")</f>
        <v>2</v>
      </c>
      <c r="G135" s="407"/>
      <c r="H135" s="142"/>
      <c r="I135" s="384"/>
      <c r="J135" s="385"/>
      <c r="K135" s="385"/>
      <c r="L135" s="144"/>
      <c r="M135" s="145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>
      <c r="A136" s="212"/>
      <c r="B136" s="242" t="s">
        <v>890</v>
      </c>
      <c r="C136" s="347" t="s">
        <v>891</v>
      </c>
      <c r="D136" s="387">
        <v>15990.0</v>
      </c>
      <c r="E136" s="186" t="str">
        <f t="array" ref="E136">_xlfn.XLOOKUP(B136,Stock1!F:F,Stock1!J:J,"")</f>
        <v/>
      </c>
      <c r="F136" s="186" t="str">
        <f t="array" ref="F136">_xlfn.XLOOKUP(B136,Stock2!F:F,Stock2!J:J,"")</f>
        <v/>
      </c>
      <c r="G136" s="405"/>
      <c r="H136" s="123"/>
      <c r="I136" s="375"/>
      <c r="J136" s="376"/>
      <c r="K136" s="376"/>
      <c r="L136" s="157"/>
      <c r="M136" s="159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</row>
    <row r="137">
      <c r="A137" s="206" t="s">
        <v>899</v>
      </c>
      <c r="B137" s="250" t="s">
        <v>900</v>
      </c>
      <c r="C137" s="344" t="s">
        <v>223</v>
      </c>
      <c r="D137" s="388">
        <v>11990.0</v>
      </c>
      <c r="E137" s="192" t="str">
        <f t="array" ref="E137">_xlfn.XLOOKUP(B137,Stock1!F:F,Stock1!J:J,"")</f>
        <v/>
      </c>
      <c r="F137" s="192" t="str">
        <f t="array" ref="F137">_xlfn.XLOOKUP(B137,Stock2!F:F,Stock2!J:J,"")</f>
        <v/>
      </c>
      <c r="G137" s="407"/>
      <c r="H137" s="142"/>
      <c r="I137" s="384"/>
      <c r="J137" s="385"/>
      <c r="K137" s="385"/>
      <c r="L137" s="144"/>
      <c r="M137" s="145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>
      <c r="A138" s="159"/>
      <c r="B138" s="242" t="s">
        <v>907</v>
      </c>
      <c r="C138" s="347" t="s">
        <v>223</v>
      </c>
      <c r="D138" s="387">
        <v>11990.0</v>
      </c>
      <c r="E138" s="186">
        <f t="array" ref="E138">_xlfn.XLOOKUP(B138,Stock1!F:F,Stock1!J:J,"")</f>
        <v>8</v>
      </c>
      <c r="F138" s="186">
        <f t="array" ref="F138">_xlfn.XLOOKUP(B138,Stock2!F:F,Stock2!J:J,"")</f>
        <v>11</v>
      </c>
      <c r="G138" s="405"/>
      <c r="H138" s="123"/>
      <c r="I138" s="375"/>
      <c r="J138" s="376"/>
      <c r="K138" s="376"/>
      <c r="L138" s="157"/>
      <c r="M138" s="159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</row>
    <row r="139">
      <c r="A139" s="145"/>
      <c r="B139" s="250" t="s">
        <v>916</v>
      </c>
      <c r="C139" s="344" t="s">
        <v>891</v>
      </c>
      <c r="D139" s="388">
        <v>11990.0</v>
      </c>
      <c r="E139" s="192" t="str">
        <f t="array" ref="E139">_xlfn.XLOOKUP(B139,Stock1!F:F,Stock1!J:J,"")</f>
        <v/>
      </c>
      <c r="F139" s="192" t="str">
        <f t="array" ref="F139">_xlfn.XLOOKUP(B139,Stock2!F:F,Stock2!J:J,"")</f>
        <v/>
      </c>
      <c r="G139" s="407"/>
      <c r="H139" s="142"/>
      <c r="I139" s="384"/>
      <c r="J139" s="385"/>
      <c r="K139" s="385"/>
      <c r="L139" s="144"/>
      <c r="M139" s="80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>
      <c r="A140" s="212"/>
      <c r="B140" s="242" t="s">
        <v>922</v>
      </c>
      <c r="C140" s="347" t="s">
        <v>891</v>
      </c>
      <c r="D140" s="387">
        <v>11990.0</v>
      </c>
      <c r="E140" s="186">
        <f t="array" ref="E140">_xlfn.XLOOKUP(B140,Stock1!F:F,Stock1!J:J,"")</f>
        <v>1</v>
      </c>
      <c r="F140" s="186" t="str">
        <f t="array" ref="F140">_xlfn.XLOOKUP(B140,Stock2!F:F,Stock2!J:J,"")</f>
        <v/>
      </c>
      <c r="G140" s="405"/>
      <c r="H140" s="123"/>
      <c r="I140" s="375"/>
      <c r="J140" s="376"/>
      <c r="K140" s="376"/>
      <c r="L140" s="157"/>
      <c r="M140" s="408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</row>
    <row r="141">
      <c r="A141" s="206" t="s">
        <v>928</v>
      </c>
      <c r="B141" s="250" t="s">
        <v>930</v>
      </c>
      <c r="C141" s="344" t="s">
        <v>223</v>
      </c>
      <c r="D141" s="388">
        <v>11990.0</v>
      </c>
      <c r="E141" s="192" t="str">
        <f t="array" ref="E141">_xlfn.XLOOKUP(B141,Stock1!F:F,Stock1!J:J,"")</f>
        <v/>
      </c>
      <c r="F141" s="192" t="str">
        <f t="array" ref="F141">_xlfn.XLOOKUP(B141,Stock2!F:F,Stock2!J:J,"")</f>
        <v/>
      </c>
      <c r="G141" s="407">
        <v>3000.0</v>
      </c>
      <c r="H141" s="142">
        <f t="shared" ref="H141:H148" si="11">D141-G141</f>
        <v>8990</v>
      </c>
      <c r="I141" s="384"/>
      <c r="J141" s="385"/>
      <c r="K141" s="385"/>
      <c r="L141" s="144"/>
      <c r="M141" s="409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>
      <c r="A142" s="212"/>
      <c r="B142" s="242" t="s">
        <v>942</v>
      </c>
      <c r="C142" s="347" t="s">
        <v>819</v>
      </c>
      <c r="D142" s="387">
        <v>11990.0</v>
      </c>
      <c r="E142" s="186" t="str">
        <f t="array" ref="E142">_xlfn.XLOOKUP(B142,Stock1!F:F,Stock1!J:J,"")</f>
        <v/>
      </c>
      <c r="F142" s="186" t="str">
        <f t="array" ref="F142">_xlfn.XLOOKUP(B142,Stock2!F:F,Stock2!J:J,"")</f>
        <v/>
      </c>
      <c r="G142" s="405">
        <v>3000.0</v>
      </c>
      <c r="H142" s="123">
        <f t="shared" si="11"/>
        <v>8990</v>
      </c>
      <c r="I142" s="375"/>
      <c r="J142" s="376"/>
      <c r="K142" s="376"/>
      <c r="L142" s="157"/>
      <c r="M142" s="212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</row>
    <row r="143">
      <c r="A143" s="206" t="s">
        <v>948</v>
      </c>
      <c r="B143" s="250" t="s">
        <v>951</v>
      </c>
      <c r="C143" s="344" t="s">
        <v>769</v>
      </c>
      <c r="D143" s="388">
        <v>9990.0</v>
      </c>
      <c r="E143" s="192" t="str">
        <f t="array" ref="E143">_xlfn.XLOOKUP(B143,Stock1!F:F,Stock1!J:J,"")</f>
        <v/>
      </c>
      <c r="F143" s="192" t="str">
        <f t="array" ref="F143">_xlfn.XLOOKUP(B143,Stock2!F:F,Stock2!J:J,"")</f>
        <v/>
      </c>
      <c r="G143" s="257">
        <v>2000.0</v>
      </c>
      <c r="H143" s="142">
        <f t="shared" si="11"/>
        <v>7990</v>
      </c>
      <c r="I143" s="384"/>
      <c r="J143" s="385"/>
      <c r="K143" s="385"/>
      <c r="L143" s="144"/>
      <c r="M143" s="410" t="s">
        <v>956</v>
      </c>
      <c r="N143" s="344"/>
      <c r="O143" s="388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>
      <c r="A144" s="212"/>
      <c r="B144" s="242" t="s">
        <v>961</v>
      </c>
      <c r="C144" s="347" t="s">
        <v>962</v>
      </c>
      <c r="D144" s="387">
        <v>9990.0</v>
      </c>
      <c r="E144" s="186" t="str">
        <f t="array" ref="E144">_xlfn.XLOOKUP(B144,Stock1!F:F,Stock1!J:J,"")</f>
        <v/>
      </c>
      <c r="F144" s="186" t="str">
        <f t="array" ref="F144">_xlfn.XLOOKUP(B144,Stock2!F:F,Stock2!J:J,"")</f>
        <v/>
      </c>
      <c r="G144" s="246">
        <v>2000.0</v>
      </c>
      <c r="H144" s="123">
        <f t="shared" si="11"/>
        <v>7990</v>
      </c>
      <c r="I144" s="375"/>
      <c r="J144" s="376"/>
      <c r="K144" s="376"/>
      <c r="L144" s="157"/>
      <c r="M144" s="159"/>
      <c r="N144" s="347"/>
      <c r="O144" s="387"/>
      <c r="P144" s="53"/>
      <c r="Q144" s="53"/>
      <c r="R144" s="53"/>
      <c r="S144" s="53"/>
      <c r="T144" s="53"/>
      <c r="U144" s="53"/>
      <c r="V144" s="53"/>
      <c r="W144" s="53"/>
      <c r="X144" s="53"/>
      <c r="Y144" s="53"/>
    </row>
    <row r="145">
      <c r="A145" s="206" t="s">
        <v>969</v>
      </c>
      <c r="B145" s="250" t="s">
        <v>970</v>
      </c>
      <c r="C145" s="344" t="s">
        <v>769</v>
      </c>
      <c r="D145" s="388">
        <v>6590.0</v>
      </c>
      <c r="E145" s="192" t="str">
        <f t="array" ref="E145">_xlfn.XLOOKUP(B145,Stock1!F:F,Stock1!J:J,"")</f>
        <v/>
      </c>
      <c r="F145" s="192" t="str">
        <f t="array" ref="F145">_xlfn.XLOOKUP(B145,Stock2!F:F,Stock2!J:J,"")</f>
        <v/>
      </c>
      <c r="G145" s="257">
        <v>2000.0</v>
      </c>
      <c r="H145" s="142">
        <f t="shared" si="11"/>
        <v>4590</v>
      </c>
      <c r="I145" s="384"/>
      <c r="J145" s="385"/>
      <c r="K145" s="385"/>
      <c r="L145" s="144"/>
      <c r="M145" s="145"/>
      <c r="N145" s="344"/>
      <c r="O145" s="388" t="s">
        <v>0</v>
      </c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>
      <c r="A146" s="212"/>
      <c r="B146" s="242"/>
      <c r="C146" s="347" t="s">
        <v>962</v>
      </c>
      <c r="D146" s="387">
        <v>6590.0</v>
      </c>
      <c r="E146" s="186" t="str">
        <f t="array" ref="E146">_xlfn.XLOOKUP(B146,Stock1!F:F,Stock1!J:J,"")</f>
        <v/>
      </c>
      <c r="F146" s="186" t="str">
        <f t="array" ref="F146">_xlfn.XLOOKUP(B146,Stock2!F:F,Stock2!J:J,"")</f>
        <v/>
      </c>
      <c r="G146" s="246">
        <v>2000.0</v>
      </c>
      <c r="H146" s="123">
        <f t="shared" si="11"/>
        <v>4590</v>
      </c>
      <c r="I146" s="375"/>
      <c r="J146" s="376"/>
      <c r="K146" s="376"/>
      <c r="L146" s="157"/>
      <c r="M146" s="159"/>
      <c r="N146" s="347"/>
      <c r="O146" s="387"/>
      <c r="P146" s="53"/>
      <c r="Q146" s="53"/>
      <c r="R146" s="53"/>
      <c r="S146" s="53"/>
      <c r="T146" s="53"/>
      <c r="U146" s="53"/>
      <c r="V146" s="53"/>
      <c r="W146" s="53"/>
      <c r="X146" s="53"/>
      <c r="Y146" s="53"/>
    </row>
    <row r="147">
      <c r="A147" s="206" t="s">
        <v>985</v>
      </c>
      <c r="B147" s="250" t="s">
        <v>986</v>
      </c>
      <c r="C147" s="344" t="s">
        <v>769</v>
      </c>
      <c r="D147" s="388">
        <v>7990.0</v>
      </c>
      <c r="E147" s="192" t="str">
        <f t="array" ref="E147">_xlfn.XLOOKUP(B147,Stock1!F:F,Stock1!J:J,"")</f>
        <v/>
      </c>
      <c r="F147" s="192" t="str">
        <f t="array" ref="F147">_xlfn.XLOOKUP(B147,Stock2!F:F,Stock2!J:J,"")</f>
        <v/>
      </c>
      <c r="G147" s="257">
        <v>2000.0</v>
      </c>
      <c r="H147" s="142">
        <f t="shared" si="11"/>
        <v>5990</v>
      </c>
      <c r="I147" s="384"/>
      <c r="J147" s="385"/>
      <c r="K147" s="385"/>
      <c r="L147" s="144"/>
      <c r="M147" s="145"/>
      <c r="N147" s="344"/>
      <c r="O147" s="388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>
      <c r="A148" s="212"/>
      <c r="B148" s="242" t="s">
        <v>994</v>
      </c>
      <c r="C148" s="347" t="s">
        <v>962</v>
      </c>
      <c r="D148" s="387">
        <v>7990.0</v>
      </c>
      <c r="E148" s="186" t="str">
        <f t="array" ref="E148">_xlfn.XLOOKUP(B148,Stock1!F:F,Stock1!J:J,"")</f>
        <v/>
      </c>
      <c r="F148" s="186" t="str">
        <f t="array" ref="F148">_xlfn.XLOOKUP(B148,Stock2!F:F,Stock2!J:J,"")</f>
        <v/>
      </c>
      <c r="G148" s="246">
        <v>2000.0</v>
      </c>
      <c r="H148" s="123">
        <f t="shared" si="11"/>
        <v>5990</v>
      </c>
      <c r="I148" s="375"/>
      <c r="J148" s="376"/>
      <c r="K148" s="376"/>
      <c r="L148" s="157"/>
      <c r="M148" s="159"/>
      <c r="N148" s="347"/>
      <c r="O148" s="387"/>
      <c r="P148" s="53"/>
      <c r="Q148" s="53"/>
      <c r="R148" s="53"/>
      <c r="S148" s="53"/>
      <c r="T148" s="53"/>
      <c r="U148" s="53"/>
      <c r="V148" s="53"/>
      <c r="W148" s="53"/>
      <c r="X148" s="53"/>
      <c r="Y148" s="53"/>
    </row>
    <row r="149">
      <c r="A149" s="378" t="s">
        <v>1001</v>
      </c>
      <c r="B149" s="411" t="s">
        <v>1002</v>
      </c>
      <c r="C149" s="378" t="s">
        <v>223</v>
      </c>
      <c r="D149" s="412">
        <v>6990.0</v>
      </c>
      <c r="E149" s="192">
        <f t="array" ref="E149">_xlfn.XLOOKUP(B149,Stock1!F:F,Stock1!J:J,"")</f>
        <v>8</v>
      </c>
      <c r="F149" s="192">
        <f t="array" ref="F149">_xlfn.XLOOKUP(B149,Stock2!F:F,Stock2!J:J,"")</f>
        <v>10</v>
      </c>
      <c r="G149" s="257"/>
      <c r="H149" s="142"/>
      <c r="I149" s="384"/>
      <c r="J149" s="385"/>
      <c r="K149" s="385"/>
      <c r="L149" s="144"/>
      <c r="M149" s="145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>
      <c r="A150" s="204" t="s">
        <v>1010</v>
      </c>
      <c r="B150" s="413" t="s">
        <v>1011</v>
      </c>
      <c r="C150" s="204" t="s">
        <v>251</v>
      </c>
      <c r="D150" s="414">
        <v>6990.0</v>
      </c>
      <c r="E150" s="186" t="str">
        <f t="array" ref="E150">_xlfn.XLOOKUP(B150,Stock1!F:F,Stock1!J:J,"")</f>
        <v/>
      </c>
      <c r="F150" s="186" t="str">
        <f t="array" ref="F150">_xlfn.XLOOKUP(B150,Stock2!F:F,Stock2!J:J,"")</f>
        <v/>
      </c>
      <c r="G150" s="246">
        <v>2500.0</v>
      </c>
      <c r="H150" s="123">
        <f>D150-G150</f>
        <v>4490</v>
      </c>
      <c r="I150" s="375"/>
      <c r="J150" s="376"/>
      <c r="K150" s="376"/>
      <c r="L150" s="157"/>
      <c r="M150" s="159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</row>
    <row r="151">
      <c r="A151" s="378" t="s">
        <v>1021</v>
      </c>
      <c r="B151" s="415" t="s">
        <v>1022</v>
      </c>
      <c r="C151" s="416" t="s">
        <v>251</v>
      </c>
      <c r="D151" s="418">
        <v>6990.0</v>
      </c>
      <c r="E151" s="192" t="str">
        <f t="array" ref="E151">_xlfn.XLOOKUP(B151,Stock1!F:F,Stock1!J:J,"")</f>
        <v/>
      </c>
      <c r="F151" s="192" t="str">
        <f t="array" ref="F151">_xlfn.XLOOKUP(B151,Stock2!F:F,Stock2!J:J,"")</f>
        <v/>
      </c>
      <c r="G151" s="257"/>
      <c r="H151" s="142"/>
      <c r="I151" s="384"/>
      <c r="J151" s="385"/>
      <c r="K151" s="385"/>
      <c r="L151" s="385"/>
      <c r="M151" s="80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>
      <c r="A152" s="419" t="s">
        <v>1030</v>
      </c>
      <c r="B152" s="420"/>
      <c r="C152" s="420"/>
      <c r="D152" s="420"/>
      <c r="E152" s="420"/>
      <c r="F152" s="420"/>
      <c r="G152" s="420"/>
      <c r="H152" s="420"/>
      <c r="I152" s="420"/>
      <c r="J152" s="420"/>
      <c r="K152" s="420"/>
      <c r="L152" s="420"/>
      <c r="M152" s="421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</row>
    <row r="153">
      <c r="A153" s="422" t="s">
        <v>1036</v>
      </c>
      <c r="B153" s="423" t="s">
        <v>1037</v>
      </c>
      <c r="C153" s="344" t="s">
        <v>251</v>
      </c>
      <c r="D153" s="140">
        <v>1490.0</v>
      </c>
      <c r="E153" s="192">
        <f t="array" ref="E153">_xlfn.XLOOKUP(B153,Stock1!F:F,Stock1!J:J,"")</f>
        <v>8</v>
      </c>
      <c r="F153" s="140">
        <f t="array" ref="F153">_xlfn.XLOOKUP(B153,Stock2!F:F,Stock2!J:J,"")</f>
        <v>8</v>
      </c>
      <c r="G153" s="293"/>
      <c r="H153" s="424"/>
      <c r="I153" s="144"/>
      <c r="J153" s="293"/>
      <c r="K153" s="144"/>
      <c r="L153" s="144"/>
      <c r="M153" s="425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>
      <c r="A154" s="212"/>
      <c r="B154" s="426" t="s">
        <v>1046</v>
      </c>
      <c r="C154" s="347" t="s">
        <v>586</v>
      </c>
      <c r="D154" s="121">
        <v>1490.0</v>
      </c>
      <c r="E154" s="186">
        <f t="array" ref="E154">_xlfn.XLOOKUP(B154,Stock1!F:F,Stock1!J:J,"")</f>
        <v>6</v>
      </c>
      <c r="F154" s="121">
        <f t="array" ref="F154">_xlfn.XLOOKUP(B154,Stock2!F:F,Stock2!J:J,"")</f>
        <v>6</v>
      </c>
      <c r="G154" s="292"/>
      <c r="H154" s="427"/>
      <c r="I154" s="157"/>
      <c r="J154" s="292"/>
      <c r="K154" s="157"/>
      <c r="L154" s="157"/>
      <c r="M154" s="159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</row>
    <row r="155">
      <c r="A155" s="422" t="s">
        <v>1053</v>
      </c>
      <c r="B155" s="423" t="s">
        <v>1054</v>
      </c>
      <c r="C155" s="344" t="s">
        <v>82</v>
      </c>
      <c r="D155" s="140">
        <v>4290.0</v>
      </c>
      <c r="E155" s="192">
        <f t="array" ref="E155">_xlfn.XLOOKUP(B155,Stock1!F:F,Stock1!J:J,"")</f>
        <v>2</v>
      </c>
      <c r="F155" s="140">
        <f t="array" ref="F155">_xlfn.XLOOKUP(B155,Stock2!F:F,Stock2!J:J,"")</f>
        <v>3</v>
      </c>
      <c r="G155" s="293" t="s">
        <v>1060</v>
      </c>
      <c r="H155" s="424">
        <f t="shared" ref="H155:H160" si="12">D155-(D155*0.3)</f>
        <v>3003</v>
      </c>
      <c r="I155" s="144"/>
      <c r="J155" s="428"/>
      <c r="K155" s="144"/>
      <c r="L155" s="144"/>
      <c r="M155" s="145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>
      <c r="A156" s="212"/>
      <c r="B156" s="426" t="s">
        <v>1064</v>
      </c>
      <c r="C156" s="347" t="s">
        <v>223</v>
      </c>
      <c r="D156" s="121">
        <v>4290.0</v>
      </c>
      <c r="E156" s="186" t="str">
        <f t="array" ref="E156">_xlfn.XLOOKUP(B156,Stock1!F:F,Stock1!J:J,"")</f>
        <v/>
      </c>
      <c r="F156" s="121">
        <f t="array" ref="F156">_xlfn.XLOOKUP(B156,Stock2!F:F,Stock2!J:J,"")</f>
        <v>1</v>
      </c>
      <c r="G156" s="292" t="s">
        <v>1060</v>
      </c>
      <c r="H156" s="427">
        <f t="shared" si="12"/>
        <v>3003</v>
      </c>
      <c r="I156" s="157"/>
      <c r="J156" s="430"/>
      <c r="K156" s="157"/>
      <c r="L156" s="157"/>
      <c r="M156" s="159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</row>
    <row r="157">
      <c r="A157" s="422" t="s">
        <v>1066</v>
      </c>
      <c r="B157" s="423" t="s">
        <v>1067</v>
      </c>
      <c r="C157" s="344" t="s">
        <v>769</v>
      </c>
      <c r="D157" s="140">
        <v>5490.0</v>
      </c>
      <c r="E157" s="192" t="str">
        <f t="array" ref="E157">_xlfn.XLOOKUP(B157,Stock1!F:F,Stock1!J:J,"")</f>
        <v/>
      </c>
      <c r="F157" s="140" t="str">
        <f t="array" ref="F157">_xlfn.XLOOKUP(B157,Stock2!F:F,Stock2!J:J,"")</f>
        <v/>
      </c>
      <c r="G157" s="293" t="s">
        <v>1060</v>
      </c>
      <c r="H157" s="424">
        <f t="shared" si="12"/>
        <v>3843</v>
      </c>
      <c r="I157" s="144"/>
      <c r="J157" s="428"/>
      <c r="K157" s="144"/>
      <c r="L157" s="144"/>
      <c r="M157" s="145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>
      <c r="A158" s="212"/>
      <c r="B158" s="426" t="s">
        <v>1069</v>
      </c>
      <c r="C158" s="347" t="s">
        <v>586</v>
      </c>
      <c r="D158" s="121">
        <v>5490.0</v>
      </c>
      <c r="E158" s="186" t="str">
        <f t="array" ref="E158">_xlfn.XLOOKUP(B158,Stock1!F:F,Stock1!J:J,"")</f>
        <v/>
      </c>
      <c r="F158" s="121" t="str">
        <f t="array" ref="F158">_xlfn.XLOOKUP(B158,Stock2!F:F,Stock2!J:J,"")</f>
        <v/>
      </c>
      <c r="G158" s="292" t="s">
        <v>1060</v>
      </c>
      <c r="H158" s="427">
        <f t="shared" si="12"/>
        <v>3843</v>
      </c>
      <c r="I158" s="157"/>
      <c r="J158" s="430"/>
      <c r="K158" s="157"/>
      <c r="L158" s="157"/>
      <c r="M158" s="159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</row>
    <row r="159">
      <c r="A159" s="422" t="s">
        <v>1070</v>
      </c>
      <c r="B159" s="423" t="s">
        <v>1071</v>
      </c>
      <c r="C159" s="344" t="s">
        <v>769</v>
      </c>
      <c r="D159" s="140">
        <v>7490.0</v>
      </c>
      <c r="E159" s="192" t="str">
        <f t="array" ref="E159">_xlfn.XLOOKUP(B159,Stock1!F:F,Stock1!J:J,"")</f>
        <v/>
      </c>
      <c r="F159" s="140" t="str">
        <f t="array" ref="F159">_xlfn.XLOOKUP(B159,Stock2!F:F,Stock2!J:J,"")</f>
        <v/>
      </c>
      <c r="G159" s="293" t="s">
        <v>1060</v>
      </c>
      <c r="H159" s="424">
        <f t="shared" si="12"/>
        <v>5243</v>
      </c>
      <c r="I159" s="144"/>
      <c r="J159" s="428"/>
      <c r="K159" s="144"/>
      <c r="L159" s="144"/>
      <c r="M159" s="145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>
      <c r="A160" s="212"/>
      <c r="B160" s="426" t="s">
        <v>1072</v>
      </c>
      <c r="C160" s="347" t="s">
        <v>586</v>
      </c>
      <c r="D160" s="121">
        <v>7490.0</v>
      </c>
      <c r="E160" s="186" t="str">
        <f t="array" ref="E160">_xlfn.XLOOKUP(B160,Stock1!F:F,Stock1!J:J,"")</f>
        <v/>
      </c>
      <c r="F160" s="121" t="str">
        <f t="array" ref="F160">_xlfn.XLOOKUP(B160,Stock2!F:F,Stock2!J:J,"")</f>
        <v/>
      </c>
      <c r="G160" s="292" t="s">
        <v>1060</v>
      </c>
      <c r="H160" s="427">
        <f t="shared" si="12"/>
        <v>5243</v>
      </c>
      <c r="I160" s="157"/>
      <c r="J160" s="430"/>
      <c r="K160" s="157"/>
      <c r="L160" s="157"/>
      <c r="M160" s="159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</row>
    <row r="161">
      <c r="A161" s="422" t="s">
        <v>1073</v>
      </c>
      <c r="B161" s="423" t="s">
        <v>1074</v>
      </c>
      <c r="C161" s="344" t="s">
        <v>1075</v>
      </c>
      <c r="D161" s="140">
        <v>1990.0</v>
      </c>
      <c r="E161" s="192" t="str">
        <f t="array" ref="E161">_xlfn.XLOOKUP(B161,Stock1!F:F,Stock1!J:J,"")</f>
        <v/>
      </c>
      <c r="F161" s="140" t="str">
        <f t="array" ref="F161">_xlfn.XLOOKUP(B161,Stock2!F:F,Stock2!J:J,"")</f>
        <v/>
      </c>
      <c r="G161" s="441">
        <v>500.0</v>
      </c>
      <c r="H161" s="424">
        <f t="shared" ref="H161:H169" si="13">D161-G161</f>
        <v>1490</v>
      </c>
      <c r="I161" s="144"/>
      <c r="J161" s="144"/>
      <c r="K161" s="144"/>
      <c r="L161" s="144"/>
      <c r="M161" s="145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>
      <c r="A162" s="159"/>
      <c r="B162" s="426" t="s">
        <v>1076</v>
      </c>
      <c r="C162" s="347" t="s">
        <v>223</v>
      </c>
      <c r="D162" s="121">
        <v>1990.0</v>
      </c>
      <c r="E162" s="186" t="str">
        <f t="array" ref="E162">_xlfn.XLOOKUP(B162,Stock1!F:F,Stock1!J:J,"")</f>
        <v/>
      </c>
      <c r="F162" s="121" t="str">
        <f t="array" ref="F162">_xlfn.XLOOKUP(B162,Stock2!F:F,Stock2!J:J,"")</f>
        <v/>
      </c>
      <c r="G162" s="448">
        <v>500.0</v>
      </c>
      <c r="H162" s="427">
        <f t="shared" si="13"/>
        <v>1490</v>
      </c>
      <c r="I162" s="157"/>
      <c r="J162" s="157"/>
      <c r="K162" s="157"/>
      <c r="L162" s="157"/>
      <c r="M162" s="159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</row>
    <row r="163">
      <c r="A163" s="145"/>
      <c r="B163" s="423" t="s">
        <v>1077</v>
      </c>
      <c r="C163" s="344" t="s">
        <v>769</v>
      </c>
      <c r="D163" s="140">
        <v>1990.0</v>
      </c>
      <c r="E163" s="192" t="str">
        <f t="array" ref="E163">_xlfn.XLOOKUP(B163,Stock1!F:F,Stock1!J:J,"")</f>
        <v/>
      </c>
      <c r="F163" s="140" t="str">
        <f t="array" ref="F163">_xlfn.XLOOKUP(B163,Stock2!F:F,Stock2!J:J,"")</f>
        <v/>
      </c>
      <c r="G163" s="441">
        <v>500.0</v>
      </c>
      <c r="H163" s="424">
        <f t="shared" si="13"/>
        <v>1490</v>
      </c>
      <c r="I163" s="144"/>
      <c r="J163" s="144"/>
      <c r="K163" s="144"/>
      <c r="L163" s="144"/>
      <c r="M163" s="145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>
      <c r="A164" s="159"/>
      <c r="B164" s="426" t="s">
        <v>1080</v>
      </c>
      <c r="C164" s="347" t="s">
        <v>1075</v>
      </c>
      <c r="D164" s="121">
        <v>1990.0</v>
      </c>
      <c r="E164" s="186">
        <f t="array" ref="E164">_xlfn.XLOOKUP(B164,Stock1!F:F,Stock1!J:J,"")</f>
        <v>2</v>
      </c>
      <c r="F164" s="121">
        <f t="array" ref="F164">_xlfn.XLOOKUP(B164,Stock2!F:F,Stock2!J:J,"")</f>
        <v>3</v>
      </c>
      <c r="G164" s="448">
        <v>500.0</v>
      </c>
      <c r="H164" s="427">
        <f t="shared" si="13"/>
        <v>1490</v>
      </c>
      <c r="I164" s="157"/>
      <c r="J164" s="157"/>
      <c r="K164" s="157"/>
      <c r="L164" s="157"/>
      <c r="M164" s="159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</row>
    <row r="165">
      <c r="A165" s="145"/>
      <c r="B165" s="423" t="s">
        <v>1081</v>
      </c>
      <c r="C165" s="344" t="s">
        <v>223</v>
      </c>
      <c r="D165" s="140">
        <v>1990.0</v>
      </c>
      <c r="E165" s="192">
        <f t="array" ref="E165">_xlfn.XLOOKUP(B165,Stock1!F:F,Stock1!J:J,"")</f>
        <v>2</v>
      </c>
      <c r="F165" s="140">
        <f t="array" ref="F165">_xlfn.XLOOKUP(B165,Stock2!F:F,Stock2!J:J,"")</f>
        <v>1</v>
      </c>
      <c r="G165" s="441">
        <v>500.0</v>
      </c>
      <c r="H165" s="424">
        <f t="shared" si="13"/>
        <v>1490</v>
      </c>
      <c r="I165" s="144"/>
      <c r="J165" s="144"/>
      <c r="K165" s="144"/>
      <c r="L165" s="144"/>
      <c r="M165" s="145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>
      <c r="A166" s="212"/>
      <c r="B166" s="426" t="s">
        <v>1082</v>
      </c>
      <c r="C166" s="347" t="s">
        <v>769</v>
      </c>
      <c r="D166" s="121">
        <v>1990.0</v>
      </c>
      <c r="E166" s="186">
        <f t="array" ref="E166">_xlfn.XLOOKUP(B166,Stock1!F:F,Stock1!J:J,"")</f>
        <v>3</v>
      </c>
      <c r="F166" s="121">
        <f t="array" ref="F166">_xlfn.XLOOKUP(B166,Stock2!F:F,Stock2!J:J,"")</f>
        <v>1</v>
      </c>
      <c r="G166" s="448">
        <v>500.0</v>
      </c>
      <c r="H166" s="427">
        <f t="shared" si="13"/>
        <v>1490</v>
      </c>
      <c r="I166" s="157"/>
      <c r="J166" s="157"/>
      <c r="K166" s="157"/>
      <c r="L166" s="157"/>
      <c r="M166" s="159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</row>
    <row r="167">
      <c r="A167" s="206" t="s">
        <v>1083</v>
      </c>
      <c r="B167" s="423" t="s">
        <v>1084</v>
      </c>
      <c r="C167" s="344" t="s">
        <v>1085</v>
      </c>
      <c r="D167" s="254">
        <v>10900.0</v>
      </c>
      <c r="E167" s="192" t="str">
        <f t="array" ref="E167">_xlfn.XLOOKUP(B167,Stock1!F:F,Stock1!J:J,"")</f>
        <v/>
      </c>
      <c r="F167" s="140" t="str">
        <f t="array" ref="F167">_xlfn.XLOOKUP(B167,Stock2!F:F,Stock2!J:J,"")</f>
        <v/>
      </c>
      <c r="G167" s="293">
        <v>4910.0</v>
      </c>
      <c r="H167" s="424">
        <f t="shared" si="13"/>
        <v>5990</v>
      </c>
      <c r="I167" s="144"/>
      <c r="J167" s="144"/>
      <c r="K167" s="144"/>
      <c r="L167" s="144"/>
      <c r="M167" s="145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>
      <c r="A168" s="212"/>
      <c r="B168" s="426" t="s">
        <v>1086</v>
      </c>
      <c r="C168" s="347" t="s">
        <v>717</v>
      </c>
      <c r="D168" s="244">
        <v>10900.0</v>
      </c>
      <c r="E168" s="186" t="str">
        <f t="array" ref="E168">_xlfn.XLOOKUP(B168,Stock1!F:F,Stock1!J:J,"")</f>
        <v/>
      </c>
      <c r="F168" s="121" t="str">
        <f t="array" ref="F168">_xlfn.XLOOKUP(B168,Stock2!F:F,Stock2!J:J,"")</f>
        <v/>
      </c>
      <c r="G168" s="292">
        <v>4910.0</v>
      </c>
      <c r="H168" s="427">
        <f t="shared" si="13"/>
        <v>5990</v>
      </c>
      <c r="I168" s="157"/>
      <c r="J168" s="157"/>
      <c r="K168" s="157"/>
      <c r="L168" s="157"/>
      <c r="M168" s="159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</row>
    <row r="169">
      <c r="A169" s="378" t="s">
        <v>1087</v>
      </c>
      <c r="B169" s="423" t="s">
        <v>1088</v>
      </c>
      <c r="C169" s="344" t="s">
        <v>1085</v>
      </c>
      <c r="D169" s="254">
        <v>12900.0</v>
      </c>
      <c r="E169" s="192" t="str">
        <f t="array" ref="E169">_xlfn.XLOOKUP(B169,Stock1!F:F,Stock1!J:J,"")</f>
        <v/>
      </c>
      <c r="F169" s="140" t="str">
        <f t="array" ref="F169">_xlfn.XLOOKUP(B169,Stock2!F:F,Stock2!J:J,"")</f>
        <v/>
      </c>
      <c r="G169" s="293">
        <v>5910.0</v>
      </c>
      <c r="H169" s="424">
        <f t="shared" si="13"/>
        <v>6990</v>
      </c>
      <c r="I169" s="144"/>
      <c r="J169" s="144"/>
      <c r="K169" s="144"/>
      <c r="L169" s="144"/>
      <c r="M169" s="145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>
      <c r="A170" s="197" t="s">
        <v>1089</v>
      </c>
      <c r="B170" s="426" t="s">
        <v>1090</v>
      </c>
      <c r="C170" s="347" t="s">
        <v>251</v>
      </c>
      <c r="D170" s="244">
        <v>11900.0</v>
      </c>
      <c r="E170" s="186" t="str">
        <f t="array" ref="E170">_xlfn.XLOOKUP(B170,Stock1!F:F,Stock1!J:J,"")</f>
        <v/>
      </c>
      <c r="F170" s="121">
        <f t="array" ref="F170">_xlfn.XLOOKUP(B170,Stock2!F:F,Stock2!J:J,"")</f>
        <v>1</v>
      </c>
      <c r="G170" s="292" t="s">
        <v>1060</v>
      </c>
      <c r="H170" s="427">
        <f t="shared" ref="H170:H175" si="14">D170-(D170*0.3)</f>
        <v>8330</v>
      </c>
      <c r="I170" s="125" t="s">
        <v>1092</v>
      </c>
      <c r="J170" s="292" t="s">
        <v>1093</v>
      </c>
      <c r="K170" s="376">
        <f t="shared" ref="K170:K175" si="15">D170-(D170*0.35)</f>
        <v>7735</v>
      </c>
      <c r="L170" s="360" t="s">
        <v>1094</v>
      </c>
      <c r="M170" s="159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</row>
    <row r="171">
      <c r="A171" s="80"/>
      <c r="B171" s="423" t="s">
        <v>1095</v>
      </c>
      <c r="C171" s="344" t="s">
        <v>769</v>
      </c>
      <c r="D171" s="254">
        <v>11900.0</v>
      </c>
      <c r="E171" s="192">
        <f t="array" ref="E171">_xlfn.XLOOKUP(B171,Stock1!F:F,Stock1!J:J,"")</f>
        <v>2</v>
      </c>
      <c r="F171" s="140">
        <f t="array" ref="F171">_xlfn.XLOOKUP(B171,Stock2!F:F,Stock2!J:J,"")</f>
        <v>1</v>
      </c>
      <c r="G171" s="293" t="s">
        <v>1060</v>
      </c>
      <c r="H171" s="424">
        <f t="shared" si="14"/>
        <v>8330</v>
      </c>
      <c r="I171" s="144"/>
      <c r="J171" s="293" t="s">
        <v>1093</v>
      </c>
      <c r="K171" s="385">
        <f t="shared" si="15"/>
        <v>7735</v>
      </c>
      <c r="L171" s="354"/>
      <c r="M171" s="145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>
      <c r="A172" s="204" t="s">
        <v>1096</v>
      </c>
      <c r="B172" s="426" t="s">
        <v>1097</v>
      </c>
      <c r="C172" s="347" t="s">
        <v>251</v>
      </c>
      <c r="D172" s="244">
        <v>13900.0</v>
      </c>
      <c r="E172" s="186" t="str">
        <f t="array" ref="E172">_xlfn.XLOOKUP(B172,Stock1!F:F,Stock1!J:J,"")</f>
        <v/>
      </c>
      <c r="F172" s="121" t="str">
        <f t="array" ref="F172">_xlfn.XLOOKUP(B172,Stock2!F:F,Stock2!J:J,"")</f>
        <v/>
      </c>
      <c r="G172" s="292" t="s">
        <v>1060</v>
      </c>
      <c r="H172" s="427">
        <f t="shared" si="14"/>
        <v>9730</v>
      </c>
      <c r="I172" s="157"/>
      <c r="J172" s="292" t="s">
        <v>1093</v>
      </c>
      <c r="K172" s="376">
        <f t="shared" si="15"/>
        <v>9035</v>
      </c>
      <c r="L172" s="350"/>
      <c r="M172" s="159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</row>
    <row r="173">
      <c r="A173" s="378" t="s">
        <v>1098</v>
      </c>
      <c r="B173" s="423" t="s">
        <v>1099</v>
      </c>
      <c r="C173" s="344" t="s">
        <v>82</v>
      </c>
      <c r="D173" s="254">
        <v>17900.0</v>
      </c>
      <c r="E173" s="192">
        <f t="array" ref="E173">_xlfn.XLOOKUP(B173,Stock1!F:F,Stock1!J:J,"")</f>
        <v>1</v>
      </c>
      <c r="F173" s="140">
        <f t="array" ref="F173">_xlfn.XLOOKUP(B173,Stock2!F:F,Stock2!J:J,"")</f>
        <v>1</v>
      </c>
      <c r="G173" s="293" t="s">
        <v>1060</v>
      </c>
      <c r="H173" s="424">
        <f t="shared" si="14"/>
        <v>12530</v>
      </c>
      <c r="I173" s="144"/>
      <c r="J173" s="293" t="s">
        <v>1093</v>
      </c>
      <c r="K173" s="385">
        <f t="shared" si="15"/>
        <v>11635</v>
      </c>
      <c r="L173" s="354"/>
      <c r="M173" s="145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>
      <c r="A174" s="204" t="s">
        <v>1098</v>
      </c>
      <c r="B174" s="426" t="s">
        <v>1100</v>
      </c>
      <c r="C174" s="347" t="s">
        <v>586</v>
      </c>
      <c r="D174" s="244">
        <v>17900.0</v>
      </c>
      <c r="E174" s="186">
        <f t="array" ref="E174">_xlfn.XLOOKUP(B174,Stock1!F:F,Stock1!J:J,"")</f>
        <v>2</v>
      </c>
      <c r="F174" s="121">
        <f t="array" ref="F174">_xlfn.XLOOKUP(B174,Stock2!F:F,Stock2!J:J,"")</f>
        <v>2</v>
      </c>
      <c r="G174" s="292" t="s">
        <v>1060</v>
      </c>
      <c r="H174" s="427">
        <f t="shared" si="14"/>
        <v>12530</v>
      </c>
      <c r="I174" s="157"/>
      <c r="J174" s="292" t="s">
        <v>1093</v>
      </c>
      <c r="K174" s="376">
        <f t="shared" si="15"/>
        <v>11635</v>
      </c>
      <c r="L174" s="350"/>
      <c r="M174" s="159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</row>
    <row r="175">
      <c r="A175" s="378" t="s">
        <v>1101</v>
      </c>
      <c r="B175" s="423" t="s">
        <v>1102</v>
      </c>
      <c r="C175" s="344" t="s">
        <v>82</v>
      </c>
      <c r="D175" s="254">
        <v>19900.0</v>
      </c>
      <c r="E175" s="192">
        <f t="array" ref="E175">_xlfn.XLOOKUP(B175,Stock1!F:F,Stock1!J:J,"")</f>
        <v>1</v>
      </c>
      <c r="F175" s="140" t="str">
        <f t="array" ref="F175">_xlfn.XLOOKUP(B175,Stock2!F:F,Stock2!J:J,"")</f>
        <v/>
      </c>
      <c r="G175" s="293" t="s">
        <v>1060</v>
      </c>
      <c r="H175" s="424">
        <f t="shared" si="14"/>
        <v>13930</v>
      </c>
      <c r="I175" s="144"/>
      <c r="J175" s="293" t="s">
        <v>1093</v>
      </c>
      <c r="K175" s="385">
        <f t="shared" si="15"/>
        <v>12935</v>
      </c>
      <c r="L175" s="354"/>
      <c r="M175" s="145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>
      <c r="A176" s="197" t="s">
        <v>1103</v>
      </c>
      <c r="B176" s="426" t="s">
        <v>1104</v>
      </c>
      <c r="C176" s="347" t="s">
        <v>223</v>
      </c>
      <c r="D176" s="244">
        <v>23900.0</v>
      </c>
      <c r="E176" s="186" t="str">
        <f t="array" ref="E176">_xlfn.XLOOKUP(B176,Stock1!F:F,Stock1!J:J,"")</f>
        <v/>
      </c>
      <c r="F176" s="121" t="str">
        <f t="array" ref="F176">_xlfn.XLOOKUP(B176,Stock2!F:F,Stock2!J:J,"")</f>
        <v/>
      </c>
      <c r="G176" s="292" t="s">
        <v>1093</v>
      </c>
      <c r="H176" s="427">
        <f t="shared" ref="H176:H181" si="16">D176-(D176*0.35)</f>
        <v>15535</v>
      </c>
      <c r="I176" s="157"/>
      <c r="J176" s="467"/>
      <c r="K176" s="157"/>
      <c r="L176" s="157"/>
      <c r="M176" s="159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</row>
    <row r="177">
      <c r="A177" s="145"/>
      <c r="B177" s="423" t="s">
        <v>1106</v>
      </c>
      <c r="C177" s="344" t="s">
        <v>769</v>
      </c>
      <c r="D177" s="254">
        <v>23900.0</v>
      </c>
      <c r="E177" s="192" t="str">
        <f t="array" ref="E177">_xlfn.XLOOKUP(B177,Stock1!F:F,Stock1!J:J,"")</f>
        <v/>
      </c>
      <c r="F177" s="140" t="str">
        <f t="array" ref="F177">_xlfn.XLOOKUP(B177,Stock2!F:F,Stock2!J:J,"")</f>
        <v/>
      </c>
      <c r="G177" s="293" t="s">
        <v>1093</v>
      </c>
      <c r="H177" s="424">
        <f t="shared" si="16"/>
        <v>15535</v>
      </c>
      <c r="I177" s="144"/>
      <c r="J177" s="470"/>
      <c r="K177" s="144"/>
      <c r="L177" s="144"/>
      <c r="M177" s="145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>
      <c r="A178" s="212"/>
      <c r="B178" s="426" t="s">
        <v>1109</v>
      </c>
      <c r="C178" s="347" t="s">
        <v>586</v>
      </c>
      <c r="D178" s="244">
        <v>23900.0</v>
      </c>
      <c r="E178" s="186">
        <f t="array" ref="E178">_xlfn.XLOOKUP(B178,Stock1!F:F,Stock1!J:J,"")</f>
        <v>4</v>
      </c>
      <c r="F178" s="121">
        <f t="array" ref="F178">_xlfn.XLOOKUP(B178,Stock2!F:F,Stock2!J:J,"")</f>
        <v>1</v>
      </c>
      <c r="G178" s="292" t="s">
        <v>1093</v>
      </c>
      <c r="H178" s="427">
        <f t="shared" si="16"/>
        <v>15535</v>
      </c>
      <c r="I178" s="157"/>
      <c r="J178" s="467"/>
      <c r="K178" s="157"/>
      <c r="L178" s="157"/>
      <c r="M178" s="159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</row>
    <row r="179">
      <c r="A179" s="206" t="s">
        <v>1110</v>
      </c>
      <c r="B179" s="423" t="s">
        <v>1111</v>
      </c>
      <c r="C179" s="344" t="s">
        <v>171</v>
      </c>
      <c r="D179" s="254">
        <v>24900.0</v>
      </c>
      <c r="E179" s="192">
        <f t="array" ref="E179">_xlfn.XLOOKUP(B179,Stock1!F:F,Stock1!J:J,"")</f>
        <v>5</v>
      </c>
      <c r="F179" s="140" t="str">
        <f t="array" ref="F179">_xlfn.XLOOKUP(B179,Stock2!F:F,Stock2!J:J,"")</f>
        <v/>
      </c>
      <c r="G179" s="293" t="s">
        <v>1093</v>
      </c>
      <c r="H179" s="424">
        <f t="shared" si="16"/>
        <v>16185</v>
      </c>
      <c r="I179" s="144"/>
      <c r="J179" s="470"/>
      <c r="K179" s="144"/>
      <c r="L179" s="144"/>
      <c r="M179" s="145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>
      <c r="A180" s="159"/>
      <c r="B180" s="426" t="s">
        <v>1112</v>
      </c>
      <c r="C180" s="347" t="s">
        <v>223</v>
      </c>
      <c r="D180" s="244">
        <v>24900.0</v>
      </c>
      <c r="E180" s="186">
        <f t="array" ref="E180">_xlfn.XLOOKUP(B180,Stock1!F:F,Stock1!J:J,"")</f>
        <v>2</v>
      </c>
      <c r="F180" s="121">
        <f t="array" ref="F180">_xlfn.XLOOKUP(B180,Stock2!F:F,Stock2!J:J,"")</f>
        <v>2</v>
      </c>
      <c r="G180" s="292" t="s">
        <v>1093</v>
      </c>
      <c r="H180" s="427">
        <f t="shared" si="16"/>
        <v>16185</v>
      </c>
      <c r="I180" s="157"/>
      <c r="J180" s="467"/>
      <c r="K180" s="157"/>
      <c r="L180" s="157"/>
      <c r="M180" s="159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</row>
    <row r="181">
      <c r="A181" s="80"/>
      <c r="B181" s="423" t="s">
        <v>1113</v>
      </c>
      <c r="C181" s="344" t="s">
        <v>1114</v>
      </c>
      <c r="D181" s="254">
        <v>24900.0</v>
      </c>
      <c r="E181" s="192" t="str">
        <f t="array" ref="E181">_xlfn.XLOOKUP(B181,Stock1!F:F,Stock1!J:J,"")</f>
        <v/>
      </c>
      <c r="F181" s="140">
        <f t="array" ref="F181">_xlfn.XLOOKUP(B181,Stock2!F:F,Stock2!J:J,"")</f>
        <v>1</v>
      </c>
      <c r="G181" s="293" t="s">
        <v>1093</v>
      </c>
      <c r="H181" s="424">
        <f t="shared" si="16"/>
        <v>16185</v>
      </c>
      <c r="I181" s="144"/>
      <c r="J181" s="470"/>
      <c r="K181" s="144"/>
      <c r="L181" s="144"/>
      <c r="M181" s="145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>
      <c r="A182" s="197" t="s">
        <v>1116</v>
      </c>
      <c r="B182" s="426" t="s">
        <v>1117</v>
      </c>
      <c r="C182" s="347" t="s">
        <v>586</v>
      </c>
      <c r="D182" s="472">
        <v>990.0</v>
      </c>
      <c r="E182" s="186" t="str">
        <f t="array" ref="E182">_xlfn.XLOOKUP(B182,Stock1!F:F,Stock1!J:J,"")</f>
        <v/>
      </c>
      <c r="F182" s="121" t="str">
        <f t="array" ref="F182">_xlfn.XLOOKUP(B182,Stock2!F:F,Stock2!J:J,"")</f>
        <v/>
      </c>
      <c r="G182" s="474" t="s">
        <v>1118</v>
      </c>
      <c r="H182" s="475"/>
      <c r="I182" s="157"/>
      <c r="J182" s="157"/>
      <c r="K182" s="157"/>
      <c r="L182" s="157"/>
      <c r="M182" s="159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</row>
    <row r="183">
      <c r="A183" s="80"/>
      <c r="B183" s="423" t="s">
        <v>1119</v>
      </c>
      <c r="C183" s="344" t="s">
        <v>82</v>
      </c>
      <c r="D183" s="476">
        <v>990.0</v>
      </c>
      <c r="E183" s="192" t="str">
        <f t="array" ref="E183">_xlfn.XLOOKUP(B183,Stock1!F:F,Stock1!J:J,"")</f>
        <v/>
      </c>
      <c r="F183" s="140" t="str">
        <f t="array" ref="F183">_xlfn.XLOOKUP(B183,Stock2!F:F,Stock2!J:J,"")</f>
        <v/>
      </c>
      <c r="G183" s="480"/>
      <c r="H183" s="481"/>
      <c r="I183" s="144"/>
      <c r="J183" s="144"/>
      <c r="K183" s="144"/>
      <c r="L183" s="144"/>
      <c r="M183" s="80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>
      <c r="A184" s="204" t="s">
        <v>1122</v>
      </c>
      <c r="B184" s="426" t="s">
        <v>1123</v>
      </c>
      <c r="C184" s="347" t="s">
        <v>82</v>
      </c>
      <c r="D184" s="244">
        <v>6990.0</v>
      </c>
      <c r="E184" s="186" t="str">
        <f t="array" ref="E184">_xlfn.XLOOKUP(B184,Stock1!F:F,Stock1!J:J,"")</f>
        <v/>
      </c>
      <c r="F184" s="121" t="str">
        <f t="array" ref="F184">_xlfn.XLOOKUP(B184,Stock2!F:F,Stock2!J:J,"")</f>
        <v/>
      </c>
      <c r="G184" s="292" t="s">
        <v>1125</v>
      </c>
      <c r="H184" s="292">
        <f t="shared" ref="H184:H189" si="17">D184/2</f>
        <v>3495</v>
      </c>
      <c r="I184" s="125" t="s">
        <v>397</v>
      </c>
      <c r="J184" s="157"/>
      <c r="K184" s="157"/>
      <c r="L184" s="157"/>
      <c r="M184" s="48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</row>
    <row r="185">
      <c r="A185" s="378" t="s">
        <v>1126</v>
      </c>
      <c r="B185" s="423" t="s">
        <v>1128</v>
      </c>
      <c r="C185" s="344" t="s">
        <v>82</v>
      </c>
      <c r="D185" s="254">
        <v>5990.0</v>
      </c>
      <c r="E185" s="192" t="str">
        <f t="array" ref="E185">_xlfn.XLOOKUP(B185,Stock1!F:F,Stock1!J:J,"")</f>
        <v/>
      </c>
      <c r="F185" s="140" t="str">
        <f t="array" ref="F185">_xlfn.XLOOKUP(B185,Stock2!F:F,Stock2!J:J,"")</f>
        <v/>
      </c>
      <c r="G185" s="293" t="s">
        <v>1125</v>
      </c>
      <c r="H185" s="293">
        <f t="shared" si="17"/>
        <v>2995</v>
      </c>
      <c r="I185" s="144"/>
      <c r="J185" s="144"/>
      <c r="K185" s="144"/>
      <c r="L185" s="144"/>
      <c r="M185" s="485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>
      <c r="A186" s="204" t="s">
        <v>1129</v>
      </c>
      <c r="B186" s="426" t="s">
        <v>1130</v>
      </c>
      <c r="C186" s="347" t="s">
        <v>82</v>
      </c>
      <c r="D186" s="244">
        <v>2990.0</v>
      </c>
      <c r="E186" s="186" t="str">
        <f t="array" ref="E186">_xlfn.XLOOKUP(B186,Stock1!F:F,Stock1!J:J,"")</f>
        <v/>
      </c>
      <c r="F186" s="121" t="str">
        <f t="array" ref="F186">_xlfn.XLOOKUP(B186,Stock2!F:F,Stock2!J:J,"")</f>
        <v/>
      </c>
      <c r="G186" s="292" t="s">
        <v>1125</v>
      </c>
      <c r="H186" s="292">
        <f t="shared" si="17"/>
        <v>1495</v>
      </c>
      <c r="I186" s="157"/>
      <c r="J186" s="157"/>
      <c r="K186" s="157"/>
      <c r="L186" s="157"/>
      <c r="M186" s="48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</row>
    <row r="187">
      <c r="A187" s="378" t="s">
        <v>1129</v>
      </c>
      <c r="B187" s="423" t="s">
        <v>1133</v>
      </c>
      <c r="C187" s="344" t="s">
        <v>171</v>
      </c>
      <c r="D187" s="254">
        <v>2990.0</v>
      </c>
      <c r="E187" s="192" t="str">
        <f t="array" ref="E187">_xlfn.XLOOKUP(B187,Stock1!F:F,Stock1!J:J,"")</f>
        <v/>
      </c>
      <c r="F187" s="140" t="str">
        <f t="array" ref="F187">_xlfn.XLOOKUP(B187,Stock2!F:F,Stock2!J:J,"")</f>
        <v/>
      </c>
      <c r="G187" s="293" t="s">
        <v>1125</v>
      </c>
      <c r="H187" s="293">
        <f t="shared" si="17"/>
        <v>1495</v>
      </c>
      <c r="I187" s="144"/>
      <c r="J187" s="144"/>
      <c r="K187" s="144"/>
      <c r="L187" s="144"/>
      <c r="M187" s="485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>
      <c r="A188" s="204" t="s">
        <v>1135</v>
      </c>
      <c r="B188" s="426" t="s">
        <v>1136</v>
      </c>
      <c r="C188" s="347" t="s">
        <v>82</v>
      </c>
      <c r="D188" s="244">
        <v>3990.0</v>
      </c>
      <c r="E188" s="186" t="str">
        <f t="array" ref="E188">_xlfn.XLOOKUP(B188,Stock1!F:F,Stock1!J:J,"")</f>
        <v/>
      </c>
      <c r="F188" s="121" t="str">
        <f t="array" ref="F188">_xlfn.XLOOKUP(B188,Stock2!F:F,Stock2!J:J,"")</f>
        <v/>
      </c>
      <c r="G188" s="292" t="s">
        <v>1125</v>
      </c>
      <c r="H188" s="292">
        <f t="shared" si="17"/>
        <v>1995</v>
      </c>
      <c r="I188" s="157"/>
      <c r="J188" s="157"/>
      <c r="K188" s="157"/>
      <c r="L188" s="157"/>
      <c r="M188" s="48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</row>
    <row r="189">
      <c r="A189" s="378" t="s">
        <v>1137</v>
      </c>
      <c r="B189" s="423" t="s">
        <v>1138</v>
      </c>
      <c r="C189" s="344" t="s">
        <v>82</v>
      </c>
      <c r="D189" s="254">
        <v>5990.0</v>
      </c>
      <c r="E189" s="192" t="str">
        <f t="array" ref="E189">_xlfn.XLOOKUP(B189,Stock1!F:F,Stock1!J:J,"")</f>
        <v/>
      </c>
      <c r="F189" s="140" t="str">
        <f t="array" ref="F189">_xlfn.XLOOKUP(B189,Stock2!F:F,Stock2!J:J,"")</f>
        <v/>
      </c>
      <c r="G189" s="293" t="s">
        <v>1125</v>
      </c>
      <c r="H189" s="293">
        <f t="shared" si="17"/>
        <v>2995</v>
      </c>
      <c r="I189" s="144"/>
      <c r="J189" s="144"/>
      <c r="K189" s="144"/>
      <c r="L189" s="144"/>
      <c r="M189" s="485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  <row r="190">
      <c r="A190" s="204" t="s">
        <v>1139</v>
      </c>
      <c r="B190" s="426" t="s">
        <v>1140</v>
      </c>
      <c r="C190" s="347" t="s">
        <v>82</v>
      </c>
      <c r="D190" s="244">
        <v>2990.0</v>
      </c>
      <c r="E190" s="186">
        <f t="array" ref="E190">_xlfn.XLOOKUP(B190,Stock1!F:F,Stock1!J:J,"")</f>
        <v>1</v>
      </c>
      <c r="F190" s="121" t="str">
        <f t="array" ref="F190">_xlfn.XLOOKUP(B190,Stock2!F:F,Stock2!J:J,"")</f>
        <v/>
      </c>
      <c r="G190" s="292"/>
      <c r="H190" s="292"/>
      <c r="I190" s="157"/>
      <c r="J190" s="157"/>
      <c r="K190" s="157"/>
      <c r="L190" s="157"/>
      <c r="M190" s="48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</row>
    <row r="191">
      <c r="A191" s="378" t="s">
        <v>1141</v>
      </c>
      <c r="B191" s="423" t="s">
        <v>1142</v>
      </c>
      <c r="C191" s="344" t="s">
        <v>82</v>
      </c>
      <c r="D191" s="254">
        <v>2990.0</v>
      </c>
      <c r="E191" s="192" t="str">
        <f t="array" ref="E191">_xlfn.XLOOKUP(B191,Stock1!F:F,Stock1!J:J,"")</f>
        <v/>
      </c>
      <c r="F191" s="140" t="str">
        <f t="array" ref="F191">_xlfn.XLOOKUP(B191,Stock2!F:F,Stock2!J:J,"")</f>
        <v/>
      </c>
      <c r="G191" s="293"/>
      <c r="H191" s="293"/>
      <c r="I191" s="144"/>
      <c r="J191" s="144"/>
      <c r="K191" s="144"/>
      <c r="L191" s="144"/>
      <c r="M191" s="485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</row>
    <row r="192">
      <c r="A192" s="204" t="s">
        <v>1143</v>
      </c>
      <c r="B192" s="426" t="s">
        <v>1144</v>
      </c>
      <c r="C192" s="347" t="s">
        <v>82</v>
      </c>
      <c r="D192" s="244">
        <v>4990.0</v>
      </c>
      <c r="E192" s="186" t="str">
        <f t="array" ref="E192">_xlfn.XLOOKUP(B192,Stock1!F:F,Stock1!J:J,"")</f>
        <v/>
      </c>
      <c r="F192" s="121" t="str">
        <f t="array" ref="F192">_xlfn.XLOOKUP(B192,Stock2!F:F,Stock2!J:J,"")</f>
        <v/>
      </c>
      <c r="G192" s="292" t="s">
        <v>1125</v>
      </c>
      <c r="H192" s="292">
        <f t="shared" ref="H192:H194" si="18">D192/2</f>
        <v>2495</v>
      </c>
      <c r="I192" s="157"/>
      <c r="J192" s="157"/>
      <c r="K192" s="157"/>
      <c r="L192" s="157"/>
      <c r="M192" s="48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</row>
    <row r="193">
      <c r="A193" s="378" t="s">
        <v>1145</v>
      </c>
      <c r="B193" s="423" t="s">
        <v>1146</v>
      </c>
      <c r="C193" s="344" t="s">
        <v>82</v>
      </c>
      <c r="D193" s="254">
        <v>4990.0</v>
      </c>
      <c r="E193" s="192" t="str">
        <f t="array" ref="E193">_xlfn.XLOOKUP(B193,Stock1!F:F,Stock1!J:J,"")</f>
        <v/>
      </c>
      <c r="F193" s="140" t="str">
        <f t="array" ref="F193">_xlfn.XLOOKUP(B193,Stock2!F:F,Stock2!J:J,"")</f>
        <v/>
      </c>
      <c r="G193" s="293" t="s">
        <v>1125</v>
      </c>
      <c r="H193" s="293">
        <f t="shared" si="18"/>
        <v>2495</v>
      </c>
      <c r="I193" s="144"/>
      <c r="J193" s="144"/>
      <c r="K193" s="144"/>
      <c r="L193" s="144"/>
      <c r="M193" s="485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</row>
    <row r="194">
      <c r="A194" s="204" t="s">
        <v>1147</v>
      </c>
      <c r="B194" s="426" t="s">
        <v>1148</v>
      </c>
      <c r="C194" s="347" t="s">
        <v>82</v>
      </c>
      <c r="D194" s="244">
        <v>2490.0</v>
      </c>
      <c r="E194" s="186" t="str">
        <f t="array" ref="E194">_xlfn.XLOOKUP(B194,Stock1!F:F,Stock1!J:J,"")</f>
        <v/>
      </c>
      <c r="F194" s="121" t="str">
        <f t="array" ref="F194">_xlfn.XLOOKUP(B194,Stock2!F:F,Stock2!J:J,"")</f>
        <v/>
      </c>
      <c r="G194" s="292" t="s">
        <v>1125</v>
      </c>
      <c r="H194" s="292">
        <f t="shared" si="18"/>
        <v>1245</v>
      </c>
      <c r="I194" s="157"/>
      <c r="J194" s="157"/>
      <c r="K194" s="157"/>
      <c r="L194" s="157"/>
      <c r="M194" s="48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</row>
    <row r="195">
      <c r="A195" s="378" t="s">
        <v>1149</v>
      </c>
      <c r="B195" s="423" t="s">
        <v>1150</v>
      </c>
      <c r="C195" s="344" t="s">
        <v>82</v>
      </c>
      <c r="D195" s="254">
        <v>2990.0</v>
      </c>
      <c r="E195" s="192" t="str">
        <f t="array" ref="E195">_xlfn.XLOOKUP(B195,Stock1!F:F,Stock1!J:J,"")</f>
        <v/>
      </c>
      <c r="F195" s="140" t="str">
        <f t="array" ref="F195">_xlfn.XLOOKUP(B195,Stock2!F:F,Stock2!J:J,"")</f>
        <v/>
      </c>
      <c r="G195" s="293"/>
      <c r="H195" s="293"/>
      <c r="I195" s="144"/>
      <c r="J195" s="144"/>
      <c r="K195" s="144"/>
      <c r="L195" s="144"/>
      <c r="M195" s="485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</row>
    <row r="196">
      <c r="A196" s="197" t="s">
        <v>1151</v>
      </c>
      <c r="B196" s="426" t="s">
        <v>1152</v>
      </c>
      <c r="C196" s="347" t="s">
        <v>82</v>
      </c>
      <c r="D196" s="244">
        <v>1390.0</v>
      </c>
      <c r="E196" s="186" t="str">
        <f t="array" ref="E196">_xlfn.XLOOKUP(B196,Stock1!F:F,Stock1!J:J,"")</f>
        <v/>
      </c>
      <c r="F196" s="121" t="str">
        <f t="array" ref="F196">_xlfn.XLOOKUP(B196,Stock2!F:F,Stock2!J:J,"")</f>
        <v/>
      </c>
      <c r="G196" s="292" t="s">
        <v>1125</v>
      </c>
      <c r="H196" s="292">
        <f t="shared" ref="H196:H199" si="19">D196/2</f>
        <v>695</v>
      </c>
      <c r="I196" s="157"/>
      <c r="J196" s="157"/>
      <c r="K196" s="157"/>
      <c r="L196" s="157"/>
      <c r="M196" s="48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</row>
    <row r="197">
      <c r="A197" s="145"/>
      <c r="B197" s="423" t="s">
        <v>1155</v>
      </c>
      <c r="C197" s="344" t="s">
        <v>586</v>
      </c>
      <c r="D197" s="254">
        <v>1390.0</v>
      </c>
      <c r="E197" s="192" t="str">
        <f t="array" ref="E197">_xlfn.XLOOKUP(B197,Stock1!F:F,Stock1!J:J,"")</f>
        <v/>
      </c>
      <c r="F197" s="140" t="str">
        <f t="array" ref="F197">_xlfn.XLOOKUP(B197,Stock2!F:F,Stock2!J:J,"")</f>
        <v/>
      </c>
      <c r="G197" s="293" t="s">
        <v>1125</v>
      </c>
      <c r="H197" s="293">
        <f t="shared" si="19"/>
        <v>695</v>
      </c>
      <c r="I197" s="144"/>
      <c r="J197" s="144"/>
      <c r="K197" s="144"/>
      <c r="L197" s="144"/>
      <c r="M197" s="485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</row>
    <row r="198">
      <c r="A198" s="212"/>
      <c r="B198" s="426" t="s">
        <v>1157</v>
      </c>
      <c r="C198" s="347" t="s">
        <v>171</v>
      </c>
      <c r="D198" s="244">
        <v>1390.0</v>
      </c>
      <c r="E198" s="186" t="str">
        <f t="array" ref="E198">_xlfn.XLOOKUP(B198,Stock1!F:F,Stock1!J:J,"")</f>
        <v/>
      </c>
      <c r="F198" s="121" t="str">
        <f t="array" ref="F198">_xlfn.XLOOKUP(B198,Stock2!F:F,Stock2!J:J,"")</f>
        <v/>
      </c>
      <c r="G198" s="292" t="s">
        <v>1125</v>
      </c>
      <c r="H198" s="292">
        <f t="shared" si="19"/>
        <v>695</v>
      </c>
      <c r="I198" s="157"/>
      <c r="J198" s="157"/>
      <c r="K198" s="157"/>
      <c r="L198" s="157"/>
      <c r="M198" s="48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</row>
    <row r="199">
      <c r="A199" s="378" t="s">
        <v>1159</v>
      </c>
      <c r="B199" s="423" t="s">
        <v>1160</v>
      </c>
      <c r="C199" s="344" t="s">
        <v>82</v>
      </c>
      <c r="D199" s="476">
        <v>990.0</v>
      </c>
      <c r="E199" s="192" t="str">
        <f t="array" ref="E199">_xlfn.XLOOKUP(B199,Stock1!F:F,Stock1!J:J,"")</f>
        <v/>
      </c>
      <c r="F199" s="140" t="str">
        <f t="array" ref="F199">_xlfn.XLOOKUP(B199,Stock2!F:F,Stock2!J:J,"")</f>
        <v/>
      </c>
      <c r="G199" s="293" t="s">
        <v>1125</v>
      </c>
      <c r="H199" s="293">
        <f t="shared" si="19"/>
        <v>495</v>
      </c>
      <c r="I199" s="144"/>
      <c r="J199" s="144"/>
      <c r="K199" s="144"/>
      <c r="L199" s="144"/>
      <c r="M199" s="485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</row>
    <row r="200">
      <c r="A200" s="204" t="s">
        <v>1163</v>
      </c>
      <c r="B200" s="426" t="s">
        <v>1164</v>
      </c>
      <c r="C200" s="347" t="s">
        <v>82</v>
      </c>
      <c r="D200" s="244">
        <v>1290.0</v>
      </c>
      <c r="E200" s="186">
        <f t="array" ref="E200">_xlfn.XLOOKUP(B200,Stock1!F:F,Stock1!J:J,"")</f>
        <v>7</v>
      </c>
      <c r="F200" s="121">
        <f t="array" ref="F200">_xlfn.XLOOKUP(B200,Stock2!F:F,Stock2!J:J,"")</f>
        <v>1</v>
      </c>
      <c r="G200" s="157"/>
      <c r="H200" s="157"/>
      <c r="I200" s="157"/>
      <c r="J200" s="157"/>
      <c r="K200" s="157"/>
      <c r="L200" s="157"/>
      <c r="M200" s="48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</row>
    <row r="201">
      <c r="A201" s="378" t="s">
        <v>1166</v>
      </c>
      <c r="B201" s="423" t="s">
        <v>1167</v>
      </c>
      <c r="C201" s="344" t="s">
        <v>82</v>
      </c>
      <c r="D201" s="254">
        <v>1090.0</v>
      </c>
      <c r="E201" s="192">
        <f t="array" ref="E201">_xlfn.XLOOKUP(B201,Stock1!F:F,Stock1!J:J,"")</f>
        <v>43</v>
      </c>
      <c r="F201" s="140">
        <f t="array" ref="F201">_xlfn.XLOOKUP(B201,Stock2!F:F,Stock2!J:J,"")</f>
        <v>25</v>
      </c>
      <c r="G201" s="144"/>
      <c r="H201" s="144"/>
      <c r="I201" s="144"/>
      <c r="J201" s="144"/>
      <c r="K201" s="144"/>
      <c r="L201" s="144"/>
      <c r="M201" s="485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</row>
    <row r="202">
      <c r="A202" s="204" t="s">
        <v>1169</v>
      </c>
      <c r="B202" s="426"/>
      <c r="C202" s="347"/>
      <c r="D202" s="472"/>
      <c r="E202" s="186"/>
      <c r="F202" s="121"/>
      <c r="G202" s="467">
        <v>0.7</v>
      </c>
      <c r="H202" s="157"/>
      <c r="I202" s="157"/>
      <c r="J202" s="157"/>
      <c r="K202" s="157"/>
      <c r="L202" s="157"/>
      <c r="M202" s="48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</row>
    <row r="203">
      <c r="A203" s="378" t="s">
        <v>1170</v>
      </c>
      <c r="B203" s="423"/>
      <c r="C203" s="344"/>
      <c r="D203" s="476"/>
      <c r="E203" s="192"/>
      <c r="F203" s="140"/>
      <c r="G203" s="470">
        <v>0.7</v>
      </c>
      <c r="H203" s="144"/>
      <c r="I203" s="144"/>
      <c r="J203" s="144"/>
      <c r="K203" s="144"/>
      <c r="L203" s="144"/>
      <c r="M203" s="485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</row>
    <row r="204">
      <c r="A204" s="204" t="s">
        <v>1171</v>
      </c>
      <c r="B204" s="426"/>
      <c r="C204" s="347"/>
      <c r="D204" s="472"/>
      <c r="E204" s="186"/>
      <c r="F204" s="121"/>
      <c r="G204" s="467">
        <v>0.7</v>
      </c>
      <c r="H204" s="157"/>
      <c r="I204" s="157"/>
      <c r="J204" s="157"/>
      <c r="K204" s="157"/>
      <c r="L204" s="157"/>
      <c r="M204" s="48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</row>
    <row r="205">
      <c r="A205" s="378" t="s">
        <v>1172</v>
      </c>
      <c r="B205" s="423"/>
      <c r="C205" s="344"/>
      <c r="D205" s="476"/>
      <c r="E205" s="192" t="str">
        <f t="array" ref="E205">_xlfn.XLOOKUP(B205,Stock1!F:F,Stock1!J:J,"")</f>
        <v/>
      </c>
      <c r="F205" s="140" t="str">
        <f t="array" ref="F205">_xlfn.XLOOKUP(B205,Stock2!F:F,Stock2!J:J,"")</f>
        <v/>
      </c>
      <c r="G205" s="470">
        <v>0.5</v>
      </c>
      <c r="H205" s="144"/>
      <c r="I205" s="144"/>
      <c r="J205" s="144"/>
      <c r="K205" s="144"/>
      <c r="L205" s="144"/>
      <c r="M205" s="485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</row>
    <row r="206">
      <c r="A206" s="204" t="s">
        <v>1173</v>
      </c>
      <c r="B206" s="426"/>
      <c r="C206" s="347"/>
      <c r="D206" s="472"/>
      <c r="E206" s="186"/>
      <c r="F206" s="121"/>
      <c r="G206" s="467">
        <v>0.5</v>
      </c>
      <c r="H206" s="157"/>
      <c r="I206" s="157"/>
      <c r="J206" s="157"/>
      <c r="K206" s="157"/>
      <c r="L206" s="157"/>
      <c r="M206" s="48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</row>
    <row r="207">
      <c r="A207" s="378" t="s">
        <v>1174</v>
      </c>
      <c r="B207" s="423"/>
      <c r="C207" s="344"/>
      <c r="D207" s="254">
        <v>14900.0</v>
      </c>
      <c r="E207" s="192" t="str">
        <f t="array" ref="E207">_xlfn.XLOOKUP(B207,Stock1!F:F,Stock1!J:J,"")</f>
        <v/>
      </c>
      <c r="F207" s="140" t="str">
        <f t="array" ref="F207">_xlfn.XLOOKUP(B207,Stock2!F:F,Stock2!J:J,"")</f>
        <v/>
      </c>
      <c r="G207" s="526" t="str">
        <f>D207-H207&amp;" ลด35%"</f>
        <v>14900 ลด35%</v>
      </c>
      <c r="H207" s="293"/>
      <c r="I207" s="144"/>
      <c r="J207" s="470"/>
      <c r="K207" s="144"/>
      <c r="L207" s="144"/>
      <c r="M207" s="485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</row>
    <row r="208">
      <c r="A208" s="204" t="s">
        <v>1175</v>
      </c>
      <c r="B208" s="426"/>
      <c r="C208" s="347"/>
      <c r="D208" s="472"/>
      <c r="E208" s="186"/>
      <c r="F208" s="121"/>
      <c r="G208" s="467">
        <v>0.2</v>
      </c>
      <c r="H208" s="157"/>
      <c r="I208" s="157"/>
      <c r="J208" s="157"/>
      <c r="K208" s="157"/>
      <c r="L208" s="157"/>
      <c r="M208" s="48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</row>
    <row r="209">
      <c r="A209" s="378" t="s">
        <v>1176</v>
      </c>
      <c r="B209" s="423"/>
      <c r="C209" s="344"/>
      <c r="D209" s="476"/>
      <c r="E209" s="192"/>
      <c r="F209" s="140"/>
      <c r="G209" s="470">
        <v>0.2</v>
      </c>
      <c r="H209" s="144"/>
      <c r="I209" s="144"/>
      <c r="J209" s="144"/>
      <c r="K209" s="144"/>
      <c r="L209" s="144"/>
      <c r="M209" s="485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</row>
    <row r="210">
      <c r="A210" s="204"/>
      <c r="B210" s="426"/>
      <c r="C210" s="347"/>
      <c r="D210" s="472"/>
      <c r="E210" s="186"/>
      <c r="F210" s="121"/>
      <c r="G210" s="157"/>
      <c r="H210" s="157"/>
      <c r="I210" s="157"/>
      <c r="J210" s="157"/>
      <c r="K210" s="157"/>
      <c r="L210" s="157"/>
      <c r="M210" s="48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</row>
    <row r="211">
      <c r="A211" s="378"/>
      <c r="B211" s="423"/>
      <c r="C211" s="344"/>
      <c r="D211" s="476"/>
      <c r="E211" s="192" t="str">
        <f t="array" ref="E211">_xlfn.XLOOKUP(B211,Stock1!F:F,Stock1!J:J,"")</f>
        <v/>
      </c>
      <c r="F211" s="140" t="str">
        <f t="array" ref="F211">_xlfn.XLOOKUP(B211,Stock2!F:F,Stock2!J:J,"")</f>
        <v/>
      </c>
      <c r="G211" s="144"/>
      <c r="H211" s="144"/>
      <c r="I211" s="144"/>
      <c r="J211" s="144"/>
      <c r="K211" s="144"/>
      <c r="L211" s="144"/>
      <c r="M211" s="485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</row>
    <row r="212">
      <c r="A212" s="529"/>
      <c r="B212" s="420"/>
      <c r="C212" s="420"/>
      <c r="D212" s="420"/>
      <c r="E212" s="420"/>
      <c r="F212" s="420"/>
      <c r="G212" s="420"/>
      <c r="H212" s="420"/>
      <c r="I212" s="420"/>
      <c r="J212" s="420"/>
      <c r="K212" s="420"/>
      <c r="L212" s="420"/>
      <c r="M212" s="421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</row>
    <row r="213">
      <c r="A213" s="530"/>
      <c r="B213" s="531"/>
      <c r="C213" s="530"/>
      <c r="D213" s="532"/>
      <c r="E213" s="533"/>
      <c r="F213" s="532"/>
      <c r="G213" s="534"/>
      <c r="H213" s="534"/>
      <c r="I213" s="535"/>
      <c r="J213" s="535"/>
      <c r="K213" s="535"/>
      <c r="L213" s="535"/>
      <c r="M213" s="536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</row>
    <row r="214">
      <c r="A214" s="539" t="s">
        <v>0</v>
      </c>
      <c r="B214" s="420"/>
      <c r="C214" s="420"/>
      <c r="D214" s="420"/>
      <c r="E214" s="420"/>
      <c r="F214" s="420"/>
      <c r="G214" s="420"/>
      <c r="H214" s="420"/>
      <c r="I214" s="420"/>
      <c r="J214" s="420"/>
      <c r="K214" s="420"/>
      <c r="L214" s="420"/>
      <c r="M214" s="421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</row>
    <row r="215">
      <c r="A215" s="540"/>
      <c r="B215" s="531"/>
      <c r="C215" s="530"/>
      <c r="D215" s="532"/>
      <c r="E215" s="533"/>
      <c r="F215" s="532"/>
      <c r="G215" s="534"/>
      <c r="H215" s="534"/>
      <c r="I215" s="535"/>
      <c r="J215" s="535"/>
      <c r="K215" s="535"/>
      <c r="L215" s="535"/>
      <c r="M215" s="536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</row>
    <row r="216">
      <c r="A216" s="541"/>
      <c r="B216" s="542"/>
      <c r="C216" s="543"/>
      <c r="D216" s="544"/>
      <c r="E216" s="545"/>
      <c r="F216" s="544"/>
      <c r="G216" s="546"/>
      <c r="H216" s="546"/>
      <c r="I216" s="547"/>
      <c r="J216" s="547"/>
      <c r="K216" s="547"/>
      <c r="L216" s="547"/>
      <c r="M216" s="548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</row>
    <row r="217">
      <c r="A217" s="540"/>
      <c r="B217" s="531"/>
      <c r="C217" s="550"/>
      <c r="D217" s="532"/>
      <c r="E217" s="533"/>
      <c r="F217" s="532"/>
      <c r="G217" s="534"/>
      <c r="H217" s="534"/>
      <c r="I217" s="535"/>
      <c r="J217" s="535"/>
      <c r="K217" s="535"/>
      <c r="L217" s="535"/>
      <c r="M217" s="536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</row>
    <row r="218">
      <c r="A218" s="543"/>
      <c r="B218" s="542"/>
      <c r="C218" s="543"/>
      <c r="D218" s="544"/>
      <c r="E218" s="545"/>
      <c r="F218" s="544"/>
      <c r="G218" s="546"/>
      <c r="H218" s="546"/>
      <c r="I218" s="547"/>
      <c r="J218" s="547"/>
      <c r="K218" s="547"/>
      <c r="L218" s="547"/>
      <c r="M218" s="551"/>
      <c r="N218" s="551"/>
      <c r="O218" s="551"/>
      <c r="P218" s="53"/>
      <c r="Q218" s="53"/>
      <c r="R218" s="53"/>
      <c r="S218" s="53"/>
      <c r="T218" s="53"/>
      <c r="U218" s="53"/>
      <c r="V218" s="53"/>
      <c r="W218" s="53"/>
      <c r="X218" s="53"/>
      <c r="Y218" s="53"/>
    </row>
    <row r="219">
      <c r="A219" s="552" t="s">
        <v>1177</v>
      </c>
      <c r="B219" s="553"/>
      <c r="C219" s="553"/>
      <c r="D219" s="553"/>
      <c r="E219" s="553"/>
      <c r="F219" s="553"/>
      <c r="G219" s="553"/>
      <c r="H219" s="554"/>
      <c r="I219" s="535"/>
      <c r="J219" s="535"/>
      <c r="K219" s="535"/>
      <c r="L219" s="535"/>
      <c r="M219" s="555"/>
      <c r="N219" s="555"/>
      <c r="O219" s="555"/>
      <c r="P219" s="84"/>
      <c r="Q219" s="84"/>
      <c r="R219" s="84"/>
      <c r="S219" s="84"/>
      <c r="T219" s="84"/>
      <c r="U219" s="84"/>
      <c r="V219" s="84"/>
      <c r="W219" s="84"/>
      <c r="X219" s="84"/>
      <c r="Y219" s="84"/>
    </row>
    <row r="220">
      <c r="A220" s="556"/>
      <c r="H220" s="557"/>
      <c r="I220" s="547"/>
      <c r="J220" s="547"/>
      <c r="K220" s="547"/>
      <c r="L220" s="547"/>
      <c r="M220" s="551"/>
      <c r="N220" s="551"/>
      <c r="O220" s="551"/>
      <c r="P220" s="53"/>
      <c r="Q220" s="53"/>
      <c r="R220" s="53"/>
      <c r="S220" s="53"/>
      <c r="T220" s="53"/>
      <c r="U220" s="53"/>
      <c r="V220" s="53"/>
      <c r="W220" s="53"/>
      <c r="X220" s="53"/>
      <c r="Y220" s="53"/>
    </row>
    <row r="221">
      <c r="A221" s="558"/>
      <c r="H221" s="559"/>
      <c r="I221" s="535"/>
      <c r="J221" s="535"/>
      <c r="K221" s="535"/>
      <c r="L221" s="535"/>
      <c r="M221" s="555"/>
      <c r="N221" s="555"/>
      <c r="O221" s="555"/>
      <c r="P221" s="84"/>
      <c r="Q221" s="84"/>
      <c r="R221" s="84"/>
      <c r="S221" s="84"/>
      <c r="T221" s="84"/>
      <c r="U221" s="84"/>
      <c r="V221" s="84"/>
      <c r="W221" s="84"/>
      <c r="X221" s="84"/>
      <c r="Y221" s="84"/>
    </row>
    <row r="222">
      <c r="A222" s="560"/>
      <c r="B222" s="561"/>
      <c r="C222" s="561"/>
      <c r="D222" s="561"/>
      <c r="E222" s="561"/>
      <c r="F222" s="561"/>
      <c r="G222" s="561"/>
      <c r="H222" s="562"/>
      <c r="I222" s="547"/>
      <c r="J222" s="547"/>
      <c r="K222" s="547"/>
      <c r="L222" s="547"/>
      <c r="M222" s="551"/>
      <c r="N222" s="551"/>
      <c r="O222" s="551"/>
      <c r="P222" s="53"/>
      <c r="Q222" s="53"/>
      <c r="R222" s="53"/>
      <c r="S222" s="53"/>
      <c r="T222" s="53"/>
      <c r="U222" s="53"/>
      <c r="V222" s="53"/>
      <c r="W222" s="53"/>
      <c r="X222" s="53"/>
      <c r="Y222" s="53"/>
    </row>
    <row r="223">
      <c r="A223" s="563" t="s">
        <v>1178</v>
      </c>
      <c r="B223" s="564"/>
      <c r="C223" s="565">
        <f>sum($E4:$E112)</f>
        <v>24</v>
      </c>
      <c r="D223" s="566"/>
      <c r="E223" s="566"/>
      <c r="F223" s="566"/>
      <c r="G223" s="566"/>
      <c r="H223" s="566"/>
      <c r="I223" s="535"/>
      <c r="J223" s="535"/>
      <c r="K223" s="535"/>
      <c r="L223" s="535"/>
      <c r="M223" s="555"/>
      <c r="N223" s="555"/>
      <c r="O223" s="555"/>
      <c r="P223" s="84"/>
      <c r="Q223" s="84"/>
      <c r="R223" s="84"/>
      <c r="S223" s="84"/>
      <c r="T223" s="84"/>
      <c r="U223" s="84"/>
      <c r="V223" s="84"/>
      <c r="W223" s="84"/>
      <c r="X223" s="84"/>
      <c r="Y223" s="84"/>
    </row>
    <row r="224">
      <c r="A224" s="159"/>
      <c r="B224" s="567"/>
      <c r="C224" s="159"/>
      <c r="D224" s="568"/>
      <c r="E224" s="568"/>
      <c r="F224" s="568"/>
      <c r="G224" s="568"/>
      <c r="H224" s="568"/>
      <c r="I224" s="547"/>
      <c r="J224" s="547"/>
      <c r="K224" s="547"/>
      <c r="L224" s="547"/>
      <c r="M224" s="551"/>
      <c r="N224" s="551"/>
      <c r="O224" s="551"/>
      <c r="P224" s="53"/>
      <c r="Q224" s="53"/>
      <c r="R224" s="53"/>
      <c r="S224" s="53"/>
      <c r="T224" s="53"/>
      <c r="U224" s="53"/>
      <c r="V224" s="53"/>
      <c r="W224" s="53"/>
      <c r="X224" s="53"/>
      <c r="Y224" s="53"/>
    </row>
    <row r="225">
      <c r="A225" s="80"/>
      <c r="B225" s="569"/>
      <c r="C225" s="80"/>
      <c r="D225" s="566"/>
      <c r="E225" s="566"/>
      <c r="F225" s="566"/>
      <c r="G225" s="566"/>
      <c r="H225" s="566"/>
      <c r="I225" s="535"/>
      <c r="J225" s="535"/>
      <c r="K225" s="535"/>
      <c r="L225" s="535"/>
      <c r="M225" s="555"/>
      <c r="N225" s="555"/>
      <c r="O225" s="555"/>
      <c r="P225" s="84"/>
      <c r="Q225" s="84"/>
      <c r="R225" s="84"/>
      <c r="S225" s="84"/>
      <c r="T225" s="84"/>
      <c r="U225" s="84"/>
      <c r="V225" s="84"/>
      <c r="W225" s="84"/>
      <c r="X225" s="84"/>
      <c r="Y225" s="84"/>
    </row>
    <row r="226">
      <c r="A226" s="573"/>
      <c r="B226" s="574"/>
      <c r="C226" s="575"/>
      <c r="D226" s="568"/>
      <c r="E226" s="568"/>
      <c r="F226" s="568"/>
      <c r="G226" s="568"/>
      <c r="H226" s="568"/>
      <c r="I226" s="547"/>
      <c r="J226" s="547"/>
      <c r="K226" s="547"/>
      <c r="L226" s="547"/>
      <c r="M226" s="551"/>
      <c r="N226" s="551"/>
      <c r="O226" s="551"/>
      <c r="P226" s="53"/>
      <c r="Q226" s="53"/>
      <c r="R226" s="53"/>
      <c r="S226" s="53"/>
      <c r="T226" s="53"/>
      <c r="U226" s="53"/>
      <c r="V226" s="53"/>
      <c r="W226" s="53"/>
      <c r="X226" s="53"/>
      <c r="Y226" s="53"/>
    </row>
    <row r="227">
      <c r="A227" s="577"/>
      <c r="B227" s="569"/>
      <c r="C227" s="578"/>
      <c r="D227" s="566"/>
      <c r="E227" s="566"/>
      <c r="F227" s="566"/>
      <c r="G227" s="566"/>
      <c r="H227" s="566"/>
      <c r="I227" s="535"/>
      <c r="J227" s="535"/>
      <c r="K227" s="535"/>
      <c r="L227" s="535"/>
      <c r="M227" s="555"/>
      <c r="N227" s="555"/>
      <c r="O227" s="555"/>
      <c r="P227" s="84"/>
      <c r="Q227" s="84"/>
      <c r="R227" s="84"/>
      <c r="S227" s="84"/>
      <c r="T227" s="84"/>
      <c r="U227" s="84"/>
      <c r="V227" s="84"/>
      <c r="W227" s="84"/>
      <c r="X227" s="84"/>
      <c r="Y227" s="84"/>
    </row>
    <row r="228">
      <c r="A228" s="579" t="s">
        <v>711</v>
      </c>
      <c r="B228" s="567"/>
      <c r="C228" s="580">
        <f>sum($E114:$E151)</f>
        <v>28</v>
      </c>
      <c r="D228" s="568"/>
      <c r="E228" s="568"/>
      <c r="F228" s="568"/>
      <c r="G228" s="568"/>
      <c r="H228" s="568"/>
      <c r="I228" s="547"/>
      <c r="J228" s="547"/>
      <c r="K228" s="547"/>
      <c r="L228" s="547"/>
      <c r="M228" s="551"/>
      <c r="N228" s="551"/>
      <c r="O228" s="551"/>
      <c r="P228" s="53"/>
      <c r="Q228" s="53"/>
      <c r="R228" s="53"/>
      <c r="S228" s="53"/>
      <c r="T228" s="53"/>
      <c r="U228" s="53"/>
      <c r="V228" s="53"/>
      <c r="W228" s="53"/>
      <c r="X228" s="53"/>
      <c r="Y228" s="53"/>
    </row>
    <row r="229">
      <c r="A229" s="145"/>
      <c r="B229" s="564"/>
      <c r="C229" s="145"/>
      <c r="D229" s="566"/>
      <c r="E229" s="566"/>
      <c r="F229" s="566"/>
      <c r="G229" s="566"/>
      <c r="H229" s="566"/>
      <c r="I229" s="535"/>
      <c r="J229" s="535"/>
      <c r="K229" s="535"/>
      <c r="L229" s="535"/>
      <c r="M229" s="555"/>
      <c r="N229" s="555"/>
      <c r="O229" s="555"/>
      <c r="P229" s="84"/>
      <c r="Q229" s="84"/>
      <c r="R229" s="84"/>
      <c r="S229" s="84"/>
      <c r="T229" s="84"/>
      <c r="U229" s="84"/>
      <c r="V229" s="84"/>
      <c r="W229" s="84"/>
      <c r="X229" s="84"/>
      <c r="Y229" s="84"/>
    </row>
    <row r="230">
      <c r="A230" s="212"/>
      <c r="B230" s="567"/>
      <c r="C230" s="212"/>
      <c r="D230" s="568"/>
      <c r="E230" s="568"/>
      <c r="F230" s="568"/>
      <c r="G230" s="568"/>
      <c r="H230" s="568"/>
      <c r="I230" s="547"/>
      <c r="J230" s="547"/>
      <c r="K230" s="547"/>
      <c r="L230" s="547"/>
      <c r="M230" s="551"/>
      <c r="N230" s="551"/>
      <c r="O230" s="551"/>
      <c r="P230" s="53"/>
      <c r="Q230" s="53"/>
      <c r="R230" s="53"/>
      <c r="S230" s="53"/>
      <c r="T230" s="53"/>
      <c r="U230" s="53"/>
      <c r="V230" s="53"/>
      <c r="W230" s="53"/>
      <c r="X230" s="53"/>
      <c r="Y230" s="53"/>
    </row>
    <row r="231">
      <c r="A231" s="577"/>
      <c r="B231" s="569"/>
      <c r="C231" s="578"/>
      <c r="D231" s="566"/>
      <c r="E231" s="566"/>
      <c r="F231" s="566"/>
      <c r="G231" s="566"/>
      <c r="H231" s="566"/>
      <c r="I231" s="535"/>
      <c r="J231" s="535"/>
      <c r="K231" s="535"/>
      <c r="L231" s="535"/>
      <c r="M231" s="555"/>
      <c r="N231" s="555"/>
      <c r="O231" s="555"/>
      <c r="P231" s="84"/>
      <c r="Q231" s="84"/>
      <c r="R231" s="84"/>
      <c r="S231" s="84"/>
      <c r="T231" s="84"/>
      <c r="U231" s="84"/>
      <c r="V231" s="84"/>
      <c r="W231" s="84"/>
      <c r="X231" s="84"/>
      <c r="Y231" s="84"/>
    </row>
    <row r="232">
      <c r="A232" s="575"/>
      <c r="B232" s="574"/>
      <c r="C232" s="575"/>
      <c r="D232" s="568"/>
      <c r="E232" s="568"/>
      <c r="F232" s="568"/>
      <c r="G232" s="568"/>
      <c r="H232" s="568"/>
      <c r="I232" s="547"/>
      <c r="J232" s="547"/>
      <c r="K232" s="547"/>
      <c r="L232" s="547"/>
      <c r="M232" s="551"/>
      <c r="N232" s="551"/>
      <c r="O232" s="551"/>
      <c r="P232" s="53"/>
      <c r="Q232" s="53"/>
      <c r="R232" s="53"/>
      <c r="S232" s="53"/>
      <c r="T232" s="53"/>
      <c r="U232" s="53"/>
      <c r="V232" s="53"/>
      <c r="W232" s="53"/>
      <c r="X232" s="53"/>
      <c r="Y232" s="53"/>
    </row>
    <row r="233">
      <c r="A233" s="563" t="s">
        <v>1185</v>
      </c>
      <c r="B233" s="564"/>
      <c r="C233" s="565">
        <f>sum($E161:$E181)</f>
        <v>24</v>
      </c>
      <c r="D233" s="566"/>
      <c r="E233" s="566"/>
      <c r="F233" s="566"/>
      <c r="G233" s="566"/>
      <c r="H233" s="566"/>
      <c r="I233" s="535"/>
      <c r="J233" s="535"/>
      <c r="K233" s="535"/>
      <c r="L233" s="535"/>
      <c r="M233" s="555"/>
      <c r="N233" s="555"/>
      <c r="O233" s="555"/>
      <c r="P233" s="84"/>
      <c r="Q233" s="84"/>
      <c r="R233" s="84"/>
      <c r="S233" s="84"/>
      <c r="T233" s="84"/>
      <c r="U233" s="84"/>
      <c r="V233" s="84"/>
      <c r="W233" s="84"/>
      <c r="X233" s="84"/>
      <c r="Y233" s="84"/>
    </row>
    <row r="234">
      <c r="A234" s="159"/>
      <c r="B234" s="574"/>
      <c r="C234" s="159"/>
      <c r="D234" s="568"/>
      <c r="E234" s="568"/>
      <c r="F234" s="568"/>
      <c r="G234" s="568"/>
      <c r="H234" s="568"/>
      <c r="I234" s="547"/>
      <c r="J234" s="547"/>
      <c r="K234" s="547"/>
      <c r="L234" s="547"/>
      <c r="M234" s="551"/>
      <c r="N234" s="551"/>
      <c r="O234" s="551"/>
      <c r="P234" s="53"/>
      <c r="Q234" s="53"/>
      <c r="R234" s="53"/>
      <c r="S234" s="53"/>
      <c r="T234" s="53"/>
      <c r="U234" s="53"/>
      <c r="V234" s="53"/>
      <c r="W234" s="53"/>
      <c r="X234" s="53"/>
      <c r="Y234" s="53"/>
    </row>
    <row r="235">
      <c r="A235" s="80"/>
      <c r="B235" s="564"/>
      <c r="C235" s="80"/>
      <c r="D235" s="566"/>
      <c r="E235" s="566"/>
      <c r="F235" s="566"/>
      <c r="G235" s="566"/>
      <c r="H235" s="566"/>
      <c r="I235" s="535"/>
      <c r="J235" s="535"/>
      <c r="K235" s="535"/>
      <c r="L235" s="535"/>
      <c r="M235" s="555"/>
      <c r="N235" s="555"/>
      <c r="O235" s="555"/>
      <c r="P235" s="84"/>
      <c r="Q235" s="84"/>
      <c r="R235" s="84"/>
      <c r="S235" s="84"/>
      <c r="T235" s="84"/>
      <c r="U235" s="84"/>
      <c r="V235" s="84"/>
      <c r="W235" s="84"/>
      <c r="X235" s="84"/>
      <c r="Y235" s="84"/>
    </row>
    <row r="236">
      <c r="A236" s="543"/>
      <c r="B236" s="542"/>
      <c r="C236" s="543"/>
      <c r="D236" s="544"/>
      <c r="E236" s="545"/>
      <c r="F236" s="544"/>
      <c r="G236" s="546"/>
      <c r="H236" s="546"/>
      <c r="I236" s="547"/>
      <c r="J236" s="547"/>
      <c r="K236" s="547"/>
      <c r="L236" s="547"/>
      <c r="M236" s="551"/>
      <c r="N236" s="551"/>
      <c r="O236" s="551"/>
      <c r="P236" s="53"/>
      <c r="Q236" s="53"/>
      <c r="R236" s="53"/>
      <c r="S236" s="53"/>
      <c r="T236" s="53"/>
      <c r="U236" s="53"/>
      <c r="V236" s="53"/>
      <c r="W236" s="53"/>
      <c r="X236" s="53"/>
      <c r="Y236" s="53"/>
    </row>
    <row r="237">
      <c r="A237" s="530"/>
      <c r="B237" s="531"/>
      <c r="C237" s="530"/>
      <c r="D237" s="532"/>
      <c r="E237" s="533"/>
      <c r="F237" s="532"/>
      <c r="G237" s="534"/>
      <c r="H237" s="534"/>
      <c r="I237" s="535"/>
      <c r="J237" s="535"/>
      <c r="K237" s="535"/>
      <c r="L237" s="535"/>
      <c r="M237" s="555"/>
      <c r="N237" s="555"/>
      <c r="O237" s="555"/>
      <c r="P237" s="84"/>
      <c r="Q237" s="84"/>
      <c r="R237" s="84"/>
      <c r="S237" s="84"/>
      <c r="T237" s="84"/>
      <c r="U237" s="84"/>
      <c r="V237" s="84"/>
      <c r="W237" s="84"/>
      <c r="X237" s="84"/>
      <c r="Y237" s="84"/>
    </row>
    <row r="238">
      <c r="A238" s="579" t="s">
        <v>1186</v>
      </c>
      <c r="B238" s="574"/>
      <c r="C238" s="583">
        <f>SUM('Adapter&amp;สาย&amp;Flim'!$L2:$L33)</f>
        <v>327</v>
      </c>
      <c r="D238" s="544"/>
      <c r="E238" s="545"/>
      <c r="F238" s="544"/>
      <c r="G238" s="546"/>
      <c r="H238" s="546"/>
      <c r="I238" s="547"/>
      <c r="J238" s="547"/>
      <c r="K238" s="547"/>
      <c r="L238" s="547"/>
      <c r="M238" s="551"/>
      <c r="N238" s="551"/>
      <c r="O238" s="551"/>
      <c r="P238" s="53"/>
      <c r="Q238" s="53"/>
      <c r="R238" s="53"/>
      <c r="S238" s="53"/>
      <c r="T238" s="53"/>
      <c r="U238" s="53"/>
      <c r="V238" s="53"/>
      <c r="W238" s="53"/>
      <c r="X238" s="53"/>
      <c r="Y238" s="53"/>
    </row>
    <row r="239">
      <c r="A239" s="145"/>
      <c r="B239" s="564"/>
      <c r="C239" s="145"/>
      <c r="D239" s="532"/>
      <c r="E239" s="533"/>
      <c r="F239" s="532"/>
      <c r="G239" s="534"/>
      <c r="H239" s="534"/>
      <c r="I239" s="535"/>
      <c r="J239" s="535"/>
      <c r="K239" s="535"/>
      <c r="L239" s="535"/>
      <c r="M239" s="555"/>
      <c r="N239" s="555"/>
      <c r="O239" s="555"/>
      <c r="P239" s="84"/>
      <c r="Q239" s="84"/>
      <c r="R239" s="84"/>
      <c r="S239" s="84"/>
      <c r="T239" s="84"/>
      <c r="U239" s="84"/>
      <c r="V239" s="84"/>
      <c r="W239" s="84"/>
      <c r="X239" s="84"/>
      <c r="Y239" s="84"/>
    </row>
    <row r="240">
      <c r="A240" s="212"/>
      <c r="B240" s="574"/>
      <c r="C240" s="212"/>
      <c r="D240" s="544"/>
      <c r="E240" s="545"/>
      <c r="F240" s="544"/>
      <c r="G240" s="546"/>
      <c r="H240" s="546"/>
      <c r="I240" s="547"/>
      <c r="J240" s="547"/>
      <c r="K240" s="547"/>
      <c r="L240" s="547"/>
      <c r="M240" s="551"/>
      <c r="N240" s="551"/>
      <c r="O240" s="551"/>
      <c r="P240" s="53"/>
      <c r="Q240" s="53"/>
      <c r="R240" s="53"/>
      <c r="S240" s="53"/>
      <c r="T240" s="53"/>
      <c r="U240" s="53"/>
      <c r="V240" s="53"/>
      <c r="W240" s="53"/>
      <c r="X240" s="53"/>
      <c r="Y240" s="53"/>
    </row>
    <row r="241">
      <c r="A241" s="530"/>
      <c r="B241" s="531"/>
      <c r="C241" s="530"/>
      <c r="D241" s="532"/>
      <c r="E241" s="533"/>
      <c r="F241" s="532"/>
      <c r="G241" s="534"/>
      <c r="H241" s="534"/>
      <c r="I241" s="535"/>
      <c r="J241" s="535"/>
      <c r="K241" s="535"/>
      <c r="L241" s="535"/>
      <c r="M241" s="555"/>
      <c r="N241" s="555"/>
      <c r="O241" s="555"/>
      <c r="P241" s="84"/>
      <c r="Q241" s="84"/>
      <c r="R241" s="84"/>
      <c r="S241" s="84"/>
      <c r="T241" s="84"/>
      <c r="U241" s="84"/>
      <c r="V241" s="84"/>
      <c r="W241" s="84"/>
      <c r="X241" s="84"/>
      <c r="Y241" s="84"/>
    </row>
    <row r="242">
      <c r="A242" s="543"/>
      <c r="B242" s="542"/>
      <c r="C242" s="543"/>
      <c r="D242" s="544"/>
      <c r="E242" s="545"/>
      <c r="F242" s="544"/>
      <c r="G242" s="546"/>
      <c r="H242" s="546"/>
      <c r="I242" s="547"/>
      <c r="J242" s="547"/>
      <c r="K242" s="547"/>
      <c r="L242" s="547"/>
      <c r="M242" s="551"/>
      <c r="N242" s="551"/>
      <c r="O242" s="551"/>
      <c r="P242" s="53"/>
      <c r="Q242" s="53"/>
      <c r="R242" s="53"/>
      <c r="S242" s="53"/>
      <c r="T242" s="53"/>
      <c r="U242" s="53"/>
      <c r="V242" s="53"/>
      <c r="W242" s="53"/>
      <c r="X242" s="53"/>
      <c r="Y242" s="53"/>
    </row>
    <row r="243">
      <c r="A243" s="563" t="s">
        <v>1189</v>
      </c>
      <c r="B243" s="564"/>
      <c r="C243" s="585">
        <f>SUM('Adapter&amp;สาย&amp;Flim'!$D6:$D17)</f>
        <v>189</v>
      </c>
      <c r="D243" s="532"/>
      <c r="E243" s="533"/>
      <c r="F243" s="532"/>
      <c r="G243" s="534"/>
      <c r="H243" s="534"/>
      <c r="I243" s="535"/>
      <c r="J243" s="535"/>
      <c r="K243" s="535"/>
      <c r="L243" s="535"/>
      <c r="M243" s="536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</row>
    <row r="244">
      <c r="A244" s="159"/>
      <c r="B244" s="574"/>
      <c r="C244" s="159"/>
      <c r="D244" s="544"/>
      <c r="E244" s="545"/>
      <c r="F244" s="544"/>
      <c r="G244" s="546"/>
      <c r="H244" s="546"/>
      <c r="I244" s="547"/>
      <c r="J244" s="547"/>
      <c r="K244" s="547"/>
      <c r="L244" s="547"/>
      <c r="M244" s="548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</row>
    <row r="245">
      <c r="A245" s="80"/>
      <c r="B245" s="564"/>
      <c r="C245" s="80"/>
      <c r="D245" s="532"/>
      <c r="E245" s="533"/>
      <c r="F245" s="532"/>
      <c r="G245" s="534"/>
      <c r="H245" s="534"/>
      <c r="I245" s="535"/>
      <c r="J245" s="535"/>
      <c r="K245" s="535"/>
      <c r="L245" s="535"/>
      <c r="M245" s="536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</row>
    <row r="246">
      <c r="A246" s="543"/>
      <c r="B246" s="542"/>
      <c r="C246" s="543"/>
      <c r="D246" s="544"/>
      <c r="E246" s="545"/>
      <c r="F246" s="544"/>
      <c r="G246" s="546"/>
      <c r="H246" s="546"/>
      <c r="I246" s="547"/>
      <c r="J246" s="547"/>
      <c r="K246" s="547"/>
      <c r="L246" s="547"/>
      <c r="M246" s="548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</row>
    <row r="247">
      <c r="A247" s="530"/>
      <c r="B247" s="531"/>
      <c r="C247" s="530"/>
      <c r="D247" s="532"/>
      <c r="E247" s="533"/>
      <c r="F247" s="532"/>
      <c r="G247" s="534"/>
      <c r="H247" s="534"/>
      <c r="I247" s="535"/>
      <c r="J247" s="535"/>
      <c r="K247" s="535"/>
      <c r="L247" s="535"/>
      <c r="M247" s="536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</row>
    <row r="248">
      <c r="A248" s="543"/>
      <c r="B248" s="542"/>
      <c r="C248" s="543"/>
      <c r="D248" s="544"/>
      <c r="E248" s="545"/>
      <c r="F248" s="544"/>
      <c r="G248" s="546"/>
      <c r="H248" s="546"/>
      <c r="I248" s="547"/>
      <c r="J248" s="547"/>
      <c r="K248" s="547"/>
      <c r="L248" s="547"/>
      <c r="M248" s="548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</row>
    <row r="249">
      <c r="A249" s="530"/>
      <c r="B249" s="531"/>
      <c r="C249" s="530"/>
      <c r="D249" s="532"/>
      <c r="E249" s="533"/>
      <c r="F249" s="532"/>
      <c r="G249" s="534"/>
      <c r="H249" s="534"/>
      <c r="I249" s="535"/>
      <c r="J249" s="535"/>
      <c r="K249" s="535"/>
      <c r="L249" s="535"/>
      <c r="M249" s="536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</row>
    <row r="250">
      <c r="A250" s="543"/>
      <c r="B250" s="542"/>
      <c r="C250" s="543"/>
      <c r="D250" s="544"/>
      <c r="E250" s="545"/>
      <c r="F250" s="544"/>
      <c r="G250" s="546"/>
      <c r="H250" s="546"/>
      <c r="I250" s="547"/>
      <c r="J250" s="547"/>
      <c r="K250" s="547"/>
      <c r="L250" s="547"/>
      <c r="M250" s="548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</row>
    <row r="251">
      <c r="A251" s="530"/>
      <c r="B251" s="531"/>
      <c r="C251" s="530"/>
      <c r="D251" s="532"/>
      <c r="E251" s="533"/>
      <c r="F251" s="532"/>
      <c r="G251" s="534"/>
      <c r="H251" s="534"/>
      <c r="I251" s="535"/>
      <c r="J251" s="535"/>
      <c r="K251" s="535"/>
      <c r="L251" s="535"/>
      <c r="M251" s="536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</row>
    <row r="252">
      <c r="A252" s="543"/>
      <c r="B252" s="542"/>
      <c r="C252" s="543"/>
      <c r="D252" s="544"/>
      <c r="E252" s="545"/>
      <c r="F252" s="544"/>
      <c r="G252" s="546"/>
      <c r="H252" s="546"/>
      <c r="I252" s="547"/>
      <c r="J252" s="547"/>
      <c r="K252" s="547"/>
      <c r="L252" s="547"/>
      <c r="M252" s="548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</row>
    <row r="253">
      <c r="A253" s="530"/>
      <c r="B253" s="531"/>
      <c r="C253" s="530"/>
      <c r="D253" s="532"/>
      <c r="E253" s="533"/>
      <c r="F253" s="532"/>
      <c r="G253" s="534"/>
      <c r="H253" s="534"/>
      <c r="I253" s="535"/>
      <c r="J253" s="535"/>
      <c r="K253" s="535"/>
      <c r="L253" s="535"/>
      <c r="M253" s="536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</row>
    <row r="254">
      <c r="A254" s="543"/>
      <c r="B254" s="542"/>
      <c r="C254" s="543"/>
      <c r="D254" s="544"/>
      <c r="E254" s="545"/>
      <c r="F254" s="544"/>
      <c r="G254" s="546"/>
      <c r="H254" s="546"/>
      <c r="I254" s="547"/>
      <c r="J254" s="547"/>
      <c r="K254" s="547"/>
      <c r="L254" s="547"/>
      <c r="M254" s="548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</row>
    <row r="255">
      <c r="A255" s="530"/>
      <c r="B255" s="531"/>
      <c r="C255" s="530"/>
      <c r="D255" s="532"/>
      <c r="E255" s="533"/>
      <c r="F255" s="532"/>
      <c r="G255" s="534"/>
      <c r="H255" s="534"/>
      <c r="I255" s="535"/>
      <c r="J255" s="535"/>
      <c r="K255" s="535"/>
      <c r="L255" s="535"/>
      <c r="M255" s="536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</row>
    <row r="256">
      <c r="A256" s="543"/>
      <c r="B256" s="542"/>
      <c r="C256" s="543"/>
      <c r="D256" s="544"/>
      <c r="E256" s="545"/>
      <c r="F256" s="544"/>
      <c r="G256" s="546"/>
      <c r="H256" s="546"/>
      <c r="I256" s="547"/>
      <c r="J256" s="547"/>
      <c r="K256" s="547"/>
      <c r="L256" s="547"/>
      <c r="M256" s="548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</row>
    <row r="257">
      <c r="A257" s="530"/>
      <c r="B257" s="531"/>
      <c r="C257" s="530"/>
      <c r="D257" s="532"/>
      <c r="E257" s="533"/>
      <c r="F257" s="532"/>
      <c r="G257" s="534"/>
      <c r="H257" s="534"/>
      <c r="I257" s="535"/>
      <c r="J257" s="535"/>
      <c r="K257" s="535"/>
      <c r="L257" s="535"/>
      <c r="M257" s="536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</row>
    <row r="258">
      <c r="A258" s="543"/>
      <c r="B258" s="542"/>
      <c r="C258" s="543"/>
      <c r="D258" s="544"/>
      <c r="E258" s="545"/>
      <c r="F258" s="544"/>
      <c r="G258" s="546"/>
      <c r="H258" s="546"/>
      <c r="I258" s="547"/>
      <c r="J258" s="547"/>
      <c r="K258" s="547"/>
      <c r="L258" s="547"/>
      <c r="M258" s="548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</row>
    <row r="259">
      <c r="A259" s="530"/>
      <c r="B259" s="531"/>
      <c r="C259" s="530"/>
      <c r="D259" s="532"/>
      <c r="E259" s="533"/>
      <c r="F259" s="532"/>
      <c r="G259" s="534"/>
      <c r="H259" s="534"/>
      <c r="I259" s="535"/>
      <c r="J259" s="535"/>
      <c r="K259" s="535"/>
      <c r="L259" s="535"/>
      <c r="M259" s="536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</row>
    <row r="260">
      <c r="A260" s="543"/>
      <c r="B260" s="542"/>
      <c r="C260" s="543"/>
      <c r="D260" s="544"/>
      <c r="E260" s="545"/>
      <c r="F260" s="544"/>
      <c r="G260" s="546"/>
      <c r="H260" s="546"/>
      <c r="I260" s="547"/>
      <c r="J260" s="547"/>
      <c r="K260" s="547"/>
      <c r="L260" s="547"/>
      <c r="M260" s="548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</row>
    <row r="261">
      <c r="A261" s="530"/>
      <c r="B261" s="531"/>
      <c r="C261" s="530"/>
      <c r="D261" s="532"/>
      <c r="E261" s="533"/>
      <c r="F261" s="532"/>
      <c r="G261" s="534"/>
      <c r="H261" s="534"/>
      <c r="I261" s="535"/>
      <c r="J261" s="535"/>
      <c r="K261" s="535"/>
      <c r="L261" s="535"/>
      <c r="M261" s="536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</row>
    <row r="262">
      <c r="A262" s="543"/>
      <c r="B262" s="542"/>
      <c r="C262" s="543"/>
      <c r="D262" s="544"/>
      <c r="E262" s="545"/>
      <c r="F262" s="544"/>
      <c r="G262" s="546"/>
      <c r="H262" s="546"/>
      <c r="I262" s="547"/>
      <c r="J262" s="547"/>
      <c r="K262" s="547"/>
      <c r="L262" s="547"/>
      <c r="M262" s="548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</row>
    <row r="263">
      <c r="A263" s="530"/>
      <c r="B263" s="531"/>
      <c r="C263" s="530"/>
      <c r="D263" s="532"/>
      <c r="E263" s="533"/>
      <c r="F263" s="532"/>
      <c r="G263" s="534"/>
      <c r="H263" s="534"/>
      <c r="I263" s="535"/>
      <c r="J263" s="535"/>
      <c r="K263" s="535"/>
      <c r="L263" s="535"/>
      <c r="M263" s="536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</row>
    <row r="264">
      <c r="A264" s="543"/>
      <c r="B264" s="542"/>
      <c r="C264" s="543"/>
      <c r="D264" s="544"/>
      <c r="E264" s="545"/>
      <c r="F264" s="544"/>
      <c r="G264" s="546"/>
      <c r="H264" s="546"/>
      <c r="I264" s="547"/>
      <c r="J264" s="547"/>
      <c r="K264" s="547"/>
      <c r="L264" s="547"/>
      <c r="M264" s="548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</row>
    <row r="265">
      <c r="A265" s="530"/>
      <c r="B265" s="531"/>
      <c r="C265" s="530"/>
      <c r="D265" s="532"/>
      <c r="E265" s="533"/>
      <c r="F265" s="532"/>
      <c r="G265" s="534"/>
      <c r="H265" s="534"/>
      <c r="I265" s="535"/>
      <c r="J265" s="535"/>
      <c r="K265" s="535"/>
      <c r="L265" s="535"/>
      <c r="M265" s="536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</row>
    <row r="266">
      <c r="A266" s="543"/>
      <c r="B266" s="542"/>
      <c r="C266" s="543"/>
      <c r="D266" s="544"/>
      <c r="E266" s="545"/>
      <c r="F266" s="544"/>
      <c r="G266" s="546"/>
      <c r="H266" s="546"/>
      <c r="I266" s="547"/>
      <c r="J266" s="547"/>
      <c r="K266" s="547"/>
      <c r="L266" s="547"/>
      <c r="M266" s="548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</row>
    <row r="267">
      <c r="A267" s="530"/>
      <c r="B267" s="531"/>
      <c r="C267" s="530"/>
      <c r="D267" s="532"/>
      <c r="E267" s="533"/>
      <c r="F267" s="532"/>
      <c r="G267" s="534"/>
      <c r="H267" s="534"/>
      <c r="I267" s="535"/>
      <c r="J267" s="535"/>
      <c r="K267" s="535"/>
      <c r="L267" s="535"/>
      <c r="M267" s="536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</row>
    <row r="268">
      <c r="A268" s="543"/>
      <c r="B268" s="542"/>
      <c r="C268" s="543"/>
      <c r="D268" s="544"/>
      <c r="E268" s="545"/>
      <c r="F268" s="544"/>
      <c r="G268" s="546"/>
      <c r="H268" s="546"/>
      <c r="I268" s="547"/>
      <c r="J268" s="547"/>
      <c r="K268" s="547"/>
      <c r="L268" s="547"/>
      <c r="M268" s="548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</row>
    <row r="269">
      <c r="A269" s="530"/>
      <c r="B269" s="531"/>
      <c r="C269" s="530"/>
      <c r="D269" s="532"/>
      <c r="E269" s="533"/>
      <c r="F269" s="532"/>
      <c r="G269" s="534"/>
      <c r="H269" s="534"/>
      <c r="I269" s="535"/>
      <c r="J269" s="535"/>
      <c r="K269" s="535"/>
      <c r="L269" s="535"/>
      <c r="M269" s="536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</row>
    <row r="270">
      <c r="A270" s="543"/>
      <c r="B270" s="542"/>
      <c r="C270" s="543"/>
      <c r="D270" s="544"/>
      <c r="E270" s="545"/>
      <c r="F270" s="544"/>
      <c r="G270" s="546"/>
      <c r="H270" s="546"/>
      <c r="I270" s="547"/>
      <c r="J270" s="547"/>
      <c r="K270" s="547"/>
      <c r="L270" s="547"/>
      <c r="M270" s="548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</row>
    <row r="271">
      <c r="A271" s="530"/>
      <c r="B271" s="531"/>
      <c r="C271" s="530"/>
      <c r="D271" s="532"/>
      <c r="E271" s="533"/>
      <c r="F271" s="532"/>
      <c r="G271" s="534"/>
      <c r="H271" s="534"/>
      <c r="I271" s="535"/>
      <c r="J271" s="535"/>
      <c r="K271" s="535"/>
      <c r="L271" s="535"/>
      <c r="M271" s="536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</row>
    <row r="272">
      <c r="A272" s="543"/>
      <c r="B272" s="542"/>
      <c r="C272" s="543"/>
      <c r="D272" s="544"/>
      <c r="E272" s="545"/>
      <c r="F272" s="544"/>
      <c r="G272" s="546"/>
      <c r="H272" s="546"/>
      <c r="I272" s="547"/>
      <c r="J272" s="547"/>
      <c r="K272" s="547"/>
      <c r="L272" s="547"/>
      <c r="M272" s="548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</row>
    <row r="273">
      <c r="A273" s="530"/>
      <c r="B273" s="531"/>
      <c r="C273" s="530"/>
      <c r="D273" s="532"/>
      <c r="E273" s="533"/>
      <c r="F273" s="532"/>
      <c r="G273" s="534"/>
      <c r="H273" s="534"/>
      <c r="I273" s="535"/>
      <c r="J273" s="535"/>
      <c r="K273" s="535"/>
      <c r="L273" s="535"/>
      <c r="M273" s="536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</row>
    <row r="274">
      <c r="A274" s="543"/>
      <c r="B274" s="542"/>
      <c r="C274" s="543"/>
      <c r="D274" s="544"/>
      <c r="E274" s="545"/>
      <c r="F274" s="544"/>
      <c r="G274" s="546"/>
      <c r="H274" s="546"/>
      <c r="I274" s="547"/>
      <c r="J274" s="547"/>
      <c r="K274" s="547"/>
      <c r="L274" s="547"/>
      <c r="M274" s="548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</row>
    <row r="275">
      <c r="A275" s="530"/>
      <c r="B275" s="531"/>
      <c r="C275" s="530"/>
      <c r="D275" s="532"/>
      <c r="E275" s="533"/>
      <c r="F275" s="532"/>
      <c r="G275" s="534"/>
      <c r="H275" s="534"/>
      <c r="I275" s="535"/>
      <c r="J275" s="535"/>
      <c r="K275" s="535"/>
      <c r="L275" s="535"/>
      <c r="M275" s="536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</row>
    <row r="276">
      <c r="A276" s="543"/>
      <c r="B276" s="542"/>
      <c r="C276" s="543"/>
      <c r="D276" s="544"/>
      <c r="E276" s="545"/>
      <c r="F276" s="544"/>
      <c r="G276" s="546"/>
      <c r="H276" s="546"/>
      <c r="I276" s="547"/>
      <c r="J276" s="547"/>
      <c r="K276" s="547"/>
      <c r="L276" s="547"/>
      <c r="M276" s="548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</row>
    <row r="277">
      <c r="A277" s="530"/>
      <c r="B277" s="531"/>
      <c r="C277" s="530"/>
      <c r="D277" s="532"/>
      <c r="E277" s="533"/>
      <c r="F277" s="532"/>
      <c r="G277" s="534"/>
      <c r="H277" s="534"/>
      <c r="I277" s="535"/>
      <c r="J277" s="535"/>
      <c r="K277" s="535"/>
      <c r="L277" s="535"/>
      <c r="M277" s="536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</row>
    <row r="278">
      <c r="A278" s="543"/>
      <c r="B278" s="542"/>
      <c r="C278" s="543"/>
      <c r="D278" s="544"/>
      <c r="E278" s="545"/>
      <c r="F278" s="544"/>
      <c r="G278" s="546"/>
      <c r="H278" s="546"/>
      <c r="I278" s="547"/>
      <c r="J278" s="547"/>
      <c r="K278" s="547"/>
      <c r="L278" s="547"/>
      <c r="M278" s="548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</row>
    <row r="279">
      <c r="A279" s="530"/>
      <c r="B279" s="531"/>
      <c r="C279" s="530"/>
      <c r="D279" s="532"/>
      <c r="E279" s="533"/>
      <c r="F279" s="532"/>
      <c r="G279" s="534"/>
      <c r="H279" s="534"/>
      <c r="I279" s="535"/>
      <c r="J279" s="535"/>
      <c r="K279" s="535"/>
      <c r="L279" s="535"/>
      <c r="M279" s="536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</row>
    <row r="280">
      <c r="A280" s="543"/>
      <c r="B280" s="542"/>
      <c r="C280" s="543"/>
      <c r="D280" s="544"/>
      <c r="E280" s="545"/>
      <c r="F280" s="544"/>
      <c r="G280" s="546"/>
      <c r="H280" s="546"/>
      <c r="I280" s="547"/>
      <c r="J280" s="547"/>
      <c r="K280" s="547"/>
      <c r="L280" s="547"/>
      <c r="M280" s="548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</row>
    <row r="281">
      <c r="A281" s="530"/>
      <c r="B281" s="531"/>
      <c r="C281" s="530"/>
      <c r="D281" s="532"/>
      <c r="E281" s="533"/>
      <c r="F281" s="532"/>
      <c r="G281" s="534"/>
      <c r="H281" s="534"/>
      <c r="I281" s="535"/>
      <c r="J281" s="535"/>
      <c r="K281" s="535"/>
      <c r="L281" s="535"/>
      <c r="M281" s="536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</row>
    <row r="282">
      <c r="A282" s="543"/>
      <c r="B282" s="542"/>
      <c r="C282" s="543"/>
      <c r="D282" s="544"/>
      <c r="E282" s="545"/>
      <c r="F282" s="544"/>
      <c r="G282" s="546"/>
      <c r="H282" s="546"/>
      <c r="I282" s="547"/>
      <c r="J282" s="547"/>
      <c r="K282" s="547"/>
      <c r="L282" s="547"/>
      <c r="M282" s="548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</row>
    <row r="283">
      <c r="A283" s="530"/>
      <c r="B283" s="531"/>
      <c r="C283" s="530"/>
      <c r="D283" s="532"/>
      <c r="E283" s="533"/>
      <c r="F283" s="532"/>
      <c r="G283" s="534"/>
      <c r="H283" s="534"/>
      <c r="I283" s="535"/>
      <c r="J283" s="535"/>
      <c r="K283" s="535"/>
      <c r="L283" s="535"/>
      <c r="M283" s="536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</row>
    <row r="284">
      <c r="A284" s="543"/>
      <c r="B284" s="542"/>
      <c r="C284" s="543"/>
      <c r="D284" s="544"/>
      <c r="E284" s="545"/>
      <c r="F284" s="544"/>
      <c r="G284" s="546"/>
      <c r="H284" s="546"/>
      <c r="I284" s="547"/>
      <c r="J284" s="547"/>
      <c r="K284" s="547"/>
      <c r="L284" s="547"/>
      <c r="M284" s="548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</row>
    <row r="285">
      <c r="A285" s="530"/>
      <c r="B285" s="531"/>
      <c r="C285" s="530"/>
      <c r="D285" s="532"/>
      <c r="E285" s="533"/>
      <c r="F285" s="532"/>
      <c r="G285" s="534"/>
      <c r="H285" s="534"/>
      <c r="I285" s="535"/>
      <c r="J285" s="535"/>
      <c r="K285" s="535"/>
      <c r="L285" s="535"/>
      <c r="M285" s="536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</row>
    <row r="286">
      <c r="A286" s="543"/>
      <c r="B286" s="542"/>
      <c r="C286" s="543"/>
      <c r="D286" s="544"/>
      <c r="E286" s="545"/>
      <c r="F286" s="544"/>
      <c r="G286" s="546"/>
      <c r="H286" s="546"/>
      <c r="I286" s="547"/>
      <c r="J286" s="547"/>
      <c r="K286" s="547"/>
      <c r="L286" s="547"/>
      <c r="M286" s="548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</row>
    <row r="287">
      <c r="A287" s="530"/>
      <c r="B287" s="531"/>
      <c r="C287" s="530"/>
      <c r="D287" s="532"/>
      <c r="E287" s="533"/>
      <c r="F287" s="532"/>
      <c r="G287" s="534"/>
      <c r="H287" s="534"/>
      <c r="I287" s="535"/>
      <c r="J287" s="535"/>
      <c r="K287" s="535"/>
      <c r="L287" s="535"/>
      <c r="M287" s="536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</row>
    <row r="288">
      <c r="A288" s="543"/>
      <c r="B288" s="542"/>
      <c r="C288" s="543"/>
      <c r="D288" s="544"/>
      <c r="E288" s="545"/>
      <c r="F288" s="544"/>
      <c r="G288" s="546"/>
      <c r="H288" s="546"/>
      <c r="I288" s="547"/>
      <c r="J288" s="547"/>
      <c r="K288" s="547"/>
      <c r="L288" s="547"/>
      <c r="M288" s="548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</row>
    <row r="289">
      <c r="A289" s="530"/>
      <c r="B289" s="531"/>
      <c r="C289" s="530"/>
      <c r="D289" s="532"/>
      <c r="E289" s="533"/>
      <c r="F289" s="532"/>
      <c r="G289" s="534"/>
      <c r="H289" s="534"/>
      <c r="I289" s="535"/>
      <c r="J289" s="535"/>
      <c r="K289" s="535"/>
      <c r="L289" s="535"/>
      <c r="M289" s="536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</row>
    <row r="290">
      <c r="A290" s="543"/>
      <c r="B290" s="542"/>
      <c r="C290" s="543"/>
      <c r="D290" s="544"/>
      <c r="E290" s="545"/>
      <c r="F290" s="544"/>
      <c r="G290" s="546"/>
      <c r="H290" s="546"/>
      <c r="I290" s="547"/>
      <c r="J290" s="547"/>
      <c r="K290" s="547"/>
      <c r="L290" s="547"/>
      <c r="M290" s="548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</row>
    <row r="291">
      <c r="A291" s="530"/>
      <c r="B291" s="531"/>
      <c r="C291" s="530"/>
      <c r="D291" s="532"/>
      <c r="E291" s="533"/>
      <c r="F291" s="532"/>
      <c r="G291" s="534"/>
      <c r="H291" s="534"/>
      <c r="I291" s="535"/>
      <c r="J291" s="535"/>
      <c r="K291" s="535"/>
      <c r="L291" s="535"/>
      <c r="M291" s="536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</row>
    <row r="292">
      <c r="A292" s="543"/>
      <c r="B292" s="542"/>
      <c r="C292" s="543"/>
      <c r="D292" s="544"/>
      <c r="E292" s="545"/>
      <c r="F292" s="544"/>
      <c r="G292" s="546"/>
      <c r="H292" s="546"/>
      <c r="I292" s="547"/>
      <c r="J292" s="547"/>
      <c r="K292" s="547"/>
      <c r="L292" s="547"/>
      <c r="M292" s="548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</row>
    <row r="293">
      <c r="A293" s="530"/>
      <c r="B293" s="531"/>
      <c r="C293" s="530"/>
      <c r="D293" s="532"/>
      <c r="E293" s="533"/>
      <c r="F293" s="532"/>
      <c r="G293" s="534"/>
      <c r="H293" s="534"/>
      <c r="I293" s="535"/>
      <c r="J293" s="535"/>
      <c r="K293" s="535"/>
      <c r="L293" s="535"/>
      <c r="M293" s="536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</row>
    <row r="294">
      <c r="A294" s="543"/>
      <c r="B294" s="542"/>
      <c r="C294" s="543"/>
      <c r="D294" s="544"/>
      <c r="E294" s="545"/>
      <c r="F294" s="544"/>
      <c r="G294" s="546"/>
      <c r="H294" s="546"/>
      <c r="I294" s="547"/>
      <c r="J294" s="547"/>
      <c r="K294" s="547"/>
      <c r="L294" s="547"/>
      <c r="M294" s="548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</row>
    <row r="295">
      <c r="A295" s="530"/>
      <c r="B295" s="531"/>
      <c r="C295" s="530"/>
      <c r="D295" s="532"/>
      <c r="E295" s="533"/>
      <c r="F295" s="532"/>
      <c r="G295" s="534"/>
      <c r="H295" s="534"/>
      <c r="I295" s="535"/>
      <c r="J295" s="535"/>
      <c r="K295" s="535"/>
      <c r="L295" s="535"/>
      <c r="M295" s="536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</row>
    <row r="296">
      <c r="A296" s="543"/>
      <c r="B296" s="542"/>
      <c r="C296" s="543"/>
      <c r="D296" s="544"/>
      <c r="E296" s="545"/>
      <c r="F296" s="544"/>
      <c r="G296" s="546"/>
      <c r="H296" s="546"/>
      <c r="I296" s="547"/>
      <c r="J296" s="547"/>
      <c r="K296" s="547"/>
      <c r="L296" s="547"/>
      <c r="M296" s="548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</row>
    <row r="297">
      <c r="A297" s="530"/>
      <c r="B297" s="531"/>
      <c r="C297" s="530"/>
      <c r="D297" s="532"/>
      <c r="E297" s="533"/>
      <c r="F297" s="532"/>
      <c r="G297" s="534"/>
      <c r="H297" s="534"/>
      <c r="I297" s="535"/>
      <c r="J297" s="535"/>
      <c r="K297" s="535"/>
      <c r="L297" s="535"/>
      <c r="M297" s="536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</row>
    <row r="298">
      <c r="A298" s="543"/>
      <c r="B298" s="542"/>
      <c r="C298" s="543"/>
      <c r="D298" s="544"/>
      <c r="E298" s="545"/>
      <c r="F298" s="544"/>
      <c r="G298" s="546"/>
      <c r="H298" s="546"/>
      <c r="I298" s="547"/>
      <c r="J298" s="547"/>
      <c r="K298" s="547"/>
      <c r="L298" s="547"/>
      <c r="M298" s="548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</row>
    <row r="299">
      <c r="A299" s="530"/>
      <c r="B299" s="531"/>
      <c r="C299" s="530"/>
      <c r="D299" s="532"/>
      <c r="E299" s="533"/>
      <c r="F299" s="532"/>
      <c r="G299" s="534"/>
      <c r="H299" s="534"/>
      <c r="I299" s="535"/>
      <c r="J299" s="535"/>
      <c r="K299" s="535"/>
      <c r="L299" s="535"/>
      <c r="M299" s="536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</row>
    <row r="300">
      <c r="A300" s="543"/>
      <c r="B300" s="542"/>
      <c r="C300" s="543"/>
      <c r="D300" s="544"/>
      <c r="E300" s="545"/>
      <c r="F300" s="544"/>
      <c r="G300" s="546"/>
      <c r="H300" s="546"/>
      <c r="I300" s="547"/>
      <c r="J300" s="547"/>
      <c r="K300" s="547"/>
      <c r="L300" s="547"/>
      <c r="M300" s="548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</row>
    <row r="301">
      <c r="A301" s="530"/>
      <c r="B301" s="531"/>
      <c r="C301" s="530"/>
      <c r="D301" s="532"/>
      <c r="E301" s="533"/>
      <c r="F301" s="532"/>
      <c r="G301" s="534"/>
      <c r="H301" s="534"/>
      <c r="I301" s="535"/>
      <c r="J301" s="535"/>
      <c r="K301" s="535"/>
      <c r="L301" s="535"/>
      <c r="M301" s="536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</row>
    <row r="302">
      <c r="A302" s="543"/>
      <c r="B302" s="542"/>
      <c r="C302" s="543"/>
      <c r="D302" s="544"/>
      <c r="E302" s="545"/>
      <c r="F302" s="544"/>
      <c r="G302" s="546"/>
      <c r="H302" s="546"/>
      <c r="I302" s="547"/>
      <c r="J302" s="547"/>
      <c r="K302" s="547"/>
      <c r="L302" s="547"/>
      <c r="M302" s="548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</row>
    <row r="303">
      <c r="A303" s="530"/>
      <c r="B303" s="531"/>
      <c r="C303" s="530"/>
      <c r="D303" s="532"/>
      <c r="E303" s="533"/>
      <c r="F303" s="532"/>
      <c r="G303" s="534"/>
      <c r="H303" s="534"/>
      <c r="I303" s="535"/>
      <c r="J303" s="535"/>
      <c r="K303" s="535"/>
      <c r="L303" s="535"/>
      <c r="M303" s="536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</row>
    <row r="304">
      <c r="A304" s="543"/>
      <c r="B304" s="542"/>
      <c r="C304" s="543"/>
      <c r="D304" s="544"/>
      <c r="E304" s="545"/>
      <c r="F304" s="544"/>
      <c r="G304" s="546"/>
      <c r="H304" s="546"/>
      <c r="I304" s="547"/>
      <c r="J304" s="547"/>
      <c r="K304" s="547"/>
      <c r="L304" s="547"/>
      <c r="M304" s="548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</row>
    <row r="305">
      <c r="A305" s="530"/>
      <c r="B305" s="531"/>
      <c r="C305" s="530"/>
      <c r="D305" s="532"/>
      <c r="E305" s="533"/>
      <c r="F305" s="532"/>
      <c r="G305" s="534"/>
      <c r="H305" s="534"/>
      <c r="I305" s="535"/>
      <c r="J305" s="535"/>
      <c r="K305" s="535"/>
      <c r="L305" s="535"/>
      <c r="M305" s="536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</row>
    <row r="306">
      <c r="A306" s="543"/>
      <c r="B306" s="542"/>
      <c r="C306" s="543"/>
      <c r="D306" s="544"/>
      <c r="E306" s="545"/>
      <c r="F306" s="544"/>
      <c r="G306" s="546"/>
      <c r="H306" s="546"/>
      <c r="I306" s="547"/>
      <c r="J306" s="547"/>
      <c r="K306" s="547"/>
      <c r="L306" s="547"/>
      <c r="M306" s="548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</row>
    <row r="307">
      <c r="A307" s="530"/>
      <c r="B307" s="531"/>
      <c r="C307" s="530"/>
      <c r="D307" s="532"/>
      <c r="E307" s="533"/>
      <c r="F307" s="532"/>
      <c r="G307" s="534"/>
      <c r="H307" s="534"/>
      <c r="I307" s="535"/>
      <c r="J307" s="535"/>
      <c r="K307" s="535"/>
      <c r="L307" s="535"/>
      <c r="M307" s="536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</row>
    <row r="308">
      <c r="A308" s="543"/>
      <c r="B308" s="542"/>
      <c r="C308" s="543"/>
      <c r="D308" s="544"/>
      <c r="E308" s="545"/>
      <c r="F308" s="544"/>
      <c r="G308" s="546"/>
      <c r="H308" s="546"/>
      <c r="I308" s="547"/>
      <c r="J308" s="547"/>
      <c r="K308" s="547"/>
      <c r="L308" s="547"/>
      <c r="M308" s="548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</row>
    <row r="309">
      <c r="A309" s="530"/>
      <c r="B309" s="531"/>
      <c r="C309" s="530"/>
      <c r="D309" s="532"/>
      <c r="E309" s="533"/>
      <c r="F309" s="532"/>
      <c r="G309" s="534"/>
      <c r="H309" s="534"/>
      <c r="I309" s="535"/>
      <c r="J309" s="535"/>
      <c r="K309" s="535"/>
      <c r="L309" s="535"/>
      <c r="M309" s="536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</row>
    <row r="310">
      <c r="A310" s="543"/>
      <c r="B310" s="542"/>
      <c r="C310" s="543"/>
      <c r="D310" s="544"/>
      <c r="E310" s="545"/>
      <c r="F310" s="544"/>
      <c r="G310" s="546"/>
      <c r="H310" s="546"/>
      <c r="I310" s="547"/>
      <c r="J310" s="547"/>
      <c r="K310" s="547"/>
      <c r="L310" s="547"/>
      <c r="M310" s="548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</row>
    <row r="311">
      <c r="A311" s="530"/>
      <c r="B311" s="531"/>
      <c r="C311" s="530"/>
      <c r="D311" s="532"/>
      <c r="E311" s="533"/>
      <c r="F311" s="532"/>
      <c r="G311" s="534"/>
      <c r="H311" s="534"/>
      <c r="I311" s="535"/>
      <c r="J311" s="535"/>
      <c r="K311" s="535"/>
      <c r="L311" s="535"/>
      <c r="M311" s="536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</row>
    <row r="312">
      <c r="A312" s="543"/>
      <c r="B312" s="542"/>
      <c r="C312" s="543"/>
      <c r="D312" s="544"/>
      <c r="E312" s="545"/>
      <c r="F312" s="544"/>
      <c r="G312" s="546"/>
      <c r="H312" s="546"/>
      <c r="I312" s="547"/>
      <c r="J312" s="547"/>
      <c r="K312" s="547"/>
      <c r="L312" s="547"/>
      <c r="M312" s="548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</row>
    <row r="313">
      <c r="A313" s="530"/>
      <c r="B313" s="531"/>
      <c r="C313" s="530"/>
      <c r="D313" s="532"/>
      <c r="E313" s="533"/>
      <c r="F313" s="532"/>
      <c r="G313" s="534"/>
      <c r="H313" s="534"/>
      <c r="I313" s="535"/>
      <c r="J313" s="535"/>
      <c r="K313" s="535"/>
      <c r="L313" s="535"/>
      <c r="M313" s="536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</row>
    <row r="314">
      <c r="A314" s="543"/>
      <c r="B314" s="542"/>
      <c r="C314" s="543"/>
      <c r="D314" s="544"/>
      <c r="E314" s="545"/>
      <c r="F314" s="544"/>
      <c r="G314" s="546"/>
      <c r="H314" s="546"/>
      <c r="I314" s="547"/>
      <c r="J314" s="547"/>
      <c r="K314" s="547"/>
      <c r="L314" s="547"/>
      <c r="M314" s="548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</row>
    <row r="315">
      <c r="A315" s="530"/>
      <c r="B315" s="531"/>
      <c r="C315" s="530"/>
      <c r="D315" s="532"/>
      <c r="E315" s="533"/>
      <c r="F315" s="532"/>
      <c r="G315" s="534"/>
      <c r="H315" s="534"/>
      <c r="I315" s="535"/>
      <c r="J315" s="535"/>
      <c r="K315" s="535"/>
      <c r="L315" s="535"/>
      <c r="M315" s="536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</row>
    <row r="316">
      <c r="A316" s="543"/>
      <c r="B316" s="542"/>
      <c r="C316" s="543"/>
      <c r="D316" s="544"/>
      <c r="E316" s="545"/>
      <c r="F316" s="544"/>
      <c r="G316" s="546"/>
      <c r="H316" s="546"/>
      <c r="I316" s="547"/>
      <c r="J316" s="547"/>
      <c r="K316" s="547"/>
      <c r="L316" s="547"/>
      <c r="M316" s="548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</row>
    <row r="317">
      <c r="A317" s="530"/>
      <c r="B317" s="531"/>
      <c r="C317" s="530"/>
      <c r="D317" s="532"/>
      <c r="E317" s="533"/>
      <c r="F317" s="532"/>
      <c r="G317" s="534"/>
      <c r="H317" s="534"/>
      <c r="I317" s="535"/>
      <c r="J317" s="535"/>
      <c r="K317" s="535"/>
      <c r="L317" s="535"/>
      <c r="M317" s="536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</row>
    <row r="318">
      <c r="A318" s="543"/>
      <c r="B318" s="542"/>
      <c r="C318" s="543"/>
      <c r="D318" s="544"/>
      <c r="E318" s="545"/>
      <c r="F318" s="544"/>
      <c r="G318" s="546"/>
      <c r="H318" s="546"/>
      <c r="I318" s="547"/>
      <c r="J318" s="547"/>
      <c r="K318" s="547"/>
      <c r="L318" s="547"/>
      <c r="M318" s="548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</row>
    <row r="319">
      <c r="A319" s="530"/>
      <c r="B319" s="531"/>
      <c r="C319" s="530"/>
      <c r="D319" s="532"/>
      <c r="E319" s="533"/>
      <c r="F319" s="532"/>
      <c r="G319" s="534"/>
      <c r="H319" s="534"/>
      <c r="I319" s="535"/>
      <c r="J319" s="535"/>
      <c r="K319" s="535"/>
      <c r="L319" s="535"/>
      <c r="M319" s="536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</row>
    <row r="320">
      <c r="A320" s="543"/>
      <c r="B320" s="542"/>
      <c r="C320" s="543"/>
      <c r="D320" s="544"/>
      <c r="E320" s="545"/>
      <c r="F320" s="544"/>
      <c r="G320" s="546"/>
      <c r="H320" s="546"/>
      <c r="I320" s="547"/>
      <c r="J320" s="547"/>
      <c r="K320" s="547"/>
      <c r="L320" s="547"/>
      <c r="M320" s="548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</row>
    <row r="321">
      <c r="A321" s="530"/>
      <c r="B321" s="531"/>
      <c r="C321" s="530"/>
      <c r="D321" s="532"/>
      <c r="E321" s="533"/>
      <c r="F321" s="532"/>
      <c r="G321" s="534"/>
      <c r="H321" s="534"/>
      <c r="I321" s="535"/>
      <c r="J321" s="535"/>
      <c r="K321" s="535"/>
      <c r="L321" s="535"/>
      <c r="M321" s="536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</row>
    <row r="322">
      <c r="A322" s="543"/>
      <c r="B322" s="542"/>
      <c r="C322" s="543"/>
      <c r="D322" s="544"/>
      <c r="E322" s="545"/>
      <c r="F322" s="544"/>
      <c r="G322" s="546"/>
      <c r="H322" s="546"/>
      <c r="I322" s="547"/>
      <c r="J322" s="547"/>
      <c r="K322" s="547"/>
      <c r="L322" s="547"/>
      <c r="M322" s="548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</row>
    <row r="323">
      <c r="A323" s="530"/>
      <c r="B323" s="531"/>
      <c r="C323" s="530"/>
      <c r="D323" s="532"/>
      <c r="E323" s="533"/>
      <c r="F323" s="532"/>
      <c r="G323" s="534"/>
      <c r="H323" s="534"/>
      <c r="I323" s="535"/>
      <c r="J323" s="535"/>
      <c r="K323" s="535"/>
      <c r="L323" s="535"/>
      <c r="M323" s="536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</row>
    <row r="324">
      <c r="A324" s="543"/>
      <c r="B324" s="542"/>
      <c r="C324" s="543"/>
      <c r="D324" s="544"/>
      <c r="E324" s="545"/>
      <c r="F324" s="544"/>
      <c r="G324" s="546"/>
      <c r="H324" s="546"/>
      <c r="I324" s="547"/>
      <c r="J324" s="547"/>
      <c r="K324" s="547"/>
      <c r="L324" s="547"/>
      <c r="M324" s="548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</row>
    <row r="325">
      <c r="A325" s="530"/>
      <c r="B325" s="531"/>
      <c r="C325" s="530"/>
      <c r="D325" s="532"/>
      <c r="E325" s="533"/>
      <c r="F325" s="532"/>
      <c r="G325" s="534"/>
      <c r="H325" s="534"/>
      <c r="I325" s="535"/>
      <c r="J325" s="535"/>
      <c r="K325" s="535"/>
      <c r="L325" s="535"/>
      <c r="M325" s="536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</row>
    <row r="326">
      <c r="A326" s="543"/>
      <c r="B326" s="542"/>
      <c r="C326" s="543"/>
      <c r="D326" s="544"/>
      <c r="E326" s="545"/>
      <c r="F326" s="544"/>
      <c r="G326" s="546"/>
      <c r="H326" s="546"/>
      <c r="I326" s="547"/>
      <c r="J326" s="547"/>
      <c r="K326" s="547"/>
      <c r="L326" s="547"/>
      <c r="M326" s="548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</row>
    <row r="327">
      <c r="A327" s="530"/>
      <c r="B327" s="531"/>
      <c r="C327" s="530"/>
      <c r="D327" s="532"/>
      <c r="E327" s="533"/>
      <c r="F327" s="532"/>
      <c r="G327" s="534"/>
      <c r="H327" s="534"/>
      <c r="I327" s="535"/>
      <c r="J327" s="535"/>
      <c r="K327" s="535"/>
      <c r="L327" s="535"/>
      <c r="M327" s="536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</row>
    <row r="328">
      <c r="A328" s="543"/>
      <c r="B328" s="542"/>
      <c r="C328" s="543"/>
      <c r="D328" s="544"/>
      <c r="E328" s="545"/>
      <c r="F328" s="544"/>
      <c r="G328" s="546"/>
      <c r="H328" s="546"/>
      <c r="I328" s="547"/>
      <c r="J328" s="547"/>
      <c r="K328" s="547"/>
      <c r="L328" s="547"/>
      <c r="M328" s="548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</row>
    <row r="329">
      <c r="A329" s="530"/>
      <c r="B329" s="531"/>
      <c r="C329" s="530"/>
      <c r="D329" s="532"/>
      <c r="E329" s="533"/>
      <c r="F329" s="532"/>
      <c r="G329" s="534"/>
      <c r="H329" s="534"/>
      <c r="I329" s="535"/>
      <c r="J329" s="535"/>
      <c r="K329" s="535"/>
      <c r="L329" s="535"/>
      <c r="M329" s="536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</row>
    <row r="330">
      <c r="A330" s="543"/>
      <c r="B330" s="542"/>
      <c r="C330" s="543"/>
      <c r="D330" s="544"/>
      <c r="E330" s="545"/>
      <c r="F330" s="544"/>
      <c r="G330" s="546"/>
      <c r="H330" s="546"/>
      <c r="I330" s="547"/>
      <c r="J330" s="547"/>
      <c r="K330" s="547"/>
      <c r="L330" s="547"/>
      <c r="M330" s="548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</row>
    <row r="331">
      <c r="A331" s="530"/>
      <c r="B331" s="531"/>
      <c r="C331" s="530"/>
      <c r="D331" s="532"/>
      <c r="E331" s="533"/>
      <c r="F331" s="532"/>
      <c r="G331" s="534"/>
      <c r="H331" s="534"/>
      <c r="I331" s="535"/>
      <c r="J331" s="535"/>
      <c r="K331" s="535"/>
      <c r="L331" s="535"/>
      <c r="M331" s="536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</row>
    <row r="332">
      <c r="A332" s="543"/>
      <c r="B332" s="542"/>
      <c r="C332" s="543"/>
      <c r="D332" s="544"/>
      <c r="E332" s="545"/>
      <c r="F332" s="544"/>
      <c r="G332" s="546"/>
      <c r="H332" s="546"/>
      <c r="I332" s="547"/>
      <c r="J332" s="547"/>
      <c r="K332" s="547"/>
      <c r="L332" s="547"/>
      <c r="M332" s="548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</row>
    <row r="333">
      <c r="A333" s="530"/>
      <c r="B333" s="531"/>
      <c r="C333" s="530"/>
      <c r="D333" s="532"/>
      <c r="E333" s="533"/>
      <c r="F333" s="532"/>
      <c r="G333" s="534"/>
      <c r="H333" s="534"/>
      <c r="I333" s="535"/>
      <c r="J333" s="535"/>
      <c r="K333" s="535"/>
      <c r="L333" s="535"/>
      <c r="M333" s="536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</row>
    <row r="334">
      <c r="A334" s="543"/>
      <c r="B334" s="542"/>
      <c r="C334" s="543"/>
      <c r="D334" s="544"/>
      <c r="E334" s="545"/>
      <c r="F334" s="544"/>
      <c r="G334" s="546"/>
      <c r="H334" s="546"/>
      <c r="I334" s="547"/>
      <c r="J334" s="547"/>
      <c r="K334" s="547"/>
      <c r="L334" s="547"/>
      <c r="M334" s="548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</row>
    <row r="335">
      <c r="A335" s="530"/>
      <c r="B335" s="531"/>
      <c r="C335" s="530"/>
      <c r="D335" s="532"/>
      <c r="E335" s="533"/>
      <c r="F335" s="532"/>
      <c r="G335" s="534"/>
      <c r="H335" s="534"/>
      <c r="I335" s="535"/>
      <c r="J335" s="535"/>
      <c r="K335" s="535"/>
      <c r="L335" s="535"/>
      <c r="M335" s="536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</row>
    <row r="336">
      <c r="A336" s="543"/>
      <c r="B336" s="542"/>
      <c r="C336" s="543"/>
      <c r="D336" s="544"/>
      <c r="E336" s="545"/>
      <c r="F336" s="544"/>
      <c r="G336" s="546"/>
      <c r="H336" s="546"/>
      <c r="I336" s="547"/>
      <c r="J336" s="547"/>
      <c r="K336" s="547"/>
      <c r="L336" s="547"/>
      <c r="M336" s="548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</row>
    <row r="337">
      <c r="A337" s="530"/>
      <c r="B337" s="531"/>
      <c r="C337" s="530"/>
      <c r="D337" s="532"/>
      <c r="E337" s="533"/>
      <c r="F337" s="532"/>
      <c r="G337" s="534"/>
      <c r="H337" s="534"/>
      <c r="I337" s="535"/>
      <c r="J337" s="535"/>
      <c r="K337" s="535"/>
      <c r="L337" s="535"/>
      <c r="M337" s="536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</row>
    <row r="338">
      <c r="A338" s="543"/>
      <c r="B338" s="542"/>
      <c r="C338" s="543"/>
      <c r="D338" s="544"/>
      <c r="E338" s="545"/>
      <c r="F338" s="544"/>
      <c r="G338" s="546"/>
      <c r="H338" s="546"/>
      <c r="I338" s="547"/>
      <c r="J338" s="547"/>
      <c r="K338" s="547"/>
      <c r="L338" s="547"/>
      <c r="M338" s="548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</row>
    <row r="339">
      <c r="A339" s="530"/>
      <c r="B339" s="531"/>
      <c r="C339" s="530"/>
      <c r="D339" s="532"/>
      <c r="E339" s="533"/>
      <c r="F339" s="532"/>
      <c r="G339" s="534"/>
      <c r="H339" s="534"/>
      <c r="I339" s="535"/>
      <c r="J339" s="535"/>
      <c r="K339" s="535"/>
      <c r="L339" s="535"/>
      <c r="M339" s="536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</row>
    <row r="340">
      <c r="A340" s="543"/>
      <c r="B340" s="542"/>
      <c r="C340" s="543"/>
      <c r="D340" s="544"/>
      <c r="E340" s="545"/>
      <c r="F340" s="544"/>
      <c r="G340" s="546"/>
      <c r="H340" s="546"/>
      <c r="I340" s="547"/>
      <c r="J340" s="547"/>
      <c r="K340" s="547"/>
      <c r="L340" s="547"/>
      <c r="M340" s="548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</row>
    <row r="341">
      <c r="A341" s="530"/>
      <c r="B341" s="531"/>
      <c r="C341" s="530"/>
      <c r="D341" s="532"/>
      <c r="E341" s="533"/>
      <c r="F341" s="532"/>
      <c r="G341" s="534"/>
      <c r="H341" s="534"/>
      <c r="I341" s="535"/>
      <c r="J341" s="535"/>
      <c r="K341" s="535"/>
      <c r="L341" s="535"/>
      <c r="M341" s="536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</row>
    <row r="342">
      <c r="A342" s="543"/>
      <c r="B342" s="542"/>
      <c r="C342" s="543"/>
      <c r="D342" s="544"/>
      <c r="E342" s="545"/>
      <c r="F342" s="544"/>
      <c r="G342" s="546"/>
      <c r="H342" s="546"/>
      <c r="I342" s="547"/>
      <c r="J342" s="547"/>
      <c r="K342" s="547"/>
      <c r="L342" s="547"/>
      <c r="M342" s="548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</row>
    <row r="343">
      <c r="A343" s="530"/>
      <c r="B343" s="531"/>
      <c r="C343" s="530"/>
      <c r="D343" s="532"/>
      <c r="E343" s="533"/>
      <c r="F343" s="532"/>
      <c r="G343" s="534"/>
      <c r="H343" s="534"/>
      <c r="I343" s="535"/>
      <c r="J343" s="535"/>
      <c r="K343" s="535"/>
      <c r="L343" s="535"/>
      <c r="M343" s="536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</row>
    <row r="344">
      <c r="A344" s="543"/>
      <c r="B344" s="542"/>
      <c r="C344" s="543"/>
      <c r="D344" s="544"/>
      <c r="E344" s="545"/>
      <c r="F344" s="544"/>
      <c r="G344" s="546"/>
      <c r="H344" s="546"/>
      <c r="I344" s="547"/>
      <c r="J344" s="547"/>
      <c r="K344" s="547"/>
      <c r="L344" s="547"/>
      <c r="M344" s="548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</row>
    <row r="345">
      <c r="A345" s="84"/>
      <c r="B345" s="639"/>
      <c r="C345" s="84"/>
      <c r="D345" s="534"/>
      <c r="E345" s="640"/>
      <c r="F345" s="84"/>
      <c r="G345" s="84"/>
      <c r="H345" s="84"/>
      <c r="I345" s="535"/>
      <c r="J345" s="535"/>
      <c r="K345" s="535"/>
      <c r="L345" s="535"/>
      <c r="M345" s="391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</row>
    <row r="346">
      <c r="A346" s="53"/>
      <c r="B346" s="641"/>
      <c r="C346" s="53"/>
      <c r="D346" s="546"/>
      <c r="E346" s="642"/>
      <c r="F346" s="53"/>
      <c r="G346" s="53"/>
      <c r="H346" s="53"/>
      <c r="I346" s="547"/>
      <c r="J346" s="547"/>
      <c r="K346" s="547"/>
      <c r="L346" s="547"/>
      <c r="M346" s="64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</row>
    <row r="347">
      <c r="A347" s="84"/>
      <c r="B347" s="639"/>
      <c r="C347" s="84"/>
      <c r="D347" s="534"/>
      <c r="E347" s="640"/>
      <c r="F347" s="84"/>
      <c r="G347" s="84"/>
      <c r="H347" s="84"/>
      <c r="I347" s="535"/>
      <c r="J347" s="535"/>
      <c r="K347" s="535"/>
      <c r="L347" s="535"/>
      <c r="M347" s="391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</row>
    <row r="348">
      <c r="A348" s="53"/>
      <c r="B348" s="641"/>
      <c r="C348" s="53"/>
      <c r="D348" s="546"/>
      <c r="E348" s="642"/>
      <c r="F348" s="53"/>
      <c r="G348" s="53"/>
      <c r="H348" s="53"/>
      <c r="I348" s="547"/>
      <c r="J348" s="547"/>
      <c r="K348" s="547"/>
      <c r="L348" s="547"/>
      <c r="M348" s="64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</row>
    <row r="349">
      <c r="A349" s="84"/>
      <c r="B349" s="639"/>
      <c r="C349" s="84"/>
      <c r="D349" s="534"/>
      <c r="E349" s="640"/>
      <c r="F349" s="84"/>
      <c r="G349" s="84"/>
      <c r="H349" s="84"/>
      <c r="I349" s="535"/>
      <c r="J349" s="535"/>
      <c r="K349" s="535"/>
      <c r="L349" s="535"/>
      <c r="M349" s="391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</row>
    <row r="350">
      <c r="A350" s="53"/>
      <c r="B350" s="641"/>
      <c r="C350" s="53"/>
      <c r="D350" s="546"/>
      <c r="E350" s="642"/>
      <c r="F350" s="53"/>
      <c r="G350" s="53"/>
      <c r="H350" s="53"/>
      <c r="I350" s="547"/>
      <c r="J350" s="547"/>
      <c r="K350" s="547"/>
      <c r="L350" s="547"/>
      <c r="M350" s="64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</row>
    <row r="351">
      <c r="A351" s="84"/>
      <c r="B351" s="639"/>
      <c r="C351" s="84"/>
      <c r="D351" s="534"/>
      <c r="E351" s="640"/>
      <c r="F351" s="84"/>
      <c r="G351" s="84"/>
      <c r="H351" s="84"/>
      <c r="I351" s="535"/>
      <c r="J351" s="535"/>
      <c r="K351" s="535"/>
      <c r="L351" s="535"/>
      <c r="M351" s="391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</row>
    <row r="352">
      <c r="A352" s="53"/>
      <c r="B352" s="641"/>
      <c r="C352" s="53"/>
      <c r="D352" s="546"/>
      <c r="E352" s="642"/>
      <c r="F352" s="53"/>
      <c r="G352" s="53"/>
      <c r="H352" s="53"/>
      <c r="I352" s="547"/>
      <c r="J352" s="547"/>
      <c r="K352" s="547"/>
      <c r="L352" s="547"/>
      <c r="M352" s="64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</row>
    <row r="353">
      <c r="A353" s="84"/>
      <c r="B353" s="639"/>
      <c r="C353" s="84"/>
      <c r="D353" s="534"/>
      <c r="E353" s="640"/>
      <c r="F353" s="84"/>
      <c r="G353" s="84"/>
      <c r="H353" s="84"/>
      <c r="I353" s="535"/>
      <c r="J353" s="535"/>
      <c r="K353" s="535"/>
      <c r="L353" s="535"/>
      <c r="M353" s="391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</row>
    <row r="354">
      <c r="A354" s="53"/>
      <c r="B354" s="641"/>
      <c r="C354" s="53"/>
      <c r="D354" s="546"/>
      <c r="E354" s="642"/>
      <c r="F354" s="53"/>
      <c r="G354" s="53"/>
      <c r="H354" s="53"/>
      <c r="I354" s="547"/>
      <c r="J354" s="547"/>
      <c r="K354" s="547"/>
      <c r="L354" s="547"/>
      <c r="M354" s="64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</row>
    <row r="355">
      <c r="A355" s="84"/>
      <c r="B355" s="639"/>
      <c r="C355" s="84"/>
      <c r="D355" s="534"/>
      <c r="E355" s="640"/>
      <c r="F355" s="84"/>
      <c r="G355" s="84"/>
      <c r="H355" s="84"/>
      <c r="I355" s="535"/>
      <c r="J355" s="535"/>
      <c r="K355" s="535"/>
      <c r="L355" s="535"/>
      <c r="M355" s="391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</row>
    <row r="356">
      <c r="A356" s="53"/>
      <c r="B356" s="641"/>
      <c r="C356" s="53"/>
      <c r="D356" s="546"/>
      <c r="E356" s="642"/>
      <c r="F356" s="53"/>
      <c r="G356" s="53"/>
      <c r="H356" s="53"/>
      <c r="I356" s="547"/>
      <c r="J356" s="547"/>
      <c r="K356" s="547"/>
      <c r="L356" s="547"/>
      <c r="M356" s="64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</row>
    <row r="357">
      <c r="A357" s="84"/>
      <c r="B357" s="639"/>
      <c r="C357" s="84"/>
      <c r="D357" s="534"/>
      <c r="E357" s="640"/>
      <c r="F357" s="84"/>
      <c r="G357" s="84"/>
      <c r="H357" s="84"/>
      <c r="I357" s="535"/>
      <c r="J357" s="535"/>
      <c r="K357" s="535"/>
      <c r="L357" s="535"/>
      <c r="M357" s="391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</row>
    <row r="358">
      <c r="A358" s="53"/>
      <c r="B358" s="641"/>
      <c r="C358" s="53"/>
      <c r="D358" s="546"/>
      <c r="E358" s="642"/>
      <c r="F358" s="53"/>
      <c r="G358" s="53"/>
      <c r="H358" s="53"/>
      <c r="I358" s="547"/>
      <c r="J358" s="547"/>
      <c r="K358" s="547"/>
      <c r="L358" s="547"/>
      <c r="M358" s="64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</row>
    <row r="359">
      <c r="A359" s="84"/>
      <c r="B359" s="639"/>
      <c r="C359" s="84"/>
      <c r="D359" s="534"/>
      <c r="E359" s="640"/>
      <c r="F359" s="84"/>
      <c r="G359" s="84"/>
      <c r="H359" s="84"/>
      <c r="I359" s="535"/>
      <c r="J359" s="535"/>
      <c r="K359" s="535"/>
      <c r="L359" s="535"/>
      <c r="M359" s="391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</row>
    <row r="360">
      <c r="A360" s="53"/>
      <c r="B360" s="641"/>
      <c r="C360" s="53"/>
      <c r="D360" s="546"/>
      <c r="E360" s="642"/>
      <c r="F360" s="53"/>
      <c r="G360" s="53"/>
      <c r="H360" s="53"/>
      <c r="I360" s="547"/>
      <c r="J360" s="547"/>
      <c r="K360" s="547"/>
      <c r="L360" s="547"/>
      <c r="M360" s="64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</row>
    <row r="361">
      <c r="A361" s="84"/>
      <c r="B361" s="639"/>
      <c r="C361" s="84"/>
      <c r="D361" s="534"/>
      <c r="E361" s="640"/>
      <c r="F361" s="84"/>
      <c r="G361" s="84"/>
      <c r="H361" s="84"/>
      <c r="I361" s="535"/>
      <c r="J361" s="535"/>
      <c r="K361" s="535"/>
      <c r="L361" s="535"/>
      <c r="M361" s="391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</row>
    <row r="362">
      <c r="A362" s="53"/>
      <c r="B362" s="641"/>
      <c r="C362" s="53"/>
      <c r="D362" s="546"/>
      <c r="E362" s="642"/>
      <c r="F362" s="53"/>
      <c r="G362" s="53"/>
      <c r="H362" s="53"/>
      <c r="I362" s="547"/>
      <c r="J362" s="547"/>
      <c r="K362" s="547"/>
      <c r="L362" s="547"/>
      <c r="M362" s="64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</row>
    <row r="363">
      <c r="A363" s="84"/>
      <c r="B363" s="639"/>
      <c r="C363" s="84"/>
      <c r="D363" s="534"/>
      <c r="E363" s="640"/>
      <c r="F363" s="84"/>
      <c r="G363" s="84"/>
      <c r="H363" s="84"/>
      <c r="I363" s="535"/>
      <c r="J363" s="535"/>
      <c r="K363" s="535"/>
      <c r="L363" s="535"/>
      <c r="M363" s="391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</row>
    <row r="364">
      <c r="A364" s="53"/>
      <c r="B364" s="641"/>
      <c r="C364" s="53"/>
      <c r="D364" s="546"/>
      <c r="E364" s="642"/>
      <c r="F364" s="53"/>
      <c r="G364" s="53"/>
      <c r="H364" s="53"/>
      <c r="I364" s="547"/>
      <c r="J364" s="547"/>
      <c r="K364" s="547"/>
      <c r="L364" s="547"/>
      <c r="M364" s="64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</row>
    <row r="365">
      <c r="A365" s="84"/>
      <c r="B365" s="639"/>
      <c r="C365" s="84"/>
      <c r="D365" s="534"/>
      <c r="E365" s="640"/>
      <c r="F365" s="84"/>
      <c r="G365" s="84"/>
      <c r="H365" s="84"/>
      <c r="I365" s="535"/>
      <c r="J365" s="535"/>
      <c r="K365" s="535"/>
      <c r="L365" s="535"/>
      <c r="M365" s="391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</row>
    <row r="366">
      <c r="A366" s="53"/>
      <c r="B366" s="641"/>
      <c r="C366" s="53"/>
      <c r="D366" s="546"/>
      <c r="E366" s="642"/>
      <c r="F366" s="53"/>
      <c r="G366" s="53"/>
      <c r="H366" s="53"/>
      <c r="I366" s="547"/>
      <c r="J366" s="547"/>
      <c r="K366" s="547"/>
      <c r="L366" s="547"/>
      <c r="M366" s="64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</row>
    <row r="367">
      <c r="A367" s="84"/>
      <c r="B367" s="639"/>
      <c r="C367" s="84"/>
      <c r="D367" s="534"/>
      <c r="E367" s="640"/>
      <c r="F367" s="84"/>
      <c r="G367" s="84"/>
      <c r="H367" s="84"/>
      <c r="I367" s="535"/>
      <c r="J367" s="535"/>
      <c r="K367" s="535"/>
      <c r="L367" s="535"/>
      <c r="M367" s="391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</row>
    <row r="368">
      <c r="A368" s="53"/>
      <c r="B368" s="641"/>
      <c r="C368" s="53"/>
      <c r="D368" s="546"/>
      <c r="E368" s="642"/>
      <c r="F368" s="53"/>
      <c r="G368" s="53"/>
      <c r="H368" s="53"/>
      <c r="I368" s="547"/>
      <c r="J368" s="547"/>
      <c r="K368" s="547"/>
      <c r="L368" s="547"/>
      <c r="M368" s="64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</row>
    <row r="369">
      <c r="A369" s="84"/>
      <c r="B369" s="639"/>
      <c r="C369" s="84"/>
      <c r="D369" s="534"/>
      <c r="E369" s="640"/>
      <c r="F369" s="84"/>
      <c r="G369" s="84"/>
      <c r="H369" s="84"/>
      <c r="I369" s="535"/>
      <c r="J369" s="535"/>
      <c r="K369" s="535"/>
      <c r="L369" s="535"/>
      <c r="M369" s="391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</row>
    <row r="370">
      <c r="A370" s="53"/>
      <c r="B370" s="641"/>
      <c r="C370" s="53"/>
      <c r="D370" s="546"/>
      <c r="E370" s="642"/>
      <c r="F370" s="53"/>
      <c r="G370" s="53"/>
      <c r="H370" s="53"/>
      <c r="I370" s="547"/>
      <c r="J370" s="547"/>
      <c r="K370" s="547"/>
      <c r="L370" s="547"/>
      <c r="M370" s="64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</row>
    <row r="371">
      <c r="A371" s="84"/>
      <c r="B371" s="639"/>
      <c r="C371" s="84"/>
      <c r="D371" s="534"/>
      <c r="E371" s="640"/>
      <c r="F371" s="84"/>
      <c r="G371" s="84"/>
      <c r="H371" s="84"/>
      <c r="I371" s="535"/>
      <c r="J371" s="535"/>
      <c r="K371" s="535"/>
      <c r="L371" s="535"/>
      <c r="M371" s="391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</row>
    <row r="372">
      <c r="A372" s="53"/>
      <c r="B372" s="641"/>
      <c r="C372" s="53"/>
      <c r="D372" s="546"/>
      <c r="E372" s="642"/>
      <c r="F372" s="53"/>
      <c r="G372" s="53"/>
      <c r="H372" s="53"/>
      <c r="I372" s="547"/>
      <c r="J372" s="547"/>
      <c r="K372" s="547"/>
      <c r="L372" s="547"/>
      <c r="M372" s="64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</row>
    <row r="373">
      <c r="A373" s="84"/>
      <c r="B373" s="639"/>
      <c r="C373" s="84"/>
      <c r="D373" s="534"/>
      <c r="E373" s="640"/>
      <c r="F373" s="84"/>
      <c r="G373" s="84"/>
      <c r="H373" s="84"/>
      <c r="I373" s="535"/>
      <c r="J373" s="535"/>
      <c r="K373" s="535"/>
      <c r="L373" s="535"/>
      <c r="M373" s="391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</row>
    <row r="374">
      <c r="A374" s="53"/>
      <c r="B374" s="641"/>
      <c r="C374" s="53"/>
      <c r="D374" s="546"/>
      <c r="E374" s="642"/>
      <c r="F374" s="53"/>
      <c r="G374" s="53"/>
      <c r="H374" s="53"/>
      <c r="I374" s="547"/>
      <c r="J374" s="547"/>
      <c r="K374" s="547"/>
      <c r="L374" s="547"/>
      <c r="M374" s="64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</row>
    <row r="375">
      <c r="A375" s="84"/>
      <c r="B375" s="639"/>
      <c r="C375" s="84"/>
      <c r="D375" s="534"/>
      <c r="E375" s="640"/>
      <c r="F375" s="84"/>
      <c r="G375" s="84"/>
      <c r="H375" s="84"/>
      <c r="I375" s="535"/>
      <c r="J375" s="535"/>
      <c r="K375" s="535"/>
      <c r="L375" s="535"/>
      <c r="M375" s="391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</row>
    <row r="376">
      <c r="A376" s="53"/>
      <c r="B376" s="641"/>
      <c r="C376" s="53"/>
      <c r="D376" s="546"/>
      <c r="E376" s="642"/>
      <c r="F376" s="53"/>
      <c r="G376" s="53"/>
      <c r="H376" s="53"/>
      <c r="I376" s="547"/>
      <c r="J376" s="547"/>
      <c r="K376" s="547"/>
      <c r="L376" s="547"/>
      <c r="M376" s="64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</row>
    <row r="377">
      <c r="A377" s="84"/>
      <c r="B377" s="639"/>
      <c r="C377" s="84"/>
      <c r="D377" s="534"/>
      <c r="E377" s="640"/>
      <c r="F377" s="84"/>
      <c r="G377" s="84"/>
      <c r="H377" s="84"/>
      <c r="I377" s="535"/>
      <c r="J377" s="535"/>
      <c r="K377" s="535"/>
      <c r="L377" s="535"/>
      <c r="M377" s="391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</row>
    <row r="378">
      <c r="A378" s="53"/>
      <c r="B378" s="641"/>
      <c r="C378" s="53"/>
      <c r="D378" s="546"/>
      <c r="E378" s="642"/>
      <c r="F378" s="53"/>
      <c r="G378" s="53"/>
      <c r="H378" s="53"/>
      <c r="I378" s="547"/>
      <c r="J378" s="547"/>
      <c r="K378" s="547"/>
      <c r="L378" s="547"/>
      <c r="M378" s="64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</row>
    <row r="379">
      <c r="A379" s="84"/>
      <c r="B379" s="639"/>
      <c r="C379" s="84"/>
      <c r="D379" s="534"/>
      <c r="E379" s="640"/>
      <c r="F379" s="84"/>
      <c r="G379" s="84"/>
      <c r="H379" s="84"/>
      <c r="I379" s="535"/>
      <c r="J379" s="535"/>
      <c r="K379" s="535"/>
      <c r="L379" s="535"/>
      <c r="M379" s="391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</row>
    <row r="380">
      <c r="A380" s="53"/>
      <c r="B380" s="641"/>
      <c r="C380" s="53"/>
      <c r="D380" s="546"/>
      <c r="E380" s="642"/>
      <c r="F380" s="53"/>
      <c r="G380" s="53"/>
      <c r="H380" s="53"/>
      <c r="I380" s="547"/>
      <c r="J380" s="547"/>
      <c r="K380" s="547"/>
      <c r="L380" s="547"/>
      <c r="M380" s="64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</row>
    <row r="381">
      <c r="A381" s="84"/>
      <c r="B381" s="639"/>
      <c r="C381" s="84"/>
      <c r="D381" s="534"/>
      <c r="E381" s="640"/>
      <c r="F381" s="84"/>
      <c r="G381" s="84"/>
      <c r="H381" s="84"/>
      <c r="I381" s="535"/>
      <c r="J381" s="535"/>
      <c r="K381" s="535"/>
      <c r="L381" s="535"/>
      <c r="M381" s="391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</row>
    <row r="382">
      <c r="A382" s="53"/>
      <c r="B382" s="641"/>
      <c r="C382" s="53"/>
      <c r="D382" s="546"/>
      <c r="E382" s="642"/>
      <c r="F382" s="53"/>
      <c r="G382" s="53"/>
      <c r="H382" s="53"/>
      <c r="I382" s="547"/>
      <c r="J382" s="547"/>
      <c r="K382" s="547"/>
      <c r="L382" s="547"/>
      <c r="M382" s="64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</row>
    <row r="383">
      <c r="A383" s="84"/>
      <c r="B383" s="639"/>
      <c r="C383" s="84"/>
      <c r="D383" s="534"/>
      <c r="E383" s="640"/>
      <c r="F383" s="84"/>
      <c r="G383" s="84"/>
      <c r="H383" s="84"/>
      <c r="I383" s="535"/>
      <c r="J383" s="535"/>
      <c r="K383" s="535"/>
      <c r="L383" s="535"/>
      <c r="M383" s="391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</row>
    <row r="384">
      <c r="A384" s="53"/>
      <c r="B384" s="641"/>
      <c r="C384" s="53"/>
      <c r="D384" s="546"/>
      <c r="E384" s="642"/>
      <c r="F384" s="53"/>
      <c r="G384" s="53"/>
      <c r="H384" s="53"/>
      <c r="I384" s="547"/>
      <c r="J384" s="547"/>
      <c r="K384" s="547"/>
      <c r="L384" s="547"/>
      <c r="M384" s="64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</row>
    <row r="385">
      <c r="A385" s="84"/>
      <c r="B385" s="639"/>
      <c r="C385" s="84"/>
      <c r="D385" s="534"/>
      <c r="E385" s="640"/>
      <c r="F385" s="84"/>
      <c r="G385" s="84"/>
      <c r="H385" s="84"/>
      <c r="I385" s="535"/>
      <c r="J385" s="535"/>
      <c r="K385" s="535"/>
      <c r="L385" s="535"/>
      <c r="M385" s="391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</row>
    <row r="386">
      <c r="A386" s="53"/>
      <c r="B386" s="641"/>
      <c r="C386" s="53"/>
      <c r="D386" s="546"/>
      <c r="E386" s="642"/>
      <c r="F386" s="53"/>
      <c r="G386" s="53"/>
      <c r="H386" s="53"/>
      <c r="I386" s="547"/>
      <c r="J386" s="547"/>
      <c r="K386" s="547"/>
      <c r="L386" s="547"/>
      <c r="M386" s="64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</row>
    <row r="387">
      <c r="A387" s="84"/>
      <c r="B387" s="639"/>
      <c r="C387" s="84"/>
      <c r="D387" s="534"/>
      <c r="E387" s="640"/>
      <c r="F387" s="84"/>
      <c r="G387" s="84"/>
      <c r="H387" s="84"/>
      <c r="I387" s="535"/>
      <c r="J387" s="535"/>
      <c r="K387" s="535"/>
      <c r="L387" s="535"/>
      <c r="M387" s="391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</row>
    <row r="388">
      <c r="A388" s="53"/>
      <c r="B388" s="641"/>
      <c r="C388" s="53"/>
      <c r="D388" s="546"/>
      <c r="E388" s="642"/>
      <c r="F388" s="53"/>
      <c r="G388" s="53"/>
      <c r="H388" s="53"/>
      <c r="I388" s="547"/>
      <c r="J388" s="547"/>
      <c r="K388" s="547"/>
      <c r="L388" s="547"/>
      <c r="M388" s="64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</row>
    <row r="389">
      <c r="A389" s="84"/>
      <c r="B389" s="639"/>
      <c r="C389" s="84"/>
      <c r="D389" s="534"/>
      <c r="E389" s="640"/>
      <c r="F389" s="84"/>
      <c r="G389" s="84"/>
      <c r="H389" s="84"/>
      <c r="I389" s="535"/>
      <c r="J389" s="535"/>
      <c r="K389" s="535"/>
      <c r="L389" s="535"/>
      <c r="M389" s="391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</row>
    <row r="390">
      <c r="A390" s="53"/>
      <c r="B390" s="641"/>
      <c r="C390" s="53"/>
      <c r="D390" s="546"/>
      <c r="E390" s="642"/>
      <c r="F390" s="53"/>
      <c r="G390" s="53"/>
      <c r="H390" s="53"/>
      <c r="I390" s="547"/>
      <c r="J390" s="547"/>
      <c r="K390" s="547"/>
      <c r="L390" s="547"/>
      <c r="M390" s="64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</row>
    <row r="391">
      <c r="A391" s="84"/>
      <c r="B391" s="639"/>
      <c r="C391" s="84"/>
      <c r="D391" s="534"/>
      <c r="E391" s="640"/>
      <c r="F391" s="84"/>
      <c r="G391" s="84"/>
      <c r="H391" s="84"/>
      <c r="I391" s="535"/>
      <c r="J391" s="535"/>
      <c r="K391" s="535"/>
      <c r="L391" s="535"/>
      <c r="M391" s="391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</row>
    <row r="392">
      <c r="A392" s="53"/>
      <c r="B392" s="641"/>
      <c r="C392" s="53"/>
      <c r="D392" s="546"/>
      <c r="E392" s="642"/>
      <c r="F392" s="53"/>
      <c r="G392" s="53"/>
      <c r="H392" s="53"/>
      <c r="I392" s="547"/>
      <c r="J392" s="547"/>
      <c r="K392" s="547"/>
      <c r="L392" s="547"/>
      <c r="M392" s="64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</row>
    <row r="393">
      <c r="A393" s="84"/>
      <c r="B393" s="639"/>
      <c r="C393" s="84"/>
      <c r="D393" s="534"/>
      <c r="E393" s="640"/>
      <c r="F393" s="84"/>
      <c r="G393" s="84"/>
      <c r="H393" s="84"/>
      <c r="I393" s="535"/>
      <c r="J393" s="535"/>
      <c r="K393" s="535"/>
      <c r="L393" s="535"/>
      <c r="M393" s="391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</row>
    <row r="394">
      <c r="A394" s="53"/>
      <c r="B394" s="641"/>
      <c r="C394" s="53"/>
      <c r="D394" s="546"/>
      <c r="E394" s="642"/>
      <c r="F394" s="53"/>
      <c r="G394" s="53"/>
      <c r="H394" s="53"/>
      <c r="I394" s="547"/>
      <c r="J394" s="547"/>
      <c r="K394" s="547"/>
      <c r="L394" s="547"/>
      <c r="M394" s="64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</row>
    <row r="395">
      <c r="A395" s="84"/>
      <c r="B395" s="639"/>
      <c r="C395" s="84"/>
      <c r="D395" s="534"/>
      <c r="E395" s="640"/>
      <c r="F395" s="84"/>
      <c r="G395" s="84"/>
      <c r="H395" s="84"/>
      <c r="I395" s="535"/>
      <c r="J395" s="535"/>
      <c r="K395" s="535"/>
      <c r="L395" s="535"/>
      <c r="M395" s="391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</row>
    <row r="396">
      <c r="A396" s="53"/>
      <c r="B396" s="641"/>
      <c r="C396" s="53"/>
      <c r="D396" s="546"/>
      <c r="E396" s="642"/>
      <c r="F396" s="53"/>
      <c r="G396" s="53"/>
      <c r="H396" s="53"/>
      <c r="I396" s="547"/>
      <c r="J396" s="547"/>
      <c r="K396" s="547"/>
      <c r="L396" s="547"/>
      <c r="M396" s="64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</row>
    <row r="397">
      <c r="A397" s="84"/>
      <c r="B397" s="639"/>
      <c r="C397" s="84"/>
      <c r="D397" s="534"/>
      <c r="E397" s="640"/>
      <c r="F397" s="84"/>
      <c r="G397" s="84"/>
      <c r="H397" s="84"/>
      <c r="I397" s="535"/>
      <c r="J397" s="535"/>
      <c r="K397" s="535"/>
      <c r="L397" s="535"/>
      <c r="M397" s="391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</row>
    <row r="398">
      <c r="A398" s="53"/>
      <c r="B398" s="641"/>
      <c r="C398" s="53"/>
      <c r="D398" s="546"/>
      <c r="E398" s="642"/>
      <c r="F398" s="53"/>
      <c r="G398" s="53"/>
      <c r="H398" s="53"/>
      <c r="I398" s="547"/>
      <c r="J398" s="547"/>
      <c r="K398" s="547"/>
      <c r="L398" s="547"/>
      <c r="M398" s="64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</row>
    <row r="399">
      <c r="A399" s="84"/>
      <c r="B399" s="639"/>
      <c r="C399" s="84"/>
      <c r="D399" s="534"/>
      <c r="E399" s="640"/>
      <c r="F399" s="84"/>
      <c r="G399" s="84"/>
      <c r="H399" s="84"/>
      <c r="I399" s="535"/>
      <c r="J399" s="535"/>
      <c r="K399" s="535"/>
      <c r="L399" s="535"/>
      <c r="M399" s="391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</row>
    <row r="400">
      <c r="A400" s="53"/>
      <c r="B400" s="641"/>
      <c r="C400" s="53"/>
      <c r="D400" s="546"/>
      <c r="E400" s="642"/>
      <c r="F400" s="53"/>
      <c r="G400" s="53"/>
      <c r="H400" s="53"/>
      <c r="I400" s="547"/>
      <c r="J400" s="547"/>
      <c r="K400" s="547"/>
      <c r="L400" s="547"/>
      <c r="M400" s="64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</row>
    <row r="401">
      <c r="A401" s="84"/>
      <c r="B401" s="639"/>
      <c r="C401" s="84"/>
      <c r="D401" s="534"/>
      <c r="E401" s="640"/>
      <c r="F401" s="84"/>
      <c r="G401" s="84"/>
      <c r="H401" s="84"/>
      <c r="I401" s="535"/>
      <c r="J401" s="535"/>
      <c r="K401" s="535"/>
      <c r="L401" s="535"/>
      <c r="M401" s="391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</row>
    <row r="402">
      <c r="A402" s="53"/>
      <c r="B402" s="641"/>
      <c r="C402" s="53"/>
      <c r="D402" s="546"/>
      <c r="E402" s="642"/>
      <c r="F402" s="53"/>
      <c r="G402" s="53"/>
      <c r="H402" s="53"/>
      <c r="I402" s="547"/>
      <c r="J402" s="547"/>
      <c r="K402" s="547"/>
      <c r="L402" s="547"/>
      <c r="M402" s="64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</row>
    <row r="403">
      <c r="A403" s="84"/>
      <c r="B403" s="639"/>
      <c r="C403" s="84"/>
      <c r="D403" s="534"/>
      <c r="E403" s="640"/>
      <c r="F403" s="84"/>
      <c r="G403" s="84"/>
      <c r="H403" s="84"/>
      <c r="I403" s="535"/>
      <c r="J403" s="535"/>
      <c r="K403" s="535"/>
      <c r="L403" s="535"/>
      <c r="M403" s="391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</row>
    <row r="404">
      <c r="A404" s="53"/>
      <c r="B404" s="641"/>
      <c r="C404" s="53"/>
      <c r="D404" s="546"/>
      <c r="E404" s="642"/>
      <c r="F404" s="53"/>
      <c r="G404" s="53"/>
      <c r="H404" s="53"/>
      <c r="I404" s="547"/>
      <c r="J404" s="547"/>
      <c r="K404" s="547"/>
      <c r="L404" s="547"/>
      <c r="M404" s="64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</row>
    <row r="405">
      <c r="A405" s="84"/>
      <c r="B405" s="639"/>
      <c r="C405" s="84"/>
      <c r="D405" s="534"/>
      <c r="E405" s="640"/>
      <c r="F405" s="84"/>
      <c r="G405" s="84"/>
      <c r="H405" s="84"/>
      <c r="I405" s="535"/>
      <c r="J405" s="535"/>
      <c r="K405" s="535"/>
      <c r="L405" s="535"/>
      <c r="M405" s="391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</row>
    <row r="406">
      <c r="A406" s="53"/>
      <c r="B406" s="641"/>
      <c r="C406" s="53"/>
      <c r="D406" s="546"/>
      <c r="E406" s="642"/>
      <c r="F406" s="53"/>
      <c r="G406" s="53"/>
      <c r="H406" s="53"/>
      <c r="I406" s="547"/>
      <c r="J406" s="547"/>
      <c r="K406" s="547"/>
      <c r="L406" s="547"/>
      <c r="M406" s="64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</row>
    <row r="407">
      <c r="A407" s="84"/>
      <c r="B407" s="639"/>
      <c r="C407" s="84"/>
      <c r="D407" s="534"/>
      <c r="E407" s="640"/>
      <c r="F407" s="84"/>
      <c r="G407" s="84"/>
      <c r="H407" s="84"/>
      <c r="I407" s="535"/>
      <c r="J407" s="535"/>
      <c r="K407" s="535"/>
      <c r="L407" s="535"/>
      <c r="M407" s="391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</row>
    <row r="408">
      <c r="A408" s="53"/>
      <c r="B408" s="641"/>
      <c r="C408" s="53"/>
      <c r="D408" s="546"/>
      <c r="E408" s="642"/>
      <c r="F408" s="53"/>
      <c r="G408" s="53"/>
      <c r="H408" s="53"/>
      <c r="I408" s="547"/>
      <c r="J408" s="547"/>
      <c r="K408" s="547"/>
      <c r="L408" s="547"/>
      <c r="M408" s="64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</row>
    <row r="409">
      <c r="A409" s="84"/>
      <c r="B409" s="639"/>
      <c r="C409" s="84"/>
      <c r="D409" s="534"/>
      <c r="E409" s="640"/>
      <c r="F409" s="84"/>
      <c r="G409" s="84"/>
      <c r="H409" s="84"/>
      <c r="I409" s="535"/>
      <c r="J409" s="535"/>
      <c r="K409" s="535"/>
      <c r="L409" s="535"/>
      <c r="M409" s="391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</row>
    <row r="410">
      <c r="A410" s="53"/>
      <c r="B410" s="641"/>
      <c r="C410" s="53"/>
      <c r="D410" s="546"/>
      <c r="E410" s="642"/>
      <c r="F410" s="53"/>
      <c r="G410" s="53"/>
      <c r="H410" s="53"/>
      <c r="I410" s="547"/>
      <c r="J410" s="547"/>
      <c r="K410" s="547"/>
      <c r="L410" s="547"/>
      <c r="M410" s="64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</row>
    <row r="411">
      <c r="A411" s="84"/>
      <c r="B411" s="639"/>
      <c r="C411" s="84"/>
      <c r="D411" s="534"/>
      <c r="E411" s="640"/>
      <c r="F411" s="84"/>
      <c r="G411" s="84"/>
      <c r="H411" s="84"/>
      <c r="I411" s="535"/>
      <c r="J411" s="535"/>
      <c r="K411" s="535"/>
      <c r="L411" s="535"/>
      <c r="M411" s="391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</row>
    <row r="412">
      <c r="A412" s="53"/>
      <c r="B412" s="641"/>
      <c r="C412" s="53"/>
      <c r="D412" s="546"/>
      <c r="E412" s="642"/>
      <c r="F412" s="53"/>
      <c r="G412" s="53"/>
      <c r="H412" s="53"/>
      <c r="I412" s="547"/>
      <c r="J412" s="547"/>
      <c r="K412" s="547"/>
      <c r="L412" s="547"/>
      <c r="M412" s="64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</row>
    <row r="413">
      <c r="A413" s="84"/>
      <c r="B413" s="639"/>
      <c r="C413" s="84"/>
      <c r="D413" s="534"/>
      <c r="E413" s="640"/>
      <c r="F413" s="84"/>
      <c r="G413" s="84"/>
      <c r="H413" s="84"/>
      <c r="I413" s="535"/>
      <c r="J413" s="535"/>
      <c r="K413" s="535"/>
      <c r="L413" s="535"/>
      <c r="M413" s="391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</row>
    <row r="414">
      <c r="A414" s="53"/>
      <c r="B414" s="641"/>
      <c r="C414" s="53"/>
      <c r="D414" s="546"/>
      <c r="E414" s="642"/>
      <c r="F414" s="53"/>
      <c r="G414" s="53"/>
      <c r="H414" s="53"/>
      <c r="I414" s="547"/>
      <c r="J414" s="547"/>
      <c r="K414" s="547"/>
      <c r="L414" s="547"/>
      <c r="M414" s="64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</row>
    <row r="415">
      <c r="A415" s="84"/>
      <c r="B415" s="639"/>
      <c r="C415" s="84"/>
      <c r="D415" s="534"/>
      <c r="E415" s="640"/>
      <c r="F415" s="84"/>
      <c r="G415" s="84"/>
      <c r="H415" s="84"/>
      <c r="I415" s="535"/>
      <c r="J415" s="535"/>
      <c r="K415" s="535"/>
      <c r="L415" s="535"/>
      <c r="M415" s="391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</row>
    <row r="416">
      <c r="A416" s="53"/>
      <c r="B416" s="641"/>
      <c r="C416" s="53"/>
      <c r="D416" s="546"/>
      <c r="E416" s="642"/>
      <c r="F416" s="53"/>
      <c r="G416" s="53"/>
      <c r="H416" s="53"/>
      <c r="I416" s="547"/>
      <c r="J416" s="547"/>
      <c r="K416" s="547"/>
      <c r="L416" s="547"/>
      <c r="M416" s="64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</row>
    <row r="417">
      <c r="A417" s="84"/>
      <c r="B417" s="639"/>
      <c r="C417" s="84"/>
      <c r="D417" s="534"/>
      <c r="E417" s="640"/>
      <c r="F417" s="84"/>
      <c r="G417" s="84"/>
      <c r="H417" s="84"/>
      <c r="I417" s="535"/>
      <c r="J417" s="535"/>
      <c r="K417" s="535"/>
      <c r="L417" s="535"/>
      <c r="M417" s="391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</row>
    <row r="418">
      <c r="A418" s="53"/>
      <c r="B418" s="641"/>
      <c r="C418" s="53"/>
      <c r="D418" s="546"/>
      <c r="E418" s="642"/>
      <c r="F418" s="53"/>
      <c r="G418" s="53"/>
      <c r="H418" s="53"/>
      <c r="I418" s="547"/>
      <c r="J418" s="547"/>
      <c r="K418" s="547"/>
      <c r="L418" s="547"/>
      <c r="M418" s="64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</row>
    <row r="419">
      <c r="A419" s="84"/>
      <c r="B419" s="639"/>
      <c r="C419" s="84"/>
      <c r="D419" s="534"/>
      <c r="E419" s="640"/>
      <c r="F419" s="84"/>
      <c r="G419" s="84"/>
      <c r="H419" s="84"/>
      <c r="I419" s="535"/>
      <c r="J419" s="535"/>
      <c r="K419" s="535"/>
      <c r="L419" s="535"/>
      <c r="M419" s="391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</row>
    <row r="420">
      <c r="A420" s="53"/>
      <c r="B420" s="641"/>
      <c r="C420" s="53"/>
      <c r="D420" s="546"/>
      <c r="E420" s="642"/>
      <c r="F420" s="53"/>
      <c r="G420" s="53"/>
      <c r="H420" s="53"/>
      <c r="I420" s="547"/>
      <c r="J420" s="547"/>
      <c r="K420" s="547"/>
      <c r="L420" s="547"/>
      <c r="M420" s="64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</row>
    <row r="421">
      <c r="A421" s="84"/>
      <c r="B421" s="639"/>
      <c r="C421" s="84"/>
      <c r="D421" s="534"/>
      <c r="E421" s="640"/>
      <c r="F421" s="84"/>
      <c r="G421" s="84"/>
      <c r="H421" s="84"/>
      <c r="I421" s="535"/>
      <c r="J421" s="535"/>
      <c r="K421" s="535"/>
      <c r="L421" s="535"/>
      <c r="M421" s="391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</row>
    <row r="422">
      <c r="A422" s="53"/>
      <c r="B422" s="641"/>
      <c r="C422" s="53"/>
      <c r="D422" s="546"/>
      <c r="E422" s="642"/>
      <c r="F422" s="53"/>
      <c r="G422" s="53"/>
      <c r="H422" s="53"/>
      <c r="I422" s="547"/>
      <c r="J422" s="547"/>
      <c r="K422" s="547"/>
      <c r="L422" s="547"/>
      <c r="M422" s="64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</row>
    <row r="423">
      <c r="A423" s="84"/>
      <c r="B423" s="639"/>
      <c r="C423" s="84"/>
      <c r="D423" s="534"/>
      <c r="E423" s="640"/>
      <c r="F423" s="84"/>
      <c r="G423" s="84"/>
      <c r="H423" s="84"/>
      <c r="I423" s="535"/>
      <c r="J423" s="535"/>
      <c r="K423" s="535"/>
      <c r="L423" s="535"/>
      <c r="M423" s="391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</row>
    <row r="424">
      <c r="A424" s="53"/>
      <c r="B424" s="641"/>
      <c r="C424" s="53"/>
      <c r="D424" s="546"/>
      <c r="E424" s="642"/>
      <c r="F424" s="53"/>
      <c r="G424" s="53"/>
      <c r="H424" s="53"/>
      <c r="I424" s="547"/>
      <c r="J424" s="547"/>
      <c r="K424" s="547"/>
      <c r="L424" s="547"/>
      <c r="M424" s="64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</row>
    <row r="425">
      <c r="A425" s="84"/>
      <c r="B425" s="639"/>
      <c r="C425" s="84"/>
      <c r="D425" s="534"/>
      <c r="E425" s="640"/>
      <c r="F425" s="84"/>
      <c r="G425" s="84"/>
      <c r="H425" s="84"/>
      <c r="I425" s="535"/>
      <c r="J425" s="535"/>
      <c r="K425" s="535"/>
      <c r="L425" s="535"/>
      <c r="M425" s="391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</row>
    <row r="426">
      <c r="A426" s="53"/>
      <c r="B426" s="641"/>
      <c r="C426" s="53"/>
      <c r="D426" s="546"/>
      <c r="E426" s="642"/>
      <c r="F426" s="53"/>
      <c r="G426" s="53"/>
      <c r="H426" s="53"/>
      <c r="I426" s="547"/>
      <c r="J426" s="547"/>
      <c r="K426" s="547"/>
      <c r="L426" s="547"/>
      <c r="M426" s="64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</row>
    <row r="427">
      <c r="A427" s="84"/>
      <c r="B427" s="639"/>
      <c r="C427" s="84"/>
      <c r="D427" s="534"/>
      <c r="E427" s="640"/>
      <c r="F427" s="84"/>
      <c r="G427" s="84"/>
      <c r="H427" s="84"/>
      <c r="I427" s="535"/>
      <c r="J427" s="535"/>
      <c r="K427" s="535"/>
      <c r="L427" s="535"/>
      <c r="M427" s="391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</row>
    <row r="428">
      <c r="A428" s="53"/>
      <c r="B428" s="641"/>
      <c r="C428" s="53"/>
      <c r="D428" s="546"/>
      <c r="E428" s="642"/>
      <c r="F428" s="53"/>
      <c r="G428" s="53"/>
      <c r="H428" s="53"/>
      <c r="I428" s="547"/>
      <c r="J428" s="547"/>
      <c r="K428" s="547"/>
      <c r="L428" s="547"/>
      <c r="M428" s="64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</row>
    <row r="429">
      <c r="A429" s="84"/>
      <c r="B429" s="639"/>
      <c r="C429" s="84"/>
      <c r="D429" s="534"/>
      <c r="E429" s="640"/>
      <c r="F429" s="84"/>
      <c r="G429" s="84"/>
      <c r="H429" s="84"/>
      <c r="I429" s="535"/>
      <c r="J429" s="535"/>
      <c r="K429" s="535"/>
      <c r="L429" s="535"/>
      <c r="M429" s="391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</row>
    <row r="430">
      <c r="A430" s="53"/>
      <c r="B430" s="641"/>
      <c r="C430" s="53"/>
      <c r="D430" s="546"/>
      <c r="E430" s="642"/>
      <c r="F430" s="53"/>
      <c r="G430" s="53"/>
      <c r="H430" s="53"/>
      <c r="I430" s="547"/>
      <c r="J430" s="547"/>
      <c r="K430" s="547"/>
      <c r="L430" s="547"/>
      <c r="M430" s="64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</row>
    <row r="431">
      <c r="A431" s="84"/>
      <c r="B431" s="639"/>
      <c r="C431" s="84"/>
      <c r="D431" s="534"/>
      <c r="E431" s="640"/>
      <c r="F431" s="84"/>
      <c r="G431" s="84"/>
      <c r="H431" s="84"/>
      <c r="I431" s="535"/>
      <c r="J431" s="535"/>
      <c r="K431" s="535"/>
      <c r="L431" s="535"/>
      <c r="M431" s="391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</row>
    <row r="432">
      <c r="A432" s="53"/>
      <c r="B432" s="641"/>
      <c r="C432" s="53"/>
      <c r="D432" s="546"/>
      <c r="E432" s="642"/>
      <c r="F432" s="53"/>
      <c r="G432" s="53"/>
      <c r="H432" s="53"/>
      <c r="I432" s="547"/>
      <c r="J432" s="547"/>
      <c r="K432" s="547"/>
      <c r="L432" s="547"/>
      <c r="M432" s="64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</row>
    <row r="433">
      <c r="A433" s="84"/>
      <c r="B433" s="639"/>
      <c r="C433" s="84"/>
      <c r="D433" s="534"/>
      <c r="E433" s="640"/>
      <c r="F433" s="84"/>
      <c r="G433" s="84"/>
      <c r="H433" s="84"/>
      <c r="I433" s="535"/>
      <c r="J433" s="535"/>
      <c r="K433" s="535"/>
      <c r="L433" s="535"/>
      <c r="M433" s="391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</row>
    <row r="434">
      <c r="A434" s="53"/>
      <c r="B434" s="641"/>
      <c r="C434" s="53"/>
      <c r="D434" s="546"/>
      <c r="E434" s="642"/>
      <c r="F434" s="53"/>
      <c r="G434" s="53"/>
      <c r="H434" s="53"/>
      <c r="I434" s="547"/>
      <c r="J434" s="547"/>
      <c r="K434" s="547"/>
      <c r="L434" s="547"/>
      <c r="M434" s="64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</row>
    <row r="435">
      <c r="A435" s="84"/>
      <c r="B435" s="639"/>
      <c r="C435" s="84"/>
      <c r="D435" s="534"/>
      <c r="E435" s="640"/>
      <c r="F435" s="84"/>
      <c r="G435" s="84"/>
      <c r="H435" s="84"/>
      <c r="I435" s="535"/>
      <c r="J435" s="535"/>
      <c r="K435" s="535"/>
      <c r="L435" s="535"/>
      <c r="M435" s="391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</row>
    <row r="436">
      <c r="A436" s="53"/>
      <c r="B436" s="641"/>
      <c r="C436" s="53"/>
      <c r="D436" s="546"/>
      <c r="E436" s="642"/>
      <c r="F436" s="53"/>
      <c r="G436" s="53"/>
      <c r="H436" s="53"/>
      <c r="I436" s="547"/>
      <c r="J436" s="547"/>
      <c r="K436" s="547"/>
      <c r="L436" s="547"/>
      <c r="M436" s="64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</row>
    <row r="437">
      <c r="A437" s="84"/>
      <c r="B437" s="639"/>
      <c r="C437" s="84"/>
      <c r="D437" s="534"/>
      <c r="E437" s="640"/>
      <c r="F437" s="84"/>
      <c r="G437" s="84"/>
      <c r="H437" s="84"/>
      <c r="I437" s="535"/>
      <c r="J437" s="535"/>
      <c r="K437" s="535"/>
      <c r="L437" s="535"/>
      <c r="M437" s="391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</row>
    <row r="438">
      <c r="A438" s="53"/>
      <c r="B438" s="641"/>
      <c r="C438" s="53"/>
      <c r="D438" s="546"/>
      <c r="E438" s="642"/>
      <c r="F438" s="53"/>
      <c r="G438" s="53"/>
      <c r="H438" s="53"/>
      <c r="I438" s="547"/>
      <c r="J438" s="547"/>
      <c r="K438" s="547"/>
      <c r="L438" s="547"/>
      <c r="M438" s="64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</row>
    <row r="439">
      <c r="A439" s="84"/>
      <c r="B439" s="639"/>
      <c r="C439" s="84"/>
      <c r="D439" s="534"/>
      <c r="E439" s="640"/>
      <c r="F439" s="84"/>
      <c r="G439" s="84"/>
      <c r="H439" s="84"/>
      <c r="I439" s="535"/>
      <c r="J439" s="535"/>
      <c r="K439" s="535"/>
      <c r="L439" s="535"/>
      <c r="M439" s="391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</row>
    <row r="440">
      <c r="A440" s="53"/>
      <c r="B440" s="641"/>
      <c r="C440" s="53"/>
      <c r="D440" s="546"/>
      <c r="E440" s="642"/>
      <c r="F440" s="53"/>
      <c r="G440" s="53"/>
      <c r="H440" s="53"/>
      <c r="I440" s="547"/>
      <c r="J440" s="547"/>
      <c r="K440" s="547"/>
      <c r="L440" s="547"/>
      <c r="M440" s="64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</row>
    <row r="441">
      <c r="A441" s="84"/>
      <c r="B441" s="639"/>
      <c r="C441" s="84"/>
      <c r="D441" s="534"/>
      <c r="E441" s="640"/>
      <c r="F441" s="84"/>
      <c r="G441" s="84"/>
      <c r="H441" s="84"/>
      <c r="I441" s="535"/>
      <c r="J441" s="535"/>
      <c r="K441" s="535"/>
      <c r="L441" s="535"/>
      <c r="M441" s="391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</row>
    <row r="442">
      <c r="A442" s="53"/>
      <c r="B442" s="641"/>
      <c r="C442" s="53"/>
      <c r="D442" s="546"/>
      <c r="E442" s="642"/>
      <c r="F442" s="53"/>
      <c r="G442" s="53"/>
      <c r="H442" s="53"/>
      <c r="I442" s="547"/>
      <c r="J442" s="547"/>
      <c r="K442" s="547"/>
      <c r="L442" s="547"/>
      <c r="M442" s="64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</row>
    <row r="443">
      <c r="A443" s="84"/>
      <c r="B443" s="639"/>
      <c r="C443" s="84"/>
      <c r="D443" s="534"/>
      <c r="E443" s="640"/>
      <c r="F443" s="84"/>
      <c r="G443" s="84"/>
      <c r="H443" s="84"/>
      <c r="I443" s="535"/>
      <c r="J443" s="535"/>
      <c r="K443" s="535"/>
      <c r="L443" s="535"/>
      <c r="M443" s="391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</row>
    <row r="444">
      <c r="A444" s="53"/>
      <c r="B444" s="641"/>
      <c r="C444" s="53"/>
      <c r="D444" s="546"/>
      <c r="E444" s="642"/>
      <c r="F444" s="53"/>
      <c r="G444" s="53"/>
      <c r="H444" s="53"/>
      <c r="I444" s="547"/>
      <c r="J444" s="547"/>
      <c r="K444" s="547"/>
      <c r="L444" s="547"/>
      <c r="M444" s="64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</row>
    <row r="445">
      <c r="A445" s="84"/>
      <c r="B445" s="639"/>
      <c r="C445" s="84"/>
      <c r="D445" s="534"/>
      <c r="E445" s="640"/>
      <c r="F445" s="84"/>
      <c r="G445" s="84"/>
      <c r="H445" s="84"/>
      <c r="I445" s="535"/>
      <c r="J445" s="535"/>
      <c r="K445" s="535"/>
      <c r="L445" s="535"/>
      <c r="M445" s="391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</row>
    <row r="446">
      <c r="A446" s="53"/>
      <c r="B446" s="641"/>
      <c r="C446" s="53"/>
      <c r="D446" s="546"/>
      <c r="E446" s="642"/>
      <c r="F446" s="53"/>
      <c r="G446" s="53"/>
      <c r="H446" s="53"/>
      <c r="I446" s="547"/>
      <c r="J446" s="547"/>
      <c r="K446" s="547"/>
      <c r="L446" s="547"/>
      <c r="M446" s="64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</row>
    <row r="447">
      <c r="A447" s="84"/>
      <c r="B447" s="639"/>
      <c r="C447" s="84"/>
      <c r="D447" s="534"/>
      <c r="E447" s="640"/>
      <c r="F447" s="84"/>
      <c r="G447" s="84"/>
      <c r="H447" s="84"/>
      <c r="I447" s="535"/>
      <c r="J447" s="535"/>
      <c r="K447" s="535"/>
      <c r="L447" s="535"/>
      <c r="M447" s="391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</row>
    <row r="448">
      <c r="A448" s="53"/>
      <c r="B448" s="641"/>
      <c r="C448" s="53"/>
      <c r="D448" s="546"/>
      <c r="E448" s="642"/>
      <c r="F448" s="53"/>
      <c r="G448" s="53"/>
      <c r="H448" s="53"/>
      <c r="I448" s="547"/>
      <c r="J448" s="547"/>
      <c r="K448" s="547"/>
      <c r="L448" s="547"/>
      <c r="M448" s="64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</row>
    <row r="449">
      <c r="A449" s="84"/>
      <c r="B449" s="639"/>
      <c r="C449" s="84"/>
      <c r="D449" s="534"/>
      <c r="E449" s="640"/>
      <c r="F449" s="84"/>
      <c r="G449" s="84"/>
      <c r="H449" s="84"/>
      <c r="I449" s="535"/>
      <c r="J449" s="535"/>
      <c r="K449" s="535"/>
      <c r="L449" s="535"/>
      <c r="M449" s="391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</row>
    <row r="450">
      <c r="A450" s="53"/>
      <c r="B450" s="641"/>
      <c r="C450" s="53"/>
      <c r="D450" s="546"/>
      <c r="E450" s="642"/>
      <c r="F450" s="53"/>
      <c r="G450" s="53"/>
      <c r="H450" s="53"/>
      <c r="I450" s="547"/>
      <c r="J450" s="547"/>
      <c r="K450" s="547"/>
      <c r="L450" s="547"/>
      <c r="M450" s="64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</row>
    <row r="451">
      <c r="A451" s="84"/>
      <c r="B451" s="639"/>
      <c r="C451" s="84"/>
      <c r="D451" s="534"/>
      <c r="E451" s="640"/>
      <c r="F451" s="84"/>
      <c r="G451" s="84"/>
      <c r="H451" s="84"/>
      <c r="I451" s="535"/>
      <c r="J451" s="535"/>
      <c r="K451" s="535"/>
      <c r="L451" s="535"/>
      <c r="M451" s="391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</row>
    <row r="452">
      <c r="A452" s="53"/>
      <c r="B452" s="641"/>
      <c r="C452" s="53"/>
      <c r="D452" s="546"/>
      <c r="E452" s="642"/>
      <c r="F452" s="53"/>
      <c r="G452" s="53"/>
      <c r="H452" s="53"/>
      <c r="I452" s="547"/>
      <c r="J452" s="547"/>
      <c r="K452" s="547"/>
      <c r="L452" s="547"/>
      <c r="M452" s="64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</row>
    <row r="453">
      <c r="A453" s="84"/>
      <c r="B453" s="639"/>
      <c r="C453" s="84"/>
      <c r="D453" s="534"/>
      <c r="E453" s="640"/>
      <c r="F453" s="84"/>
      <c r="G453" s="84"/>
      <c r="H453" s="84"/>
      <c r="I453" s="535"/>
      <c r="J453" s="535"/>
      <c r="K453" s="535"/>
      <c r="L453" s="535"/>
      <c r="M453" s="391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</row>
    <row r="454">
      <c r="A454" s="53"/>
      <c r="B454" s="641"/>
      <c r="C454" s="53"/>
      <c r="D454" s="546"/>
      <c r="E454" s="642"/>
      <c r="F454" s="53"/>
      <c r="G454" s="53"/>
      <c r="H454" s="53"/>
      <c r="I454" s="547"/>
      <c r="J454" s="547"/>
      <c r="K454" s="547"/>
      <c r="L454" s="547"/>
      <c r="M454" s="64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</row>
    <row r="455">
      <c r="A455" s="84"/>
      <c r="B455" s="639"/>
      <c r="C455" s="84"/>
      <c r="D455" s="534"/>
      <c r="E455" s="640"/>
      <c r="F455" s="84"/>
      <c r="G455" s="84"/>
      <c r="H455" s="84"/>
      <c r="I455" s="535"/>
      <c r="J455" s="535"/>
      <c r="K455" s="535"/>
      <c r="L455" s="535"/>
      <c r="M455" s="391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</row>
    <row r="456">
      <c r="A456" s="53"/>
      <c r="B456" s="641"/>
      <c r="C456" s="53"/>
      <c r="D456" s="546"/>
      <c r="E456" s="642"/>
      <c r="F456" s="53"/>
      <c r="G456" s="53"/>
      <c r="H456" s="53"/>
      <c r="I456" s="547"/>
      <c r="J456" s="547"/>
      <c r="K456" s="547"/>
      <c r="L456" s="547"/>
      <c r="M456" s="64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</row>
    <row r="457">
      <c r="A457" s="84"/>
      <c r="B457" s="639"/>
      <c r="C457" s="84"/>
      <c r="D457" s="534"/>
      <c r="E457" s="640"/>
      <c r="F457" s="84"/>
      <c r="G457" s="84"/>
      <c r="H457" s="84"/>
      <c r="I457" s="535"/>
      <c r="J457" s="535"/>
      <c r="K457" s="535"/>
      <c r="L457" s="535"/>
      <c r="M457" s="391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</row>
    <row r="458">
      <c r="A458" s="53"/>
      <c r="B458" s="641"/>
      <c r="C458" s="53"/>
      <c r="D458" s="546"/>
      <c r="E458" s="642"/>
      <c r="F458" s="53"/>
      <c r="G458" s="53"/>
      <c r="H458" s="53"/>
      <c r="I458" s="547"/>
      <c r="J458" s="547"/>
      <c r="K458" s="547"/>
      <c r="L458" s="547"/>
      <c r="M458" s="64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</row>
    <row r="459">
      <c r="A459" s="84"/>
      <c r="B459" s="639"/>
      <c r="C459" s="84"/>
      <c r="D459" s="534"/>
      <c r="E459" s="640"/>
      <c r="F459" s="84"/>
      <c r="G459" s="84"/>
      <c r="H459" s="84"/>
      <c r="I459" s="535"/>
      <c r="J459" s="535"/>
      <c r="K459" s="535"/>
      <c r="L459" s="535"/>
      <c r="M459" s="391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</row>
    <row r="460">
      <c r="A460" s="53"/>
      <c r="B460" s="641"/>
      <c r="C460" s="53"/>
      <c r="D460" s="546"/>
      <c r="E460" s="642"/>
      <c r="F460" s="53"/>
      <c r="G460" s="53"/>
      <c r="H460" s="53"/>
      <c r="I460" s="547"/>
      <c r="J460" s="547"/>
      <c r="K460" s="547"/>
      <c r="L460" s="547"/>
      <c r="M460" s="64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</row>
    <row r="461">
      <c r="A461" s="84"/>
      <c r="B461" s="639"/>
      <c r="C461" s="84"/>
      <c r="D461" s="534"/>
      <c r="E461" s="640"/>
      <c r="F461" s="84"/>
      <c r="G461" s="84"/>
      <c r="H461" s="84"/>
      <c r="I461" s="535"/>
      <c r="J461" s="535"/>
      <c r="K461" s="535"/>
      <c r="L461" s="535"/>
      <c r="M461" s="391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</row>
    <row r="462">
      <c r="A462" s="53"/>
      <c r="B462" s="641"/>
      <c r="C462" s="53"/>
      <c r="D462" s="546"/>
      <c r="E462" s="642"/>
      <c r="F462" s="53"/>
      <c r="G462" s="53"/>
      <c r="H462" s="53"/>
      <c r="I462" s="547"/>
      <c r="J462" s="547"/>
      <c r="K462" s="547"/>
      <c r="L462" s="547"/>
      <c r="M462" s="64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</row>
    <row r="463">
      <c r="A463" s="84"/>
      <c r="B463" s="639"/>
      <c r="C463" s="84"/>
      <c r="D463" s="534"/>
      <c r="E463" s="640"/>
      <c r="F463" s="84"/>
      <c r="G463" s="84"/>
      <c r="H463" s="84"/>
      <c r="I463" s="535"/>
      <c r="J463" s="535"/>
      <c r="K463" s="535"/>
      <c r="L463" s="535"/>
      <c r="M463" s="391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</row>
    <row r="464">
      <c r="A464" s="53"/>
      <c r="B464" s="641"/>
      <c r="C464" s="53"/>
      <c r="D464" s="546"/>
      <c r="E464" s="642"/>
      <c r="F464" s="53"/>
      <c r="G464" s="53"/>
      <c r="H464" s="53"/>
      <c r="I464" s="547"/>
      <c r="J464" s="547"/>
      <c r="K464" s="547"/>
      <c r="L464" s="547"/>
      <c r="M464" s="64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</row>
    <row r="465">
      <c r="A465" s="84"/>
      <c r="B465" s="639"/>
      <c r="C465" s="84"/>
      <c r="D465" s="534"/>
      <c r="E465" s="640"/>
      <c r="F465" s="84"/>
      <c r="G465" s="84"/>
      <c r="H465" s="84"/>
      <c r="I465" s="535"/>
      <c r="J465" s="535"/>
      <c r="K465" s="535"/>
      <c r="L465" s="535"/>
      <c r="M465" s="391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</row>
    <row r="466">
      <c r="A466" s="53"/>
      <c r="B466" s="641"/>
      <c r="C466" s="53"/>
      <c r="D466" s="546"/>
      <c r="E466" s="642"/>
      <c r="F466" s="53"/>
      <c r="G466" s="53"/>
      <c r="H466" s="53"/>
      <c r="I466" s="547"/>
      <c r="J466" s="547"/>
      <c r="K466" s="547"/>
      <c r="L466" s="547"/>
      <c r="M466" s="64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</row>
    <row r="467">
      <c r="A467" s="84"/>
      <c r="B467" s="639"/>
      <c r="C467" s="84"/>
      <c r="D467" s="534"/>
      <c r="E467" s="640"/>
      <c r="F467" s="84"/>
      <c r="G467" s="84"/>
      <c r="H467" s="84"/>
      <c r="I467" s="535"/>
      <c r="J467" s="535"/>
      <c r="K467" s="535"/>
      <c r="L467" s="535"/>
      <c r="M467" s="391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</row>
    <row r="468">
      <c r="A468" s="53"/>
      <c r="B468" s="641"/>
      <c r="C468" s="53"/>
      <c r="D468" s="546"/>
      <c r="E468" s="642"/>
      <c r="F468" s="53"/>
      <c r="G468" s="53"/>
      <c r="H468" s="53"/>
      <c r="I468" s="547"/>
      <c r="J468" s="547"/>
      <c r="K468" s="547"/>
      <c r="L468" s="547"/>
      <c r="M468" s="64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</row>
    <row r="469">
      <c r="A469" s="84"/>
      <c r="B469" s="639"/>
      <c r="C469" s="84"/>
      <c r="D469" s="534"/>
      <c r="E469" s="640"/>
      <c r="F469" s="84"/>
      <c r="G469" s="84"/>
      <c r="H469" s="84"/>
      <c r="I469" s="535"/>
      <c r="J469" s="535"/>
      <c r="K469" s="535"/>
      <c r="L469" s="535"/>
      <c r="M469" s="391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</row>
    <row r="470">
      <c r="A470" s="53"/>
      <c r="B470" s="641"/>
      <c r="C470" s="53"/>
      <c r="D470" s="546"/>
      <c r="E470" s="642"/>
      <c r="F470" s="53"/>
      <c r="G470" s="53"/>
      <c r="H470" s="53"/>
      <c r="I470" s="547"/>
      <c r="J470" s="547"/>
      <c r="K470" s="547"/>
      <c r="L470" s="547"/>
      <c r="M470" s="64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</row>
    <row r="471">
      <c r="A471" s="84"/>
      <c r="B471" s="639"/>
      <c r="C471" s="84"/>
      <c r="D471" s="534"/>
      <c r="E471" s="640"/>
      <c r="F471" s="84"/>
      <c r="G471" s="84"/>
      <c r="H471" s="84"/>
      <c r="I471" s="535"/>
      <c r="J471" s="535"/>
      <c r="K471" s="535"/>
      <c r="L471" s="535"/>
      <c r="M471" s="391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</row>
    <row r="472">
      <c r="A472" s="53"/>
      <c r="B472" s="641"/>
      <c r="C472" s="53"/>
      <c r="D472" s="546"/>
      <c r="E472" s="642"/>
      <c r="F472" s="53"/>
      <c r="G472" s="53"/>
      <c r="H472" s="53"/>
      <c r="I472" s="547"/>
      <c r="J472" s="547"/>
      <c r="K472" s="547"/>
      <c r="L472" s="547"/>
      <c r="M472" s="64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</row>
    <row r="473">
      <c r="A473" s="84"/>
      <c r="B473" s="639"/>
      <c r="C473" s="84"/>
      <c r="D473" s="534"/>
      <c r="E473" s="640"/>
      <c r="F473" s="84"/>
      <c r="G473" s="84"/>
      <c r="H473" s="84"/>
      <c r="I473" s="535"/>
      <c r="J473" s="535"/>
      <c r="K473" s="535"/>
      <c r="L473" s="535"/>
      <c r="M473" s="391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</row>
    <row r="474">
      <c r="A474" s="53"/>
      <c r="B474" s="641"/>
      <c r="C474" s="53"/>
      <c r="D474" s="546"/>
      <c r="E474" s="642"/>
      <c r="F474" s="53"/>
      <c r="G474" s="53"/>
      <c r="H474" s="53"/>
      <c r="I474" s="547"/>
      <c r="J474" s="547"/>
      <c r="K474" s="547"/>
      <c r="L474" s="547"/>
      <c r="M474" s="64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</row>
    <row r="475">
      <c r="A475" s="84"/>
      <c r="B475" s="639"/>
      <c r="C475" s="84"/>
      <c r="D475" s="534"/>
      <c r="E475" s="640"/>
      <c r="F475" s="84"/>
      <c r="G475" s="84"/>
      <c r="H475" s="84"/>
      <c r="I475" s="535"/>
      <c r="J475" s="535"/>
      <c r="K475" s="535"/>
      <c r="L475" s="535"/>
      <c r="M475" s="391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</row>
    <row r="476">
      <c r="A476" s="53"/>
      <c r="B476" s="641"/>
      <c r="C476" s="53"/>
      <c r="D476" s="546"/>
      <c r="E476" s="642"/>
      <c r="F476" s="53"/>
      <c r="G476" s="53"/>
      <c r="H476" s="53"/>
      <c r="I476" s="547"/>
      <c r="J476" s="547"/>
      <c r="K476" s="547"/>
      <c r="L476" s="547"/>
      <c r="M476" s="64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</row>
    <row r="477">
      <c r="A477" s="84"/>
      <c r="B477" s="639"/>
      <c r="C477" s="84"/>
      <c r="D477" s="534"/>
      <c r="E477" s="640"/>
      <c r="F477" s="84"/>
      <c r="G477" s="84"/>
      <c r="H477" s="84"/>
      <c r="I477" s="535"/>
      <c r="J477" s="535"/>
      <c r="K477" s="535"/>
      <c r="L477" s="535"/>
      <c r="M477" s="391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</row>
    <row r="478">
      <c r="A478" s="53"/>
      <c r="B478" s="641"/>
      <c r="C478" s="53"/>
      <c r="D478" s="546"/>
      <c r="E478" s="642"/>
      <c r="F478" s="53"/>
      <c r="G478" s="53"/>
      <c r="H478" s="53"/>
      <c r="I478" s="547"/>
      <c r="J478" s="547"/>
      <c r="K478" s="547"/>
      <c r="L478" s="547"/>
      <c r="M478" s="64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</row>
    <row r="479">
      <c r="A479" s="84"/>
      <c r="B479" s="639"/>
      <c r="C479" s="84"/>
      <c r="D479" s="534"/>
      <c r="E479" s="640"/>
      <c r="F479" s="84"/>
      <c r="G479" s="84"/>
      <c r="H479" s="84"/>
      <c r="I479" s="535"/>
      <c r="J479" s="535"/>
      <c r="K479" s="535"/>
      <c r="L479" s="535"/>
      <c r="M479" s="391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</row>
    <row r="480">
      <c r="A480" s="53"/>
      <c r="B480" s="641"/>
      <c r="C480" s="53"/>
      <c r="D480" s="546"/>
      <c r="E480" s="642"/>
      <c r="F480" s="53"/>
      <c r="G480" s="53"/>
      <c r="H480" s="53"/>
      <c r="I480" s="547"/>
      <c r="J480" s="547"/>
      <c r="K480" s="547"/>
      <c r="L480" s="547"/>
      <c r="M480" s="64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</row>
    <row r="481">
      <c r="A481" s="84"/>
      <c r="B481" s="639"/>
      <c r="C481" s="84"/>
      <c r="D481" s="534"/>
      <c r="E481" s="640"/>
      <c r="F481" s="84"/>
      <c r="G481" s="84"/>
      <c r="H481" s="84"/>
      <c r="I481" s="535"/>
      <c r="J481" s="535"/>
      <c r="K481" s="535"/>
      <c r="L481" s="535"/>
      <c r="M481" s="391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</row>
    <row r="482">
      <c r="A482" s="53"/>
      <c r="B482" s="641"/>
      <c r="C482" s="53"/>
      <c r="D482" s="546"/>
      <c r="E482" s="642"/>
      <c r="F482" s="53"/>
      <c r="G482" s="53"/>
      <c r="H482" s="53"/>
      <c r="I482" s="547"/>
      <c r="J482" s="547"/>
      <c r="K482" s="547"/>
      <c r="L482" s="547"/>
      <c r="M482" s="64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</row>
    <row r="483">
      <c r="A483" s="84"/>
      <c r="B483" s="639"/>
      <c r="C483" s="84"/>
      <c r="D483" s="534"/>
      <c r="E483" s="640"/>
      <c r="F483" s="84"/>
      <c r="G483" s="84"/>
      <c r="H483" s="84"/>
      <c r="I483" s="535"/>
      <c r="J483" s="535"/>
      <c r="K483" s="535"/>
      <c r="L483" s="535"/>
      <c r="M483" s="391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</row>
    <row r="484">
      <c r="A484" s="53"/>
      <c r="B484" s="641"/>
      <c r="C484" s="53"/>
      <c r="D484" s="546"/>
      <c r="E484" s="642"/>
      <c r="F484" s="53"/>
      <c r="G484" s="53"/>
      <c r="H484" s="53"/>
      <c r="I484" s="547"/>
      <c r="J484" s="547"/>
      <c r="K484" s="547"/>
      <c r="L484" s="547"/>
      <c r="M484" s="64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</row>
    <row r="485">
      <c r="A485" s="84"/>
      <c r="B485" s="639"/>
      <c r="C485" s="84"/>
      <c r="D485" s="534"/>
      <c r="E485" s="640"/>
      <c r="F485" s="84"/>
      <c r="G485" s="84"/>
      <c r="H485" s="84"/>
      <c r="I485" s="535"/>
      <c r="J485" s="535"/>
      <c r="K485" s="535"/>
      <c r="L485" s="535"/>
      <c r="M485" s="391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</row>
    <row r="486">
      <c r="A486" s="53"/>
      <c r="B486" s="641"/>
      <c r="C486" s="53"/>
      <c r="D486" s="546"/>
      <c r="E486" s="642"/>
      <c r="F486" s="53"/>
      <c r="G486" s="53"/>
      <c r="H486" s="53"/>
      <c r="I486" s="547"/>
      <c r="J486" s="547"/>
      <c r="K486" s="547"/>
      <c r="L486" s="547"/>
      <c r="M486" s="64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</row>
    <row r="487">
      <c r="A487" s="84"/>
      <c r="B487" s="639"/>
      <c r="C487" s="84"/>
      <c r="D487" s="534"/>
      <c r="E487" s="640"/>
      <c r="F487" s="84"/>
      <c r="G487" s="84"/>
      <c r="H487" s="84"/>
      <c r="I487" s="535"/>
      <c r="J487" s="535"/>
      <c r="K487" s="535"/>
      <c r="L487" s="535"/>
      <c r="M487" s="391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</row>
    <row r="488">
      <c r="A488" s="53"/>
      <c r="B488" s="641"/>
      <c r="C488" s="53"/>
      <c r="D488" s="546"/>
      <c r="E488" s="642"/>
      <c r="F488" s="53"/>
      <c r="G488" s="53"/>
      <c r="H488" s="53"/>
      <c r="I488" s="547"/>
      <c r="J488" s="547"/>
      <c r="K488" s="547"/>
      <c r="L488" s="547"/>
      <c r="M488" s="64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</row>
    <row r="489">
      <c r="A489" s="84"/>
      <c r="B489" s="639"/>
      <c r="C489" s="84"/>
      <c r="D489" s="534"/>
      <c r="E489" s="640"/>
      <c r="F489" s="84"/>
      <c r="G489" s="84"/>
      <c r="H489" s="84"/>
      <c r="I489" s="535"/>
      <c r="J489" s="535"/>
      <c r="K489" s="535"/>
      <c r="L489" s="535"/>
      <c r="M489" s="391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</row>
    <row r="490">
      <c r="A490" s="53"/>
      <c r="B490" s="641"/>
      <c r="C490" s="53"/>
      <c r="D490" s="546"/>
      <c r="E490" s="642"/>
      <c r="F490" s="53"/>
      <c r="G490" s="53"/>
      <c r="H490" s="53"/>
      <c r="I490" s="547"/>
      <c r="J490" s="547"/>
      <c r="K490" s="547"/>
      <c r="L490" s="547"/>
      <c r="M490" s="64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</row>
    <row r="491">
      <c r="A491" s="84"/>
      <c r="B491" s="639"/>
      <c r="C491" s="84"/>
      <c r="D491" s="534"/>
      <c r="E491" s="640"/>
      <c r="F491" s="84"/>
      <c r="G491" s="84"/>
      <c r="H491" s="84"/>
      <c r="I491" s="535"/>
      <c r="J491" s="535"/>
      <c r="K491" s="535"/>
      <c r="L491" s="535"/>
      <c r="M491" s="391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</row>
    <row r="492">
      <c r="A492" s="53"/>
      <c r="B492" s="641"/>
      <c r="C492" s="53"/>
      <c r="D492" s="546"/>
      <c r="E492" s="642"/>
      <c r="F492" s="53"/>
      <c r="G492" s="53"/>
      <c r="H492" s="53"/>
      <c r="I492" s="547"/>
      <c r="J492" s="547"/>
      <c r="K492" s="547"/>
      <c r="L492" s="547"/>
      <c r="M492" s="64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</row>
    <row r="493">
      <c r="A493" s="84"/>
      <c r="B493" s="639"/>
      <c r="C493" s="84"/>
      <c r="D493" s="534"/>
      <c r="E493" s="640"/>
      <c r="F493" s="84"/>
      <c r="G493" s="84"/>
      <c r="H493" s="84"/>
      <c r="I493" s="535"/>
      <c r="J493" s="535"/>
      <c r="K493" s="535"/>
      <c r="L493" s="535"/>
      <c r="M493" s="391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</row>
    <row r="494">
      <c r="A494" s="53"/>
      <c r="B494" s="641"/>
      <c r="C494" s="53"/>
      <c r="D494" s="546"/>
      <c r="E494" s="642"/>
      <c r="F494" s="53"/>
      <c r="G494" s="53"/>
      <c r="H494" s="53"/>
      <c r="I494" s="547"/>
      <c r="J494" s="547"/>
      <c r="K494" s="547"/>
      <c r="L494" s="547"/>
      <c r="M494" s="64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</row>
    <row r="495">
      <c r="A495" s="84"/>
      <c r="B495" s="639"/>
      <c r="C495" s="84"/>
      <c r="D495" s="534"/>
      <c r="E495" s="640"/>
      <c r="F495" s="84"/>
      <c r="G495" s="84"/>
      <c r="H495" s="84"/>
      <c r="I495" s="535"/>
      <c r="J495" s="535"/>
      <c r="K495" s="535"/>
      <c r="L495" s="535"/>
      <c r="M495" s="391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</row>
    <row r="496">
      <c r="A496" s="53"/>
      <c r="B496" s="641"/>
      <c r="C496" s="53"/>
      <c r="D496" s="546"/>
      <c r="E496" s="642"/>
      <c r="F496" s="53"/>
      <c r="G496" s="53"/>
      <c r="H496" s="53"/>
      <c r="I496" s="547"/>
      <c r="J496" s="547"/>
      <c r="K496" s="547"/>
      <c r="L496" s="547"/>
      <c r="M496" s="64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</row>
    <row r="497">
      <c r="A497" s="84"/>
      <c r="B497" s="639"/>
      <c r="C497" s="84"/>
      <c r="D497" s="534"/>
      <c r="E497" s="640"/>
      <c r="F497" s="84"/>
      <c r="G497" s="84"/>
      <c r="H497" s="84"/>
      <c r="I497" s="535"/>
      <c r="J497" s="535"/>
      <c r="K497" s="535"/>
      <c r="L497" s="535"/>
      <c r="M497" s="391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</row>
    <row r="498">
      <c r="A498" s="53"/>
      <c r="B498" s="641"/>
      <c r="C498" s="53"/>
      <c r="D498" s="546"/>
      <c r="E498" s="642"/>
      <c r="F498" s="53"/>
      <c r="G498" s="53"/>
      <c r="H498" s="53"/>
      <c r="I498" s="547"/>
      <c r="J498" s="547"/>
      <c r="K498" s="547"/>
      <c r="L498" s="547"/>
      <c r="M498" s="64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</row>
    <row r="499">
      <c r="A499" s="84"/>
      <c r="B499" s="639"/>
      <c r="C499" s="84"/>
      <c r="D499" s="534"/>
      <c r="E499" s="640"/>
      <c r="F499" s="84"/>
      <c r="G499" s="84"/>
      <c r="H499" s="84"/>
      <c r="I499" s="535"/>
      <c r="J499" s="535"/>
      <c r="K499" s="535"/>
      <c r="L499" s="535"/>
      <c r="M499" s="391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</row>
    <row r="500">
      <c r="A500" s="53"/>
      <c r="B500" s="641"/>
      <c r="C500" s="53"/>
      <c r="D500" s="546"/>
      <c r="E500" s="642"/>
      <c r="F500" s="53"/>
      <c r="G500" s="53"/>
      <c r="H500" s="53"/>
      <c r="I500" s="547"/>
      <c r="J500" s="547"/>
      <c r="K500" s="547"/>
      <c r="L500" s="547"/>
      <c r="M500" s="64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</row>
    <row r="501">
      <c r="A501" s="84"/>
      <c r="B501" s="639"/>
      <c r="C501" s="84"/>
      <c r="D501" s="534"/>
      <c r="E501" s="640"/>
      <c r="F501" s="84"/>
      <c r="G501" s="84"/>
      <c r="H501" s="84"/>
      <c r="I501" s="535"/>
      <c r="J501" s="535"/>
      <c r="K501" s="535"/>
      <c r="L501" s="535"/>
      <c r="M501" s="391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</row>
    <row r="502">
      <c r="A502" s="53"/>
      <c r="B502" s="641"/>
      <c r="C502" s="53"/>
      <c r="D502" s="546"/>
      <c r="E502" s="642"/>
      <c r="F502" s="53"/>
      <c r="G502" s="53"/>
      <c r="H502" s="53"/>
      <c r="I502" s="547"/>
      <c r="J502" s="547"/>
      <c r="K502" s="547"/>
      <c r="L502" s="547"/>
      <c r="M502" s="64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</row>
    <row r="503">
      <c r="A503" s="84"/>
      <c r="B503" s="639"/>
      <c r="C503" s="84"/>
      <c r="D503" s="534"/>
      <c r="E503" s="640"/>
      <c r="F503" s="84"/>
      <c r="G503" s="84"/>
      <c r="H503" s="84"/>
      <c r="I503" s="535"/>
      <c r="J503" s="535"/>
      <c r="K503" s="535"/>
      <c r="L503" s="535"/>
      <c r="M503" s="391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</row>
    <row r="504">
      <c r="A504" s="53"/>
      <c r="B504" s="641"/>
      <c r="C504" s="53"/>
      <c r="D504" s="546"/>
      <c r="E504" s="642"/>
      <c r="F504" s="53"/>
      <c r="G504" s="53"/>
      <c r="H504" s="53"/>
      <c r="I504" s="547"/>
      <c r="J504" s="547"/>
      <c r="K504" s="547"/>
      <c r="L504" s="547"/>
      <c r="M504" s="64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</row>
    <row r="505">
      <c r="A505" s="84"/>
      <c r="B505" s="639"/>
      <c r="C505" s="84"/>
      <c r="D505" s="534"/>
      <c r="E505" s="640"/>
      <c r="F505" s="84"/>
      <c r="G505" s="84"/>
      <c r="H505" s="84"/>
      <c r="I505" s="535"/>
      <c r="J505" s="535"/>
      <c r="K505" s="535"/>
      <c r="L505" s="535"/>
      <c r="M505" s="391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</row>
    <row r="506">
      <c r="A506" s="53"/>
      <c r="B506" s="641"/>
      <c r="C506" s="53"/>
      <c r="D506" s="546"/>
      <c r="E506" s="642"/>
      <c r="F506" s="53"/>
      <c r="G506" s="53"/>
      <c r="H506" s="53"/>
      <c r="I506" s="547"/>
      <c r="J506" s="547"/>
      <c r="K506" s="547"/>
      <c r="L506" s="547"/>
      <c r="M506" s="64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</row>
    <row r="507">
      <c r="A507" s="84"/>
      <c r="B507" s="639"/>
      <c r="C507" s="84"/>
      <c r="D507" s="534"/>
      <c r="E507" s="640"/>
      <c r="F507" s="84"/>
      <c r="G507" s="84"/>
      <c r="H507" s="84"/>
      <c r="I507" s="535"/>
      <c r="J507" s="535"/>
      <c r="K507" s="535"/>
      <c r="L507" s="535"/>
      <c r="M507" s="391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</row>
    <row r="508">
      <c r="A508" s="53"/>
      <c r="B508" s="641"/>
      <c r="C508" s="53"/>
      <c r="D508" s="546"/>
      <c r="E508" s="642"/>
      <c r="F508" s="53"/>
      <c r="G508" s="53"/>
      <c r="H508" s="53"/>
      <c r="I508" s="547"/>
      <c r="J508" s="547"/>
      <c r="K508" s="547"/>
      <c r="L508" s="547"/>
      <c r="M508" s="64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</row>
    <row r="509">
      <c r="A509" s="84"/>
      <c r="B509" s="639"/>
      <c r="C509" s="84"/>
      <c r="D509" s="534"/>
      <c r="E509" s="640"/>
      <c r="F509" s="84"/>
      <c r="G509" s="84"/>
      <c r="H509" s="84"/>
      <c r="I509" s="535"/>
      <c r="J509" s="535"/>
      <c r="K509" s="535"/>
      <c r="L509" s="535"/>
      <c r="M509" s="391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</row>
    <row r="510">
      <c r="A510" s="53"/>
      <c r="B510" s="641"/>
      <c r="C510" s="53"/>
      <c r="D510" s="546"/>
      <c r="E510" s="642"/>
      <c r="F510" s="53"/>
      <c r="G510" s="53"/>
      <c r="H510" s="53"/>
      <c r="I510" s="547"/>
      <c r="J510" s="547"/>
      <c r="K510" s="547"/>
      <c r="L510" s="547"/>
      <c r="M510" s="64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</row>
    <row r="511">
      <c r="A511" s="84"/>
      <c r="B511" s="639"/>
      <c r="C511" s="84"/>
      <c r="D511" s="534"/>
      <c r="E511" s="640"/>
      <c r="F511" s="84"/>
      <c r="G511" s="84"/>
      <c r="H511" s="84"/>
      <c r="I511" s="535"/>
      <c r="J511" s="535"/>
      <c r="K511" s="535"/>
      <c r="L511" s="535"/>
      <c r="M511" s="391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</row>
    <row r="512">
      <c r="A512" s="53"/>
      <c r="B512" s="641"/>
      <c r="C512" s="53"/>
      <c r="D512" s="546"/>
      <c r="E512" s="642"/>
      <c r="F512" s="53"/>
      <c r="G512" s="53"/>
      <c r="H512" s="53"/>
      <c r="I512" s="547"/>
      <c r="J512" s="547"/>
      <c r="K512" s="547"/>
      <c r="L512" s="547"/>
      <c r="M512" s="64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</row>
    <row r="513">
      <c r="A513" s="84"/>
      <c r="B513" s="639"/>
      <c r="C513" s="84"/>
      <c r="D513" s="534"/>
      <c r="E513" s="640"/>
      <c r="F513" s="84"/>
      <c r="G513" s="84"/>
      <c r="H513" s="84"/>
      <c r="I513" s="535"/>
      <c r="J513" s="535"/>
      <c r="K513" s="535"/>
      <c r="L513" s="535"/>
      <c r="M513" s="391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</row>
    <row r="514">
      <c r="A514" s="53"/>
      <c r="B514" s="641"/>
      <c r="C514" s="53"/>
      <c r="D514" s="546"/>
      <c r="E514" s="642"/>
      <c r="F514" s="53"/>
      <c r="G514" s="53"/>
      <c r="H514" s="53"/>
      <c r="I514" s="547"/>
      <c r="J514" s="547"/>
      <c r="K514" s="547"/>
      <c r="L514" s="547"/>
      <c r="M514" s="64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</row>
    <row r="515">
      <c r="A515" s="84"/>
      <c r="B515" s="639"/>
      <c r="C515" s="84"/>
      <c r="D515" s="534"/>
      <c r="E515" s="640"/>
      <c r="F515" s="84"/>
      <c r="G515" s="84"/>
      <c r="H515" s="84"/>
      <c r="I515" s="535"/>
      <c r="J515" s="535"/>
      <c r="K515" s="535"/>
      <c r="L515" s="535"/>
      <c r="M515" s="391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</row>
    <row r="516">
      <c r="A516" s="53"/>
      <c r="B516" s="641"/>
      <c r="C516" s="53"/>
      <c r="D516" s="546"/>
      <c r="E516" s="642"/>
      <c r="F516" s="53"/>
      <c r="G516" s="53"/>
      <c r="H516" s="53"/>
      <c r="I516" s="547"/>
      <c r="J516" s="547"/>
      <c r="K516" s="547"/>
      <c r="L516" s="547"/>
      <c r="M516" s="64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</row>
    <row r="517">
      <c r="A517" s="84"/>
      <c r="B517" s="639"/>
      <c r="C517" s="84"/>
      <c r="D517" s="534"/>
      <c r="E517" s="640"/>
      <c r="F517" s="84"/>
      <c r="G517" s="84"/>
      <c r="H517" s="84"/>
      <c r="I517" s="535"/>
      <c r="J517" s="535"/>
      <c r="K517" s="535"/>
      <c r="L517" s="535"/>
      <c r="M517" s="391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</row>
    <row r="518">
      <c r="A518" s="53"/>
      <c r="B518" s="641"/>
      <c r="C518" s="53"/>
      <c r="D518" s="546"/>
      <c r="E518" s="642"/>
      <c r="F518" s="53"/>
      <c r="G518" s="53"/>
      <c r="H518" s="53"/>
      <c r="I518" s="547"/>
      <c r="J518" s="547"/>
      <c r="K518" s="547"/>
      <c r="L518" s="547"/>
      <c r="M518" s="64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</row>
    <row r="519">
      <c r="A519" s="84"/>
      <c r="B519" s="639"/>
      <c r="C519" s="84"/>
      <c r="D519" s="534"/>
      <c r="E519" s="640"/>
      <c r="F519" s="84"/>
      <c r="G519" s="84"/>
      <c r="H519" s="84"/>
      <c r="I519" s="535"/>
      <c r="J519" s="535"/>
      <c r="K519" s="535"/>
      <c r="L519" s="535"/>
      <c r="M519" s="391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</row>
    <row r="520">
      <c r="A520" s="53"/>
      <c r="B520" s="641"/>
      <c r="C520" s="53"/>
      <c r="D520" s="546"/>
      <c r="E520" s="642"/>
      <c r="F520" s="53"/>
      <c r="G520" s="53"/>
      <c r="H520" s="53"/>
      <c r="I520" s="547"/>
      <c r="J520" s="547"/>
      <c r="K520" s="547"/>
      <c r="L520" s="547"/>
      <c r="M520" s="64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</row>
    <row r="521">
      <c r="A521" s="84"/>
      <c r="B521" s="639"/>
      <c r="C521" s="84"/>
      <c r="D521" s="534"/>
      <c r="E521" s="640"/>
      <c r="F521" s="84"/>
      <c r="G521" s="84"/>
      <c r="H521" s="84"/>
      <c r="I521" s="535"/>
      <c r="J521" s="535"/>
      <c r="K521" s="535"/>
      <c r="L521" s="535"/>
      <c r="M521" s="391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</row>
    <row r="522">
      <c r="A522" s="53"/>
      <c r="B522" s="641"/>
      <c r="C522" s="53"/>
      <c r="D522" s="546"/>
      <c r="E522" s="642"/>
      <c r="F522" s="53"/>
      <c r="G522" s="53"/>
      <c r="H522" s="53"/>
      <c r="I522" s="547"/>
      <c r="J522" s="547"/>
      <c r="K522" s="547"/>
      <c r="L522" s="547"/>
      <c r="M522" s="64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</row>
    <row r="523">
      <c r="A523" s="84"/>
      <c r="B523" s="639"/>
      <c r="C523" s="84"/>
      <c r="D523" s="534"/>
      <c r="E523" s="640"/>
      <c r="F523" s="84"/>
      <c r="G523" s="84"/>
      <c r="H523" s="84"/>
      <c r="I523" s="535"/>
      <c r="J523" s="535"/>
      <c r="K523" s="535"/>
      <c r="L523" s="535"/>
      <c r="M523" s="391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</row>
    <row r="524">
      <c r="A524" s="53"/>
      <c r="B524" s="641"/>
      <c r="C524" s="53"/>
      <c r="D524" s="546"/>
      <c r="E524" s="642"/>
      <c r="F524" s="53"/>
      <c r="G524" s="53"/>
      <c r="H524" s="53"/>
      <c r="I524" s="547"/>
      <c r="J524" s="547"/>
      <c r="K524" s="547"/>
      <c r="L524" s="547"/>
      <c r="M524" s="64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</row>
    <row r="525">
      <c r="A525" s="84"/>
      <c r="B525" s="639"/>
      <c r="C525" s="84"/>
      <c r="D525" s="534"/>
      <c r="E525" s="640"/>
      <c r="F525" s="84"/>
      <c r="G525" s="84"/>
      <c r="H525" s="84"/>
      <c r="I525" s="535"/>
      <c r="J525" s="535"/>
      <c r="K525" s="535"/>
      <c r="L525" s="535"/>
      <c r="M525" s="391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</row>
    <row r="526">
      <c r="A526" s="53"/>
      <c r="B526" s="641"/>
      <c r="C526" s="53"/>
      <c r="D526" s="546"/>
      <c r="E526" s="642"/>
      <c r="F526" s="53"/>
      <c r="G526" s="53"/>
      <c r="H526" s="53"/>
      <c r="I526" s="547"/>
      <c r="J526" s="547"/>
      <c r="K526" s="547"/>
      <c r="L526" s="547"/>
      <c r="M526" s="64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</row>
    <row r="527">
      <c r="A527" s="84"/>
      <c r="B527" s="639"/>
      <c r="C527" s="84"/>
      <c r="D527" s="534"/>
      <c r="E527" s="640"/>
      <c r="F527" s="84"/>
      <c r="G527" s="84"/>
      <c r="H527" s="84"/>
      <c r="I527" s="535"/>
      <c r="J527" s="535"/>
      <c r="K527" s="535"/>
      <c r="L527" s="535"/>
      <c r="M527" s="391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</row>
    <row r="528">
      <c r="A528" s="53"/>
      <c r="B528" s="641"/>
      <c r="C528" s="53"/>
      <c r="D528" s="546"/>
      <c r="E528" s="642"/>
      <c r="F528" s="53"/>
      <c r="G528" s="53"/>
      <c r="H528" s="53"/>
      <c r="I528" s="547"/>
      <c r="J528" s="547"/>
      <c r="K528" s="547"/>
      <c r="L528" s="547"/>
      <c r="M528" s="64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</row>
    <row r="529">
      <c r="A529" s="84"/>
      <c r="B529" s="639"/>
      <c r="C529" s="84"/>
      <c r="D529" s="534"/>
      <c r="E529" s="640"/>
      <c r="F529" s="84"/>
      <c r="G529" s="84"/>
      <c r="H529" s="84"/>
      <c r="I529" s="535"/>
      <c r="J529" s="535"/>
      <c r="K529" s="535"/>
      <c r="L529" s="535"/>
      <c r="M529" s="391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</row>
    <row r="530">
      <c r="A530" s="53"/>
      <c r="B530" s="641"/>
      <c r="C530" s="53"/>
      <c r="D530" s="546"/>
      <c r="E530" s="642"/>
      <c r="F530" s="53"/>
      <c r="G530" s="53"/>
      <c r="H530" s="53"/>
      <c r="I530" s="547"/>
      <c r="J530" s="547"/>
      <c r="K530" s="547"/>
      <c r="L530" s="547"/>
      <c r="M530" s="64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</row>
    <row r="531">
      <c r="A531" s="84"/>
      <c r="B531" s="639"/>
      <c r="C531" s="84"/>
      <c r="D531" s="534"/>
      <c r="E531" s="640"/>
      <c r="F531" s="84"/>
      <c r="G531" s="84"/>
      <c r="H531" s="84"/>
      <c r="I531" s="535"/>
      <c r="J531" s="535"/>
      <c r="K531" s="535"/>
      <c r="L531" s="535"/>
      <c r="M531" s="391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</row>
    <row r="532">
      <c r="A532" s="53"/>
      <c r="B532" s="641"/>
      <c r="C532" s="53"/>
      <c r="D532" s="546"/>
      <c r="E532" s="642"/>
      <c r="F532" s="53"/>
      <c r="G532" s="53"/>
      <c r="H532" s="53"/>
      <c r="I532" s="547"/>
      <c r="J532" s="547"/>
      <c r="K532" s="547"/>
      <c r="L532" s="547"/>
      <c r="M532" s="64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</row>
    <row r="533">
      <c r="A533" s="84"/>
      <c r="B533" s="639"/>
      <c r="C533" s="84"/>
      <c r="D533" s="534"/>
      <c r="E533" s="640"/>
      <c r="F533" s="84"/>
      <c r="G533" s="84"/>
      <c r="H533" s="84"/>
      <c r="I533" s="535"/>
      <c r="J533" s="535"/>
      <c r="K533" s="535"/>
      <c r="L533" s="535"/>
      <c r="M533" s="391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</row>
    <row r="534">
      <c r="A534" s="53"/>
      <c r="B534" s="641"/>
      <c r="C534" s="53"/>
      <c r="D534" s="546"/>
      <c r="E534" s="642"/>
      <c r="F534" s="53"/>
      <c r="G534" s="53"/>
      <c r="H534" s="53"/>
      <c r="I534" s="547"/>
      <c r="J534" s="547"/>
      <c r="K534" s="547"/>
      <c r="L534" s="547"/>
      <c r="M534" s="64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</row>
    <row r="535">
      <c r="A535" s="84"/>
      <c r="B535" s="639"/>
      <c r="C535" s="84"/>
      <c r="D535" s="534"/>
      <c r="E535" s="640"/>
      <c r="F535" s="84"/>
      <c r="G535" s="84"/>
      <c r="H535" s="84"/>
      <c r="I535" s="535"/>
      <c r="J535" s="535"/>
      <c r="K535" s="535"/>
      <c r="L535" s="535"/>
      <c r="M535" s="391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</row>
    <row r="536">
      <c r="A536" s="53"/>
      <c r="B536" s="641"/>
      <c r="C536" s="53"/>
      <c r="D536" s="546"/>
      <c r="E536" s="642"/>
      <c r="F536" s="53"/>
      <c r="G536" s="53"/>
      <c r="H536" s="53"/>
      <c r="I536" s="547"/>
      <c r="J536" s="547"/>
      <c r="K536" s="547"/>
      <c r="L536" s="547"/>
      <c r="M536" s="64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</row>
    <row r="537">
      <c r="A537" s="84"/>
      <c r="B537" s="639"/>
      <c r="C537" s="84"/>
      <c r="D537" s="534"/>
      <c r="E537" s="640"/>
      <c r="F537" s="84"/>
      <c r="G537" s="84"/>
      <c r="H537" s="84"/>
      <c r="I537" s="535"/>
      <c r="J537" s="535"/>
      <c r="K537" s="535"/>
      <c r="L537" s="535"/>
      <c r="M537" s="391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</row>
    <row r="538">
      <c r="A538" s="53"/>
      <c r="B538" s="641"/>
      <c r="C538" s="53"/>
      <c r="D538" s="546"/>
      <c r="E538" s="642"/>
      <c r="F538" s="53"/>
      <c r="G538" s="53"/>
      <c r="H538" s="53"/>
      <c r="I538" s="547"/>
      <c r="J538" s="547"/>
      <c r="K538" s="547"/>
      <c r="L538" s="547"/>
      <c r="M538" s="64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</row>
    <row r="539">
      <c r="A539" s="84"/>
      <c r="B539" s="639"/>
      <c r="C539" s="84"/>
      <c r="D539" s="534"/>
      <c r="E539" s="640"/>
      <c r="F539" s="84"/>
      <c r="G539" s="84"/>
      <c r="H539" s="84"/>
      <c r="I539" s="535"/>
      <c r="J539" s="535"/>
      <c r="K539" s="535"/>
      <c r="L539" s="535"/>
      <c r="M539" s="391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</row>
    <row r="540">
      <c r="A540" s="53"/>
      <c r="B540" s="641"/>
      <c r="C540" s="53"/>
      <c r="D540" s="546"/>
      <c r="E540" s="642"/>
      <c r="F540" s="53"/>
      <c r="G540" s="53"/>
      <c r="H540" s="53"/>
      <c r="I540" s="547"/>
      <c r="J540" s="547"/>
      <c r="K540" s="547"/>
      <c r="L540" s="547"/>
      <c r="M540" s="64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</row>
    <row r="541">
      <c r="A541" s="84"/>
      <c r="B541" s="639"/>
      <c r="C541" s="84"/>
      <c r="D541" s="534"/>
      <c r="E541" s="640"/>
      <c r="F541" s="84"/>
      <c r="G541" s="84"/>
      <c r="H541" s="84"/>
      <c r="I541" s="535"/>
      <c r="J541" s="535"/>
      <c r="K541" s="535"/>
      <c r="L541" s="535"/>
      <c r="M541" s="391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</row>
    <row r="542">
      <c r="A542" s="53"/>
      <c r="B542" s="641"/>
      <c r="C542" s="53"/>
      <c r="D542" s="546"/>
      <c r="E542" s="642"/>
      <c r="F542" s="53"/>
      <c r="G542" s="53"/>
      <c r="H542" s="53"/>
      <c r="I542" s="547"/>
      <c r="J542" s="547"/>
      <c r="K542" s="547"/>
      <c r="L542" s="547"/>
      <c r="M542" s="64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</row>
    <row r="543">
      <c r="A543" s="84"/>
      <c r="B543" s="639"/>
      <c r="C543" s="84"/>
      <c r="D543" s="534"/>
      <c r="E543" s="640"/>
      <c r="F543" s="84"/>
      <c r="G543" s="84"/>
      <c r="H543" s="84"/>
      <c r="I543" s="535"/>
      <c r="J543" s="535"/>
      <c r="K543" s="535"/>
      <c r="L543" s="535"/>
      <c r="M543" s="391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</row>
    <row r="544">
      <c r="A544" s="53"/>
      <c r="B544" s="641"/>
      <c r="C544" s="53"/>
      <c r="D544" s="546"/>
      <c r="E544" s="642"/>
      <c r="F544" s="53"/>
      <c r="G544" s="53"/>
      <c r="H544" s="53"/>
      <c r="I544" s="547"/>
      <c r="J544" s="547"/>
      <c r="K544" s="547"/>
      <c r="L544" s="547"/>
      <c r="M544" s="64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</row>
    <row r="545">
      <c r="A545" s="84"/>
      <c r="B545" s="639"/>
      <c r="C545" s="84"/>
      <c r="D545" s="534"/>
      <c r="E545" s="640"/>
      <c r="F545" s="84"/>
      <c r="G545" s="84"/>
      <c r="H545" s="84"/>
      <c r="I545" s="535"/>
      <c r="J545" s="535"/>
      <c r="K545" s="535"/>
      <c r="L545" s="535"/>
      <c r="M545" s="391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</row>
    <row r="546">
      <c r="A546" s="53"/>
      <c r="B546" s="641"/>
      <c r="C546" s="53"/>
      <c r="D546" s="546"/>
      <c r="E546" s="642"/>
      <c r="F546" s="53"/>
      <c r="G546" s="53"/>
      <c r="H546" s="53"/>
      <c r="I546" s="547"/>
      <c r="J546" s="547"/>
      <c r="K546" s="547"/>
      <c r="L546" s="547"/>
      <c r="M546" s="64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</row>
    <row r="547">
      <c r="A547" s="84"/>
      <c r="B547" s="639"/>
      <c r="C547" s="84"/>
      <c r="D547" s="534"/>
      <c r="E547" s="640"/>
      <c r="F547" s="84"/>
      <c r="G547" s="84"/>
      <c r="H547" s="84"/>
      <c r="I547" s="535"/>
      <c r="J547" s="535"/>
      <c r="K547" s="535"/>
      <c r="L547" s="535"/>
      <c r="M547" s="391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</row>
    <row r="548">
      <c r="A548" s="53"/>
      <c r="B548" s="641"/>
      <c r="C548" s="53"/>
      <c r="D548" s="546"/>
      <c r="E548" s="642"/>
      <c r="F548" s="53"/>
      <c r="G548" s="53"/>
      <c r="H548" s="53"/>
      <c r="I548" s="547"/>
      <c r="J548" s="547"/>
      <c r="K548" s="547"/>
      <c r="L548" s="547"/>
      <c r="M548" s="64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</row>
    <row r="549">
      <c r="A549" s="84"/>
      <c r="B549" s="639"/>
      <c r="C549" s="84"/>
      <c r="D549" s="534"/>
      <c r="E549" s="640"/>
      <c r="F549" s="84"/>
      <c r="G549" s="84"/>
      <c r="H549" s="84"/>
      <c r="I549" s="535"/>
      <c r="J549" s="535"/>
      <c r="K549" s="535"/>
      <c r="L549" s="535"/>
      <c r="M549" s="391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</row>
    <row r="550">
      <c r="A550" s="53"/>
      <c r="B550" s="641"/>
      <c r="C550" s="53"/>
      <c r="D550" s="546"/>
      <c r="E550" s="642"/>
      <c r="F550" s="53"/>
      <c r="G550" s="53"/>
      <c r="H550" s="53"/>
      <c r="I550" s="547"/>
      <c r="J550" s="547"/>
      <c r="K550" s="547"/>
      <c r="L550" s="547"/>
      <c r="M550" s="64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</row>
    <row r="551">
      <c r="A551" s="84"/>
      <c r="B551" s="639"/>
      <c r="C551" s="84"/>
      <c r="D551" s="534"/>
      <c r="E551" s="640"/>
      <c r="F551" s="84"/>
      <c r="G551" s="84"/>
      <c r="H551" s="84"/>
      <c r="I551" s="535"/>
      <c r="J551" s="535"/>
      <c r="K551" s="535"/>
      <c r="L551" s="535"/>
      <c r="M551" s="391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</row>
    <row r="552">
      <c r="A552" s="53"/>
      <c r="B552" s="641"/>
      <c r="C552" s="53"/>
      <c r="D552" s="546"/>
      <c r="E552" s="642"/>
      <c r="F552" s="53"/>
      <c r="G552" s="53"/>
      <c r="H552" s="53"/>
      <c r="I552" s="547"/>
      <c r="J552" s="547"/>
      <c r="K552" s="547"/>
      <c r="L552" s="547"/>
      <c r="M552" s="64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</row>
    <row r="553">
      <c r="A553" s="84"/>
      <c r="B553" s="639"/>
      <c r="C553" s="84"/>
      <c r="D553" s="534"/>
      <c r="E553" s="640"/>
      <c r="F553" s="84"/>
      <c r="G553" s="84"/>
      <c r="H553" s="84"/>
      <c r="I553" s="535"/>
      <c r="J553" s="535"/>
      <c r="K553" s="535"/>
      <c r="L553" s="535"/>
      <c r="M553" s="391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</row>
    <row r="554">
      <c r="A554" s="53"/>
      <c r="B554" s="641"/>
      <c r="C554" s="53"/>
      <c r="D554" s="546"/>
      <c r="E554" s="642"/>
      <c r="F554" s="53"/>
      <c r="G554" s="53"/>
      <c r="H554" s="53"/>
      <c r="I554" s="547"/>
      <c r="J554" s="547"/>
      <c r="K554" s="547"/>
      <c r="L554" s="547"/>
      <c r="M554" s="64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</row>
    <row r="555">
      <c r="A555" s="84"/>
      <c r="B555" s="639"/>
      <c r="C555" s="84"/>
      <c r="D555" s="534"/>
      <c r="E555" s="640"/>
      <c r="F555" s="84"/>
      <c r="G555" s="84"/>
      <c r="H555" s="84"/>
      <c r="I555" s="535"/>
      <c r="J555" s="535"/>
      <c r="K555" s="535"/>
      <c r="L555" s="535"/>
      <c r="M555" s="391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</row>
    <row r="556">
      <c r="A556" s="53"/>
      <c r="B556" s="641"/>
      <c r="C556" s="53"/>
      <c r="D556" s="546"/>
      <c r="E556" s="642"/>
      <c r="F556" s="53"/>
      <c r="G556" s="53"/>
      <c r="H556" s="53"/>
      <c r="I556" s="547"/>
      <c r="J556" s="547"/>
      <c r="K556" s="547"/>
      <c r="L556" s="547"/>
      <c r="M556" s="64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</row>
    <row r="557">
      <c r="A557" s="84"/>
      <c r="B557" s="639"/>
      <c r="C557" s="84"/>
      <c r="D557" s="534"/>
      <c r="E557" s="640"/>
      <c r="F557" s="84"/>
      <c r="G557" s="84"/>
      <c r="H557" s="84"/>
      <c r="I557" s="535"/>
      <c r="J557" s="535"/>
      <c r="K557" s="535"/>
      <c r="L557" s="535"/>
      <c r="M557" s="391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</row>
    <row r="558">
      <c r="A558" s="53"/>
      <c r="B558" s="641"/>
      <c r="C558" s="53"/>
      <c r="D558" s="546"/>
      <c r="E558" s="642"/>
      <c r="F558" s="53"/>
      <c r="G558" s="53"/>
      <c r="H558" s="53"/>
      <c r="I558" s="547"/>
      <c r="J558" s="547"/>
      <c r="K558" s="547"/>
      <c r="L558" s="547"/>
      <c r="M558" s="64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</row>
    <row r="559">
      <c r="A559" s="84"/>
      <c r="B559" s="639"/>
      <c r="C559" s="84"/>
      <c r="D559" s="534"/>
      <c r="E559" s="640"/>
      <c r="F559" s="84"/>
      <c r="G559" s="84"/>
      <c r="H559" s="84"/>
      <c r="I559" s="535"/>
      <c r="J559" s="535"/>
      <c r="K559" s="535"/>
      <c r="L559" s="535"/>
      <c r="M559" s="391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</row>
    <row r="560">
      <c r="A560" s="53"/>
      <c r="B560" s="641"/>
      <c r="C560" s="53"/>
      <c r="D560" s="546"/>
      <c r="E560" s="642"/>
      <c r="F560" s="53"/>
      <c r="G560" s="53"/>
      <c r="H560" s="53"/>
      <c r="I560" s="547"/>
      <c r="J560" s="547"/>
      <c r="K560" s="547"/>
      <c r="L560" s="547"/>
      <c r="M560" s="64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</row>
    <row r="561">
      <c r="A561" s="84"/>
      <c r="B561" s="639"/>
      <c r="C561" s="84"/>
      <c r="D561" s="534"/>
      <c r="E561" s="640"/>
      <c r="F561" s="84"/>
      <c r="G561" s="84"/>
      <c r="H561" s="84"/>
      <c r="I561" s="535"/>
      <c r="J561" s="535"/>
      <c r="K561" s="535"/>
      <c r="L561" s="535"/>
      <c r="M561" s="391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</row>
    <row r="562">
      <c r="A562" s="53"/>
      <c r="B562" s="641"/>
      <c r="C562" s="53"/>
      <c r="D562" s="546"/>
      <c r="E562" s="642"/>
      <c r="F562" s="53"/>
      <c r="G562" s="53"/>
      <c r="H562" s="53"/>
      <c r="I562" s="547"/>
      <c r="J562" s="547"/>
      <c r="K562" s="547"/>
      <c r="L562" s="547"/>
      <c r="M562" s="64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</row>
    <row r="563">
      <c r="A563" s="84"/>
      <c r="B563" s="639"/>
      <c r="C563" s="84"/>
      <c r="D563" s="534"/>
      <c r="E563" s="640"/>
      <c r="F563" s="84"/>
      <c r="G563" s="84"/>
      <c r="H563" s="84"/>
      <c r="I563" s="535"/>
      <c r="J563" s="535"/>
      <c r="K563" s="535"/>
      <c r="L563" s="535"/>
      <c r="M563" s="391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</row>
    <row r="564">
      <c r="A564" s="53"/>
      <c r="B564" s="641"/>
      <c r="C564" s="53"/>
      <c r="D564" s="546"/>
      <c r="E564" s="642"/>
      <c r="F564" s="53"/>
      <c r="G564" s="53"/>
      <c r="H564" s="53"/>
      <c r="I564" s="547"/>
      <c r="J564" s="547"/>
      <c r="K564" s="547"/>
      <c r="L564" s="547"/>
      <c r="M564" s="64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</row>
    <row r="565">
      <c r="A565" s="84"/>
      <c r="B565" s="639"/>
      <c r="C565" s="84"/>
      <c r="D565" s="534"/>
      <c r="E565" s="640"/>
      <c r="F565" s="84"/>
      <c r="G565" s="84"/>
      <c r="H565" s="84"/>
      <c r="I565" s="535"/>
      <c r="J565" s="535"/>
      <c r="K565" s="535"/>
      <c r="L565" s="535"/>
      <c r="M565" s="391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</row>
    <row r="566">
      <c r="A566" s="53"/>
      <c r="B566" s="641"/>
      <c r="C566" s="53"/>
      <c r="D566" s="546"/>
      <c r="E566" s="642"/>
      <c r="F566" s="53"/>
      <c r="G566" s="53"/>
      <c r="H566" s="53"/>
      <c r="I566" s="547"/>
      <c r="J566" s="547"/>
      <c r="K566" s="547"/>
      <c r="L566" s="547"/>
      <c r="M566" s="64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</row>
    <row r="567">
      <c r="A567" s="84"/>
      <c r="B567" s="639"/>
      <c r="C567" s="84"/>
      <c r="D567" s="534"/>
      <c r="E567" s="640"/>
      <c r="F567" s="84"/>
      <c r="G567" s="84"/>
      <c r="H567" s="84"/>
      <c r="I567" s="535"/>
      <c r="J567" s="535"/>
      <c r="K567" s="535"/>
      <c r="L567" s="535"/>
      <c r="M567" s="391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</row>
    <row r="568">
      <c r="A568" s="53"/>
      <c r="B568" s="641"/>
      <c r="C568" s="53"/>
      <c r="D568" s="546"/>
      <c r="E568" s="642"/>
      <c r="F568" s="53"/>
      <c r="G568" s="53"/>
      <c r="H568" s="53"/>
      <c r="I568" s="547"/>
      <c r="J568" s="547"/>
      <c r="K568" s="547"/>
      <c r="L568" s="547"/>
      <c r="M568" s="64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</row>
    <row r="569">
      <c r="A569" s="84"/>
      <c r="B569" s="639"/>
      <c r="C569" s="84"/>
      <c r="D569" s="534"/>
      <c r="E569" s="640"/>
      <c r="F569" s="84"/>
      <c r="G569" s="84"/>
      <c r="H569" s="84"/>
      <c r="I569" s="535"/>
      <c r="J569" s="535"/>
      <c r="K569" s="535"/>
      <c r="L569" s="535"/>
      <c r="M569" s="391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</row>
    <row r="570">
      <c r="A570" s="53"/>
      <c r="B570" s="641"/>
      <c r="C570" s="53"/>
      <c r="D570" s="546"/>
      <c r="E570" s="642"/>
      <c r="F570" s="53"/>
      <c r="G570" s="53"/>
      <c r="H570" s="53"/>
      <c r="I570" s="547"/>
      <c r="J570" s="547"/>
      <c r="K570" s="547"/>
      <c r="L570" s="547"/>
      <c r="M570" s="64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</row>
    <row r="571">
      <c r="A571" s="84"/>
      <c r="B571" s="639"/>
      <c r="C571" s="84"/>
      <c r="D571" s="534"/>
      <c r="E571" s="640"/>
      <c r="F571" s="84"/>
      <c r="G571" s="84"/>
      <c r="H571" s="84"/>
      <c r="I571" s="535"/>
      <c r="J571" s="535"/>
      <c r="K571" s="535"/>
      <c r="L571" s="535"/>
      <c r="M571" s="391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</row>
    <row r="572">
      <c r="A572" s="53"/>
      <c r="B572" s="641"/>
      <c r="C572" s="53"/>
      <c r="D572" s="546"/>
      <c r="E572" s="642"/>
      <c r="F572" s="53"/>
      <c r="G572" s="53"/>
      <c r="H572" s="53"/>
      <c r="I572" s="547"/>
      <c r="J572" s="547"/>
      <c r="K572" s="547"/>
      <c r="L572" s="547"/>
      <c r="M572" s="64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</row>
    <row r="573">
      <c r="A573" s="84"/>
      <c r="B573" s="639"/>
      <c r="C573" s="84"/>
      <c r="D573" s="534"/>
      <c r="E573" s="640"/>
      <c r="F573" s="84"/>
      <c r="G573" s="84"/>
      <c r="H573" s="84"/>
      <c r="I573" s="535"/>
      <c r="J573" s="535"/>
      <c r="K573" s="535"/>
      <c r="L573" s="535"/>
      <c r="M573" s="391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</row>
    <row r="574">
      <c r="A574" s="53"/>
      <c r="B574" s="641"/>
      <c r="C574" s="53"/>
      <c r="D574" s="546"/>
      <c r="E574" s="642"/>
      <c r="F574" s="53"/>
      <c r="G574" s="53"/>
      <c r="H574" s="53"/>
      <c r="I574" s="547"/>
      <c r="J574" s="547"/>
      <c r="K574" s="547"/>
      <c r="L574" s="547"/>
      <c r="M574" s="64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</row>
    <row r="575">
      <c r="A575" s="84"/>
      <c r="B575" s="639"/>
      <c r="C575" s="84"/>
      <c r="D575" s="534"/>
      <c r="E575" s="640"/>
      <c r="F575" s="84"/>
      <c r="G575" s="84"/>
      <c r="H575" s="84"/>
      <c r="I575" s="535"/>
      <c r="J575" s="535"/>
      <c r="K575" s="535"/>
      <c r="L575" s="535"/>
      <c r="M575" s="391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</row>
    <row r="576">
      <c r="A576" s="53"/>
      <c r="B576" s="641"/>
      <c r="C576" s="53"/>
      <c r="D576" s="546"/>
      <c r="E576" s="642"/>
      <c r="F576" s="53"/>
      <c r="G576" s="53"/>
      <c r="H576" s="53"/>
      <c r="I576" s="547"/>
      <c r="J576" s="547"/>
      <c r="K576" s="547"/>
      <c r="L576" s="547"/>
      <c r="M576" s="64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</row>
    <row r="577">
      <c r="A577" s="84"/>
      <c r="B577" s="639"/>
      <c r="C577" s="84"/>
      <c r="D577" s="534"/>
      <c r="E577" s="640"/>
      <c r="F577" s="84"/>
      <c r="G577" s="84"/>
      <c r="H577" s="84"/>
      <c r="I577" s="535"/>
      <c r="J577" s="535"/>
      <c r="K577" s="535"/>
      <c r="L577" s="535"/>
      <c r="M577" s="391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</row>
    <row r="578">
      <c r="A578" s="53"/>
      <c r="B578" s="641"/>
      <c r="C578" s="53"/>
      <c r="D578" s="546"/>
      <c r="E578" s="642"/>
      <c r="F578" s="53"/>
      <c r="G578" s="53"/>
      <c r="H578" s="53"/>
      <c r="I578" s="547"/>
      <c r="J578" s="547"/>
      <c r="K578" s="547"/>
      <c r="L578" s="547"/>
      <c r="M578" s="64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</row>
    <row r="579">
      <c r="A579" s="84"/>
      <c r="B579" s="639"/>
      <c r="C579" s="84"/>
      <c r="D579" s="534"/>
      <c r="E579" s="640"/>
      <c r="F579" s="84"/>
      <c r="G579" s="84"/>
      <c r="H579" s="84"/>
      <c r="I579" s="535"/>
      <c r="J579" s="535"/>
      <c r="K579" s="535"/>
      <c r="L579" s="535"/>
      <c r="M579" s="391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</row>
    <row r="580">
      <c r="A580" s="53"/>
      <c r="B580" s="641"/>
      <c r="C580" s="53"/>
      <c r="D580" s="546"/>
      <c r="E580" s="642"/>
      <c r="F580" s="53"/>
      <c r="G580" s="53"/>
      <c r="H580" s="53"/>
      <c r="I580" s="547"/>
      <c r="J580" s="547"/>
      <c r="K580" s="547"/>
      <c r="L580" s="547"/>
      <c r="M580" s="64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</row>
    <row r="581">
      <c r="A581" s="84"/>
      <c r="B581" s="639"/>
      <c r="C581" s="84"/>
      <c r="D581" s="534"/>
      <c r="E581" s="640"/>
      <c r="F581" s="84"/>
      <c r="G581" s="84"/>
      <c r="H581" s="84"/>
      <c r="I581" s="535"/>
      <c r="J581" s="535"/>
      <c r="K581" s="535"/>
      <c r="L581" s="535"/>
      <c r="M581" s="391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</row>
    <row r="582">
      <c r="A582" s="53"/>
      <c r="B582" s="641"/>
      <c r="C582" s="53"/>
      <c r="D582" s="546"/>
      <c r="E582" s="642"/>
      <c r="F582" s="53"/>
      <c r="G582" s="53"/>
      <c r="H582" s="53"/>
      <c r="I582" s="547"/>
      <c r="J582" s="547"/>
      <c r="K582" s="547"/>
      <c r="L582" s="547"/>
      <c r="M582" s="64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</row>
    <row r="583">
      <c r="A583" s="84"/>
      <c r="B583" s="639"/>
      <c r="C583" s="84"/>
      <c r="D583" s="534"/>
      <c r="E583" s="640"/>
      <c r="F583" s="84"/>
      <c r="G583" s="84"/>
      <c r="H583" s="84"/>
      <c r="I583" s="535"/>
      <c r="J583" s="535"/>
      <c r="K583" s="535"/>
      <c r="L583" s="535"/>
      <c r="M583" s="391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</row>
    <row r="584">
      <c r="A584" s="53"/>
      <c r="B584" s="641"/>
      <c r="C584" s="53"/>
      <c r="D584" s="546"/>
      <c r="E584" s="642"/>
      <c r="F584" s="53"/>
      <c r="G584" s="53"/>
      <c r="H584" s="53"/>
      <c r="I584" s="547"/>
      <c r="J584" s="547"/>
      <c r="K584" s="547"/>
      <c r="L584" s="547"/>
      <c r="M584" s="64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</row>
    <row r="585">
      <c r="A585" s="84"/>
      <c r="B585" s="639"/>
      <c r="C585" s="84"/>
      <c r="D585" s="534"/>
      <c r="E585" s="640"/>
      <c r="F585" s="84"/>
      <c r="G585" s="84"/>
      <c r="H585" s="84"/>
      <c r="I585" s="535"/>
      <c r="J585" s="535"/>
      <c r="K585" s="535"/>
      <c r="L585" s="535"/>
      <c r="M585" s="391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</row>
    <row r="586">
      <c r="A586" s="53"/>
      <c r="B586" s="641"/>
      <c r="C586" s="53"/>
      <c r="D586" s="546"/>
      <c r="E586" s="642"/>
      <c r="F586" s="53"/>
      <c r="G586" s="53"/>
      <c r="H586" s="53"/>
      <c r="I586" s="547"/>
      <c r="J586" s="547"/>
      <c r="K586" s="547"/>
      <c r="L586" s="547"/>
      <c r="M586" s="64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</row>
    <row r="587">
      <c r="A587" s="84"/>
      <c r="B587" s="639"/>
      <c r="C587" s="84"/>
      <c r="D587" s="534"/>
      <c r="E587" s="640"/>
      <c r="F587" s="84"/>
      <c r="G587" s="84"/>
      <c r="H587" s="84"/>
      <c r="I587" s="535"/>
      <c r="J587" s="535"/>
      <c r="K587" s="535"/>
      <c r="L587" s="535"/>
      <c r="M587" s="391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</row>
    <row r="588">
      <c r="A588" s="53"/>
      <c r="B588" s="641"/>
      <c r="C588" s="53"/>
      <c r="D588" s="546"/>
      <c r="E588" s="642"/>
      <c r="F588" s="53"/>
      <c r="G588" s="53"/>
      <c r="H588" s="53"/>
      <c r="I588" s="547"/>
      <c r="J588" s="547"/>
      <c r="K588" s="547"/>
      <c r="L588" s="547"/>
      <c r="M588" s="64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</row>
    <row r="589">
      <c r="A589" s="84"/>
      <c r="B589" s="639"/>
      <c r="C589" s="84"/>
      <c r="D589" s="534"/>
      <c r="E589" s="640"/>
      <c r="F589" s="84"/>
      <c r="G589" s="84"/>
      <c r="H589" s="84"/>
      <c r="I589" s="535"/>
      <c r="J589" s="535"/>
      <c r="K589" s="535"/>
      <c r="L589" s="535"/>
      <c r="M589" s="391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</row>
    <row r="590">
      <c r="A590" s="53"/>
      <c r="B590" s="641"/>
      <c r="C590" s="53"/>
      <c r="D590" s="546"/>
      <c r="E590" s="642"/>
      <c r="F590" s="53"/>
      <c r="G590" s="53"/>
      <c r="H590" s="53"/>
      <c r="I590" s="547"/>
      <c r="J590" s="547"/>
      <c r="K590" s="547"/>
      <c r="L590" s="547"/>
      <c r="M590" s="64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</row>
    <row r="591">
      <c r="A591" s="84"/>
      <c r="B591" s="639"/>
      <c r="C591" s="84"/>
      <c r="D591" s="534"/>
      <c r="E591" s="640"/>
      <c r="F591" s="84"/>
      <c r="G591" s="84"/>
      <c r="H591" s="84"/>
      <c r="I591" s="535"/>
      <c r="J591" s="535"/>
      <c r="K591" s="535"/>
      <c r="L591" s="535"/>
      <c r="M591" s="391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</row>
    <row r="592">
      <c r="A592" s="53"/>
      <c r="B592" s="641"/>
      <c r="C592" s="53"/>
      <c r="D592" s="546"/>
      <c r="E592" s="642"/>
      <c r="F592" s="53"/>
      <c r="G592" s="53"/>
      <c r="H592" s="53"/>
      <c r="I592" s="547"/>
      <c r="J592" s="547"/>
      <c r="K592" s="547"/>
      <c r="L592" s="547"/>
      <c r="M592" s="64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</row>
    <row r="593">
      <c r="A593" s="84"/>
      <c r="B593" s="639"/>
      <c r="C593" s="84"/>
      <c r="D593" s="534"/>
      <c r="E593" s="640"/>
      <c r="F593" s="84"/>
      <c r="G593" s="84"/>
      <c r="H593" s="84"/>
      <c r="I593" s="535"/>
      <c r="J593" s="535"/>
      <c r="K593" s="535"/>
      <c r="L593" s="535"/>
      <c r="M593" s="391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</row>
    <row r="594">
      <c r="A594" s="53"/>
      <c r="B594" s="641"/>
      <c r="C594" s="53"/>
      <c r="D594" s="546"/>
      <c r="E594" s="642"/>
      <c r="F594" s="53"/>
      <c r="G594" s="53"/>
      <c r="H594" s="53"/>
      <c r="I594" s="547"/>
      <c r="J594" s="547"/>
      <c r="K594" s="547"/>
      <c r="L594" s="547"/>
      <c r="M594" s="64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</row>
    <row r="595">
      <c r="A595" s="84"/>
      <c r="B595" s="639"/>
      <c r="C595" s="84"/>
      <c r="D595" s="534"/>
      <c r="E595" s="640"/>
      <c r="F595" s="84"/>
      <c r="G595" s="84"/>
      <c r="H595" s="84"/>
      <c r="I595" s="535"/>
      <c r="J595" s="535"/>
      <c r="K595" s="535"/>
      <c r="L595" s="535"/>
      <c r="M595" s="391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</row>
    <row r="596">
      <c r="A596" s="53"/>
      <c r="B596" s="641"/>
      <c r="C596" s="53"/>
      <c r="D596" s="546"/>
      <c r="E596" s="642"/>
      <c r="F596" s="53"/>
      <c r="G596" s="53"/>
      <c r="H596" s="53"/>
      <c r="I596" s="547"/>
      <c r="J596" s="547"/>
      <c r="K596" s="547"/>
      <c r="L596" s="547"/>
      <c r="M596" s="64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</row>
    <row r="597">
      <c r="A597" s="84"/>
      <c r="B597" s="639"/>
      <c r="C597" s="84"/>
      <c r="D597" s="534"/>
      <c r="E597" s="640"/>
      <c r="F597" s="84"/>
      <c r="G597" s="84"/>
      <c r="H597" s="84"/>
      <c r="I597" s="535"/>
      <c r="J597" s="535"/>
      <c r="K597" s="535"/>
      <c r="L597" s="535"/>
      <c r="M597" s="391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</row>
    <row r="598">
      <c r="A598" s="53"/>
      <c r="B598" s="641"/>
      <c r="C598" s="53"/>
      <c r="D598" s="546"/>
      <c r="E598" s="642"/>
      <c r="F598" s="53"/>
      <c r="G598" s="53"/>
      <c r="H598" s="53"/>
      <c r="I598" s="547"/>
      <c r="J598" s="547"/>
      <c r="K598" s="547"/>
      <c r="L598" s="547"/>
      <c r="M598" s="64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</row>
    <row r="599">
      <c r="A599" s="84"/>
      <c r="B599" s="639"/>
      <c r="C599" s="84"/>
      <c r="D599" s="534"/>
      <c r="E599" s="640"/>
      <c r="F599" s="84"/>
      <c r="G599" s="84"/>
      <c r="H599" s="84"/>
      <c r="I599" s="535"/>
      <c r="J599" s="535"/>
      <c r="K599" s="535"/>
      <c r="L599" s="535"/>
      <c r="M599" s="391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</row>
    <row r="600">
      <c r="A600" s="53"/>
      <c r="B600" s="641"/>
      <c r="C600" s="53"/>
      <c r="D600" s="546"/>
      <c r="E600" s="642"/>
      <c r="F600" s="53"/>
      <c r="G600" s="53"/>
      <c r="H600" s="53"/>
      <c r="I600" s="547"/>
      <c r="J600" s="547"/>
      <c r="K600" s="547"/>
      <c r="L600" s="547"/>
      <c r="M600" s="64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</row>
    <row r="601">
      <c r="A601" s="84"/>
      <c r="B601" s="639"/>
      <c r="C601" s="84"/>
      <c r="D601" s="534"/>
      <c r="E601" s="640"/>
      <c r="F601" s="84"/>
      <c r="G601" s="84"/>
      <c r="H601" s="84"/>
      <c r="I601" s="535"/>
      <c r="J601" s="535"/>
      <c r="K601" s="535"/>
      <c r="L601" s="535"/>
      <c r="M601" s="391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</row>
    <row r="602">
      <c r="A602" s="53"/>
      <c r="B602" s="641"/>
      <c r="C602" s="53"/>
      <c r="D602" s="546"/>
      <c r="E602" s="642"/>
      <c r="F602" s="53"/>
      <c r="G602" s="53"/>
      <c r="H602" s="53"/>
      <c r="I602" s="547"/>
      <c r="J602" s="547"/>
      <c r="K602" s="547"/>
      <c r="L602" s="547"/>
      <c r="M602" s="64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</row>
    <row r="603">
      <c r="A603" s="84"/>
      <c r="B603" s="639"/>
      <c r="C603" s="84"/>
      <c r="D603" s="534"/>
      <c r="E603" s="640"/>
      <c r="F603" s="84"/>
      <c r="G603" s="84"/>
      <c r="H603" s="84"/>
      <c r="I603" s="535"/>
      <c r="J603" s="535"/>
      <c r="K603" s="535"/>
      <c r="L603" s="535"/>
      <c r="M603" s="391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</row>
    <row r="604">
      <c r="A604" s="53"/>
      <c r="B604" s="641"/>
      <c r="C604" s="53"/>
      <c r="D604" s="546"/>
      <c r="E604" s="642"/>
      <c r="F604" s="53"/>
      <c r="G604" s="53"/>
      <c r="H604" s="53"/>
      <c r="I604" s="547"/>
      <c r="J604" s="547"/>
      <c r="K604" s="547"/>
      <c r="L604" s="547"/>
      <c r="M604" s="64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</row>
    <row r="605">
      <c r="A605" s="84"/>
      <c r="B605" s="639"/>
      <c r="C605" s="84"/>
      <c r="D605" s="534"/>
      <c r="E605" s="640"/>
      <c r="F605" s="84"/>
      <c r="G605" s="84"/>
      <c r="H605" s="84"/>
      <c r="I605" s="535"/>
      <c r="J605" s="535"/>
      <c r="K605" s="535"/>
      <c r="L605" s="535"/>
      <c r="M605" s="391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</row>
    <row r="606">
      <c r="A606" s="53"/>
      <c r="B606" s="641"/>
      <c r="C606" s="53"/>
      <c r="D606" s="546"/>
      <c r="E606" s="642"/>
      <c r="F606" s="53"/>
      <c r="G606" s="53"/>
      <c r="H606" s="53"/>
      <c r="I606" s="547"/>
      <c r="J606" s="547"/>
      <c r="K606" s="547"/>
      <c r="L606" s="547"/>
      <c r="M606" s="64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</row>
    <row r="607">
      <c r="A607" s="84"/>
      <c r="B607" s="639"/>
      <c r="C607" s="84"/>
      <c r="D607" s="534"/>
      <c r="E607" s="640"/>
      <c r="F607" s="84"/>
      <c r="G607" s="84"/>
      <c r="H607" s="84"/>
      <c r="I607" s="535"/>
      <c r="J607" s="535"/>
      <c r="K607" s="535"/>
      <c r="L607" s="535"/>
      <c r="M607" s="391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</row>
    <row r="608">
      <c r="A608" s="53"/>
      <c r="B608" s="641"/>
      <c r="C608" s="53"/>
      <c r="D608" s="546"/>
      <c r="E608" s="642"/>
      <c r="F608" s="53"/>
      <c r="G608" s="53"/>
      <c r="H608" s="53"/>
      <c r="I608" s="547"/>
      <c r="J608" s="547"/>
      <c r="K608" s="547"/>
      <c r="L608" s="547"/>
      <c r="M608" s="64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</row>
    <row r="609">
      <c r="A609" s="84"/>
      <c r="B609" s="639"/>
      <c r="C609" s="84"/>
      <c r="D609" s="534"/>
      <c r="E609" s="640"/>
      <c r="F609" s="84"/>
      <c r="G609" s="84"/>
      <c r="H609" s="84"/>
      <c r="I609" s="535"/>
      <c r="J609" s="535"/>
      <c r="K609" s="535"/>
      <c r="L609" s="535"/>
      <c r="M609" s="391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</row>
    <row r="610">
      <c r="A610" s="53"/>
      <c r="B610" s="641"/>
      <c r="C610" s="53"/>
      <c r="D610" s="546"/>
      <c r="E610" s="642"/>
      <c r="F610" s="53"/>
      <c r="G610" s="53"/>
      <c r="H610" s="53"/>
      <c r="I610" s="547"/>
      <c r="J610" s="547"/>
      <c r="K610" s="547"/>
      <c r="L610" s="547"/>
      <c r="M610" s="64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</row>
    <row r="611">
      <c r="A611" s="84"/>
      <c r="B611" s="639"/>
      <c r="C611" s="84"/>
      <c r="D611" s="534"/>
      <c r="E611" s="640"/>
      <c r="F611" s="84"/>
      <c r="G611" s="84"/>
      <c r="H611" s="84"/>
      <c r="I611" s="535"/>
      <c r="J611" s="535"/>
      <c r="K611" s="535"/>
      <c r="L611" s="535"/>
      <c r="M611" s="391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</row>
    <row r="612">
      <c r="A612" s="53"/>
      <c r="B612" s="641"/>
      <c r="C612" s="53"/>
      <c r="D612" s="546"/>
      <c r="E612" s="642"/>
      <c r="F612" s="53"/>
      <c r="G612" s="53"/>
      <c r="H612" s="53"/>
      <c r="I612" s="547"/>
      <c r="J612" s="547"/>
      <c r="K612" s="547"/>
      <c r="L612" s="547"/>
      <c r="M612" s="64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</row>
    <row r="613">
      <c r="A613" s="84"/>
      <c r="B613" s="639"/>
      <c r="C613" s="84"/>
      <c r="D613" s="534"/>
      <c r="E613" s="640"/>
      <c r="F613" s="84"/>
      <c r="G613" s="84"/>
      <c r="H613" s="84"/>
      <c r="I613" s="535"/>
      <c r="J613" s="535"/>
      <c r="K613" s="535"/>
      <c r="L613" s="535"/>
      <c r="M613" s="391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</row>
    <row r="614">
      <c r="A614" s="53"/>
      <c r="B614" s="641"/>
      <c r="C614" s="53"/>
      <c r="D614" s="546"/>
      <c r="E614" s="642"/>
      <c r="F614" s="53"/>
      <c r="G614" s="53"/>
      <c r="H614" s="53"/>
      <c r="I614" s="547"/>
      <c r="J614" s="547"/>
      <c r="K614" s="547"/>
      <c r="L614" s="547"/>
      <c r="M614" s="64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</row>
    <row r="615">
      <c r="A615" s="84"/>
      <c r="B615" s="639"/>
      <c r="C615" s="84"/>
      <c r="D615" s="534"/>
      <c r="E615" s="640"/>
      <c r="F615" s="84"/>
      <c r="G615" s="84"/>
      <c r="H615" s="84"/>
      <c r="I615" s="535"/>
      <c r="J615" s="535"/>
      <c r="K615" s="535"/>
      <c r="L615" s="535"/>
      <c r="M615" s="391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</row>
    <row r="616">
      <c r="A616" s="53"/>
      <c r="B616" s="641"/>
      <c r="C616" s="53"/>
      <c r="D616" s="546"/>
      <c r="E616" s="642"/>
      <c r="F616" s="53"/>
      <c r="G616" s="53"/>
      <c r="H616" s="53"/>
      <c r="I616" s="547"/>
      <c r="J616" s="547"/>
      <c r="K616" s="547"/>
      <c r="L616" s="547"/>
      <c r="M616" s="64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</row>
    <row r="617">
      <c r="A617" s="84"/>
      <c r="B617" s="639"/>
      <c r="C617" s="84"/>
      <c r="D617" s="534"/>
      <c r="E617" s="640"/>
      <c r="F617" s="84"/>
      <c r="G617" s="84"/>
      <c r="H617" s="84"/>
      <c r="I617" s="535"/>
      <c r="J617" s="535"/>
      <c r="K617" s="535"/>
      <c r="L617" s="535"/>
      <c r="M617" s="391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</row>
    <row r="618">
      <c r="A618" s="53"/>
      <c r="B618" s="641"/>
      <c r="C618" s="53"/>
      <c r="D618" s="546"/>
      <c r="E618" s="642"/>
      <c r="F618" s="53"/>
      <c r="G618" s="53"/>
      <c r="H618" s="53"/>
      <c r="I618" s="547"/>
      <c r="J618" s="547"/>
      <c r="K618" s="547"/>
      <c r="L618" s="547"/>
      <c r="M618" s="64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</row>
    <row r="619">
      <c r="A619" s="84"/>
      <c r="B619" s="639"/>
      <c r="C619" s="84"/>
      <c r="D619" s="534"/>
      <c r="E619" s="640"/>
      <c r="F619" s="84"/>
      <c r="G619" s="84"/>
      <c r="H619" s="84"/>
      <c r="I619" s="535"/>
      <c r="J619" s="535"/>
      <c r="K619" s="535"/>
      <c r="L619" s="535"/>
      <c r="M619" s="391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</row>
    <row r="620">
      <c r="A620" s="53"/>
      <c r="B620" s="641"/>
      <c r="C620" s="53"/>
      <c r="D620" s="546"/>
      <c r="E620" s="642"/>
      <c r="F620" s="53"/>
      <c r="G620" s="53"/>
      <c r="H620" s="53"/>
      <c r="I620" s="547"/>
      <c r="J620" s="547"/>
      <c r="K620" s="547"/>
      <c r="L620" s="547"/>
      <c r="M620" s="64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</row>
    <row r="621">
      <c r="A621" s="84"/>
      <c r="B621" s="639"/>
      <c r="C621" s="84"/>
      <c r="D621" s="534"/>
      <c r="E621" s="640"/>
      <c r="F621" s="84"/>
      <c r="G621" s="84"/>
      <c r="H621" s="84"/>
      <c r="I621" s="535"/>
      <c r="J621" s="535"/>
      <c r="K621" s="535"/>
      <c r="L621" s="535"/>
      <c r="M621" s="391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</row>
    <row r="622">
      <c r="A622" s="53"/>
      <c r="B622" s="641"/>
      <c r="C622" s="53"/>
      <c r="D622" s="546"/>
      <c r="E622" s="642"/>
      <c r="F622" s="53"/>
      <c r="G622" s="53"/>
      <c r="H622" s="53"/>
      <c r="I622" s="547"/>
      <c r="J622" s="547"/>
      <c r="K622" s="547"/>
      <c r="L622" s="547"/>
      <c r="M622" s="64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</row>
    <row r="623">
      <c r="A623" s="84"/>
      <c r="B623" s="639"/>
      <c r="C623" s="84"/>
      <c r="D623" s="534"/>
      <c r="E623" s="640"/>
      <c r="F623" s="84"/>
      <c r="G623" s="84"/>
      <c r="H623" s="84"/>
      <c r="I623" s="535"/>
      <c r="J623" s="535"/>
      <c r="K623" s="535"/>
      <c r="L623" s="535"/>
      <c r="M623" s="391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</row>
    <row r="624">
      <c r="A624" s="53"/>
      <c r="B624" s="641"/>
      <c r="C624" s="53"/>
      <c r="D624" s="546"/>
      <c r="E624" s="642"/>
      <c r="F624" s="53"/>
      <c r="G624" s="53"/>
      <c r="H624" s="53"/>
      <c r="I624" s="547"/>
      <c r="J624" s="547"/>
      <c r="K624" s="547"/>
      <c r="L624" s="547"/>
      <c r="M624" s="64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</row>
    <row r="625">
      <c r="A625" s="84"/>
      <c r="B625" s="639"/>
      <c r="C625" s="84"/>
      <c r="D625" s="534"/>
      <c r="E625" s="640"/>
      <c r="F625" s="84"/>
      <c r="G625" s="84"/>
      <c r="H625" s="84"/>
      <c r="I625" s="535"/>
      <c r="J625" s="535"/>
      <c r="K625" s="535"/>
      <c r="L625" s="535"/>
      <c r="M625" s="391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</row>
    <row r="626">
      <c r="A626" s="53"/>
      <c r="B626" s="641"/>
      <c r="C626" s="53"/>
      <c r="D626" s="546"/>
      <c r="E626" s="642"/>
      <c r="F626" s="53"/>
      <c r="G626" s="53"/>
      <c r="H626" s="53"/>
      <c r="I626" s="547"/>
      <c r="J626" s="547"/>
      <c r="K626" s="547"/>
      <c r="L626" s="547"/>
      <c r="M626" s="64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</row>
    <row r="627">
      <c r="A627" s="84"/>
      <c r="B627" s="639"/>
      <c r="C627" s="84"/>
      <c r="D627" s="534"/>
      <c r="E627" s="640"/>
      <c r="F627" s="84"/>
      <c r="G627" s="84"/>
      <c r="H627" s="84"/>
      <c r="I627" s="535"/>
      <c r="J627" s="535"/>
      <c r="K627" s="535"/>
      <c r="L627" s="535"/>
      <c r="M627" s="391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</row>
    <row r="628">
      <c r="A628" s="53"/>
      <c r="B628" s="641"/>
      <c r="C628" s="53"/>
      <c r="D628" s="546"/>
      <c r="E628" s="642"/>
      <c r="F628" s="53"/>
      <c r="G628" s="53"/>
      <c r="H628" s="53"/>
      <c r="I628" s="547"/>
      <c r="J628" s="547"/>
      <c r="K628" s="547"/>
      <c r="L628" s="547"/>
      <c r="M628" s="64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</row>
    <row r="629">
      <c r="A629" s="84"/>
      <c r="B629" s="639"/>
      <c r="C629" s="84"/>
      <c r="D629" s="534"/>
      <c r="E629" s="640"/>
      <c r="F629" s="84"/>
      <c r="G629" s="84"/>
      <c r="H629" s="84"/>
      <c r="I629" s="535"/>
      <c r="J629" s="535"/>
      <c r="K629" s="535"/>
      <c r="L629" s="535"/>
      <c r="M629" s="391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</row>
    <row r="630">
      <c r="A630" s="53"/>
      <c r="B630" s="641"/>
      <c r="C630" s="53"/>
      <c r="D630" s="546"/>
      <c r="E630" s="642"/>
      <c r="F630" s="53"/>
      <c r="G630" s="53"/>
      <c r="H630" s="53"/>
      <c r="I630" s="547"/>
      <c r="J630" s="547"/>
      <c r="K630" s="547"/>
      <c r="L630" s="547"/>
      <c r="M630" s="64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</row>
    <row r="631">
      <c r="A631" s="84"/>
      <c r="B631" s="639"/>
      <c r="C631" s="84"/>
      <c r="D631" s="534"/>
      <c r="E631" s="640"/>
      <c r="F631" s="84"/>
      <c r="G631" s="84"/>
      <c r="H631" s="84"/>
      <c r="I631" s="535"/>
      <c r="J631" s="535"/>
      <c r="K631" s="535"/>
      <c r="L631" s="535"/>
      <c r="M631" s="391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</row>
    <row r="632">
      <c r="A632" s="53"/>
      <c r="B632" s="641"/>
      <c r="C632" s="53"/>
      <c r="D632" s="546"/>
      <c r="E632" s="642"/>
      <c r="F632" s="53"/>
      <c r="G632" s="53"/>
      <c r="H632" s="53"/>
      <c r="I632" s="547"/>
      <c r="J632" s="547"/>
      <c r="K632" s="547"/>
      <c r="L632" s="547"/>
      <c r="M632" s="64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</row>
    <row r="633">
      <c r="A633" s="84"/>
      <c r="B633" s="639"/>
      <c r="C633" s="84"/>
      <c r="D633" s="534"/>
      <c r="E633" s="640"/>
      <c r="F633" s="84"/>
      <c r="G633" s="84"/>
      <c r="H633" s="84"/>
      <c r="I633" s="535"/>
      <c r="J633" s="535"/>
      <c r="K633" s="535"/>
      <c r="L633" s="535"/>
      <c r="M633" s="391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</row>
    <row r="634">
      <c r="A634" s="53"/>
      <c r="B634" s="641"/>
      <c r="C634" s="53"/>
      <c r="D634" s="546"/>
      <c r="E634" s="642"/>
      <c r="F634" s="53"/>
      <c r="G634" s="53"/>
      <c r="H634" s="53"/>
      <c r="I634" s="547"/>
      <c r="J634" s="547"/>
      <c r="K634" s="547"/>
      <c r="L634" s="547"/>
      <c r="M634" s="64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</row>
    <row r="635">
      <c r="A635" s="84"/>
      <c r="B635" s="639"/>
      <c r="C635" s="84"/>
      <c r="D635" s="534"/>
      <c r="E635" s="640"/>
      <c r="F635" s="84"/>
      <c r="G635" s="84"/>
      <c r="H635" s="84"/>
      <c r="I635" s="535"/>
      <c r="J635" s="535"/>
      <c r="K635" s="535"/>
      <c r="L635" s="535"/>
      <c r="M635" s="391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</row>
    <row r="636">
      <c r="A636" s="53"/>
      <c r="B636" s="641"/>
      <c r="C636" s="53"/>
      <c r="D636" s="546"/>
      <c r="E636" s="642"/>
      <c r="F636" s="53"/>
      <c r="G636" s="53"/>
      <c r="H636" s="53"/>
      <c r="I636" s="547"/>
      <c r="J636" s="547"/>
      <c r="K636" s="547"/>
      <c r="L636" s="547"/>
      <c r="M636" s="64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</row>
    <row r="637">
      <c r="A637" s="84"/>
      <c r="B637" s="639"/>
      <c r="C637" s="84"/>
      <c r="D637" s="534"/>
      <c r="E637" s="640"/>
      <c r="F637" s="84"/>
      <c r="G637" s="84"/>
      <c r="H637" s="84"/>
      <c r="I637" s="535"/>
      <c r="J637" s="535"/>
      <c r="K637" s="535"/>
      <c r="L637" s="535"/>
      <c r="M637" s="391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</row>
    <row r="638">
      <c r="A638" s="53"/>
      <c r="B638" s="641"/>
      <c r="C638" s="53"/>
      <c r="D638" s="546"/>
      <c r="E638" s="642"/>
      <c r="F638" s="53"/>
      <c r="G638" s="53"/>
      <c r="H638" s="53"/>
      <c r="I638" s="547"/>
      <c r="J638" s="547"/>
      <c r="K638" s="547"/>
      <c r="L638" s="547"/>
      <c r="M638" s="64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</row>
    <row r="639">
      <c r="A639" s="84"/>
      <c r="B639" s="639"/>
      <c r="C639" s="84"/>
      <c r="D639" s="534"/>
      <c r="E639" s="640"/>
      <c r="F639" s="84"/>
      <c r="G639" s="84"/>
      <c r="H639" s="84"/>
      <c r="I639" s="535"/>
      <c r="J639" s="535"/>
      <c r="K639" s="535"/>
      <c r="L639" s="535"/>
      <c r="M639" s="391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</row>
    <row r="640">
      <c r="A640" s="53"/>
      <c r="B640" s="641"/>
      <c r="C640" s="53"/>
      <c r="D640" s="546"/>
      <c r="E640" s="642"/>
      <c r="F640" s="53"/>
      <c r="G640" s="53"/>
      <c r="H640" s="53"/>
      <c r="I640" s="547"/>
      <c r="J640" s="547"/>
      <c r="K640" s="547"/>
      <c r="L640" s="547"/>
      <c r="M640" s="64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</row>
    <row r="641">
      <c r="A641" s="84"/>
      <c r="B641" s="639"/>
      <c r="C641" s="84"/>
      <c r="D641" s="534"/>
      <c r="E641" s="640"/>
      <c r="F641" s="84"/>
      <c r="G641" s="84"/>
      <c r="H641" s="84"/>
      <c r="I641" s="535"/>
      <c r="J641" s="535"/>
      <c r="K641" s="535"/>
      <c r="L641" s="535"/>
      <c r="M641" s="391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</row>
    <row r="642">
      <c r="A642" s="53"/>
      <c r="B642" s="641"/>
      <c r="C642" s="53"/>
      <c r="D642" s="546"/>
      <c r="E642" s="642"/>
      <c r="F642" s="53"/>
      <c r="G642" s="53"/>
      <c r="H642" s="53"/>
      <c r="I642" s="547"/>
      <c r="J642" s="547"/>
      <c r="K642" s="547"/>
      <c r="L642" s="547"/>
      <c r="M642" s="64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</row>
    <row r="643">
      <c r="A643" s="84"/>
      <c r="B643" s="639"/>
      <c r="C643" s="84"/>
      <c r="D643" s="534"/>
      <c r="E643" s="640"/>
      <c r="F643" s="84"/>
      <c r="G643" s="84"/>
      <c r="H643" s="84"/>
      <c r="I643" s="535"/>
      <c r="J643" s="535"/>
      <c r="K643" s="535"/>
      <c r="L643" s="535"/>
      <c r="M643" s="391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</row>
    <row r="644">
      <c r="A644" s="53"/>
      <c r="B644" s="641"/>
      <c r="C644" s="53"/>
      <c r="D644" s="546"/>
      <c r="E644" s="642"/>
      <c r="F644" s="53"/>
      <c r="G644" s="53"/>
      <c r="H644" s="53"/>
      <c r="I644" s="547"/>
      <c r="J644" s="547"/>
      <c r="K644" s="547"/>
      <c r="L644" s="547"/>
      <c r="M644" s="64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</row>
    <row r="645">
      <c r="A645" s="84"/>
      <c r="B645" s="639"/>
      <c r="C645" s="84"/>
      <c r="D645" s="534"/>
      <c r="E645" s="640"/>
      <c r="F645" s="84"/>
      <c r="G645" s="84"/>
      <c r="H645" s="84"/>
      <c r="I645" s="535"/>
      <c r="J645" s="535"/>
      <c r="K645" s="535"/>
      <c r="L645" s="535"/>
      <c r="M645" s="391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</row>
    <row r="646">
      <c r="A646" s="53"/>
      <c r="B646" s="641"/>
      <c r="C646" s="53"/>
      <c r="D646" s="546"/>
      <c r="E646" s="642"/>
      <c r="F646" s="53"/>
      <c r="G646" s="53"/>
      <c r="H646" s="53"/>
      <c r="I646" s="547"/>
      <c r="J646" s="547"/>
      <c r="K646" s="547"/>
      <c r="L646" s="547"/>
      <c r="M646" s="64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</row>
    <row r="647">
      <c r="A647" s="84"/>
      <c r="B647" s="639"/>
      <c r="C647" s="84"/>
      <c r="D647" s="534"/>
      <c r="E647" s="640"/>
      <c r="F647" s="84"/>
      <c r="G647" s="84"/>
      <c r="H647" s="84"/>
      <c r="I647" s="535"/>
      <c r="J647" s="535"/>
      <c r="K647" s="535"/>
      <c r="L647" s="535"/>
      <c r="M647" s="391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</row>
    <row r="648">
      <c r="A648" s="53"/>
      <c r="B648" s="641"/>
      <c r="C648" s="53"/>
      <c r="D648" s="546"/>
      <c r="E648" s="642"/>
      <c r="F648" s="53"/>
      <c r="G648" s="53"/>
      <c r="H648" s="53"/>
      <c r="I648" s="547"/>
      <c r="J648" s="547"/>
      <c r="K648" s="547"/>
      <c r="L648" s="547"/>
      <c r="M648" s="64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</row>
    <row r="649">
      <c r="A649" s="84"/>
      <c r="B649" s="639"/>
      <c r="C649" s="84"/>
      <c r="D649" s="534"/>
      <c r="E649" s="640"/>
      <c r="F649" s="84"/>
      <c r="G649" s="84"/>
      <c r="H649" s="84"/>
      <c r="I649" s="535"/>
      <c r="J649" s="535"/>
      <c r="K649" s="535"/>
      <c r="L649" s="535"/>
      <c r="M649" s="391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</row>
    <row r="650">
      <c r="A650" s="53"/>
      <c r="B650" s="641"/>
      <c r="C650" s="53"/>
      <c r="D650" s="546"/>
      <c r="E650" s="642"/>
      <c r="F650" s="53"/>
      <c r="G650" s="53"/>
      <c r="H650" s="53"/>
      <c r="I650" s="547"/>
      <c r="J650" s="547"/>
      <c r="K650" s="547"/>
      <c r="L650" s="547"/>
      <c r="M650" s="64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</row>
    <row r="651">
      <c r="A651" s="84"/>
      <c r="B651" s="639"/>
      <c r="C651" s="84"/>
      <c r="D651" s="534"/>
      <c r="E651" s="640"/>
      <c r="F651" s="84"/>
      <c r="G651" s="84"/>
      <c r="H651" s="84"/>
      <c r="I651" s="535"/>
      <c r="J651" s="535"/>
      <c r="K651" s="535"/>
      <c r="L651" s="535"/>
      <c r="M651" s="391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</row>
    <row r="652">
      <c r="A652" s="53"/>
      <c r="B652" s="641"/>
      <c r="C652" s="53"/>
      <c r="D652" s="546"/>
      <c r="E652" s="642"/>
      <c r="F652" s="53"/>
      <c r="G652" s="53"/>
      <c r="H652" s="53"/>
      <c r="I652" s="547"/>
      <c r="J652" s="547"/>
      <c r="K652" s="547"/>
      <c r="L652" s="547"/>
      <c r="M652" s="64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</row>
    <row r="653">
      <c r="A653" s="84"/>
      <c r="B653" s="639"/>
      <c r="C653" s="84"/>
      <c r="D653" s="534"/>
      <c r="E653" s="640"/>
      <c r="F653" s="84"/>
      <c r="G653" s="84"/>
      <c r="H653" s="84"/>
      <c r="I653" s="535"/>
      <c r="J653" s="535"/>
      <c r="K653" s="535"/>
      <c r="L653" s="535"/>
      <c r="M653" s="391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</row>
    <row r="654">
      <c r="A654" s="53"/>
      <c r="B654" s="641"/>
      <c r="C654" s="53"/>
      <c r="D654" s="546"/>
      <c r="E654" s="642"/>
      <c r="F654" s="53"/>
      <c r="G654" s="53"/>
      <c r="H654" s="53"/>
      <c r="I654" s="547"/>
      <c r="J654" s="547"/>
      <c r="K654" s="547"/>
      <c r="L654" s="547"/>
      <c r="M654" s="64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</row>
    <row r="655">
      <c r="A655" s="84"/>
      <c r="B655" s="639"/>
      <c r="C655" s="84"/>
      <c r="D655" s="534"/>
      <c r="E655" s="640"/>
      <c r="F655" s="84"/>
      <c r="G655" s="84"/>
      <c r="H655" s="84"/>
      <c r="I655" s="535"/>
      <c r="J655" s="535"/>
      <c r="K655" s="535"/>
      <c r="L655" s="535"/>
      <c r="M655" s="391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</row>
    <row r="656">
      <c r="A656" s="53"/>
      <c r="B656" s="641"/>
      <c r="C656" s="53"/>
      <c r="D656" s="546"/>
      <c r="E656" s="642"/>
      <c r="F656" s="53"/>
      <c r="G656" s="53"/>
      <c r="H656" s="53"/>
      <c r="I656" s="547"/>
      <c r="J656" s="547"/>
      <c r="K656" s="547"/>
      <c r="L656" s="547"/>
      <c r="M656" s="64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</row>
    <row r="657">
      <c r="A657" s="84"/>
      <c r="B657" s="639"/>
      <c r="C657" s="84"/>
      <c r="D657" s="534"/>
      <c r="E657" s="640"/>
      <c r="F657" s="84"/>
      <c r="G657" s="84"/>
      <c r="H657" s="84"/>
      <c r="I657" s="535"/>
      <c r="J657" s="535"/>
      <c r="K657" s="535"/>
      <c r="L657" s="535"/>
      <c r="M657" s="391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</row>
    <row r="658">
      <c r="A658" s="53"/>
      <c r="B658" s="641"/>
      <c r="C658" s="53"/>
      <c r="D658" s="546"/>
      <c r="E658" s="642"/>
      <c r="F658" s="53"/>
      <c r="G658" s="53"/>
      <c r="H658" s="53"/>
      <c r="I658" s="547"/>
      <c r="J658" s="547"/>
      <c r="K658" s="547"/>
      <c r="L658" s="547"/>
      <c r="M658" s="64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</row>
    <row r="659">
      <c r="A659" s="84"/>
      <c r="B659" s="639"/>
      <c r="C659" s="84"/>
      <c r="D659" s="534"/>
      <c r="E659" s="640"/>
      <c r="F659" s="84"/>
      <c r="G659" s="84"/>
      <c r="H659" s="84"/>
      <c r="I659" s="535"/>
      <c r="J659" s="535"/>
      <c r="K659" s="535"/>
      <c r="L659" s="535"/>
      <c r="M659" s="391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</row>
    <row r="660">
      <c r="A660" s="53"/>
      <c r="B660" s="641"/>
      <c r="C660" s="53"/>
      <c r="D660" s="546"/>
      <c r="E660" s="642"/>
      <c r="F660" s="53"/>
      <c r="G660" s="53"/>
      <c r="H660" s="53"/>
      <c r="I660" s="547"/>
      <c r="J660" s="547"/>
      <c r="K660" s="547"/>
      <c r="L660" s="547"/>
      <c r="M660" s="64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</row>
    <row r="661">
      <c r="A661" s="84"/>
      <c r="B661" s="639"/>
      <c r="C661" s="84"/>
      <c r="D661" s="534"/>
      <c r="E661" s="640"/>
      <c r="F661" s="84"/>
      <c r="G661" s="84"/>
      <c r="H661" s="84"/>
      <c r="I661" s="535"/>
      <c r="J661" s="535"/>
      <c r="K661" s="535"/>
      <c r="L661" s="535"/>
      <c r="M661" s="391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</row>
    <row r="662">
      <c r="A662" s="53"/>
      <c r="B662" s="641"/>
      <c r="C662" s="53"/>
      <c r="D662" s="546"/>
      <c r="E662" s="642"/>
      <c r="F662" s="53"/>
      <c r="G662" s="53"/>
      <c r="H662" s="53"/>
      <c r="I662" s="547"/>
      <c r="J662" s="547"/>
      <c r="K662" s="547"/>
      <c r="L662" s="547"/>
      <c r="M662" s="64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</row>
    <row r="663">
      <c r="A663" s="84"/>
      <c r="B663" s="639"/>
      <c r="C663" s="84"/>
      <c r="D663" s="534"/>
      <c r="E663" s="640"/>
      <c r="F663" s="84"/>
      <c r="G663" s="84"/>
      <c r="H663" s="84"/>
      <c r="I663" s="535"/>
      <c r="J663" s="535"/>
      <c r="K663" s="535"/>
      <c r="L663" s="535"/>
      <c r="M663" s="391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</row>
    <row r="664">
      <c r="A664" s="53"/>
      <c r="B664" s="641"/>
      <c r="C664" s="53"/>
      <c r="D664" s="546"/>
      <c r="E664" s="642"/>
      <c r="F664" s="53"/>
      <c r="G664" s="53"/>
      <c r="H664" s="53"/>
      <c r="I664" s="547"/>
      <c r="J664" s="547"/>
      <c r="K664" s="547"/>
      <c r="L664" s="547"/>
      <c r="M664" s="64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</row>
    <row r="665">
      <c r="A665" s="84"/>
      <c r="B665" s="639"/>
      <c r="C665" s="84"/>
      <c r="D665" s="534"/>
      <c r="E665" s="640"/>
      <c r="F665" s="84"/>
      <c r="G665" s="84"/>
      <c r="H665" s="84"/>
      <c r="I665" s="535"/>
      <c r="J665" s="535"/>
      <c r="K665" s="535"/>
      <c r="L665" s="535"/>
      <c r="M665" s="391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</row>
    <row r="666">
      <c r="A666" s="53"/>
      <c r="B666" s="641"/>
      <c r="C666" s="53"/>
      <c r="D666" s="546"/>
      <c r="E666" s="642"/>
      <c r="F666" s="53"/>
      <c r="G666" s="53"/>
      <c r="H666" s="53"/>
      <c r="I666" s="547"/>
      <c r="J666" s="547"/>
      <c r="K666" s="547"/>
      <c r="L666" s="547"/>
      <c r="M666" s="64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</row>
    <row r="667">
      <c r="A667" s="84"/>
      <c r="B667" s="639"/>
      <c r="C667" s="84"/>
      <c r="D667" s="534"/>
      <c r="E667" s="640"/>
      <c r="F667" s="84"/>
      <c r="G667" s="84"/>
      <c r="H667" s="84"/>
      <c r="I667" s="535"/>
      <c r="J667" s="535"/>
      <c r="K667" s="535"/>
      <c r="L667" s="535"/>
      <c r="M667" s="391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</row>
    <row r="668">
      <c r="A668" s="53"/>
      <c r="B668" s="641"/>
      <c r="C668" s="53"/>
      <c r="D668" s="546"/>
      <c r="E668" s="642"/>
      <c r="F668" s="53"/>
      <c r="G668" s="53"/>
      <c r="H668" s="53"/>
      <c r="I668" s="547"/>
      <c r="J668" s="547"/>
      <c r="K668" s="547"/>
      <c r="L668" s="547"/>
      <c r="M668" s="64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</row>
    <row r="669">
      <c r="A669" s="84"/>
      <c r="B669" s="639"/>
      <c r="C669" s="84"/>
      <c r="D669" s="534"/>
      <c r="E669" s="640"/>
      <c r="F669" s="84"/>
      <c r="G669" s="84"/>
      <c r="H669" s="84"/>
      <c r="I669" s="535"/>
      <c r="J669" s="535"/>
      <c r="K669" s="535"/>
      <c r="L669" s="535"/>
      <c r="M669" s="391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</row>
    <row r="670">
      <c r="A670" s="53"/>
      <c r="B670" s="641"/>
      <c r="C670" s="53"/>
      <c r="D670" s="546"/>
      <c r="E670" s="642"/>
      <c r="F670" s="53"/>
      <c r="G670" s="53"/>
      <c r="H670" s="53"/>
      <c r="I670" s="547"/>
      <c r="J670" s="547"/>
      <c r="K670" s="547"/>
      <c r="L670" s="547"/>
      <c r="M670" s="64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</row>
    <row r="671">
      <c r="A671" s="84"/>
      <c r="B671" s="639"/>
      <c r="C671" s="84"/>
      <c r="D671" s="534"/>
      <c r="E671" s="640"/>
      <c r="F671" s="84"/>
      <c r="G671" s="84"/>
      <c r="H671" s="84"/>
      <c r="I671" s="535"/>
      <c r="J671" s="535"/>
      <c r="K671" s="535"/>
      <c r="L671" s="535"/>
      <c r="M671" s="391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</row>
    <row r="672">
      <c r="A672" s="53"/>
      <c r="B672" s="641"/>
      <c r="C672" s="53"/>
      <c r="D672" s="546"/>
      <c r="E672" s="642"/>
      <c r="F672" s="53"/>
      <c r="G672" s="53"/>
      <c r="H672" s="53"/>
      <c r="I672" s="547"/>
      <c r="J672" s="547"/>
      <c r="K672" s="547"/>
      <c r="L672" s="547"/>
      <c r="M672" s="64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</row>
    <row r="673">
      <c r="A673" s="84"/>
      <c r="B673" s="639"/>
      <c r="C673" s="84"/>
      <c r="D673" s="534"/>
      <c r="E673" s="640"/>
      <c r="F673" s="84"/>
      <c r="G673" s="84"/>
      <c r="H673" s="84"/>
      <c r="I673" s="535"/>
      <c r="J673" s="535"/>
      <c r="K673" s="535"/>
      <c r="L673" s="535"/>
      <c r="M673" s="391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</row>
    <row r="674">
      <c r="A674" s="53"/>
      <c r="B674" s="641"/>
      <c r="C674" s="53"/>
      <c r="D674" s="546"/>
      <c r="E674" s="642"/>
      <c r="F674" s="53"/>
      <c r="G674" s="53"/>
      <c r="H674" s="53"/>
      <c r="I674" s="547"/>
      <c r="J674" s="547"/>
      <c r="K674" s="547"/>
      <c r="L674" s="547"/>
      <c r="M674" s="64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</row>
    <row r="675">
      <c r="A675" s="84"/>
      <c r="B675" s="639"/>
      <c r="C675" s="84"/>
      <c r="D675" s="534"/>
      <c r="E675" s="640"/>
      <c r="F675" s="84"/>
      <c r="G675" s="84"/>
      <c r="H675" s="84"/>
      <c r="I675" s="535"/>
      <c r="J675" s="535"/>
      <c r="K675" s="535"/>
      <c r="L675" s="535"/>
      <c r="M675" s="391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</row>
    <row r="676">
      <c r="A676" s="53"/>
      <c r="B676" s="641"/>
      <c r="C676" s="53"/>
      <c r="D676" s="546"/>
      <c r="E676" s="642"/>
      <c r="F676" s="53"/>
      <c r="G676" s="53"/>
      <c r="H676" s="53"/>
      <c r="I676" s="547"/>
      <c r="J676" s="547"/>
      <c r="K676" s="547"/>
      <c r="L676" s="547"/>
      <c r="M676" s="64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</row>
    <row r="677">
      <c r="A677" s="84"/>
      <c r="B677" s="639"/>
      <c r="C677" s="84"/>
      <c r="D677" s="534"/>
      <c r="E677" s="640"/>
      <c r="F677" s="84"/>
      <c r="G677" s="84"/>
      <c r="H677" s="84"/>
      <c r="I677" s="535"/>
      <c r="J677" s="535"/>
      <c r="K677" s="535"/>
      <c r="L677" s="535"/>
      <c r="M677" s="391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</row>
    <row r="678">
      <c r="A678" s="53"/>
      <c r="B678" s="641"/>
      <c r="C678" s="53"/>
      <c r="D678" s="546"/>
      <c r="E678" s="642"/>
      <c r="F678" s="53"/>
      <c r="G678" s="53"/>
      <c r="H678" s="53"/>
      <c r="I678" s="547"/>
      <c r="J678" s="547"/>
      <c r="K678" s="547"/>
      <c r="L678" s="547"/>
      <c r="M678" s="64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</row>
    <row r="679">
      <c r="A679" s="84"/>
      <c r="B679" s="639"/>
      <c r="C679" s="84"/>
      <c r="D679" s="534"/>
      <c r="E679" s="640"/>
      <c r="F679" s="84"/>
      <c r="G679" s="84"/>
      <c r="H679" s="84"/>
      <c r="I679" s="535"/>
      <c r="J679" s="535"/>
      <c r="K679" s="535"/>
      <c r="L679" s="535"/>
      <c r="M679" s="391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</row>
    <row r="680">
      <c r="A680" s="53"/>
      <c r="B680" s="641"/>
      <c r="C680" s="53"/>
      <c r="D680" s="546"/>
      <c r="E680" s="642"/>
      <c r="F680" s="53"/>
      <c r="G680" s="53"/>
      <c r="H680" s="53"/>
      <c r="I680" s="547"/>
      <c r="J680" s="547"/>
      <c r="K680" s="547"/>
      <c r="L680" s="547"/>
      <c r="M680" s="64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</row>
    <row r="681">
      <c r="A681" s="84"/>
      <c r="B681" s="639"/>
      <c r="C681" s="84"/>
      <c r="D681" s="534"/>
      <c r="E681" s="640"/>
      <c r="F681" s="84"/>
      <c r="G681" s="84"/>
      <c r="H681" s="84"/>
      <c r="I681" s="535"/>
      <c r="J681" s="535"/>
      <c r="K681" s="535"/>
      <c r="L681" s="535"/>
      <c r="M681" s="391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</row>
    <row r="682">
      <c r="A682" s="53"/>
      <c r="B682" s="641"/>
      <c r="C682" s="53"/>
      <c r="D682" s="546"/>
      <c r="E682" s="642"/>
      <c r="F682" s="53"/>
      <c r="G682" s="53"/>
      <c r="H682" s="53"/>
      <c r="I682" s="547"/>
      <c r="J682" s="547"/>
      <c r="K682" s="547"/>
      <c r="L682" s="547"/>
      <c r="M682" s="64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</row>
    <row r="683">
      <c r="A683" s="84"/>
      <c r="B683" s="639"/>
      <c r="C683" s="84"/>
      <c r="D683" s="534"/>
      <c r="E683" s="640"/>
      <c r="F683" s="84"/>
      <c r="G683" s="84"/>
      <c r="H683" s="84"/>
      <c r="I683" s="535"/>
      <c r="J683" s="535"/>
      <c r="K683" s="535"/>
      <c r="L683" s="535"/>
      <c r="M683" s="391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</row>
    <row r="684">
      <c r="A684" s="53"/>
      <c r="B684" s="641"/>
      <c r="C684" s="53"/>
      <c r="D684" s="546"/>
      <c r="E684" s="642"/>
      <c r="F684" s="53"/>
      <c r="G684" s="53"/>
      <c r="H684" s="53"/>
      <c r="I684" s="547"/>
      <c r="J684" s="547"/>
      <c r="K684" s="547"/>
      <c r="L684" s="547"/>
      <c r="M684" s="64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</row>
    <row r="685">
      <c r="A685" s="84"/>
      <c r="B685" s="639"/>
      <c r="C685" s="84"/>
      <c r="D685" s="534"/>
      <c r="E685" s="640"/>
      <c r="F685" s="84"/>
      <c r="G685" s="84"/>
      <c r="H685" s="84"/>
      <c r="I685" s="535"/>
      <c r="J685" s="535"/>
      <c r="K685" s="535"/>
      <c r="L685" s="535"/>
      <c r="M685" s="391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</row>
    <row r="686">
      <c r="A686" s="53"/>
      <c r="B686" s="641"/>
      <c r="C686" s="53"/>
      <c r="D686" s="546"/>
      <c r="E686" s="642"/>
      <c r="F686" s="53"/>
      <c r="G686" s="53"/>
      <c r="H686" s="53"/>
      <c r="I686" s="547"/>
      <c r="J686" s="547"/>
      <c r="K686" s="547"/>
      <c r="L686" s="547"/>
      <c r="M686" s="64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</row>
    <row r="687">
      <c r="A687" s="84"/>
      <c r="B687" s="639"/>
      <c r="C687" s="84"/>
      <c r="D687" s="534"/>
      <c r="E687" s="640"/>
      <c r="F687" s="84"/>
      <c r="G687" s="84"/>
      <c r="H687" s="84"/>
      <c r="I687" s="535"/>
      <c r="J687" s="535"/>
      <c r="K687" s="535"/>
      <c r="L687" s="535"/>
      <c r="M687" s="391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</row>
    <row r="688">
      <c r="A688" s="53"/>
      <c r="B688" s="641"/>
      <c r="C688" s="53"/>
      <c r="D688" s="546"/>
      <c r="E688" s="642"/>
      <c r="F688" s="53"/>
      <c r="G688" s="53"/>
      <c r="H688" s="53"/>
      <c r="I688" s="547"/>
      <c r="J688" s="547"/>
      <c r="K688" s="547"/>
      <c r="L688" s="547"/>
      <c r="M688" s="64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</row>
    <row r="689">
      <c r="A689" s="84"/>
      <c r="B689" s="639"/>
      <c r="C689" s="84"/>
      <c r="D689" s="534"/>
      <c r="E689" s="640"/>
      <c r="F689" s="84"/>
      <c r="G689" s="84"/>
      <c r="H689" s="84"/>
      <c r="I689" s="535"/>
      <c r="J689" s="535"/>
      <c r="K689" s="535"/>
      <c r="L689" s="535"/>
      <c r="M689" s="391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</row>
    <row r="690">
      <c r="A690" s="53"/>
      <c r="B690" s="641"/>
      <c r="C690" s="53"/>
      <c r="D690" s="546"/>
      <c r="E690" s="642"/>
      <c r="F690" s="53"/>
      <c r="G690" s="53"/>
      <c r="H690" s="53"/>
      <c r="I690" s="547"/>
      <c r="J690" s="547"/>
      <c r="K690" s="547"/>
      <c r="L690" s="547"/>
      <c r="M690" s="64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</row>
    <row r="691">
      <c r="A691" s="84"/>
      <c r="B691" s="639"/>
      <c r="C691" s="84"/>
      <c r="D691" s="534"/>
      <c r="E691" s="640"/>
      <c r="F691" s="84"/>
      <c r="G691" s="84"/>
      <c r="H691" s="84"/>
      <c r="I691" s="535"/>
      <c r="J691" s="535"/>
      <c r="K691" s="535"/>
      <c r="L691" s="535"/>
      <c r="M691" s="391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</row>
    <row r="692">
      <c r="A692" s="53"/>
      <c r="B692" s="641"/>
      <c r="C692" s="53"/>
      <c r="D692" s="546"/>
      <c r="E692" s="642"/>
      <c r="F692" s="53"/>
      <c r="G692" s="53"/>
      <c r="H692" s="53"/>
      <c r="I692" s="547"/>
      <c r="J692" s="547"/>
      <c r="K692" s="547"/>
      <c r="L692" s="547"/>
      <c r="M692" s="64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</row>
    <row r="693">
      <c r="A693" s="84"/>
      <c r="B693" s="639"/>
      <c r="C693" s="84"/>
      <c r="D693" s="534"/>
      <c r="E693" s="640"/>
      <c r="F693" s="84"/>
      <c r="G693" s="84"/>
      <c r="H693" s="84"/>
      <c r="I693" s="535"/>
      <c r="J693" s="535"/>
      <c r="K693" s="535"/>
      <c r="L693" s="535"/>
      <c r="M693" s="391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</row>
    <row r="694">
      <c r="A694" s="53"/>
      <c r="B694" s="641"/>
      <c r="C694" s="53"/>
      <c r="D694" s="546"/>
      <c r="E694" s="642"/>
      <c r="F694" s="53"/>
      <c r="G694" s="53"/>
      <c r="H694" s="53"/>
      <c r="I694" s="547"/>
      <c r="J694" s="547"/>
      <c r="K694" s="547"/>
      <c r="L694" s="547"/>
      <c r="M694" s="64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</row>
    <row r="695">
      <c r="A695" s="84"/>
      <c r="B695" s="639"/>
      <c r="C695" s="84"/>
      <c r="D695" s="534"/>
      <c r="E695" s="640"/>
      <c r="F695" s="84"/>
      <c r="G695" s="84"/>
      <c r="H695" s="84"/>
      <c r="I695" s="535"/>
      <c r="J695" s="535"/>
      <c r="K695" s="535"/>
      <c r="L695" s="535"/>
      <c r="M695" s="391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</row>
    <row r="696">
      <c r="A696" s="53"/>
      <c r="B696" s="641"/>
      <c r="C696" s="53"/>
      <c r="D696" s="546"/>
      <c r="E696" s="642"/>
      <c r="F696" s="53"/>
      <c r="G696" s="53"/>
      <c r="H696" s="53"/>
      <c r="I696" s="547"/>
      <c r="J696" s="547"/>
      <c r="K696" s="547"/>
      <c r="L696" s="547"/>
      <c r="M696" s="64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</row>
    <row r="697">
      <c r="A697" s="84"/>
      <c r="B697" s="639"/>
      <c r="C697" s="84"/>
      <c r="D697" s="534"/>
      <c r="E697" s="640"/>
      <c r="F697" s="84"/>
      <c r="G697" s="84"/>
      <c r="H697" s="84"/>
      <c r="I697" s="535"/>
      <c r="J697" s="535"/>
      <c r="K697" s="535"/>
      <c r="L697" s="535"/>
      <c r="M697" s="391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</row>
    <row r="698">
      <c r="A698" s="53"/>
      <c r="B698" s="641"/>
      <c r="C698" s="53"/>
      <c r="D698" s="546"/>
      <c r="E698" s="642"/>
      <c r="F698" s="53"/>
      <c r="G698" s="53"/>
      <c r="H698" s="53"/>
      <c r="I698" s="547"/>
      <c r="J698" s="547"/>
      <c r="K698" s="547"/>
      <c r="L698" s="547"/>
      <c r="M698" s="64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</row>
    <row r="699">
      <c r="A699" s="84"/>
      <c r="B699" s="639"/>
      <c r="C699" s="84"/>
      <c r="D699" s="534"/>
      <c r="E699" s="640"/>
      <c r="F699" s="84"/>
      <c r="G699" s="84"/>
      <c r="H699" s="84"/>
      <c r="I699" s="535"/>
      <c r="J699" s="535"/>
      <c r="K699" s="535"/>
      <c r="L699" s="535"/>
      <c r="M699" s="391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</row>
    <row r="700">
      <c r="A700" s="53"/>
      <c r="B700" s="641"/>
      <c r="C700" s="53"/>
      <c r="D700" s="546"/>
      <c r="E700" s="642"/>
      <c r="F700" s="53"/>
      <c r="G700" s="53"/>
      <c r="H700" s="53"/>
      <c r="I700" s="547"/>
      <c r="J700" s="547"/>
      <c r="K700" s="547"/>
      <c r="L700" s="547"/>
      <c r="M700" s="64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</row>
    <row r="701">
      <c r="A701" s="84"/>
      <c r="B701" s="639"/>
      <c r="C701" s="84"/>
      <c r="D701" s="534"/>
      <c r="E701" s="640"/>
      <c r="F701" s="84"/>
      <c r="G701" s="84"/>
      <c r="H701" s="84"/>
      <c r="I701" s="535"/>
      <c r="J701" s="535"/>
      <c r="K701" s="535"/>
      <c r="L701" s="535"/>
      <c r="M701" s="391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</row>
    <row r="702">
      <c r="A702" s="53"/>
      <c r="B702" s="641"/>
      <c r="C702" s="53"/>
      <c r="D702" s="546"/>
      <c r="E702" s="642"/>
      <c r="F702" s="53"/>
      <c r="G702" s="53"/>
      <c r="H702" s="53"/>
      <c r="I702" s="547"/>
      <c r="J702" s="547"/>
      <c r="K702" s="547"/>
      <c r="L702" s="547"/>
      <c r="M702" s="64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</row>
    <row r="703">
      <c r="A703" s="84"/>
      <c r="B703" s="639"/>
      <c r="C703" s="84"/>
      <c r="D703" s="534"/>
      <c r="E703" s="640"/>
      <c r="F703" s="84"/>
      <c r="G703" s="84"/>
      <c r="H703" s="84"/>
      <c r="I703" s="535"/>
      <c r="J703" s="535"/>
      <c r="K703" s="535"/>
      <c r="L703" s="535"/>
      <c r="M703" s="391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</row>
    <row r="704">
      <c r="A704" s="53"/>
      <c r="B704" s="641"/>
      <c r="C704" s="53"/>
      <c r="D704" s="546"/>
      <c r="E704" s="642"/>
      <c r="F704" s="53"/>
      <c r="G704" s="53"/>
      <c r="H704" s="53"/>
      <c r="I704" s="547"/>
      <c r="J704" s="547"/>
      <c r="K704" s="547"/>
      <c r="L704" s="547"/>
      <c r="M704" s="64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</row>
    <row r="705">
      <c r="A705" s="84"/>
      <c r="B705" s="639"/>
      <c r="C705" s="84"/>
      <c r="D705" s="534"/>
      <c r="E705" s="640"/>
      <c r="F705" s="84"/>
      <c r="G705" s="84"/>
      <c r="H705" s="84"/>
      <c r="I705" s="535"/>
      <c r="J705" s="535"/>
      <c r="K705" s="535"/>
      <c r="L705" s="535"/>
      <c r="M705" s="391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</row>
    <row r="706">
      <c r="A706" s="53"/>
      <c r="B706" s="641"/>
      <c r="C706" s="53"/>
      <c r="D706" s="546"/>
      <c r="E706" s="642"/>
      <c r="F706" s="53"/>
      <c r="G706" s="53"/>
      <c r="H706" s="53"/>
      <c r="I706" s="547"/>
      <c r="J706" s="547"/>
      <c r="K706" s="547"/>
      <c r="L706" s="547"/>
      <c r="M706" s="64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</row>
    <row r="707">
      <c r="A707" s="84"/>
      <c r="B707" s="639"/>
      <c r="C707" s="84"/>
      <c r="D707" s="534"/>
      <c r="E707" s="640"/>
      <c r="F707" s="84"/>
      <c r="G707" s="84"/>
      <c r="H707" s="84"/>
      <c r="I707" s="535"/>
      <c r="J707" s="535"/>
      <c r="K707" s="535"/>
      <c r="L707" s="535"/>
      <c r="M707" s="391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</row>
    <row r="708">
      <c r="A708" s="53"/>
      <c r="B708" s="641"/>
      <c r="C708" s="53"/>
      <c r="D708" s="546"/>
      <c r="E708" s="642"/>
      <c r="F708" s="53"/>
      <c r="G708" s="53"/>
      <c r="H708" s="53"/>
      <c r="I708" s="547"/>
      <c r="J708" s="547"/>
      <c r="K708" s="547"/>
      <c r="L708" s="547"/>
      <c r="M708" s="64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</row>
    <row r="709">
      <c r="A709" s="84"/>
      <c r="B709" s="639"/>
      <c r="C709" s="84"/>
      <c r="D709" s="534"/>
      <c r="E709" s="640"/>
      <c r="F709" s="84"/>
      <c r="G709" s="84"/>
      <c r="H709" s="84"/>
      <c r="I709" s="535"/>
      <c r="J709" s="535"/>
      <c r="K709" s="535"/>
      <c r="L709" s="535"/>
      <c r="M709" s="391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</row>
    <row r="710">
      <c r="A710" s="53"/>
      <c r="B710" s="641"/>
      <c r="C710" s="53"/>
      <c r="D710" s="546"/>
      <c r="E710" s="642"/>
      <c r="F710" s="53"/>
      <c r="G710" s="53"/>
      <c r="H710" s="53"/>
      <c r="I710" s="547"/>
      <c r="J710" s="547"/>
      <c r="K710" s="547"/>
      <c r="L710" s="547"/>
      <c r="M710" s="64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</row>
    <row r="711">
      <c r="A711" s="84"/>
      <c r="B711" s="639"/>
      <c r="C711" s="84"/>
      <c r="D711" s="534"/>
      <c r="E711" s="640"/>
      <c r="F711" s="84"/>
      <c r="G711" s="84"/>
      <c r="H711" s="84"/>
      <c r="I711" s="535"/>
      <c r="J711" s="535"/>
      <c r="K711" s="535"/>
      <c r="L711" s="535"/>
      <c r="M711" s="391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</row>
    <row r="712">
      <c r="A712" s="53"/>
      <c r="B712" s="641"/>
      <c r="C712" s="53"/>
      <c r="D712" s="546"/>
      <c r="E712" s="642"/>
      <c r="F712" s="53"/>
      <c r="G712" s="53"/>
      <c r="H712" s="53"/>
      <c r="I712" s="547"/>
      <c r="J712" s="547"/>
      <c r="K712" s="547"/>
      <c r="L712" s="547"/>
      <c r="M712" s="64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</row>
    <row r="713">
      <c r="A713" s="84"/>
      <c r="B713" s="639"/>
      <c r="C713" s="84"/>
      <c r="D713" s="534"/>
      <c r="E713" s="640"/>
      <c r="F713" s="84"/>
      <c r="G713" s="84"/>
      <c r="H713" s="84"/>
      <c r="I713" s="535"/>
      <c r="J713" s="535"/>
      <c r="K713" s="535"/>
      <c r="L713" s="535"/>
      <c r="M713" s="391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</row>
    <row r="714">
      <c r="A714" s="53"/>
      <c r="B714" s="641"/>
      <c r="C714" s="53"/>
      <c r="D714" s="546"/>
      <c r="E714" s="642"/>
      <c r="F714" s="53"/>
      <c r="G714" s="53"/>
      <c r="H714" s="53"/>
      <c r="I714" s="547"/>
      <c r="J714" s="547"/>
      <c r="K714" s="547"/>
      <c r="L714" s="547"/>
      <c r="M714" s="64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</row>
    <row r="715">
      <c r="A715" s="84"/>
      <c r="B715" s="639"/>
      <c r="C715" s="84"/>
      <c r="D715" s="534"/>
      <c r="E715" s="640"/>
      <c r="F715" s="84"/>
      <c r="G715" s="84"/>
      <c r="H715" s="84"/>
      <c r="I715" s="535"/>
      <c r="J715" s="535"/>
      <c r="K715" s="535"/>
      <c r="L715" s="535"/>
      <c r="M715" s="391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</row>
    <row r="716">
      <c r="A716" s="53"/>
      <c r="B716" s="641"/>
      <c r="C716" s="53"/>
      <c r="D716" s="546"/>
      <c r="E716" s="642"/>
      <c r="F716" s="53"/>
      <c r="G716" s="53"/>
      <c r="H716" s="53"/>
      <c r="I716" s="547"/>
      <c r="J716" s="547"/>
      <c r="K716" s="547"/>
      <c r="L716" s="547"/>
      <c r="M716" s="64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</row>
    <row r="717">
      <c r="A717" s="84"/>
      <c r="B717" s="639"/>
      <c r="C717" s="84"/>
      <c r="D717" s="534"/>
      <c r="E717" s="640"/>
      <c r="F717" s="84"/>
      <c r="G717" s="84"/>
      <c r="H717" s="84"/>
      <c r="I717" s="535"/>
      <c r="J717" s="535"/>
      <c r="K717" s="535"/>
      <c r="L717" s="535"/>
      <c r="M717" s="391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</row>
    <row r="718">
      <c r="A718" s="53"/>
      <c r="B718" s="641"/>
      <c r="C718" s="53"/>
      <c r="D718" s="546"/>
      <c r="E718" s="642"/>
      <c r="F718" s="53"/>
      <c r="G718" s="53"/>
      <c r="H718" s="53"/>
      <c r="I718" s="547"/>
      <c r="J718" s="547"/>
      <c r="K718" s="547"/>
      <c r="L718" s="547"/>
      <c r="M718" s="64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</row>
    <row r="719">
      <c r="A719" s="84"/>
      <c r="B719" s="639"/>
      <c r="C719" s="84"/>
      <c r="D719" s="534"/>
      <c r="E719" s="640"/>
      <c r="F719" s="84"/>
      <c r="G719" s="84"/>
      <c r="H719" s="84"/>
      <c r="I719" s="535"/>
      <c r="J719" s="535"/>
      <c r="K719" s="535"/>
      <c r="L719" s="535"/>
      <c r="M719" s="391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</row>
    <row r="720">
      <c r="A720" s="53"/>
      <c r="B720" s="641"/>
      <c r="C720" s="53"/>
      <c r="D720" s="546"/>
      <c r="E720" s="642"/>
      <c r="F720" s="53"/>
      <c r="G720" s="53"/>
      <c r="H720" s="53"/>
      <c r="I720" s="547"/>
      <c r="J720" s="547"/>
      <c r="K720" s="547"/>
      <c r="L720" s="547"/>
      <c r="M720" s="64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</row>
    <row r="721">
      <c r="A721" s="84"/>
      <c r="B721" s="639"/>
      <c r="C721" s="84"/>
      <c r="D721" s="534"/>
      <c r="E721" s="640"/>
      <c r="F721" s="84"/>
      <c r="G721" s="84"/>
      <c r="H721" s="84"/>
      <c r="I721" s="535"/>
      <c r="J721" s="535"/>
      <c r="K721" s="535"/>
      <c r="L721" s="535"/>
      <c r="M721" s="391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</row>
    <row r="722">
      <c r="A722" s="53"/>
      <c r="B722" s="641"/>
      <c r="C722" s="53"/>
      <c r="D722" s="546"/>
      <c r="E722" s="642"/>
      <c r="F722" s="53"/>
      <c r="G722" s="53"/>
      <c r="H722" s="53"/>
      <c r="I722" s="547"/>
      <c r="J722" s="547"/>
      <c r="K722" s="547"/>
      <c r="L722" s="547"/>
      <c r="M722" s="64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</row>
    <row r="723">
      <c r="A723" s="84"/>
      <c r="B723" s="639"/>
      <c r="C723" s="84"/>
      <c r="D723" s="534"/>
      <c r="E723" s="640"/>
      <c r="F723" s="84"/>
      <c r="G723" s="84"/>
      <c r="H723" s="84"/>
      <c r="I723" s="535"/>
      <c r="J723" s="535"/>
      <c r="K723" s="535"/>
      <c r="L723" s="535"/>
      <c r="M723" s="391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</row>
    <row r="724">
      <c r="A724" s="53"/>
      <c r="B724" s="641"/>
      <c r="C724" s="53"/>
      <c r="D724" s="546"/>
      <c r="E724" s="642"/>
      <c r="F724" s="53"/>
      <c r="G724" s="53"/>
      <c r="H724" s="53"/>
      <c r="I724" s="547"/>
      <c r="J724" s="547"/>
      <c r="K724" s="547"/>
      <c r="L724" s="547"/>
      <c r="M724" s="64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</row>
    <row r="725">
      <c r="A725" s="84"/>
      <c r="B725" s="639"/>
      <c r="C725" s="84"/>
      <c r="D725" s="534"/>
      <c r="E725" s="640"/>
      <c r="F725" s="84"/>
      <c r="G725" s="84"/>
      <c r="H725" s="84"/>
      <c r="I725" s="535"/>
      <c r="J725" s="535"/>
      <c r="K725" s="535"/>
      <c r="L725" s="535"/>
      <c r="M725" s="391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</row>
    <row r="726">
      <c r="A726" s="53"/>
      <c r="B726" s="641"/>
      <c r="C726" s="53"/>
      <c r="D726" s="546"/>
      <c r="E726" s="642"/>
      <c r="F726" s="53"/>
      <c r="G726" s="53"/>
      <c r="H726" s="53"/>
      <c r="I726" s="547"/>
      <c r="J726" s="547"/>
      <c r="K726" s="547"/>
      <c r="L726" s="547"/>
      <c r="M726" s="64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</row>
    <row r="727">
      <c r="A727" s="84"/>
      <c r="B727" s="639"/>
      <c r="C727" s="84"/>
      <c r="D727" s="534"/>
      <c r="E727" s="640"/>
      <c r="F727" s="84"/>
      <c r="G727" s="84"/>
      <c r="H727" s="84"/>
      <c r="I727" s="535"/>
      <c r="J727" s="535"/>
      <c r="K727" s="535"/>
      <c r="L727" s="535"/>
      <c r="M727" s="391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</row>
    <row r="728">
      <c r="A728" s="53"/>
      <c r="B728" s="641"/>
      <c r="C728" s="53"/>
      <c r="D728" s="546"/>
      <c r="E728" s="642"/>
      <c r="F728" s="53"/>
      <c r="G728" s="53"/>
      <c r="H728" s="53"/>
      <c r="I728" s="547"/>
      <c r="J728" s="547"/>
      <c r="K728" s="547"/>
      <c r="L728" s="547"/>
      <c r="M728" s="64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</row>
    <row r="729">
      <c r="A729" s="84"/>
      <c r="B729" s="639"/>
      <c r="C729" s="84"/>
      <c r="D729" s="534"/>
      <c r="E729" s="640"/>
      <c r="F729" s="84"/>
      <c r="G729" s="84"/>
      <c r="H729" s="84"/>
      <c r="I729" s="535"/>
      <c r="J729" s="535"/>
      <c r="K729" s="535"/>
      <c r="L729" s="535"/>
      <c r="M729" s="391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</row>
    <row r="730">
      <c r="A730" s="53"/>
      <c r="B730" s="641"/>
      <c r="C730" s="53"/>
      <c r="D730" s="546"/>
      <c r="E730" s="642"/>
      <c r="F730" s="53"/>
      <c r="G730" s="53"/>
      <c r="H730" s="53"/>
      <c r="I730" s="547"/>
      <c r="J730" s="547"/>
      <c r="K730" s="547"/>
      <c r="L730" s="547"/>
      <c r="M730" s="64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</row>
    <row r="731">
      <c r="A731" s="84"/>
      <c r="B731" s="639"/>
      <c r="C731" s="84"/>
      <c r="D731" s="534"/>
      <c r="E731" s="640"/>
      <c r="F731" s="84"/>
      <c r="G731" s="84"/>
      <c r="H731" s="84"/>
      <c r="I731" s="535"/>
      <c r="J731" s="535"/>
      <c r="K731" s="535"/>
      <c r="L731" s="535"/>
      <c r="M731" s="391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</row>
    <row r="732">
      <c r="A732" s="53"/>
      <c r="B732" s="641"/>
      <c r="C732" s="53"/>
      <c r="D732" s="546"/>
      <c r="E732" s="642"/>
      <c r="F732" s="53"/>
      <c r="G732" s="53"/>
      <c r="H732" s="53"/>
      <c r="I732" s="547"/>
      <c r="J732" s="547"/>
      <c r="K732" s="547"/>
      <c r="L732" s="547"/>
      <c r="M732" s="64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</row>
    <row r="733">
      <c r="A733" s="84"/>
      <c r="B733" s="639"/>
      <c r="C733" s="84"/>
      <c r="D733" s="534"/>
      <c r="E733" s="640"/>
      <c r="F733" s="84"/>
      <c r="G733" s="84"/>
      <c r="H733" s="84"/>
      <c r="I733" s="535"/>
      <c r="J733" s="535"/>
      <c r="K733" s="535"/>
      <c r="L733" s="535"/>
      <c r="M733" s="391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</row>
    <row r="734">
      <c r="A734" s="53"/>
      <c r="B734" s="641"/>
      <c r="C734" s="53"/>
      <c r="D734" s="546"/>
      <c r="E734" s="642"/>
      <c r="F734" s="53"/>
      <c r="G734" s="53"/>
      <c r="H734" s="53"/>
      <c r="I734" s="547"/>
      <c r="J734" s="547"/>
      <c r="K734" s="547"/>
      <c r="L734" s="547"/>
      <c r="M734" s="64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</row>
    <row r="735">
      <c r="A735" s="84"/>
      <c r="B735" s="639"/>
      <c r="C735" s="84"/>
      <c r="D735" s="534"/>
      <c r="E735" s="640"/>
      <c r="F735" s="84"/>
      <c r="G735" s="84"/>
      <c r="H735" s="84"/>
      <c r="I735" s="535"/>
      <c r="J735" s="535"/>
      <c r="K735" s="535"/>
      <c r="L735" s="535"/>
      <c r="M735" s="391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</row>
    <row r="736">
      <c r="A736" s="53"/>
      <c r="B736" s="641"/>
      <c r="C736" s="53"/>
      <c r="D736" s="546"/>
      <c r="E736" s="642"/>
      <c r="F736" s="53"/>
      <c r="G736" s="53"/>
      <c r="H736" s="53"/>
      <c r="I736" s="547"/>
      <c r="J736" s="547"/>
      <c r="K736" s="547"/>
      <c r="L736" s="547"/>
      <c r="M736" s="64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</row>
    <row r="737">
      <c r="A737" s="84"/>
      <c r="B737" s="639"/>
      <c r="C737" s="84"/>
      <c r="D737" s="534"/>
      <c r="E737" s="640"/>
      <c r="F737" s="84"/>
      <c r="G737" s="84"/>
      <c r="H737" s="84"/>
      <c r="I737" s="535"/>
      <c r="J737" s="535"/>
      <c r="K737" s="535"/>
      <c r="L737" s="535"/>
      <c r="M737" s="391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</row>
    <row r="738">
      <c r="A738" s="53"/>
      <c r="B738" s="641"/>
      <c r="C738" s="53"/>
      <c r="D738" s="546"/>
      <c r="E738" s="642"/>
      <c r="F738" s="53"/>
      <c r="G738" s="53"/>
      <c r="H738" s="53"/>
      <c r="I738" s="547"/>
      <c r="J738" s="547"/>
      <c r="K738" s="547"/>
      <c r="L738" s="547"/>
      <c r="M738" s="64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</row>
    <row r="739">
      <c r="A739" s="84"/>
      <c r="B739" s="639"/>
      <c r="C739" s="84"/>
      <c r="D739" s="534"/>
      <c r="E739" s="640"/>
      <c r="F739" s="84"/>
      <c r="G739" s="84"/>
      <c r="H739" s="84"/>
      <c r="I739" s="535"/>
      <c r="J739" s="535"/>
      <c r="K739" s="535"/>
      <c r="L739" s="535"/>
      <c r="M739" s="391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</row>
    <row r="740">
      <c r="A740" s="53"/>
      <c r="B740" s="641"/>
      <c r="C740" s="53"/>
      <c r="D740" s="546"/>
      <c r="E740" s="642"/>
      <c r="F740" s="53"/>
      <c r="G740" s="53"/>
      <c r="H740" s="53"/>
      <c r="I740" s="547"/>
      <c r="J740" s="547"/>
      <c r="K740" s="547"/>
      <c r="L740" s="547"/>
      <c r="M740" s="64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</row>
    <row r="741">
      <c r="A741" s="84"/>
      <c r="B741" s="639"/>
      <c r="C741" s="84"/>
      <c r="D741" s="534"/>
      <c r="E741" s="640"/>
      <c r="F741" s="84"/>
      <c r="G741" s="84"/>
      <c r="H741" s="84"/>
      <c r="I741" s="535"/>
      <c r="J741" s="535"/>
      <c r="K741" s="535"/>
      <c r="L741" s="535"/>
      <c r="M741" s="391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</row>
    <row r="742">
      <c r="A742" s="53"/>
      <c r="B742" s="641"/>
      <c r="C742" s="53"/>
      <c r="D742" s="546"/>
      <c r="E742" s="642"/>
      <c r="F742" s="53"/>
      <c r="G742" s="53"/>
      <c r="H742" s="53"/>
      <c r="I742" s="547"/>
      <c r="J742" s="547"/>
      <c r="K742" s="547"/>
      <c r="L742" s="547"/>
      <c r="M742" s="64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</row>
    <row r="743">
      <c r="A743" s="84"/>
      <c r="B743" s="639"/>
      <c r="C743" s="84"/>
      <c r="D743" s="534"/>
      <c r="E743" s="640"/>
      <c r="F743" s="84"/>
      <c r="G743" s="84"/>
      <c r="H743" s="84"/>
      <c r="I743" s="535"/>
      <c r="J743" s="535"/>
      <c r="K743" s="535"/>
      <c r="L743" s="535"/>
      <c r="M743" s="391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</row>
    <row r="744">
      <c r="A744" s="53"/>
      <c r="B744" s="641"/>
      <c r="C744" s="53"/>
      <c r="D744" s="546"/>
      <c r="E744" s="642"/>
      <c r="F744" s="53"/>
      <c r="G744" s="53"/>
      <c r="H744" s="53"/>
      <c r="I744" s="547"/>
      <c r="J744" s="547"/>
      <c r="K744" s="547"/>
      <c r="L744" s="547"/>
      <c r="M744" s="64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</row>
    <row r="745">
      <c r="A745" s="84"/>
      <c r="B745" s="639"/>
      <c r="C745" s="84"/>
      <c r="D745" s="534"/>
      <c r="E745" s="640"/>
      <c r="F745" s="84"/>
      <c r="G745" s="84"/>
      <c r="H745" s="84"/>
      <c r="I745" s="535"/>
      <c r="J745" s="535"/>
      <c r="K745" s="535"/>
      <c r="L745" s="535"/>
      <c r="M745" s="391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</row>
    <row r="746">
      <c r="A746" s="53"/>
      <c r="B746" s="641"/>
      <c r="C746" s="53"/>
      <c r="D746" s="546"/>
      <c r="E746" s="642"/>
      <c r="F746" s="53"/>
      <c r="G746" s="53"/>
      <c r="H746" s="53"/>
      <c r="I746" s="547"/>
      <c r="J746" s="547"/>
      <c r="K746" s="547"/>
      <c r="L746" s="547"/>
      <c r="M746" s="64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</row>
    <row r="747">
      <c r="A747" s="84"/>
      <c r="B747" s="639"/>
      <c r="C747" s="84"/>
      <c r="D747" s="534"/>
      <c r="E747" s="640"/>
      <c r="F747" s="84"/>
      <c r="G747" s="84"/>
      <c r="H747" s="84"/>
      <c r="I747" s="535"/>
      <c r="J747" s="535"/>
      <c r="K747" s="535"/>
      <c r="L747" s="535"/>
      <c r="M747" s="391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</row>
    <row r="748">
      <c r="A748" s="53"/>
      <c r="B748" s="641"/>
      <c r="C748" s="53"/>
      <c r="D748" s="546"/>
      <c r="E748" s="642"/>
      <c r="F748" s="53"/>
      <c r="G748" s="53"/>
      <c r="H748" s="53"/>
      <c r="I748" s="547"/>
      <c r="J748" s="547"/>
      <c r="K748" s="547"/>
      <c r="L748" s="547"/>
      <c r="M748" s="64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</row>
    <row r="749">
      <c r="A749" s="84"/>
      <c r="B749" s="639"/>
      <c r="C749" s="84"/>
      <c r="D749" s="534"/>
      <c r="E749" s="640"/>
      <c r="F749" s="84"/>
      <c r="G749" s="84"/>
      <c r="H749" s="84"/>
      <c r="I749" s="535"/>
      <c r="J749" s="535"/>
      <c r="K749" s="535"/>
      <c r="L749" s="535"/>
      <c r="M749" s="391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</row>
    <row r="750">
      <c r="A750" s="53"/>
      <c r="B750" s="641"/>
      <c r="C750" s="53"/>
      <c r="D750" s="546"/>
      <c r="E750" s="642"/>
      <c r="F750" s="53"/>
      <c r="G750" s="53"/>
      <c r="H750" s="53"/>
      <c r="I750" s="547"/>
      <c r="J750" s="547"/>
      <c r="K750" s="547"/>
      <c r="L750" s="547"/>
      <c r="M750" s="64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</row>
    <row r="751">
      <c r="A751" s="84"/>
      <c r="B751" s="639"/>
      <c r="C751" s="84"/>
      <c r="D751" s="534"/>
      <c r="E751" s="640"/>
      <c r="F751" s="84"/>
      <c r="G751" s="84"/>
      <c r="H751" s="84"/>
      <c r="I751" s="535"/>
      <c r="J751" s="535"/>
      <c r="K751" s="535"/>
      <c r="L751" s="535"/>
      <c r="M751" s="391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</row>
    <row r="752">
      <c r="A752" s="53"/>
      <c r="B752" s="641"/>
      <c r="C752" s="53"/>
      <c r="D752" s="546"/>
      <c r="E752" s="642"/>
      <c r="F752" s="53"/>
      <c r="G752" s="53"/>
      <c r="H752" s="53"/>
      <c r="I752" s="547"/>
      <c r="J752" s="547"/>
      <c r="K752" s="547"/>
      <c r="L752" s="547"/>
      <c r="M752" s="64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</row>
    <row r="753">
      <c r="A753" s="84"/>
      <c r="B753" s="639"/>
      <c r="C753" s="84"/>
      <c r="D753" s="534"/>
      <c r="E753" s="640"/>
      <c r="F753" s="84"/>
      <c r="G753" s="84"/>
      <c r="H753" s="84"/>
      <c r="I753" s="535"/>
      <c r="J753" s="535"/>
      <c r="K753" s="535"/>
      <c r="L753" s="535"/>
      <c r="M753" s="391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</row>
    <row r="754">
      <c r="A754" s="53"/>
      <c r="B754" s="641"/>
      <c r="C754" s="53"/>
      <c r="D754" s="546"/>
      <c r="E754" s="642"/>
      <c r="F754" s="53"/>
      <c r="G754" s="53"/>
      <c r="H754" s="53"/>
      <c r="I754" s="547"/>
      <c r="J754" s="547"/>
      <c r="K754" s="547"/>
      <c r="L754" s="547"/>
      <c r="M754" s="64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</row>
    <row r="755">
      <c r="A755" s="84"/>
      <c r="B755" s="639"/>
      <c r="C755" s="84"/>
      <c r="D755" s="534"/>
      <c r="E755" s="640"/>
      <c r="F755" s="84"/>
      <c r="G755" s="84"/>
      <c r="H755" s="84"/>
      <c r="I755" s="535"/>
      <c r="J755" s="535"/>
      <c r="K755" s="535"/>
      <c r="L755" s="535"/>
      <c r="M755" s="391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</row>
    <row r="756">
      <c r="A756" s="53"/>
      <c r="B756" s="641"/>
      <c r="C756" s="53"/>
      <c r="D756" s="546"/>
      <c r="E756" s="642"/>
      <c r="F756" s="53"/>
      <c r="G756" s="53"/>
      <c r="H756" s="53"/>
      <c r="I756" s="547"/>
      <c r="J756" s="547"/>
      <c r="K756" s="547"/>
      <c r="L756" s="547"/>
      <c r="M756" s="64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</row>
    <row r="757">
      <c r="A757" s="84"/>
      <c r="B757" s="639"/>
      <c r="C757" s="84"/>
      <c r="D757" s="534"/>
      <c r="E757" s="640"/>
      <c r="F757" s="84"/>
      <c r="G757" s="84"/>
      <c r="H757" s="84"/>
      <c r="I757" s="535"/>
      <c r="J757" s="535"/>
      <c r="K757" s="535"/>
      <c r="L757" s="535"/>
      <c r="M757" s="391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</row>
    <row r="758">
      <c r="A758" s="53"/>
      <c r="B758" s="641"/>
      <c r="C758" s="53"/>
      <c r="D758" s="546"/>
      <c r="E758" s="642"/>
      <c r="F758" s="53"/>
      <c r="G758" s="53"/>
      <c r="H758" s="53"/>
      <c r="I758" s="547"/>
      <c r="J758" s="547"/>
      <c r="K758" s="547"/>
      <c r="L758" s="547"/>
      <c r="M758" s="64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</row>
    <row r="759">
      <c r="A759" s="84"/>
      <c r="B759" s="639"/>
      <c r="C759" s="84"/>
      <c r="D759" s="534"/>
      <c r="E759" s="640"/>
      <c r="F759" s="84"/>
      <c r="G759" s="84"/>
      <c r="H759" s="84"/>
      <c r="I759" s="535"/>
      <c r="J759" s="535"/>
      <c r="K759" s="535"/>
      <c r="L759" s="535"/>
      <c r="M759" s="391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</row>
    <row r="760">
      <c r="A760" s="53"/>
      <c r="B760" s="641"/>
      <c r="C760" s="53"/>
      <c r="D760" s="546"/>
      <c r="E760" s="642"/>
      <c r="F760" s="53"/>
      <c r="G760" s="53"/>
      <c r="H760" s="53"/>
      <c r="I760" s="547"/>
      <c r="J760" s="547"/>
      <c r="K760" s="547"/>
      <c r="L760" s="547"/>
      <c r="M760" s="64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</row>
    <row r="761">
      <c r="A761" s="84"/>
      <c r="B761" s="639"/>
      <c r="C761" s="84"/>
      <c r="D761" s="534"/>
      <c r="E761" s="640"/>
      <c r="F761" s="84"/>
      <c r="G761" s="84"/>
      <c r="H761" s="84"/>
      <c r="I761" s="535"/>
      <c r="J761" s="535"/>
      <c r="K761" s="535"/>
      <c r="L761" s="535"/>
      <c r="M761" s="391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</row>
    <row r="762">
      <c r="A762" s="53"/>
      <c r="B762" s="641"/>
      <c r="C762" s="53"/>
      <c r="D762" s="546"/>
      <c r="E762" s="642"/>
      <c r="F762" s="53"/>
      <c r="G762" s="53"/>
      <c r="H762" s="53"/>
      <c r="I762" s="547"/>
      <c r="J762" s="547"/>
      <c r="K762" s="547"/>
      <c r="L762" s="547"/>
      <c r="M762" s="64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</row>
    <row r="763">
      <c r="A763" s="84"/>
      <c r="B763" s="639"/>
      <c r="C763" s="84"/>
      <c r="D763" s="534"/>
      <c r="E763" s="640"/>
      <c r="F763" s="84"/>
      <c r="G763" s="84"/>
      <c r="H763" s="84"/>
      <c r="I763" s="535"/>
      <c r="J763" s="535"/>
      <c r="K763" s="535"/>
      <c r="L763" s="535"/>
      <c r="M763" s="391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</row>
    <row r="764">
      <c r="A764" s="53"/>
      <c r="B764" s="641"/>
      <c r="C764" s="53"/>
      <c r="D764" s="546"/>
      <c r="E764" s="642"/>
      <c r="F764" s="53"/>
      <c r="G764" s="53"/>
      <c r="H764" s="53"/>
      <c r="I764" s="547"/>
      <c r="J764" s="547"/>
      <c r="K764" s="547"/>
      <c r="L764" s="547"/>
      <c r="M764" s="64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</row>
    <row r="765">
      <c r="A765" s="84"/>
      <c r="B765" s="639"/>
      <c r="C765" s="84"/>
      <c r="D765" s="534"/>
      <c r="E765" s="640"/>
      <c r="F765" s="84"/>
      <c r="G765" s="84"/>
      <c r="H765" s="84"/>
      <c r="I765" s="535"/>
      <c r="J765" s="535"/>
      <c r="K765" s="535"/>
      <c r="L765" s="535"/>
      <c r="M765" s="391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</row>
    <row r="766">
      <c r="A766" s="53"/>
      <c r="B766" s="641"/>
      <c r="C766" s="53"/>
      <c r="D766" s="546"/>
      <c r="E766" s="642"/>
      <c r="F766" s="53"/>
      <c r="G766" s="53"/>
      <c r="H766" s="53"/>
      <c r="I766" s="547"/>
      <c r="J766" s="547"/>
      <c r="K766" s="547"/>
      <c r="L766" s="547"/>
      <c r="M766" s="64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</row>
    <row r="767">
      <c r="A767" s="84"/>
      <c r="B767" s="639"/>
      <c r="C767" s="84"/>
      <c r="D767" s="534"/>
      <c r="E767" s="640"/>
      <c r="F767" s="84"/>
      <c r="G767" s="84"/>
      <c r="H767" s="84"/>
      <c r="I767" s="535"/>
      <c r="J767" s="535"/>
      <c r="K767" s="535"/>
      <c r="L767" s="535"/>
      <c r="M767" s="391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</row>
    <row r="768">
      <c r="A768" s="53"/>
      <c r="B768" s="641"/>
      <c r="C768" s="53"/>
      <c r="D768" s="546"/>
      <c r="E768" s="642"/>
      <c r="F768" s="53"/>
      <c r="G768" s="53"/>
      <c r="H768" s="53"/>
      <c r="I768" s="547"/>
      <c r="J768" s="547"/>
      <c r="K768" s="547"/>
      <c r="L768" s="547"/>
      <c r="M768" s="64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</row>
    <row r="769">
      <c r="A769" s="84"/>
      <c r="B769" s="639"/>
      <c r="C769" s="84"/>
      <c r="D769" s="534"/>
      <c r="E769" s="640"/>
      <c r="F769" s="84"/>
      <c r="G769" s="84"/>
      <c r="H769" s="84"/>
      <c r="I769" s="535"/>
      <c r="J769" s="535"/>
      <c r="K769" s="535"/>
      <c r="L769" s="535"/>
      <c r="M769" s="391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</row>
    <row r="770">
      <c r="A770" s="53"/>
      <c r="B770" s="641"/>
      <c r="C770" s="53"/>
      <c r="D770" s="546"/>
      <c r="E770" s="642"/>
      <c r="F770" s="53"/>
      <c r="G770" s="53"/>
      <c r="H770" s="53"/>
      <c r="I770" s="547"/>
      <c r="J770" s="547"/>
      <c r="K770" s="547"/>
      <c r="L770" s="547"/>
      <c r="M770" s="64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</row>
    <row r="771">
      <c r="A771" s="84"/>
      <c r="B771" s="639"/>
      <c r="C771" s="84"/>
      <c r="D771" s="534"/>
      <c r="E771" s="640"/>
      <c r="F771" s="84"/>
      <c r="G771" s="84"/>
      <c r="H771" s="84"/>
      <c r="I771" s="535"/>
      <c r="J771" s="535"/>
      <c r="K771" s="535"/>
      <c r="L771" s="535"/>
      <c r="M771" s="391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</row>
    <row r="772">
      <c r="A772" s="53"/>
      <c r="B772" s="641"/>
      <c r="C772" s="53"/>
      <c r="D772" s="546"/>
      <c r="E772" s="642"/>
      <c r="F772" s="53"/>
      <c r="G772" s="53"/>
      <c r="H772" s="53"/>
      <c r="I772" s="547"/>
      <c r="J772" s="547"/>
      <c r="K772" s="547"/>
      <c r="L772" s="547"/>
      <c r="M772" s="64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</row>
    <row r="773">
      <c r="A773" s="84"/>
      <c r="B773" s="639"/>
      <c r="C773" s="84"/>
      <c r="D773" s="534"/>
      <c r="E773" s="640"/>
      <c r="F773" s="84"/>
      <c r="G773" s="84"/>
      <c r="H773" s="84"/>
      <c r="I773" s="535"/>
      <c r="J773" s="535"/>
      <c r="K773" s="535"/>
      <c r="L773" s="535"/>
      <c r="M773" s="391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</row>
    <row r="774">
      <c r="A774" s="53"/>
      <c r="B774" s="641"/>
      <c r="C774" s="53"/>
      <c r="D774" s="546"/>
      <c r="E774" s="642"/>
      <c r="F774" s="53"/>
      <c r="G774" s="53"/>
      <c r="H774" s="53"/>
      <c r="I774" s="547"/>
      <c r="J774" s="547"/>
      <c r="K774" s="547"/>
      <c r="L774" s="547"/>
      <c r="M774" s="64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</row>
    <row r="775">
      <c r="A775" s="84"/>
      <c r="B775" s="639"/>
      <c r="C775" s="84"/>
      <c r="D775" s="534"/>
      <c r="E775" s="640"/>
      <c r="F775" s="84"/>
      <c r="G775" s="84"/>
      <c r="H775" s="84"/>
      <c r="I775" s="535"/>
      <c r="J775" s="535"/>
      <c r="K775" s="535"/>
      <c r="L775" s="535"/>
      <c r="M775" s="391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</row>
    <row r="776">
      <c r="A776" s="53"/>
      <c r="B776" s="641"/>
      <c r="C776" s="53"/>
      <c r="D776" s="546"/>
      <c r="E776" s="642"/>
      <c r="F776" s="53"/>
      <c r="G776" s="53"/>
      <c r="H776" s="53"/>
      <c r="I776" s="547"/>
      <c r="J776" s="547"/>
      <c r="K776" s="547"/>
      <c r="L776" s="547"/>
      <c r="M776" s="64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</row>
    <row r="777">
      <c r="A777" s="84"/>
      <c r="B777" s="639"/>
      <c r="C777" s="84"/>
      <c r="D777" s="534"/>
      <c r="E777" s="640"/>
      <c r="F777" s="84"/>
      <c r="G777" s="84"/>
      <c r="H777" s="84"/>
      <c r="I777" s="535"/>
      <c r="J777" s="535"/>
      <c r="K777" s="535"/>
      <c r="L777" s="535"/>
      <c r="M777" s="391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</row>
    <row r="778">
      <c r="A778" s="53"/>
      <c r="B778" s="641"/>
      <c r="C778" s="53"/>
      <c r="D778" s="546"/>
      <c r="E778" s="642"/>
      <c r="F778" s="53"/>
      <c r="G778" s="53"/>
      <c r="H778" s="53"/>
      <c r="I778" s="547"/>
      <c r="J778" s="547"/>
      <c r="K778" s="547"/>
      <c r="L778" s="547"/>
      <c r="M778" s="64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</row>
    <row r="779">
      <c r="A779" s="84"/>
      <c r="B779" s="639"/>
      <c r="C779" s="84"/>
      <c r="D779" s="534"/>
      <c r="E779" s="640"/>
      <c r="F779" s="84"/>
      <c r="G779" s="84"/>
      <c r="H779" s="84"/>
      <c r="I779" s="535"/>
      <c r="J779" s="535"/>
      <c r="K779" s="535"/>
      <c r="L779" s="535"/>
      <c r="M779" s="391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</row>
    <row r="780">
      <c r="A780" s="53"/>
      <c r="B780" s="641"/>
      <c r="C780" s="53"/>
      <c r="D780" s="546"/>
      <c r="E780" s="642"/>
      <c r="F780" s="53"/>
      <c r="G780" s="53"/>
      <c r="H780" s="53"/>
      <c r="I780" s="547"/>
      <c r="J780" s="547"/>
      <c r="K780" s="547"/>
      <c r="L780" s="547"/>
      <c r="M780" s="64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</row>
    <row r="781">
      <c r="A781" s="84"/>
      <c r="B781" s="639"/>
      <c r="C781" s="84"/>
      <c r="D781" s="534"/>
      <c r="E781" s="640"/>
      <c r="F781" s="84"/>
      <c r="G781" s="84"/>
      <c r="H781" s="84"/>
      <c r="I781" s="535"/>
      <c r="J781" s="535"/>
      <c r="K781" s="535"/>
      <c r="L781" s="535"/>
      <c r="M781" s="391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</row>
    <row r="782">
      <c r="A782" s="53"/>
      <c r="B782" s="641"/>
      <c r="C782" s="53"/>
      <c r="D782" s="546"/>
      <c r="E782" s="642"/>
      <c r="F782" s="53"/>
      <c r="G782" s="53"/>
      <c r="H782" s="53"/>
      <c r="I782" s="547"/>
      <c r="J782" s="547"/>
      <c r="K782" s="547"/>
      <c r="L782" s="547"/>
      <c r="M782" s="64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</row>
    <row r="783">
      <c r="A783" s="84"/>
      <c r="B783" s="639"/>
      <c r="C783" s="84"/>
      <c r="D783" s="534"/>
      <c r="E783" s="640"/>
      <c r="F783" s="84"/>
      <c r="G783" s="84"/>
      <c r="H783" s="84"/>
      <c r="I783" s="535"/>
      <c r="J783" s="535"/>
      <c r="K783" s="535"/>
      <c r="L783" s="535"/>
      <c r="M783" s="391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</row>
    <row r="784">
      <c r="A784" s="53"/>
      <c r="B784" s="641"/>
      <c r="C784" s="53"/>
      <c r="D784" s="546"/>
      <c r="E784" s="642"/>
      <c r="F784" s="53"/>
      <c r="G784" s="53"/>
      <c r="H784" s="53"/>
      <c r="I784" s="547"/>
      <c r="J784" s="547"/>
      <c r="K784" s="547"/>
      <c r="L784" s="547"/>
      <c r="M784" s="64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</row>
    <row r="785">
      <c r="A785" s="84"/>
      <c r="B785" s="639"/>
      <c r="C785" s="84"/>
      <c r="D785" s="534"/>
      <c r="E785" s="640"/>
      <c r="F785" s="84"/>
      <c r="G785" s="84"/>
      <c r="H785" s="84"/>
      <c r="I785" s="535"/>
      <c r="J785" s="535"/>
      <c r="K785" s="535"/>
      <c r="L785" s="535"/>
      <c r="M785" s="391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</row>
    <row r="786">
      <c r="A786" s="53"/>
      <c r="B786" s="641"/>
      <c r="C786" s="53"/>
      <c r="D786" s="546"/>
      <c r="E786" s="642"/>
      <c r="F786" s="53"/>
      <c r="G786" s="53"/>
      <c r="H786" s="53"/>
      <c r="I786" s="547"/>
      <c r="J786" s="547"/>
      <c r="K786" s="547"/>
      <c r="L786" s="547"/>
      <c r="M786" s="64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</row>
    <row r="787">
      <c r="A787" s="84"/>
      <c r="B787" s="639"/>
      <c r="C787" s="84"/>
      <c r="D787" s="534"/>
      <c r="E787" s="640"/>
      <c r="F787" s="84"/>
      <c r="G787" s="84"/>
      <c r="H787" s="84"/>
      <c r="I787" s="535"/>
      <c r="J787" s="535"/>
      <c r="K787" s="535"/>
      <c r="L787" s="535"/>
      <c r="M787" s="391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</row>
    <row r="788">
      <c r="A788" s="53"/>
      <c r="B788" s="641"/>
      <c r="C788" s="53"/>
      <c r="D788" s="546"/>
      <c r="E788" s="642"/>
      <c r="F788" s="53"/>
      <c r="G788" s="53"/>
      <c r="H788" s="53"/>
      <c r="I788" s="547"/>
      <c r="J788" s="547"/>
      <c r="K788" s="547"/>
      <c r="L788" s="547"/>
      <c r="M788" s="64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</row>
    <row r="789">
      <c r="A789" s="84"/>
      <c r="B789" s="639"/>
      <c r="C789" s="84"/>
      <c r="D789" s="534"/>
      <c r="E789" s="640"/>
      <c r="F789" s="84"/>
      <c r="G789" s="84"/>
      <c r="H789" s="84"/>
      <c r="I789" s="535"/>
      <c r="J789" s="535"/>
      <c r="K789" s="535"/>
      <c r="L789" s="535"/>
      <c r="M789" s="391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</row>
    <row r="790">
      <c r="A790" s="53"/>
      <c r="B790" s="641"/>
      <c r="C790" s="53"/>
      <c r="D790" s="546"/>
      <c r="E790" s="642"/>
      <c r="F790" s="53"/>
      <c r="G790" s="53"/>
      <c r="H790" s="53"/>
      <c r="I790" s="547"/>
      <c r="J790" s="547"/>
      <c r="K790" s="547"/>
      <c r="L790" s="547"/>
      <c r="M790" s="64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</row>
    <row r="791">
      <c r="A791" s="84"/>
      <c r="B791" s="639"/>
      <c r="C791" s="84"/>
      <c r="D791" s="534"/>
      <c r="E791" s="640"/>
      <c r="F791" s="84"/>
      <c r="G791" s="84"/>
      <c r="H791" s="84"/>
      <c r="I791" s="535"/>
      <c r="J791" s="535"/>
      <c r="K791" s="535"/>
      <c r="L791" s="535"/>
      <c r="M791" s="391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</row>
    <row r="792">
      <c r="A792" s="53"/>
      <c r="B792" s="641"/>
      <c r="C792" s="53"/>
      <c r="D792" s="546"/>
      <c r="E792" s="642"/>
      <c r="F792" s="53"/>
      <c r="G792" s="53"/>
      <c r="H792" s="53"/>
      <c r="I792" s="547"/>
      <c r="J792" s="547"/>
      <c r="K792" s="547"/>
      <c r="L792" s="547"/>
      <c r="M792" s="64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</row>
    <row r="793">
      <c r="A793" s="84"/>
      <c r="B793" s="639"/>
      <c r="C793" s="84"/>
      <c r="D793" s="534"/>
      <c r="E793" s="640"/>
      <c r="F793" s="84"/>
      <c r="G793" s="84"/>
      <c r="H793" s="84"/>
      <c r="I793" s="535"/>
      <c r="J793" s="535"/>
      <c r="K793" s="535"/>
      <c r="L793" s="535"/>
      <c r="M793" s="391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</row>
    <row r="794">
      <c r="A794" s="53"/>
      <c r="B794" s="641"/>
      <c r="C794" s="53"/>
      <c r="D794" s="546"/>
      <c r="E794" s="642"/>
      <c r="F794" s="53"/>
      <c r="G794" s="53"/>
      <c r="H794" s="53"/>
      <c r="I794" s="547"/>
      <c r="J794" s="547"/>
      <c r="K794" s="547"/>
      <c r="L794" s="547"/>
      <c r="M794" s="64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</row>
    <row r="795">
      <c r="A795" s="84"/>
      <c r="B795" s="639"/>
      <c r="C795" s="84"/>
      <c r="D795" s="534"/>
      <c r="E795" s="640"/>
      <c r="F795" s="84"/>
      <c r="G795" s="84"/>
      <c r="H795" s="84"/>
      <c r="I795" s="535"/>
      <c r="J795" s="535"/>
      <c r="K795" s="535"/>
      <c r="L795" s="535"/>
      <c r="M795" s="391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</row>
    <row r="796">
      <c r="A796" s="53"/>
      <c r="B796" s="641"/>
      <c r="C796" s="53"/>
      <c r="D796" s="546"/>
      <c r="E796" s="642"/>
      <c r="F796" s="53"/>
      <c r="G796" s="53"/>
      <c r="H796" s="53"/>
      <c r="I796" s="547"/>
      <c r="J796" s="547"/>
      <c r="K796" s="547"/>
      <c r="L796" s="547"/>
      <c r="M796" s="64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</row>
    <row r="797">
      <c r="A797" s="84"/>
      <c r="B797" s="639"/>
      <c r="C797" s="84"/>
      <c r="D797" s="534"/>
      <c r="E797" s="640"/>
      <c r="F797" s="84"/>
      <c r="G797" s="84"/>
      <c r="H797" s="84"/>
      <c r="I797" s="535"/>
      <c r="J797" s="535"/>
      <c r="K797" s="535"/>
      <c r="L797" s="535"/>
      <c r="M797" s="391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</row>
    <row r="798">
      <c r="A798" s="53"/>
      <c r="B798" s="641"/>
      <c r="C798" s="53"/>
      <c r="D798" s="546"/>
      <c r="E798" s="642"/>
      <c r="F798" s="53"/>
      <c r="G798" s="53"/>
      <c r="H798" s="53"/>
      <c r="I798" s="547"/>
      <c r="J798" s="547"/>
      <c r="K798" s="547"/>
      <c r="L798" s="547"/>
      <c r="M798" s="64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</row>
    <row r="799">
      <c r="A799" s="84"/>
      <c r="B799" s="639"/>
      <c r="C799" s="84"/>
      <c r="D799" s="534"/>
      <c r="E799" s="640"/>
      <c r="F799" s="84"/>
      <c r="G799" s="84"/>
      <c r="H799" s="84"/>
      <c r="I799" s="535"/>
      <c r="J799" s="535"/>
      <c r="K799" s="535"/>
      <c r="L799" s="535"/>
      <c r="M799" s="391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</row>
    <row r="800">
      <c r="A800" s="53"/>
      <c r="B800" s="641"/>
      <c r="C800" s="53"/>
      <c r="D800" s="546"/>
      <c r="E800" s="642"/>
      <c r="F800" s="53"/>
      <c r="G800" s="53"/>
      <c r="H800" s="53"/>
      <c r="I800" s="547"/>
      <c r="J800" s="547"/>
      <c r="K800" s="547"/>
      <c r="L800" s="547"/>
      <c r="M800" s="64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</row>
    <row r="801">
      <c r="A801" s="84"/>
      <c r="B801" s="639"/>
      <c r="C801" s="84"/>
      <c r="D801" s="534"/>
      <c r="E801" s="640"/>
      <c r="F801" s="84"/>
      <c r="G801" s="84"/>
      <c r="H801" s="84"/>
      <c r="I801" s="535"/>
      <c r="J801" s="535"/>
      <c r="K801" s="535"/>
      <c r="L801" s="535"/>
      <c r="M801" s="391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</row>
    <row r="802">
      <c r="A802" s="53"/>
      <c r="B802" s="641"/>
      <c r="C802" s="53"/>
      <c r="D802" s="546"/>
      <c r="E802" s="642"/>
      <c r="F802" s="53"/>
      <c r="G802" s="53"/>
      <c r="H802" s="53"/>
      <c r="I802" s="547"/>
      <c r="J802" s="547"/>
      <c r="K802" s="547"/>
      <c r="L802" s="547"/>
      <c r="M802" s="64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</row>
    <row r="803">
      <c r="A803" s="84"/>
      <c r="B803" s="639"/>
      <c r="C803" s="84"/>
      <c r="D803" s="534"/>
      <c r="E803" s="640"/>
      <c r="F803" s="84"/>
      <c r="G803" s="84"/>
      <c r="H803" s="84"/>
      <c r="I803" s="535"/>
      <c r="J803" s="535"/>
      <c r="K803" s="535"/>
      <c r="L803" s="535"/>
      <c r="M803" s="391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</row>
    <row r="804">
      <c r="A804" s="53"/>
      <c r="B804" s="641"/>
      <c r="C804" s="53"/>
      <c r="D804" s="546"/>
      <c r="E804" s="642"/>
      <c r="F804" s="53"/>
      <c r="G804" s="53"/>
      <c r="H804" s="53"/>
      <c r="I804" s="547"/>
      <c r="J804" s="547"/>
      <c r="K804" s="547"/>
      <c r="L804" s="547"/>
      <c r="M804" s="64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</row>
    <row r="805">
      <c r="A805" s="84"/>
      <c r="B805" s="639"/>
      <c r="C805" s="84"/>
      <c r="D805" s="534"/>
      <c r="E805" s="640"/>
      <c r="F805" s="84"/>
      <c r="G805" s="84"/>
      <c r="H805" s="84"/>
      <c r="I805" s="535"/>
      <c r="J805" s="535"/>
      <c r="K805" s="535"/>
      <c r="L805" s="535"/>
      <c r="M805" s="391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</row>
    <row r="806">
      <c r="A806" s="53"/>
      <c r="B806" s="641"/>
      <c r="C806" s="53"/>
      <c r="D806" s="546"/>
      <c r="E806" s="642"/>
      <c r="F806" s="53"/>
      <c r="G806" s="53"/>
      <c r="H806" s="53"/>
      <c r="I806" s="547"/>
      <c r="J806" s="547"/>
      <c r="K806" s="547"/>
      <c r="L806" s="547"/>
      <c r="M806" s="64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</row>
    <row r="807">
      <c r="A807" s="84"/>
      <c r="B807" s="639"/>
      <c r="C807" s="84"/>
      <c r="D807" s="534"/>
      <c r="E807" s="640"/>
      <c r="F807" s="84"/>
      <c r="G807" s="84"/>
      <c r="H807" s="84"/>
      <c r="I807" s="535"/>
      <c r="J807" s="535"/>
      <c r="K807" s="535"/>
      <c r="L807" s="535"/>
      <c r="M807" s="391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</row>
    <row r="808">
      <c r="A808" s="53"/>
      <c r="B808" s="641"/>
      <c r="C808" s="53"/>
      <c r="D808" s="546"/>
      <c r="E808" s="642"/>
      <c r="F808" s="53"/>
      <c r="G808" s="53"/>
      <c r="H808" s="53"/>
      <c r="I808" s="547"/>
      <c r="J808" s="547"/>
      <c r="K808" s="547"/>
      <c r="L808" s="547"/>
      <c r="M808" s="64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</row>
    <row r="809">
      <c r="A809" s="84"/>
      <c r="B809" s="639"/>
      <c r="C809" s="84"/>
      <c r="D809" s="534"/>
      <c r="E809" s="640"/>
      <c r="F809" s="84"/>
      <c r="G809" s="84"/>
      <c r="H809" s="84"/>
      <c r="I809" s="535"/>
      <c r="J809" s="535"/>
      <c r="K809" s="535"/>
      <c r="L809" s="535"/>
      <c r="M809" s="391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</row>
    <row r="810">
      <c r="A810" s="53"/>
      <c r="B810" s="641"/>
      <c r="C810" s="53"/>
      <c r="D810" s="546"/>
      <c r="E810" s="642"/>
      <c r="F810" s="53"/>
      <c r="G810" s="53"/>
      <c r="H810" s="53"/>
      <c r="I810" s="547"/>
      <c r="J810" s="547"/>
      <c r="K810" s="547"/>
      <c r="L810" s="547"/>
      <c r="M810" s="64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</row>
    <row r="811">
      <c r="A811" s="84"/>
      <c r="B811" s="639"/>
      <c r="C811" s="84"/>
      <c r="D811" s="534"/>
      <c r="E811" s="640"/>
      <c r="F811" s="84"/>
      <c r="G811" s="84"/>
      <c r="H811" s="84"/>
      <c r="I811" s="535"/>
      <c r="J811" s="535"/>
      <c r="K811" s="535"/>
      <c r="L811" s="535"/>
      <c r="M811" s="391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</row>
    <row r="812">
      <c r="A812" s="53"/>
      <c r="B812" s="641"/>
      <c r="C812" s="53"/>
      <c r="D812" s="546"/>
      <c r="E812" s="642"/>
      <c r="F812" s="53"/>
      <c r="G812" s="53"/>
      <c r="H812" s="53"/>
      <c r="I812" s="547"/>
      <c r="J812" s="547"/>
      <c r="K812" s="547"/>
      <c r="L812" s="547"/>
      <c r="M812" s="64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</row>
    <row r="813">
      <c r="A813" s="84"/>
      <c r="B813" s="639"/>
      <c r="C813" s="84"/>
      <c r="D813" s="534"/>
      <c r="E813" s="640"/>
      <c r="F813" s="84"/>
      <c r="G813" s="84"/>
      <c r="H813" s="84"/>
      <c r="I813" s="535"/>
      <c r="J813" s="535"/>
      <c r="K813" s="535"/>
      <c r="L813" s="535"/>
      <c r="M813" s="391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</row>
    <row r="814">
      <c r="A814" s="53"/>
      <c r="B814" s="641"/>
      <c r="C814" s="53"/>
      <c r="D814" s="546"/>
      <c r="E814" s="642"/>
      <c r="F814" s="53"/>
      <c r="G814" s="53"/>
      <c r="H814" s="53"/>
      <c r="I814" s="547"/>
      <c r="J814" s="547"/>
      <c r="K814" s="547"/>
      <c r="L814" s="547"/>
      <c r="M814" s="64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</row>
    <row r="815">
      <c r="A815" s="84"/>
      <c r="B815" s="639"/>
      <c r="C815" s="84"/>
      <c r="D815" s="534"/>
      <c r="E815" s="640"/>
      <c r="F815" s="84"/>
      <c r="G815" s="84"/>
      <c r="H815" s="84"/>
      <c r="I815" s="535"/>
      <c r="J815" s="535"/>
      <c r="K815" s="535"/>
      <c r="L815" s="535"/>
      <c r="M815" s="391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</row>
    <row r="816">
      <c r="A816" s="53"/>
      <c r="B816" s="641"/>
      <c r="C816" s="53"/>
      <c r="D816" s="546"/>
      <c r="E816" s="642"/>
      <c r="F816" s="53"/>
      <c r="G816" s="53"/>
      <c r="H816" s="53"/>
      <c r="I816" s="547"/>
      <c r="J816" s="547"/>
      <c r="K816" s="547"/>
      <c r="L816" s="547"/>
      <c r="M816" s="64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</row>
    <row r="817">
      <c r="A817" s="84"/>
      <c r="B817" s="639"/>
      <c r="C817" s="84"/>
      <c r="D817" s="534"/>
      <c r="E817" s="640"/>
      <c r="F817" s="84"/>
      <c r="G817" s="84"/>
      <c r="H817" s="84"/>
      <c r="I817" s="535"/>
      <c r="J817" s="535"/>
      <c r="K817" s="535"/>
      <c r="L817" s="535"/>
      <c r="M817" s="391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</row>
    <row r="818">
      <c r="A818" s="53"/>
      <c r="B818" s="641"/>
      <c r="C818" s="53"/>
      <c r="D818" s="546"/>
      <c r="E818" s="642"/>
      <c r="F818" s="53"/>
      <c r="G818" s="53"/>
      <c r="H818" s="53"/>
      <c r="I818" s="547"/>
      <c r="J818" s="547"/>
      <c r="K818" s="547"/>
      <c r="L818" s="547"/>
      <c r="M818" s="64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</row>
    <row r="819">
      <c r="A819" s="84"/>
      <c r="B819" s="639"/>
      <c r="C819" s="84"/>
      <c r="D819" s="534"/>
      <c r="E819" s="640"/>
      <c r="F819" s="84"/>
      <c r="G819" s="84"/>
      <c r="H819" s="84"/>
      <c r="I819" s="535"/>
      <c r="J819" s="535"/>
      <c r="K819" s="535"/>
      <c r="L819" s="535"/>
      <c r="M819" s="391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</row>
    <row r="820">
      <c r="A820" s="53"/>
      <c r="B820" s="641"/>
      <c r="C820" s="53"/>
      <c r="D820" s="546"/>
      <c r="E820" s="642"/>
      <c r="F820" s="53"/>
      <c r="G820" s="53"/>
      <c r="H820" s="53"/>
      <c r="I820" s="547"/>
      <c r="J820" s="547"/>
      <c r="K820" s="547"/>
      <c r="L820" s="547"/>
      <c r="M820" s="64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</row>
    <row r="821">
      <c r="A821" s="84"/>
      <c r="B821" s="639"/>
      <c r="C821" s="84"/>
      <c r="D821" s="534"/>
      <c r="E821" s="640"/>
      <c r="F821" s="84"/>
      <c r="G821" s="84"/>
      <c r="H821" s="84"/>
      <c r="I821" s="535"/>
      <c r="J821" s="535"/>
      <c r="K821" s="535"/>
      <c r="L821" s="535"/>
      <c r="M821" s="391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</row>
    <row r="822">
      <c r="A822" s="53"/>
      <c r="B822" s="641"/>
      <c r="C822" s="53"/>
      <c r="D822" s="546"/>
      <c r="E822" s="642"/>
      <c r="F822" s="53"/>
      <c r="G822" s="53"/>
      <c r="H822" s="53"/>
      <c r="I822" s="547"/>
      <c r="J822" s="547"/>
      <c r="K822" s="547"/>
      <c r="L822" s="547"/>
      <c r="M822" s="64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</row>
    <row r="823">
      <c r="A823" s="84"/>
      <c r="B823" s="639"/>
      <c r="C823" s="84"/>
      <c r="D823" s="534"/>
      <c r="E823" s="640"/>
      <c r="F823" s="84"/>
      <c r="G823" s="84"/>
      <c r="H823" s="84"/>
      <c r="I823" s="535"/>
      <c r="J823" s="535"/>
      <c r="K823" s="535"/>
      <c r="L823" s="535"/>
      <c r="M823" s="391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</row>
    <row r="824">
      <c r="A824" s="53"/>
      <c r="B824" s="641"/>
      <c r="C824" s="53"/>
      <c r="D824" s="546"/>
      <c r="E824" s="642"/>
      <c r="F824" s="53"/>
      <c r="G824" s="53"/>
      <c r="H824" s="53"/>
      <c r="I824" s="547"/>
      <c r="J824" s="547"/>
      <c r="K824" s="547"/>
      <c r="L824" s="547"/>
      <c r="M824" s="64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</row>
    <row r="825">
      <c r="A825" s="84"/>
      <c r="B825" s="639"/>
      <c r="C825" s="84"/>
      <c r="D825" s="534"/>
      <c r="E825" s="640"/>
      <c r="F825" s="84"/>
      <c r="G825" s="84"/>
      <c r="H825" s="84"/>
      <c r="I825" s="535"/>
      <c r="J825" s="535"/>
      <c r="K825" s="535"/>
      <c r="L825" s="535"/>
      <c r="M825" s="391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</row>
    <row r="826">
      <c r="A826" s="53"/>
      <c r="B826" s="641"/>
      <c r="C826" s="53"/>
      <c r="D826" s="546"/>
      <c r="E826" s="642"/>
      <c r="F826" s="53"/>
      <c r="G826" s="53"/>
      <c r="H826" s="53"/>
      <c r="I826" s="547"/>
      <c r="J826" s="547"/>
      <c r="K826" s="547"/>
      <c r="L826" s="547"/>
      <c r="M826" s="64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</row>
    <row r="827">
      <c r="A827" s="84"/>
      <c r="B827" s="639"/>
      <c r="C827" s="84"/>
      <c r="D827" s="534"/>
      <c r="E827" s="640"/>
      <c r="F827" s="84"/>
      <c r="G827" s="84"/>
      <c r="H827" s="84"/>
      <c r="I827" s="535"/>
      <c r="J827" s="535"/>
      <c r="K827" s="535"/>
      <c r="L827" s="535"/>
      <c r="M827" s="391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</row>
    <row r="828">
      <c r="A828" s="53"/>
      <c r="B828" s="641"/>
      <c r="C828" s="53"/>
      <c r="D828" s="546"/>
      <c r="E828" s="642"/>
      <c r="F828" s="53"/>
      <c r="G828" s="53"/>
      <c r="H828" s="53"/>
      <c r="I828" s="547"/>
      <c r="J828" s="547"/>
      <c r="K828" s="547"/>
      <c r="L828" s="547"/>
      <c r="M828" s="64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</row>
    <row r="829">
      <c r="A829" s="84"/>
      <c r="B829" s="639"/>
      <c r="C829" s="84"/>
      <c r="D829" s="534"/>
      <c r="E829" s="640"/>
      <c r="F829" s="84"/>
      <c r="G829" s="84"/>
      <c r="H829" s="84"/>
      <c r="I829" s="535"/>
      <c r="J829" s="535"/>
      <c r="K829" s="535"/>
      <c r="L829" s="535"/>
      <c r="M829" s="391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</row>
    <row r="830">
      <c r="A830" s="53"/>
      <c r="B830" s="641"/>
      <c r="C830" s="53"/>
      <c r="D830" s="546"/>
      <c r="E830" s="642"/>
      <c r="F830" s="53"/>
      <c r="G830" s="53"/>
      <c r="H830" s="53"/>
      <c r="I830" s="547"/>
      <c r="J830" s="547"/>
      <c r="K830" s="547"/>
      <c r="L830" s="547"/>
      <c r="M830" s="64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</row>
    <row r="831">
      <c r="A831" s="84"/>
      <c r="B831" s="639"/>
      <c r="C831" s="84"/>
      <c r="D831" s="534"/>
      <c r="E831" s="640"/>
      <c r="F831" s="84"/>
      <c r="G831" s="84"/>
      <c r="H831" s="84"/>
      <c r="I831" s="535"/>
      <c r="J831" s="535"/>
      <c r="K831" s="535"/>
      <c r="L831" s="535"/>
      <c r="M831" s="391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</row>
    <row r="832">
      <c r="A832" s="53"/>
      <c r="B832" s="641"/>
      <c r="C832" s="53"/>
      <c r="D832" s="546"/>
      <c r="E832" s="642"/>
      <c r="F832" s="53"/>
      <c r="G832" s="53"/>
      <c r="H832" s="53"/>
      <c r="I832" s="547"/>
      <c r="J832" s="547"/>
      <c r="K832" s="547"/>
      <c r="L832" s="547"/>
      <c r="M832" s="64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</row>
    <row r="833">
      <c r="A833" s="84"/>
      <c r="B833" s="639"/>
      <c r="C833" s="84"/>
      <c r="D833" s="534"/>
      <c r="E833" s="640"/>
      <c r="F833" s="84"/>
      <c r="G833" s="84"/>
      <c r="H833" s="84"/>
      <c r="I833" s="535"/>
      <c r="J833" s="535"/>
      <c r="K833" s="535"/>
      <c r="L833" s="535"/>
      <c r="M833" s="391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</row>
    <row r="834">
      <c r="A834" s="53"/>
      <c r="B834" s="641"/>
      <c r="C834" s="53"/>
      <c r="D834" s="546"/>
      <c r="E834" s="642"/>
      <c r="F834" s="53"/>
      <c r="G834" s="53"/>
      <c r="H834" s="53"/>
      <c r="I834" s="547"/>
      <c r="J834" s="547"/>
      <c r="K834" s="547"/>
      <c r="L834" s="547"/>
      <c r="M834" s="64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</row>
    <row r="835">
      <c r="A835" s="84"/>
      <c r="B835" s="639"/>
      <c r="C835" s="84"/>
      <c r="D835" s="534"/>
      <c r="E835" s="640"/>
      <c r="F835" s="84"/>
      <c r="G835" s="84"/>
      <c r="H835" s="84"/>
      <c r="I835" s="535"/>
      <c r="J835" s="535"/>
      <c r="K835" s="535"/>
      <c r="L835" s="535"/>
      <c r="M835" s="391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</row>
    <row r="836">
      <c r="A836" s="53"/>
      <c r="B836" s="641"/>
      <c r="C836" s="53"/>
      <c r="D836" s="546"/>
      <c r="E836" s="642"/>
      <c r="F836" s="53"/>
      <c r="G836" s="53"/>
      <c r="H836" s="53"/>
      <c r="I836" s="547"/>
      <c r="J836" s="547"/>
      <c r="K836" s="547"/>
      <c r="L836" s="547"/>
      <c r="M836" s="64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</row>
    <row r="837">
      <c r="A837" s="84"/>
      <c r="B837" s="639"/>
      <c r="C837" s="84"/>
      <c r="D837" s="534"/>
      <c r="E837" s="640"/>
      <c r="F837" s="84"/>
      <c r="G837" s="84"/>
      <c r="H837" s="84"/>
      <c r="I837" s="535"/>
      <c r="J837" s="535"/>
      <c r="K837" s="535"/>
      <c r="L837" s="535"/>
      <c r="M837" s="391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</row>
    <row r="838">
      <c r="A838" s="53"/>
      <c r="B838" s="641"/>
      <c r="C838" s="53"/>
      <c r="D838" s="546"/>
      <c r="E838" s="642"/>
      <c r="F838" s="53"/>
      <c r="G838" s="53"/>
      <c r="H838" s="53"/>
      <c r="I838" s="547"/>
      <c r="J838" s="547"/>
      <c r="K838" s="547"/>
      <c r="L838" s="547"/>
      <c r="M838" s="64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</row>
    <row r="839">
      <c r="A839" s="84"/>
      <c r="B839" s="639"/>
      <c r="C839" s="84"/>
      <c r="D839" s="534"/>
      <c r="E839" s="640"/>
      <c r="F839" s="84"/>
      <c r="G839" s="84"/>
      <c r="H839" s="84"/>
      <c r="I839" s="535"/>
      <c r="J839" s="535"/>
      <c r="K839" s="535"/>
      <c r="L839" s="535"/>
      <c r="M839" s="391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</row>
    <row r="840">
      <c r="A840" s="53"/>
      <c r="B840" s="641"/>
      <c r="C840" s="53"/>
      <c r="D840" s="546"/>
      <c r="E840" s="642"/>
      <c r="F840" s="53"/>
      <c r="G840" s="53"/>
      <c r="H840" s="53"/>
      <c r="I840" s="547"/>
      <c r="J840" s="547"/>
      <c r="K840" s="547"/>
      <c r="L840" s="547"/>
      <c r="M840" s="64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</row>
    <row r="841">
      <c r="A841" s="84"/>
      <c r="B841" s="639"/>
      <c r="C841" s="84"/>
      <c r="D841" s="534"/>
      <c r="E841" s="640"/>
      <c r="F841" s="84"/>
      <c r="G841" s="84"/>
      <c r="H841" s="84"/>
      <c r="I841" s="535"/>
      <c r="J841" s="535"/>
      <c r="K841" s="535"/>
      <c r="L841" s="535"/>
      <c r="M841" s="391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</row>
    <row r="842">
      <c r="A842" s="53"/>
      <c r="B842" s="641"/>
      <c r="C842" s="53"/>
      <c r="D842" s="546"/>
      <c r="E842" s="642"/>
      <c r="F842" s="53"/>
      <c r="G842" s="53"/>
      <c r="H842" s="53"/>
      <c r="I842" s="547"/>
      <c r="J842" s="547"/>
      <c r="K842" s="547"/>
      <c r="L842" s="547"/>
      <c r="M842" s="64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</row>
    <row r="843">
      <c r="A843" s="84"/>
      <c r="B843" s="639"/>
      <c r="C843" s="84"/>
      <c r="D843" s="534"/>
      <c r="E843" s="640"/>
      <c r="F843" s="84"/>
      <c r="G843" s="84"/>
      <c r="H843" s="84"/>
      <c r="I843" s="535"/>
      <c r="J843" s="535"/>
      <c r="K843" s="535"/>
      <c r="L843" s="535"/>
      <c r="M843" s="391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</row>
    <row r="844">
      <c r="A844" s="53"/>
      <c r="B844" s="641"/>
      <c r="C844" s="53"/>
      <c r="D844" s="546"/>
      <c r="E844" s="642"/>
      <c r="F844" s="53"/>
      <c r="G844" s="53"/>
      <c r="H844" s="53"/>
      <c r="I844" s="547"/>
      <c r="J844" s="547"/>
      <c r="K844" s="547"/>
      <c r="L844" s="547"/>
      <c r="M844" s="64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</row>
    <row r="845">
      <c r="A845" s="84"/>
      <c r="B845" s="639"/>
      <c r="C845" s="84"/>
      <c r="D845" s="534"/>
      <c r="E845" s="640"/>
      <c r="F845" s="84"/>
      <c r="G845" s="84"/>
      <c r="H845" s="84"/>
      <c r="I845" s="535"/>
      <c r="J845" s="535"/>
      <c r="K845" s="535"/>
      <c r="L845" s="535"/>
      <c r="M845" s="391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</row>
    <row r="846">
      <c r="A846" s="53"/>
      <c r="B846" s="641"/>
      <c r="C846" s="53"/>
      <c r="D846" s="546"/>
      <c r="E846" s="642"/>
      <c r="F846" s="53"/>
      <c r="G846" s="53"/>
      <c r="H846" s="53"/>
      <c r="I846" s="547"/>
      <c r="J846" s="547"/>
      <c r="K846" s="547"/>
      <c r="L846" s="547"/>
      <c r="M846" s="64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</row>
    <row r="847">
      <c r="A847" s="84"/>
      <c r="B847" s="639"/>
      <c r="C847" s="84"/>
      <c r="D847" s="534"/>
      <c r="E847" s="640"/>
      <c r="F847" s="84"/>
      <c r="G847" s="84"/>
      <c r="H847" s="84"/>
      <c r="I847" s="535"/>
      <c r="J847" s="535"/>
      <c r="K847" s="535"/>
      <c r="L847" s="535"/>
      <c r="M847" s="391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</row>
    <row r="848">
      <c r="A848" s="53"/>
      <c r="B848" s="641"/>
      <c r="C848" s="53"/>
      <c r="D848" s="546"/>
      <c r="E848" s="642"/>
      <c r="F848" s="53"/>
      <c r="G848" s="53"/>
      <c r="H848" s="53"/>
      <c r="I848" s="547"/>
      <c r="J848" s="547"/>
      <c r="K848" s="547"/>
      <c r="L848" s="547"/>
      <c r="M848" s="64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</row>
    <row r="849">
      <c r="A849" s="84"/>
      <c r="B849" s="639"/>
      <c r="C849" s="84"/>
      <c r="D849" s="534"/>
      <c r="E849" s="640"/>
      <c r="F849" s="84"/>
      <c r="G849" s="84"/>
      <c r="H849" s="84"/>
      <c r="I849" s="535"/>
      <c r="J849" s="535"/>
      <c r="K849" s="535"/>
      <c r="L849" s="535"/>
      <c r="M849" s="391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</row>
    <row r="850">
      <c r="A850" s="53"/>
      <c r="B850" s="641"/>
      <c r="C850" s="53"/>
      <c r="D850" s="546"/>
      <c r="E850" s="642"/>
      <c r="F850" s="53"/>
      <c r="G850" s="53"/>
      <c r="H850" s="53"/>
      <c r="I850" s="547"/>
      <c r="J850" s="547"/>
      <c r="K850" s="547"/>
      <c r="L850" s="547"/>
      <c r="M850" s="64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</row>
    <row r="851">
      <c r="A851" s="84"/>
      <c r="B851" s="639"/>
      <c r="C851" s="84"/>
      <c r="D851" s="534"/>
      <c r="E851" s="640"/>
      <c r="F851" s="84"/>
      <c r="G851" s="84"/>
      <c r="H851" s="84"/>
      <c r="I851" s="535"/>
      <c r="J851" s="535"/>
      <c r="K851" s="535"/>
      <c r="L851" s="535"/>
      <c r="M851" s="391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</row>
    <row r="852">
      <c r="A852" s="53"/>
      <c r="B852" s="641"/>
      <c r="C852" s="53"/>
      <c r="D852" s="546"/>
      <c r="E852" s="642"/>
      <c r="F852" s="53"/>
      <c r="G852" s="53"/>
      <c r="H852" s="53"/>
      <c r="I852" s="547"/>
      <c r="J852" s="547"/>
      <c r="K852" s="547"/>
      <c r="L852" s="547"/>
      <c r="M852" s="64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</row>
    <row r="853">
      <c r="A853" s="84"/>
      <c r="B853" s="639"/>
      <c r="C853" s="84"/>
      <c r="D853" s="534"/>
      <c r="E853" s="640"/>
      <c r="F853" s="84"/>
      <c r="G853" s="84"/>
      <c r="H853" s="84"/>
      <c r="I853" s="535"/>
      <c r="J853" s="535"/>
      <c r="K853" s="535"/>
      <c r="L853" s="535"/>
      <c r="M853" s="391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</row>
    <row r="854">
      <c r="A854" s="53"/>
      <c r="B854" s="641"/>
      <c r="C854" s="53"/>
      <c r="D854" s="546"/>
      <c r="E854" s="642"/>
      <c r="F854" s="53"/>
      <c r="G854" s="53"/>
      <c r="H854" s="53"/>
      <c r="I854" s="547"/>
      <c r="J854" s="547"/>
      <c r="K854" s="547"/>
      <c r="L854" s="547"/>
      <c r="M854" s="64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</row>
    <row r="855">
      <c r="A855" s="84"/>
      <c r="B855" s="639"/>
      <c r="C855" s="84"/>
      <c r="D855" s="534"/>
      <c r="E855" s="640"/>
      <c r="F855" s="84"/>
      <c r="G855" s="84"/>
      <c r="H855" s="84"/>
      <c r="I855" s="535"/>
      <c r="J855" s="535"/>
      <c r="K855" s="535"/>
      <c r="L855" s="535"/>
      <c r="M855" s="391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</row>
    <row r="856">
      <c r="A856" s="53"/>
      <c r="B856" s="641"/>
      <c r="C856" s="53"/>
      <c r="D856" s="546"/>
      <c r="E856" s="642"/>
      <c r="F856" s="53"/>
      <c r="G856" s="53"/>
      <c r="H856" s="53"/>
      <c r="I856" s="547"/>
      <c r="J856" s="547"/>
      <c r="K856" s="547"/>
      <c r="L856" s="547"/>
      <c r="M856" s="64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</row>
    <row r="857">
      <c r="A857" s="84"/>
      <c r="B857" s="639"/>
      <c r="C857" s="84"/>
      <c r="D857" s="534"/>
      <c r="E857" s="640"/>
      <c r="F857" s="84"/>
      <c r="G857" s="84"/>
      <c r="H857" s="84"/>
      <c r="I857" s="535"/>
      <c r="J857" s="535"/>
      <c r="K857" s="535"/>
      <c r="L857" s="535"/>
      <c r="M857" s="391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</row>
    <row r="858">
      <c r="A858" s="53"/>
      <c r="B858" s="641"/>
      <c r="C858" s="53"/>
      <c r="D858" s="546"/>
      <c r="E858" s="642"/>
      <c r="F858" s="53"/>
      <c r="G858" s="53"/>
      <c r="H858" s="53"/>
      <c r="I858" s="547"/>
      <c r="J858" s="547"/>
      <c r="K858" s="547"/>
      <c r="L858" s="547"/>
      <c r="M858" s="64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</row>
    <row r="859">
      <c r="A859" s="84"/>
      <c r="B859" s="639"/>
      <c r="C859" s="84"/>
      <c r="D859" s="534"/>
      <c r="E859" s="640"/>
      <c r="F859" s="84"/>
      <c r="G859" s="84"/>
      <c r="H859" s="84"/>
      <c r="I859" s="535"/>
      <c r="J859" s="535"/>
      <c r="K859" s="535"/>
      <c r="L859" s="535"/>
      <c r="M859" s="391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</row>
    <row r="860">
      <c r="A860" s="53"/>
      <c r="B860" s="641"/>
      <c r="C860" s="53"/>
      <c r="D860" s="546"/>
      <c r="E860" s="642"/>
      <c r="F860" s="53"/>
      <c r="G860" s="53"/>
      <c r="H860" s="53"/>
      <c r="I860" s="547"/>
      <c r="J860" s="547"/>
      <c r="K860" s="547"/>
      <c r="L860" s="547"/>
      <c r="M860" s="64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</row>
    <row r="861">
      <c r="A861" s="84"/>
      <c r="B861" s="639"/>
      <c r="C861" s="84"/>
      <c r="D861" s="534"/>
      <c r="E861" s="640"/>
      <c r="F861" s="84"/>
      <c r="G861" s="84"/>
      <c r="H861" s="84"/>
      <c r="I861" s="535"/>
      <c r="J861" s="535"/>
      <c r="K861" s="535"/>
      <c r="L861" s="535"/>
      <c r="M861" s="391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</row>
    <row r="862">
      <c r="A862" s="53"/>
      <c r="B862" s="641"/>
      <c r="C862" s="53"/>
      <c r="D862" s="546"/>
      <c r="E862" s="642"/>
      <c r="F862" s="53"/>
      <c r="G862" s="53"/>
      <c r="H862" s="53"/>
      <c r="I862" s="547"/>
      <c r="J862" s="547"/>
      <c r="K862" s="547"/>
      <c r="L862" s="547"/>
      <c r="M862" s="64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</row>
    <row r="863">
      <c r="A863" s="84"/>
      <c r="B863" s="639"/>
      <c r="C863" s="84"/>
      <c r="D863" s="534"/>
      <c r="E863" s="640"/>
      <c r="F863" s="84"/>
      <c r="G863" s="84"/>
      <c r="H863" s="84"/>
      <c r="I863" s="535"/>
      <c r="J863" s="535"/>
      <c r="K863" s="535"/>
      <c r="L863" s="535"/>
      <c r="M863" s="391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</row>
    <row r="864">
      <c r="A864" s="53"/>
      <c r="B864" s="641"/>
      <c r="C864" s="53"/>
      <c r="D864" s="546"/>
      <c r="E864" s="642"/>
      <c r="F864" s="53"/>
      <c r="G864" s="53"/>
      <c r="H864" s="53"/>
      <c r="I864" s="547"/>
      <c r="J864" s="547"/>
      <c r="K864" s="547"/>
      <c r="L864" s="547"/>
      <c r="M864" s="64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</row>
    <row r="865">
      <c r="A865" s="84"/>
      <c r="B865" s="639"/>
      <c r="C865" s="84"/>
      <c r="D865" s="534"/>
      <c r="E865" s="640"/>
      <c r="F865" s="84"/>
      <c r="G865" s="84"/>
      <c r="H865" s="84"/>
      <c r="I865" s="535"/>
      <c r="J865" s="535"/>
      <c r="K865" s="535"/>
      <c r="L865" s="535"/>
      <c r="M865" s="391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</row>
    <row r="866">
      <c r="A866" s="53"/>
      <c r="B866" s="641"/>
      <c r="C866" s="53"/>
      <c r="D866" s="546"/>
      <c r="E866" s="642"/>
      <c r="F866" s="53"/>
      <c r="G866" s="53"/>
      <c r="H866" s="53"/>
      <c r="I866" s="547"/>
      <c r="J866" s="547"/>
      <c r="K866" s="547"/>
      <c r="L866" s="547"/>
      <c r="M866" s="64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</row>
    <row r="867">
      <c r="A867" s="84"/>
      <c r="B867" s="639"/>
      <c r="C867" s="84"/>
      <c r="D867" s="534"/>
      <c r="E867" s="640"/>
      <c r="F867" s="84"/>
      <c r="G867" s="84"/>
      <c r="H867" s="84"/>
      <c r="I867" s="535"/>
      <c r="J867" s="535"/>
      <c r="K867" s="535"/>
      <c r="L867" s="535"/>
      <c r="M867" s="391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</row>
    <row r="868">
      <c r="A868" s="53"/>
      <c r="B868" s="641"/>
      <c r="C868" s="53"/>
      <c r="D868" s="546"/>
      <c r="E868" s="642"/>
      <c r="F868" s="53"/>
      <c r="G868" s="53"/>
      <c r="H868" s="53"/>
      <c r="I868" s="547"/>
      <c r="J868" s="547"/>
      <c r="K868" s="547"/>
      <c r="L868" s="547"/>
      <c r="M868" s="64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</row>
    <row r="869">
      <c r="A869" s="84"/>
      <c r="B869" s="639"/>
      <c r="C869" s="84"/>
      <c r="D869" s="534"/>
      <c r="E869" s="640"/>
      <c r="F869" s="84"/>
      <c r="G869" s="84"/>
      <c r="H869" s="84"/>
      <c r="I869" s="535"/>
      <c r="J869" s="535"/>
      <c r="K869" s="535"/>
      <c r="L869" s="535"/>
      <c r="M869" s="391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</row>
    <row r="870">
      <c r="A870" s="53"/>
      <c r="B870" s="641"/>
      <c r="C870" s="53"/>
      <c r="D870" s="546"/>
      <c r="E870" s="642"/>
      <c r="F870" s="53"/>
      <c r="G870" s="53"/>
      <c r="H870" s="53"/>
      <c r="I870" s="547"/>
      <c r="J870" s="547"/>
      <c r="K870" s="547"/>
      <c r="L870" s="547"/>
      <c r="M870" s="64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</row>
    <row r="871">
      <c r="A871" s="84"/>
      <c r="B871" s="639"/>
      <c r="C871" s="84"/>
      <c r="D871" s="534"/>
      <c r="E871" s="640"/>
      <c r="F871" s="84"/>
      <c r="G871" s="84"/>
      <c r="H871" s="84"/>
      <c r="I871" s="535"/>
      <c r="J871" s="535"/>
      <c r="K871" s="535"/>
      <c r="L871" s="535"/>
      <c r="M871" s="391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</row>
    <row r="872">
      <c r="A872" s="53"/>
      <c r="B872" s="641"/>
      <c r="C872" s="53"/>
      <c r="D872" s="546"/>
      <c r="E872" s="642"/>
      <c r="F872" s="53"/>
      <c r="G872" s="53"/>
      <c r="H872" s="53"/>
      <c r="I872" s="547"/>
      <c r="J872" s="547"/>
      <c r="K872" s="547"/>
      <c r="L872" s="547"/>
      <c r="M872" s="64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</row>
    <row r="873">
      <c r="A873" s="84"/>
      <c r="B873" s="639"/>
      <c r="C873" s="84"/>
      <c r="D873" s="534"/>
      <c r="E873" s="640"/>
      <c r="F873" s="84"/>
      <c r="G873" s="84"/>
      <c r="H873" s="84"/>
      <c r="I873" s="535"/>
      <c r="J873" s="535"/>
      <c r="K873" s="535"/>
      <c r="L873" s="535"/>
      <c r="M873" s="391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</row>
    <row r="874">
      <c r="A874" s="53"/>
      <c r="B874" s="641"/>
      <c r="C874" s="53"/>
      <c r="D874" s="546"/>
      <c r="E874" s="642"/>
      <c r="F874" s="53"/>
      <c r="G874" s="53"/>
      <c r="H874" s="53"/>
      <c r="I874" s="547"/>
      <c r="J874" s="547"/>
      <c r="K874" s="547"/>
      <c r="L874" s="547"/>
      <c r="M874" s="64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</row>
    <row r="875">
      <c r="A875" s="84"/>
      <c r="B875" s="639"/>
      <c r="C875" s="84"/>
      <c r="D875" s="534"/>
      <c r="E875" s="640"/>
      <c r="F875" s="84"/>
      <c r="G875" s="84"/>
      <c r="H875" s="84"/>
      <c r="I875" s="535"/>
      <c r="J875" s="535"/>
      <c r="K875" s="535"/>
      <c r="L875" s="535"/>
      <c r="M875" s="391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</row>
    <row r="876">
      <c r="A876" s="53"/>
      <c r="B876" s="641"/>
      <c r="C876" s="53"/>
      <c r="D876" s="546"/>
      <c r="E876" s="642"/>
      <c r="F876" s="53"/>
      <c r="G876" s="53"/>
      <c r="H876" s="53"/>
      <c r="I876" s="547"/>
      <c r="J876" s="547"/>
      <c r="K876" s="547"/>
      <c r="L876" s="547"/>
      <c r="M876" s="64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</row>
    <row r="877">
      <c r="A877" s="84"/>
      <c r="B877" s="639"/>
      <c r="C877" s="84"/>
      <c r="D877" s="534"/>
      <c r="E877" s="640"/>
      <c r="F877" s="84"/>
      <c r="G877" s="84"/>
      <c r="H877" s="84"/>
      <c r="I877" s="535"/>
      <c r="J877" s="535"/>
      <c r="K877" s="535"/>
      <c r="L877" s="535"/>
      <c r="M877" s="391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</row>
    <row r="878">
      <c r="A878" s="53"/>
      <c r="B878" s="641"/>
      <c r="C878" s="53"/>
      <c r="D878" s="546"/>
      <c r="E878" s="642"/>
      <c r="F878" s="53"/>
      <c r="G878" s="53"/>
      <c r="H878" s="53"/>
      <c r="I878" s="547"/>
      <c r="J878" s="547"/>
      <c r="K878" s="547"/>
      <c r="L878" s="547"/>
      <c r="M878" s="64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</row>
    <row r="879">
      <c r="A879" s="84"/>
      <c r="B879" s="639"/>
      <c r="C879" s="84"/>
      <c r="D879" s="534"/>
      <c r="E879" s="640"/>
      <c r="F879" s="84"/>
      <c r="G879" s="84"/>
      <c r="H879" s="84"/>
      <c r="I879" s="535"/>
      <c r="J879" s="535"/>
      <c r="K879" s="535"/>
      <c r="L879" s="535"/>
      <c r="M879" s="391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</row>
    <row r="880">
      <c r="A880" s="53"/>
      <c r="B880" s="641"/>
      <c r="C880" s="53"/>
      <c r="D880" s="546"/>
      <c r="E880" s="642"/>
      <c r="F880" s="53"/>
      <c r="G880" s="53"/>
      <c r="H880" s="53"/>
      <c r="I880" s="547"/>
      <c r="J880" s="547"/>
      <c r="K880" s="547"/>
      <c r="L880" s="547"/>
      <c r="M880" s="64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</row>
    <row r="881">
      <c r="A881" s="84"/>
      <c r="B881" s="639"/>
      <c r="C881" s="84"/>
      <c r="D881" s="534"/>
      <c r="E881" s="640"/>
      <c r="F881" s="84"/>
      <c r="G881" s="84"/>
      <c r="H881" s="84"/>
      <c r="I881" s="535"/>
      <c r="J881" s="535"/>
      <c r="K881" s="535"/>
      <c r="L881" s="535"/>
      <c r="M881" s="391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</row>
    <row r="882">
      <c r="A882" s="53"/>
      <c r="B882" s="641"/>
      <c r="C882" s="53"/>
      <c r="D882" s="546"/>
      <c r="E882" s="642"/>
      <c r="F882" s="53"/>
      <c r="G882" s="53"/>
      <c r="H882" s="53"/>
      <c r="I882" s="547"/>
      <c r="J882" s="547"/>
      <c r="K882" s="547"/>
      <c r="L882" s="547"/>
      <c r="M882" s="64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</row>
    <row r="883">
      <c r="A883" s="84"/>
      <c r="B883" s="639"/>
      <c r="C883" s="84"/>
      <c r="D883" s="534"/>
      <c r="E883" s="640"/>
      <c r="F883" s="84"/>
      <c r="G883" s="84"/>
      <c r="H883" s="84"/>
      <c r="I883" s="535"/>
      <c r="J883" s="535"/>
      <c r="K883" s="535"/>
      <c r="L883" s="535"/>
      <c r="M883" s="391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</row>
    <row r="884">
      <c r="A884" s="53"/>
      <c r="B884" s="641"/>
      <c r="C884" s="53"/>
      <c r="D884" s="546"/>
      <c r="E884" s="642"/>
      <c r="F884" s="53"/>
      <c r="G884" s="53"/>
      <c r="H884" s="53"/>
      <c r="I884" s="547"/>
      <c r="J884" s="547"/>
      <c r="K884" s="547"/>
      <c r="L884" s="547"/>
      <c r="M884" s="64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</row>
    <row r="885">
      <c r="A885" s="84"/>
      <c r="B885" s="639"/>
      <c r="C885" s="84"/>
      <c r="D885" s="534"/>
      <c r="E885" s="640"/>
      <c r="F885" s="84"/>
      <c r="G885" s="84"/>
      <c r="H885" s="84"/>
      <c r="I885" s="535"/>
      <c r="J885" s="535"/>
      <c r="K885" s="535"/>
      <c r="L885" s="535"/>
      <c r="M885" s="391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</row>
    <row r="886">
      <c r="A886" s="53"/>
      <c r="B886" s="641"/>
      <c r="C886" s="53"/>
      <c r="D886" s="546"/>
      <c r="E886" s="642"/>
      <c r="F886" s="53"/>
      <c r="G886" s="53"/>
      <c r="H886" s="53"/>
      <c r="I886" s="547"/>
      <c r="J886" s="547"/>
      <c r="K886" s="547"/>
      <c r="L886" s="547"/>
      <c r="M886" s="64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</row>
    <row r="887">
      <c r="A887" s="84"/>
      <c r="B887" s="639"/>
      <c r="C887" s="84"/>
      <c r="D887" s="534"/>
      <c r="E887" s="640"/>
      <c r="F887" s="84"/>
      <c r="G887" s="84"/>
      <c r="H887" s="84"/>
      <c r="I887" s="535"/>
      <c r="J887" s="535"/>
      <c r="K887" s="535"/>
      <c r="L887" s="535"/>
      <c r="M887" s="391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</row>
    <row r="888">
      <c r="A888" s="53"/>
      <c r="B888" s="641"/>
      <c r="C888" s="53"/>
      <c r="D888" s="546"/>
      <c r="E888" s="642"/>
      <c r="F888" s="53"/>
      <c r="G888" s="53"/>
      <c r="H888" s="53"/>
      <c r="I888" s="547"/>
      <c r="J888" s="547"/>
      <c r="K888" s="547"/>
      <c r="L888" s="547"/>
      <c r="M888" s="64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</row>
    <row r="889">
      <c r="A889" s="84"/>
      <c r="B889" s="639"/>
      <c r="C889" s="84"/>
      <c r="D889" s="534"/>
      <c r="E889" s="640"/>
      <c r="F889" s="84"/>
      <c r="G889" s="84"/>
      <c r="H889" s="84"/>
      <c r="I889" s="535"/>
      <c r="J889" s="535"/>
      <c r="K889" s="535"/>
      <c r="L889" s="535"/>
      <c r="M889" s="391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</row>
    <row r="890">
      <c r="A890" s="53"/>
      <c r="B890" s="641"/>
      <c r="C890" s="53"/>
      <c r="D890" s="546"/>
      <c r="E890" s="642"/>
      <c r="F890" s="53"/>
      <c r="G890" s="53"/>
      <c r="H890" s="53"/>
      <c r="I890" s="547"/>
      <c r="J890" s="547"/>
      <c r="K890" s="547"/>
      <c r="L890" s="547"/>
      <c r="M890" s="64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</row>
    <row r="891">
      <c r="A891" s="84"/>
      <c r="B891" s="639"/>
      <c r="C891" s="84"/>
      <c r="D891" s="534"/>
      <c r="E891" s="640"/>
      <c r="F891" s="84"/>
      <c r="G891" s="84"/>
      <c r="H891" s="84"/>
      <c r="I891" s="535"/>
      <c r="J891" s="535"/>
      <c r="K891" s="535"/>
      <c r="L891" s="535"/>
      <c r="M891" s="391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</row>
    <row r="892">
      <c r="A892" s="53"/>
      <c r="B892" s="641"/>
      <c r="C892" s="53"/>
      <c r="D892" s="546"/>
      <c r="E892" s="642"/>
      <c r="F892" s="53"/>
      <c r="G892" s="53"/>
      <c r="H892" s="53"/>
      <c r="I892" s="547"/>
      <c r="J892" s="547"/>
      <c r="K892" s="547"/>
      <c r="L892" s="547"/>
      <c r="M892" s="64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</row>
    <row r="893">
      <c r="A893" s="84"/>
      <c r="B893" s="639"/>
      <c r="C893" s="84"/>
      <c r="D893" s="534"/>
      <c r="E893" s="640"/>
      <c r="F893" s="84"/>
      <c r="G893" s="84"/>
      <c r="H893" s="84"/>
      <c r="I893" s="535"/>
      <c r="J893" s="535"/>
      <c r="K893" s="535"/>
      <c r="L893" s="535"/>
      <c r="M893" s="391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</row>
    <row r="894">
      <c r="A894" s="53"/>
      <c r="B894" s="641"/>
      <c r="C894" s="53"/>
      <c r="D894" s="546"/>
      <c r="E894" s="642"/>
      <c r="F894" s="53"/>
      <c r="G894" s="53"/>
      <c r="H894" s="53"/>
      <c r="I894" s="547"/>
      <c r="J894" s="547"/>
      <c r="K894" s="547"/>
      <c r="L894" s="547"/>
      <c r="M894" s="64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</row>
    <row r="895">
      <c r="A895" s="84"/>
      <c r="B895" s="639"/>
      <c r="C895" s="84"/>
      <c r="D895" s="534"/>
      <c r="E895" s="640"/>
      <c r="F895" s="84"/>
      <c r="G895" s="84"/>
      <c r="H895" s="84"/>
      <c r="I895" s="535"/>
      <c r="J895" s="535"/>
      <c r="K895" s="535"/>
      <c r="L895" s="535"/>
      <c r="M895" s="391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</row>
    <row r="896">
      <c r="A896" s="53"/>
      <c r="B896" s="641"/>
      <c r="C896" s="53"/>
      <c r="D896" s="546"/>
      <c r="E896" s="642"/>
      <c r="F896" s="53"/>
      <c r="G896" s="53"/>
      <c r="H896" s="53"/>
      <c r="I896" s="547"/>
      <c r="J896" s="547"/>
      <c r="K896" s="547"/>
      <c r="L896" s="547"/>
      <c r="M896" s="64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</row>
    <row r="897">
      <c r="A897" s="84"/>
      <c r="B897" s="639"/>
      <c r="C897" s="84"/>
      <c r="D897" s="534"/>
      <c r="E897" s="640"/>
      <c r="F897" s="84"/>
      <c r="G897" s="84"/>
      <c r="H897" s="84"/>
      <c r="I897" s="535"/>
      <c r="J897" s="535"/>
      <c r="K897" s="535"/>
      <c r="L897" s="535"/>
      <c r="M897" s="391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</row>
    <row r="898">
      <c r="A898" s="53"/>
      <c r="B898" s="641"/>
      <c r="C898" s="53"/>
      <c r="D898" s="546"/>
      <c r="E898" s="642"/>
      <c r="F898" s="53"/>
      <c r="G898" s="53"/>
      <c r="H898" s="53"/>
      <c r="I898" s="547"/>
      <c r="J898" s="547"/>
      <c r="K898" s="547"/>
      <c r="L898" s="547"/>
      <c r="M898" s="64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</row>
    <row r="899">
      <c r="A899" s="84"/>
      <c r="B899" s="639"/>
      <c r="C899" s="84"/>
      <c r="D899" s="534"/>
      <c r="E899" s="640"/>
      <c r="F899" s="84"/>
      <c r="G899" s="84"/>
      <c r="H899" s="84"/>
      <c r="I899" s="535"/>
      <c r="J899" s="535"/>
      <c r="K899" s="535"/>
      <c r="L899" s="535"/>
      <c r="M899" s="391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</row>
    <row r="900">
      <c r="A900" s="53"/>
      <c r="B900" s="641"/>
      <c r="C900" s="53"/>
      <c r="D900" s="546"/>
      <c r="E900" s="642"/>
      <c r="F900" s="53"/>
      <c r="G900" s="53"/>
      <c r="H900" s="53"/>
      <c r="I900" s="547"/>
      <c r="J900" s="547"/>
      <c r="K900" s="547"/>
      <c r="L900" s="547"/>
      <c r="M900" s="64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</row>
    <row r="901">
      <c r="A901" s="84"/>
      <c r="B901" s="639"/>
      <c r="C901" s="84"/>
      <c r="D901" s="534"/>
      <c r="E901" s="640"/>
      <c r="F901" s="84"/>
      <c r="G901" s="84"/>
      <c r="H901" s="84"/>
      <c r="I901" s="535"/>
      <c r="J901" s="535"/>
      <c r="K901" s="535"/>
      <c r="L901" s="535"/>
      <c r="M901" s="391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</row>
    <row r="902">
      <c r="A902" s="53"/>
      <c r="B902" s="641"/>
      <c r="C902" s="53"/>
      <c r="D902" s="546"/>
      <c r="E902" s="642"/>
      <c r="F902" s="53"/>
      <c r="G902" s="53"/>
      <c r="H902" s="53"/>
      <c r="I902" s="547"/>
      <c r="J902" s="547"/>
      <c r="K902" s="547"/>
      <c r="L902" s="547"/>
      <c r="M902" s="64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</row>
    <row r="903">
      <c r="A903" s="84"/>
      <c r="B903" s="639"/>
      <c r="C903" s="84"/>
      <c r="D903" s="534"/>
      <c r="E903" s="640"/>
      <c r="F903" s="84"/>
      <c r="G903" s="84"/>
      <c r="H903" s="84"/>
      <c r="I903" s="535"/>
      <c r="J903" s="535"/>
      <c r="K903" s="535"/>
      <c r="L903" s="535"/>
      <c r="M903" s="391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</row>
    <row r="904">
      <c r="A904" s="53"/>
      <c r="B904" s="641"/>
      <c r="C904" s="53"/>
      <c r="D904" s="546"/>
      <c r="E904" s="642"/>
      <c r="F904" s="53"/>
      <c r="G904" s="53"/>
      <c r="H904" s="53"/>
      <c r="I904" s="547"/>
      <c r="J904" s="547"/>
      <c r="K904" s="547"/>
      <c r="L904" s="547"/>
      <c r="M904" s="64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</row>
    <row r="905">
      <c r="A905" s="84"/>
      <c r="B905" s="639"/>
      <c r="C905" s="84"/>
      <c r="D905" s="534"/>
      <c r="E905" s="640"/>
      <c r="F905" s="84"/>
      <c r="G905" s="84"/>
      <c r="H905" s="84"/>
      <c r="I905" s="535"/>
      <c r="J905" s="535"/>
      <c r="K905" s="535"/>
      <c r="L905" s="535"/>
      <c r="M905" s="391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</row>
    <row r="906">
      <c r="A906" s="53"/>
      <c r="B906" s="641"/>
      <c r="C906" s="53"/>
      <c r="D906" s="546"/>
      <c r="E906" s="642"/>
      <c r="F906" s="53"/>
      <c r="G906" s="53"/>
      <c r="H906" s="53"/>
      <c r="I906" s="547"/>
      <c r="J906" s="547"/>
      <c r="K906" s="547"/>
      <c r="L906" s="547"/>
      <c r="M906" s="64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</row>
    <row r="907">
      <c r="A907" s="84"/>
      <c r="B907" s="639"/>
      <c r="C907" s="84"/>
      <c r="D907" s="534"/>
      <c r="E907" s="640"/>
      <c r="F907" s="84"/>
      <c r="G907" s="84"/>
      <c r="H907" s="84"/>
      <c r="I907" s="535"/>
      <c r="J907" s="535"/>
      <c r="K907" s="535"/>
      <c r="L907" s="535"/>
      <c r="M907" s="391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</row>
    <row r="908">
      <c r="A908" s="53"/>
      <c r="B908" s="641"/>
      <c r="C908" s="53"/>
      <c r="D908" s="546"/>
      <c r="E908" s="642"/>
      <c r="F908" s="53"/>
      <c r="G908" s="53"/>
      <c r="H908" s="53"/>
      <c r="I908" s="547"/>
      <c r="J908" s="547"/>
      <c r="K908" s="547"/>
      <c r="L908" s="547"/>
      <c r="M908" s="64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</row>
    <row r="909">
      <c r="A909" s="84"/>
      <c r="B909" s="639"/>
      <c r="C909" s="84"/>
      <c r="D909" s="534"/>
      <c r="E909" s="640"/>
      <c r="F909" s="84"/>
      <c r="G909" s="84"/>
      <c r="H909" s="84"/>
      <c r="I909" s="535"/>
      <c r="J909" s="535"/>
      <c r="K909" s="535"/>
      <c r="L909" s="535"/>
      <c r="M909" s="391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</row>
    <row r="910">
      <c r="A910" s="53"/>
      <c r="B910" s="641"/>
      <c r="C910" s="53"/>
      <c r="D910" s="546"/>
      <c r="E910" s="642"/>
      <c r="F910" s="53"/>
      <c r="G910" s="53"/>
      <c r="H910" s="53"/>
      <c r="I910" s="547"/>
      <c r="J910" s="547"/>
      <c r="K910" s="547"/>
      <c r="L910" s="547"/>
      <c r="M910" s="64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</row>
    <row r="911">
      <c r="A911" s="84"/>
      <c r="B911" s="639"/>
      <c r="C911" s="84"/>
      <c r="D911" s="534"/>
      <c r="E911" s="640"/>
      <c r="F911" s="84"/>
      <c r="G911" s="84"/>
      <c r="H911" s="84"/>
      <c r="I911" s="535"/>
      <c r="J911" s="535"/>
      <c r="K911" s="535"/>
      <c r="L911" s="535"/>
      <c r="M911" s="391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</row>
    <row r="912">
      <c r="A912" s="53"/>
      <c r="B912" s="641"/>
      <c r="C912" s="53"/>
      <c r="D912" s="546"/>
      <c r="E912" s="642"/>
      <c r="F912" s="53"/>
      <c r="G912" s="53"/>
      <c r="H912" s="53"/>
      <c r="I912" s="547"/>
      <c r="J912" s="547"/>
      <c r="K912" s="547"/>
      <c r="L912" s="547"/>
      <c r="M912" s="64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</row>
    <row r="913">
      <c r="A913" s="84"/>
      <c r="B913" s="639"/>
      <c r="C913" s="84"/>
      <c r="D913" s="534"/>
      <c r="E913" s="640"/>
      <c r="F913" s="84"/>
      <c r="G913" s="84"/>
      <c r="H913" s="84"/>
      <c r="I913" s="535"/>
      <c r="J913" s="535"/>
      <c r="K913" s="535"/>
      <c r="L913" s="535"/>
      <c r="M913" s="391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</row>
    <row r="914">
      <c r="A914" s="53"/>
      <c r="B914" s="641"/>
      <c r="C914" s="53"/>
      <c r="D914" s="546"/>
      <c r="E914" s="642"/>
      <c r="F914" s="53"/>
      <c r="G914" s="53"/>
      <c r="H914" s="53"/>
      <c r="I914" s="547"/>
      <c r="J914" s="547"/>
      <c r="K914" s="547"/>
      <c r="L914" s="547"/>
      <c r="M914" s="64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</row>
    <row r="915">
      <c r="A915" s="84"/>
      <c r="B915" s="639"/>
      <c r="C915" s="84"/>
      <c r="D915" s="534"/>
      <c r="E915" s="640"/>
      <c r="F915" s="84"/>
      <c r="G915" s="84"/>
      <c r="H915" s="84"/>
      <c r="I915" s="535"/>
      <c r="J915" s="535"/>
      <c r="K915" s="535"/>
      <c r="L915" s="535"/>
      <c r="M915" s="391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</row>
    <row r="916">
      <c r="A916" s="53"/>
      <c r="B916" s="641"/>
      <c r="C916" s="53"/>
      <c r="D916" s="546"/>
      <c r="E916" s="642"/>
      <c r="F916" s="53"/>
      <c r="G916" s="53"/>
      <c r="H916" s="53"/>
      <c r="I916" s="547"/>
      <c r="J916" s="547"/>
      <c r="K916" s="547"/>
      <c r="L916" s="547"/>
      <c r="M916" s="64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</row>
    <row r="917">
      <c r="A917" s="84"/>
      <c r="B917" s="639"/>
      <c r="C917" s="84"/>
      <c r="D917" s="534"/>
      <c r="E917" s="640"/>
      <c r="F917" s="84"/>
      <c r="G917" s="84"/>
      <c r="H917" s="84"/>
      <c r="I917" s="535"/>
      <c r="J917" s="535"/>
      <c r="K917" s="535"/>
      <c r="L917" s="535"/>
      <c r="M917" s="391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</row>
    <row r="918">
      <c r="A918" s="53"/>
      <c r="B918" s="641"/>
      <c r="C918" s="53"/>
      <c r="D918" s="546"/>
      <c r="E918" s="642"/>
      <c r="F918" s="53"/>
      <c r="G918" s="53"/>
      <c r="H918" s="53"/>
      <c r="I918" s="547"/>
      <c r="J918" s="547"/>
      <c r="K918" s="547"/>
      <c r="L918" s="547"/>
      <c r="M918" s="64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</row>
    <row r="919">
      <c r="A919" s="84"/>
      <c r="B919" s="639"/>
      <c r="C919" s="84"/>
      <c r="D919" s="534"/>
      <c r="E919" s="640"/>
      <c r="F919" s="84"/>
      <c r="G919" s="84"/>
      <c r="H919" s="84"/>
      <c r="I919" s="535"/>
      <c r="J919" s="535"/>
      <c r="K919" s="535"/>
      <c r="L919" s="535"/>
      <c r="M919" s="391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</row>
    <row r="920">
      <c r="A920" s="53"/>
      <c r="B920" s="641"/>
      <c r="C920" s="53"/>
      <c r="D920" s="546"/>
      <c r="E920" s="642"/>
      <c r="F920" s="53"/>
      <c r="G920" s="53"/>
      <c r="H920" s="53"/>
      <c r="I920" s="547"/>
      <c r="J920" s="547"/>
      <c r="K920" s="547"/>
      <c r="L920" s="547"/>
      <c r="M920" s="64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</row>
    <row r="921">
      <c r="A921" s="84"/>
      <c r="B921" s="639"/>
      <c r="C921" s="84"/>
      <c r="D921" s="534"/>
      <c r="E921" s="640"/>
      <c r="F921" s="84"/>
      <c r="G921" s="84"/>
      <c r="H921" s="84"/>
      <c r="I921" s="535"/>
      <c r="J921" s="535"/>
      <c r="K921" s="535"/>
      <c r="L921" s="535"/>
      <c r="M921" s="391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</row>
    <row r="922">
      <c r="A922" s="53"/>
      <c r="B922" s="641"/>
      <c r="C922" s="53"/>
      <c r="D922" s="546"/>
      <c r="E922" s="642"/>
      <c r="F922" s="53"/>
      <c r="G922" s="53"/>
      <c r="H922" s="53"/>
      <c r="I922" s="547"/>
      <c r="J922" s="547"/>
      <c r="K922" s="547"/>
      <c r="L922" s="547"/>
      <c r="M922" s="64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</row>
    <row r="923">
      <c r="A923" s="84"/>
      <c r="B923" s="639"/>
      <c r="C923" s="84"/>
      <c r="D923" s="534"/>
      <c r="E923" s="640"/>
      <c r="F923" s="84"/>
      <c r="G923" s="84"/>
      <c r="H923" s="84"/>
      <c r="I923" s="535"/>
      <c r="J923" s="535"/>
      <c r="K923" s="535"/>
      <c r="L923" s="535"/>
      <c r="M923" s="391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</row>
    <row r="924">
      <c r="A924" s="53"/>
      <c r="B924" s="641"/>
      <c r="C924" s="53"/>
      <c r="D924" s="546"/>
      <c r="E924" s="642"/>
      <c r="F924" s="53"/>
      <c r="G924" s="53"/>
      <c r="H924" s="53"/>
      <c r="I924" s="547"/>
      <c r="J924" s="547"/>
      <c r="K924" s="547"/>
      <c r="L924" s="547"/>
      <c r="M924" s="64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</row>
    <row r="925">
      <c r="A925" s="84"/>
      <c r="B925" s="639"/>
      <c r="C925" s="84"/>
      <c r="D925" s="534"/>
      <c r="E925" s="640"/>
      <c r="F925" s="84"/>
      <c r="G925" s="84"/>
      <c r="H925" s="84"/>
      <c r="I925" s="535"/>
      <c r="J925" s="535"/>
      <c r="K925" s="535"/>
      <c r="L925" s="535"/>
      <c r="M925" s="391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</row>
    <row r="926">
      <c r="A926" s="53"/>
      <c r="B926" s="641"/>
      <c r="C926" s="53"/>
      <c r="D926" s="546"/>
      <c r="E926" s="642"/>
      <c r="F926" s="53"/>
      <c r="G926" s="53"/>
      <c r="H926" s="53"/>
      <c r="I926" s="547"/>
      <c r="J926" s="547"/>
      <c r="K926" s="547"/>
      <c r="L926" s="547"/>
      <c r="M926" s="64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</row>
    <row r="927">
      <c r="A927" s="84"/>
      <c r="B927" s="639"/>
      <c r="C927" s="84"/>
      <c r="D927" s="534"/>
      <c r="E927" s="640"/>
      <c r="F927" s="84"/>
      <c r="G927" s="84"/>
      <c r="H927" s="84"/>
      <c r="I927" s="535"/>
      <c r="J927" s="535"/>
      <c r="K927" s="535"/>
      <c r="L927" s="535"/>
      <c r="M927" s="391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</row>
    <row r="928">
      <c r="A928" s="53"/>
      <c r="B928" s="641"/>
      <c r="C928" s="53"/>
      <c r="D928" s="546"/>
      <c r="E928" s="642"/>
      <c r="F928" s="53"/>
      <c r="G928" s="53"/>
      <c r="H928" s="53"/>
      <c r="I928" s="547"/>
      <c r="J928" s="547"/>
      <c r="K928" s="547"/>
      <c r="L928" s="547"/>
      <c r="M928" s="64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</row>
    <row r="929">
      <c r="A929" s="84"/>
      <c r="B929" s="639"/>
      <c r="C929" s="84"/>
      <c r="D929" s="534"/>
      <c r="E929" s="640"/>
      <c r="F929" s="84"/>
      <c r="G929" s="84"/>
      <c r="H929" s="84"/>
      <c r="I929" s="535"/>
      <c r="J929" s="535"/>
      <c r="K929" s="535"/>
      <c r="L929" s="535"/>
      <c r="M929" s="391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</row>
    <row r="930">
      <c r="A930" s="53"/>
      <c r="B930" s="641"/>
      <c r="C930" s="53"/>
      <c r="D930" s="546"/>
      <c r="E930" s="642"/>
      <c r="F930" s="53"/>
      <c r="G930" s="53"/>
      <c r="H930" s="53"/>
      <c r="I930" s="547"/>
      <c r="J930" s="547"/>
      <c r="K930" s="547"/>
      <c r="L930" s="547"/>
      <c r="M930" s="64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</row>
    <row r="931">
      <c r="A931" s="84"/>
      <c r="B931" s="639"/>
      <c r="C931" s="84"/>
      <c r="D931" s="534"/>
      <c r="E931" s="640"/>
      <c r="F931" s="84"/>
      <c r="G931" s="84"/>
      <c r="H931" s="84"/>
      <c r="I931" s="535"/>
      <c r="J931" s="535"/>
      <c r="K931" s="535"/>
      <c r="L931" s="535"/>
      <c r="M931" s="391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</row>
    <row r="932">
      <c r="A932" s="53"/>
      <c r="B932" s="641"/>
      <c r="C932" s="53"/>
      <c r="D932" s="546"/>
      <c r="E932" s="642"/>
      <c r="F932" s="53"/>
      <c r="G932" s="53"/>
      <c r="H932" s="53"/>
      <c r="I932" s="547"/>
      <c r="J932" s="547"/>
      <c r="K932" s="547"/>
      <c r="L932" s="547"/>
      <c r="M932" s="64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</row>
    <row r="933">
      <c r="A933" s="84"/>
      <c r="B933" s="639"/>
      <c r="C933" s="84"/>
      <c r="D933" s="534"/>
      <c r="E933" s="640"/>
      <c r="F933" s="84"/>
      <c r="G933" s="84"/>
      <c r="H933" s="84"/>
      <c r="I933" s="535"/>
      <c r="J933" s="535"/>
      <c r="K933" s="535"/>
      <c r="L933" s="535"/>
      <c r="M933" s="391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</row>
    <row r="934">
      <c r="A934" s="53"/>
      <c r="B934" s="641"/>
      <c r="C934" s="53"/>
      <c r="D934" s="546"/>
      <c r="E934" s="642"/>
      <c r="F934" s="53"/>
      <c r="G934" s="53"/>
      <c r="H934" s="53"/>
      <c r="I934" s="547"/>
      <c r="J934" s="547"/>
      <c r="K934" s="547"/>
      <c r="L934" s="547"/>
      <c r="M934" s="64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</row>
    <row r="935">
      <c r="A935" s="84"/>
      <c r="B935" s="639"/>
      <c r="C935" s="84"/>
      <c r="D935" s="534"/>
      <c r="E935" s="640"/>
      <c r="F935" s="84"/>
      <c r="G935" s="84"/>
      <c r="H935" s="84"/>
      <c r="I935" s="535"/>
      <c r="J935" s="535"/>
      <c r="K935" s="535"/>
      <c r="L935" s="535"/>
      <c r="M935" s="391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</row>
    <row r="936">
      <c r="A936" s="53"/>
      <c r="B936" s="641"/>
      <c r="C936" s="53"/>
      <c r="D936" s="546"/>
      <c r="E936" s="642"/>
      <c r="F936" s="53"/>
      <c r="G936" s="53"/>
      <c r="H936" s="53"/>
      <c r="I936" s="547"/>
      <c r="J936" s="547"/>
      <c r="K936" s="547"/>
      <c r="L936" s="547"/>
      <c r="M936" s="64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</row>
    <row r="937">
      <c r="A937" s="84"/>
      <c r="B937" s="639"/>
      <c r="C937" s="84"/>
      <c r="D937" s="534"/>
      <c r="E937" s="640"/>
      <c r="F937" s="84"/>
      <c r="G937" s="84"/>
      <c r="H937" s="84"/>
      <c r="I937" s="535"/>
      <c r="J937" s="535"/>
      <c r="K937" s="535"/>
      <c r="L937" s="535"/>
      <c r="M937" s="391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</row>
    <row r="938">
      <c r="A938" s="53"/>
      <c r="B938" s="641"/>
      <c r="C938" s="53"/>
      <c r="D938" s="546"/>
      <c r="E938" s="642"/>
      <c r="F938" s="53"/>
      <c r="G938" s="53"/>
      <c r="H938" s="53"/>
      <c r="I938" s="547"/>
      <c r="J938" s="547"/>
      <c r="K938" s="547"/>
      <c r="L938" s="547"/>
      <c r="M938" s="64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</row>
    <row r="939">
      <c r="A939" s="84"/>
      <c r="B939" s="639"/>
      <c r="C939" s="84"/>
      <c r="D939" s="534"/>
      <c r="E939" s="640"/>
      <c r="F939" s="84"/>
      <c r="G939" s="84"/>
      <c r="H939" s="84"/>
      <c r="I939" s="535"/>
      <c r="J939" s="535"/>
      <c r="K939" s="535"/>
      <c r="L939" s="535"/>
      <c r="M939" s="391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</row>
    <row r="940">
      <c r="A940" s="53"/>
      <c r="B940" s="641"/>
      <c r="C940" s="53"/>
      <c r="D940" s="546"/>
      <c r="E940" s="642"/>
      <c r="F940" s="53"/>
      <c r="G940" s="53"/>
      <c r="H940" s="53"/>
      <c r="I940" s="547"/>
      <c r="J940" s="547"/>
      <c r="K940" s="547"/>
      <c r="L940" s="547"/>
      <c r="M940" s="64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</row>
    <row r="941">
      <c r="A941" s="84"/>
      <c r="B941" s="639"/>
      <c r="C941" s="84"/>
      <c r="D941" s="534"/>
      <c r="E941" s="640"/>
      <c r="F941" s="84"/>
      <c r="G941" s="84"/>
      <c r="H941" s="84"/>
      <c r="I941" s="535"/>
      <c r="J941" s="535"/>
      <c r="K941" s="535"/>
      <c r="L941" s="535"/>
      <c r="M941" s="391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</row>
    <row r="942">
      <c r="A942" s="53"/>
      <c r="B942" s="641"/>
      <c r="C942" s="53"/>
      <c r="D942" s="546"/>
      <c r="E942" s="642"/>
      <c r="F942" s="53"/>
      <c r="G942" s="53"/>
      <c r="H942" s="53"/>
      <c r="I942" s="547"/>
      <c r="J942" s="547"/>
      <c r="K942" s="547"/>
      <c r="L942" s="547"/>
      <c r="M942" s="64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</row>
    <row r="943">
      <c r="A943" s="84"/>
      <c r="B943" s="639"/>
      <c r="C943" s="84"/>
      <c r="D943" s="534"/>
      <c r="E943" s="640"/>
      <c r="F943" s="84"/>
      <c r="G943" s="84"/>
      <c r="H943" s="84"/>
      <c r="I943" s="535"/>
      <c r="J943" s="535"/>
      <c r="K943" s="535"/>
      <c r="L943" s="535"/>
      <c r="M943" s="391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</row>
    <row r="944">
      <c r="A944" s="53"/>
      <c r="B944" s="641"/>
      <c r="C944" s="53"/>
      <c r="D944" s="546"/>
      <c r="E944" s="642"/>
      <c r="F944" s="53"/>
      <c r="G944" s="53"/>
      <c r="H944" s="53"/>
      <c r="I944" s="547"/>
      <c r="J944" s="547"/>
      <c r="K944" s="547"/>
      <c r="L944" s="547"/>
      <c r="M944" s="64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</row>
    <row r="945">
      <c r="A945" s="84"/>
      <c r="B945" s="639"/>
      <c r="C945" s="84"/>
      <c r="D945" s="534"/>
      <c r="E945" s="640"/>
      <c r="F945" s="84"/>
      <c r="G945" s="84"/>
      <c r="H945" s="84"/>
      <c r="I945" s="535"/>
      <c r="J945" s="535"/>
      <c r="K945" s="535"/>
      <c r="L945" s="535"/>
      <c r="M945" s="391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</row>
    <row r="946">
      <c r="A946" s="53"/>
      <c r="B946" s="641"/>
      <c r="C946" s="53"/>
      <c r="D946" s="546"/>
      <c r="E946" s="642"/>
      <c r="F946" s="53"/>
      <c r="G946" s="53"/>
      <c r="H946" s="53"/>
      <c r="I946" s="547"/>
      <c r="J946" s="547"/>
      <c r="K946" s="547"/>
      <c r="L946" s="547"/>
      <c r="M946" s="64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</row>
    <row r="947">
      <c r="A947" s="84"/>
      <c r="B947" s="639"/>
      <c r="C947" s="84"/>
      <c r="D947" s="534"/>
      <c r="E947" s="640"/>
      <c r="F947" s="84"/>
      <c r="G947" s="84"/>
      <c r="H947" s="84"/>
      <c r="I947" s="535"/>
      <c r="J947" s="535"/>
      <c r="K947" s="535"/>
      <c r="L947" s="535"/>
      <c r="M947" s="391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</row>
    <row r="948">
      <c r="A948" s="53"/>
      <c r="B948" s="641"/>
      <c r="C948" s="53"/>
      <c r="D948" s="546"/>
      <c r="E948" s="642"/>
      <c r="F948" s="53"/>
      <c r="G948" s="53"/>
      <c r="H948" s="53"/>
      <c r="I948" s="547"/>
      <c r="J948" s="547"/>
      <c r="K948" s="547"/>
      <c r="L948" s="547"/>
      <c r="M948" s="64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</row>
    <row r="949">
      <c r="A949" s="84"/>
      <c r="B949" s="639"/>
      <c r="C949" s="84"/>
      <c r="D949" s="534"/>
      <c r="E949" s="640"/>
      <c r="F949" s="84"/>
      <c r="G949" s="84"/>
      <c r="H949" s="84"/>
      <c r="I949" s="535"/>
      <c r="J949" s="535"/>
      <c r="K949" s="535"/>
      <c r="L949" s="535"/>
      <c r="M949" s="391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</row>
    <row r="950">
      <c r="A950" s="53"/>
      <c r="B950" s="641"/>
      <c r="C950" s="53"/>
      <c r="D950" s="546"/>
      <c r="E950" s="642"/>
      <c r="F950" s="53"/>
      <c r="G950" s="53"/>
      <c r="H950" s="53"/>
      <c r="I950" s="547"/>
      <c r="J950" s="547"/>
      <c r="K950" s="547"/>
      <c r="L950" s="547"/>
      <c r="M950" s="64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</row>
    <row r="951">
      <c r="A951" s="84"/>
      <c r="B951" s="639"/>
      <c r="C951" s="84"/>
      <c r="D951" s="534"/>
      <c r="E951" s="640"/>
      <c r="F951" s="84"/>
      <c r="G951" s="84"/>
      <c r="H951" s="84"/>
      <c r="I951" s="535"/>
      <c r="J951" s="535"/>
      <c r="K951" s="535"/>
      <c r="L951" s="535"/>
      <c r="M951" s="391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</row>
    <row r="952">
      <c r="A952" s="53"/>
      <c r="B952" s="641"/>
      <c r="C952" s="53"/>
      <c r="D952" s="546"/>
      <c r="E952" s="642"/>
      <c r="F952" s="53"/>
      <c r="G952" s="53"/>
      <c r="H952" s="53"/>
      <c r="I952" s="547"/>
      <c r="J952" s="547"/>
      <c r="K952" s="547"/>
      <c r="L952" s="547"/>
      <c r="M952" s="64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</row>
    <row r="953">
      <c r="A953" s="84"/>
      <c r="B953" s="639"/>
      <c r="C953" s="84"/>
      <c r="D953" s="534"/>
      <c r="E953" s="640"/>
      <c r="F953" s="84"/>
      <c r="G953" s="84"/>
      <c r="H953" s="84"/>
      <c r="I953" s="535"/>
      <c r="J953" s="535"/>
      <c r="K953" s="535"/>
      <c r="L953" s="535"/>
      <c r="M953" s="391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</row>
    <row r="954">
      <c r="A954" s="53"/>
      <c r="B954" s="641"/>
      <c r="C954" s="53"/>
      <c r="D954" s="546"/>
      <c r="E954" s="642"/>
      <c r="F954" s="53"/>
      <c r="G954" s="53"/>
      <c r="H954" s="53"/>
      <c r="I954" s="547"/>
      <c r="J954" s="547"/>
      <c r="K954" s="547"/>
      <c r="L954" s="547"/>
      <c r="M954" s="64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</row>
    <row r="955">
      <c r="A955" s="84"/>
      <c r="B955" s="639"/>
      <c r="C955" s="84"/>
      <c r="D955" s="534"/>
      <c r="E955" s="640"/>
      <c r="F955" s="84"/>
      <c r="G955" s="84"/>
      <c r="H955" s="84"/>
      <c r="I955" s="535"/>
      <c r="J955" s="535"/>
      <c r="K955" s="535"/>
      <c r="L955" s="535"/>
      <c r="M955" s="391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</row>
    <row r="956">
      <c r="A956" s="53"/>
      <c r="B956" s="641"/>
      <c r="C956" s="53"/>
      <c r="D956" s="546"/>
      <c r="E956" s="642"/>
      <c r="F956" s="53"/>
      <c r="G956" s="53"/>
      <c r="H956" s="53"/>
      <c r="I956" s="547"/>
      <c r="J956" s="547"/>
      <c r="K956" s="547"/>
      <c r="L956" s="547"/>
      <c r="M956" s="64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</row>
    <row r="957">
      <c r="A957" s="84"/>
      <c r="B957" s="639"/>
      <c r="C957" s="84"/>
      <c r="D957" s="534"/>
      <c r="E957" s="640"/>
      <c r="F957" s="84"/>
      <c r="G957" s="84"/>
      <c r="H957" s="84"/>
      <c r="I957" s="535"/>
      <c r="J957" s="535"/>
      <c r="K957" s="535"/>
      <c r="L957" s="535"/>
      <c r="M957" s="391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</row>
    <row r="958">
      <c r="A958" s="53"/>
      <c r="B958" s="641"/>
      <c r="C958" s="53"/>
      <c r="D958" s="546"/>
      <c r="E958" s="642"/>
      <c r="F958" s="53"/>
      <c r="G958" s="53"/>
      <c r="H958" s="53"/>
      <c r="I958" s="547"/>
      <c r="J958" s="547"/>
      <c r="K958" s="547"/>
      <c r="L958" s="547"/>
      <c r="M958" s="64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</row>
    <row r="959">
      <c r="A959" s="84"/>
      <c r="B959" s="639"/>
      <c r="C959" s="84"/>
      <c r="D959" s="534"/>
      <c r="E959" s="640"/>
      <c r="F959" s="84"/>
      <c r="G959" s="84"/>
      <c r="H959" s="84"/>
      <c r="I959" s="535"/>
      <c r="J959" s="535"/>
      <c r="K959" s="535"/>
      <c r="L959" s="535"/>
      <c r="M959" s="391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</row>
    <row r="960">
      <c r="A960" s="53"/>
      <c r="B960" s="641"/>
      <c r="C960" s="53"/>
      <c r="D960" s="546"/>
      <c r="E960" s="642"/>
      <c r="F960" s="53"/>
      <c r="G960" s="53"/>
      <c r="H960" s="53"/>
      <c r="I960" s="547"/>
      <c r="J960" s="547"/>
      <c r="K960" s="547"/>
      <c r="L960" s="547"/>
      <c r="M960" s="64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</row>
    <row r="961">
      <c r="A961" s="84"/>
      <c r="B961" s="639"/>
      <c r="C961" s="84"/>
      <c r="D961" s="534"/>
      <c r="E961" s="640"/>
      <c r="F961" s="84"/>
      <c r="G961" s="84"/>
      <c r="H961" s="84"/>
      <c r="I961" s="535"/>
      <c r="J961" s="535"/>
      <c r="K961" s="535"/>
      <c r="L961" s="535"/>
      <c r="M961" s="391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</row>
    <row r="962">
      <c r="A962" s="53"/>
      <c r="B962" s="641"/>
      <c r="C962" s="53"/>
      <c r="D962" s="546"/>
      <c r="E962" s="642"/>
      <c r="F962" s="53"/>
      <c r="G962" s="53"/>
      <c r="H962" s="53"/>
      <c r="I962" s="547"/>
      <c r="J962" s="547"/>
      <c r="K962" s="547"/>
      <c r="L962" s="547"/>
      <c r="M962" s="64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</row>
    <row r="963">
      <c r="A963" s="84"/>
      <c r="B963" s="639"/>
      <c r="C963" s="84"/>
      <c r="D963" s="534"/>
      <c r="E963" s="640"/>
      <c r="F963" s="84"/>
      <c r="G963" s="84"/>
      <c r="H963" s="84"/>
      <c r="I963" s="535"/>
      <c r="J963" s="535"/>
      <c r="K963" s="535"/>
      <c r="L963" s="535"/>
      <c r="M963" s="391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</row>
    <row r="964">
      <c r="A964" s="53"/>
      <c r="B964" s="641"/>
      <c r="C964" s="53"/>
      <c r="D964" s="546"/>
      <c r="E964" s="642"/>
      <c r="F964" s="53"/>
      <c r="G964" s="53"/>
      <c r="H964" s="53"/>
      <c r="I964" s="547"/>
      <c r="J964" s="547"/>
      <c r="K964" s="547"/>
      <c r="L964" s="547"/>
      <c r="M964" s="64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</row>
    <row r="965">
      <c r="A965" s="84"/>
      <c r="B965" s="639"/>
      <c r="C965" s="84"/>
      <c r="D965" s="534"/>
      <c r="E965" s="640"/>
      <c r="F965" s="84"/>
      <c r="G965" s="84"/>
      <c r="H965" s="84"/>
      <c r="I965" s="535"/>
      <c r="J965" s="535"/>
      <c r="K965" s="535"/>
      <c r="L965" s="535"/>
      <c r="M965" s="391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</row>
    <row r="966">
      <c r="A966" s="53"/>
      <c r="B966" s="641"/>
      <c r="C966" s="53"/>
      <c r="D966" s="546"/>
      <c r="E966" s="642"/>
      <c r="F966" s="53"/>
      <c r="G966" s="53"/>
      <c r="H966" s="53"/>
      <c r="I966" s="547"/>
      <c r="J966" s="547"/>
      <c r="K966" s="547"/>
      <c r="L966" s="547"/>
      <c r="M966" s="64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</row>
    <row r="967">
      <c r="A967" s="84"/>
      <c r="B967" s="639"/>
      <c r="C967" s="84"/>
      <c r="D967" s="534"/>
      <c r="E967" s="640"/>
      <c r="F967" s="84"/>
      <c r="G967" s="84"/>
      <c r="H967" s="84"/>
      <c r="I967" s="535"/>
      <c r="J967" s="535"/>
      <c r="K967" s="535"/>
      <c r="L967" s="535"/>
      <c r="M967" s="391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</row>
    <row r="968">
      <c r="A968" s="53"/>
      <c r="B968" s="641"/>
      <c r="C968" s="53"/>
      <c r="D968" s="546"/>
      <c r="E968" s="642"/>
      <c r="F968" s="53"/>
      <c r="G968" s="53"/>
      <c r="H968" s="53"/>
      <c r="I968" s="547"/>
      <c r="J968" s="547"/>
      <c r="K968" s="547"/>
      <c r="L968" s="547"/>
      <c r="M968" s="64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</row>
    <row r="969">
      <c r="A969" s="84"/>
      <c r="B969" s="639"/>
      <c r="C969" s="84"/>
      <c r="D969" s="534"/>
      <c r="E969" s="640"/>
      <c r="F969" s="84"/>
      <c r="G969" s="84"/>
      <c r="H969" s="84"/>
      <c r="I969" s="535"/>
      <c r="J969" s="535"/>
      <c r="K969" s="535"/>
      <c r="L969" s="535"/>
      <c r="M969" s="391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</row>
    <row r="970">
      <c r="A970" s="53"/>
      <c r="B970" s="641"/>
      <c r="C970" s="53"/>
      <c r="D970" s="546"/>
      <c r="E970" s="642"/>
      <c r="F970" s="53"/>
      <c r="G970" s="53"/>
      <c r="H970" s="53"/>
      <c r="I970" s="547"/>
      <c r="J970" s="547"/>
      <c r="K970" s="547"/>
      <c r="L970" s="547"/>
      <c r="M970" s="64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</row>
    <row r="971">
      <c r="A971" s="84"/>
      <c r="B971" s="639"/>
      <c r="C971" s="84"/>
      <c r="D971" s="534"/>
      <c r="E971" s="640"/>
      <c r="F971" s="84"/>
      <c r="G971" s="84"/>
      <c r="H971" s="84"/>
      <c r="I971" s="535"/>
      <c r="J971" s="535"/>
      <c r="K971" s="535"/>
      <c r="L971" s="535"/>
      <c r="M971" s="391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</row>
    <row r="972">
      <c r="A972" s="53"/>
      <c r="B972" s="641"/>
      <c r="C972" s="53"/>
      <c r="D972" s="546"/>
      <c r="E972" s="642"/>
      <c r="F972" s="53"/>
      <c r="G972" s="53"/>
      <c r="H972" s="53"/>
      <c r="I972" s="547"/>
      <c r="J972" s="547"/>
      <c r="K972" s="547"/>
      <c r="L972" s="547"/>
      <c r="M972" s="64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</row>
    <row r="973">
      <c r="A973" s="84"/>
      <c r="B973" s="639"/>
      <c r="C973" s="84"/>
      <c r="D973" s="534"/>
      <c r="E973" s="640"/>
      <c r="F973" s="84"/>
      <c r="G973" s="84"/>
      <c r="H973" s="84"/>
      <c r="I973" s="535"/>
      <c r="J973" s="535"/>
      <c r="K973" s="535"/>
      <c r="L973" s="535"/>
      <c r="M973" s="391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</row>
    <row r="974">
      <c r="A974" s="53"/>
      <c r="B974" s="641"/>
      <c r="C974" s="53"/>
      <c r="D974" s="546"/>
      <c r="E974" s="642"/>
      <c r="F974" s="53"/>
      <c r="G974" s="53"/>
      <c r="H974" s="53"/>
      <c r="I974" s="547"/>
      <c r="J974" s="547"/>
      <c r="K974" s="547"/>
      <c r="L974" s="547"/>
      <c r="M974" s="64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</row>
    <row r="975">
      <c r="A975" s="84"/>
      <c r="B975" s="639"/>
      <c r="C975" s="84"/>
      <c r="D975" s="534"/>
      <c r="E975" s="640"/>
      <c r="F975" s="84"/>
      <c r="G975" s="84"/>
      <c r="H975" s="84"/>
      <c r="I975" s="535"/>
      <c r="J975" s="535"/>
      <c r="K975" s="535"/>
      <c r="L975" s="535"/>
      <c r="M975" s="391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</row>
    <row r="976">
      <c r="A976" s="53"/>
      <c r="B976" s="641"/>
      <c r="C976" s="53"/>
      <c r="D976" s="546"/>
      <c r="E976" s="642"/>
      <c r="F976" s="53"/>
      <c r="G976" s="53"/>
      <c r="H976" s="53"/>
      <c r="I976" s="547"/>
      <c r="J976" s="547"/>
      <c r="K976" s="547"/>
      <c r="L976" s="547"/>
      <c r="M976" s="64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</row>
    <row r="977">
      <c r="A977" s="84"/>
      <c r="B977" s="639"/>
      <c r="C977" s="84"/>
      <c r="D977" s="534"/>
      <c r="E977" s="640"/>
      <c r="F977" s="84"/>
      <c r="G977" s="84"/>
      <c r="H977" s="84"/>
      <c r="I977" s="535"/>
      <c r="J977" s="535"/>
      <c r="K977" s="535"/>
      <c r="L977" s="535"/>
      <c r="M977" s="391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</row>
    <row r="978">
      <c r="A978" s="53"/>
      <c r="B978" s="641"/>
      <c r="C978" s="53"/>
      <c r="D978" s="546"/>
      <c r="E978" s="642"/>
      <c r="F978" s="53"/>
      <c r="G978" s="53"/>
      <c r="H978" s="53"/>
      <c r="I978" s="547"/>
      <c r="J978" s="547"/>
      <c r="K978" s="547"/>
      <c r="L978" s="547"/>
      <c r="M978" s="64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</row>
    <row r="979">
      <c r="A979" s="84"/>
      <c r="B979" s="639"/>
      <c r="C979" s="84"/>
      <c r="D979" s="534"/>
      <c r="E979" s="640"/>
      <c r="F979" s="84"/>
      <c r="G979" s="84"/>
      <c r="H979" s="84"/>
      <c r="I979" s="535"/>
      <c r="J979" s="535"/>
      <c r="K979" s="535"/>
      <c r="L979" s="535"/>
      <c r="M979" s="391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</row>
    <row r="980">
      <c r="A980" s="53"/>
      <c r="B980" s="641"/>
      <c r="C980" s="53"/>
      <c r="D980" s="546"/>
      <c r="E980" s="642"/>
      <c r="F980" s="53"/>
      <c r="G980" s="53"/>
      <c r="H980" s="53"/>
      <c r="I980" s="547"/>
      <c r="J980" s="547"/>
      <c r="K980" s="547"/>
      <c r="L980" s="547"/>
      <c r="M980" s="64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</row>
    <row r="981">
      <c r="A981" s="84"/>
      <c r="B981" s="639"/>
      <c r="C981" s="84"/>
      <c r="D981" s="534"/>
      <c r="E981" s="640"/>
      <c r="F981" s="84"/>
      <c r="G981" s="84"/>
      <c r="H981" s="84"/>
      <c r="I981" s="535"/>
      <c r="J981" s="535"/>
      <c r="K981" s="535"/>
      <c r="L981" s="535"/>
      <c r="M981" s="391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</row>
    <row r="982">
      <c r="A982" s="53"/>
      <c r="B982" s="641"/>
      <c r="C982" s="53"/>
      <c r="D982" s="546"/>
      <c r="E982" s="642"/>
      <c r="F982" s="53"/>
      <c r="G982" s="53"/>
      <c r="H982" s="53"/>
      <c r="I982" s="547"/>
      <c r="J982" s="547"/>
      <c r="K982" s="547"/>
      <c r="L982" s="547"/>
      <c r="M982" s="64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</row>
    <row r="983">
      <c r="A983" s="84"/>
      <c r="B983" s="639"/>
      <c r="C983" s="84"/>
      <c r="D983" s="534"/>
      <c r="E983" s="640"/>
      <c r="F983" s="84"/>
      <c r="G983" s="84"/>
      <c r="H983" s="84"/>
      <c r="I983" s="535"/>
      <c r="J983" s="535"/>
      <c r="K983" s="535"/>
      <c r="L983" s="535"/>
      <c r="M983" s="391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</row>
    <row r="984">
      <c r="A984" s="53"/>
      <c r="B984" s="641"/>
      <c r="C984" s="53"/>
      <c r="D984" s="546"/>
      <c r="E984" s="642"/>
      <c r="F984" s="53"/>
      <c r="G984" s="53"/>
      <c r="H984" s="53"/>
      <c r="I984" s="547"/>
      <c r="J984" s="547"/>
      <c r="K984" s="547"/>
      <c r="L984" s="547"/>
      <c r="M984" s="64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</row>
    <row r="985">
      <c r="A985" s="84"/>
      <c r="B985" s="639"/>
      <c r="C985" s="84"/>
      <c r="D985" s="534"/>
      <c r="E985" s="640"/>
      <c r="F985" s="84"/>
      <c r="G985" s="84"/>
      <c r="H985" s="84"/>
      <c r="I985" s="535"/>
      <c r="J985" s="535"/>
      <c r="K985" s="535"/>
      <c r="L985" s="535"/>
      <c r="M985" s="391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</row>
    <row r="986">
      <c r="A986" s="53"/>
      <c r="B986" s="641"/>
      <c r="C986" s="53"/>
      <c r="D986" s="546"/>
      <c r="E986" s="642"/>
      <c r="F986" s="53"/>
      <c r="G986" s="53"/>
      <c r="H986" s="53"/>
      <c r="I986" s="547"/>
      <c r="J986" s="547"/>
      <c r="K986" s="547"/>
      <c r="L986" s="547"/>
      <c r="M986" s="64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</row>
    <row r="987">
      <c r="A987" s="84"/>
      <c r="B987" s="639"/>
      <c r="C987" s="84"/>
      <c r="D987" s="534"/>
      <c r="E987" s="640"/>
      <c r="F987" s="84"/>
      <c r="G987" s="84"/>
      <c r="H987" s="84"/>
      <c r="I987" s="535"/>
      <c r="J987" s="535"/>
      <c r="K987" s="535"/>
      <c r="L987" s="535"/>
      <c r="M987" s="391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</row>
    <row r="988">
      <c r="A988" s="53"/>
      <c r="B988" s="641"/>
      <c r="C988" s="53"/>
      <c r="D988" s="546"/>
      <c r="E988" s="642"/>
      <c r="F988" s="53"/>
      <c r="G988" s="53"/>
      <c r="H988" s="53"/>
      <c r="I988" s="547"/>
      <c r="J988" s="547"/>
      <c r="K988" s="547"/>
      <c r="L988" s="547"/>
      <c r="M988" s="64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</row>
    <row r="989">
      <c r="A989" s="84"/>
      <c r="B989" s="639"/>
      <c r="C989" s="84"/>
      <c r="D989" s="534"/>
      <c r="E989" s="640"/>
      <c r="F989" s="84"/>
      <c r="G989" s="84"/>
      <c r="H989" s="84"/>
      <c r="I989" s="535"/>
      <c r="J989" s="535"/>
      <c r="K989" s="535"/>
      <c r="L989" s="535"/>
      <c r="M989" s="391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</row>
    <row r="990">
      <c r="A990" s="53"/>
      <c r="B990" s="641"/>
      <c r="C990" s="53"/>
      <c r="D990" s="546"/>
      <c r="E990" s="642"/>
      <c r="F990" s="53"/>
      <c r="G990" s="53"/>
      <c r="H990" s="53"/>
      <c r="I990" s="547"/>
      <c r="J990" s="547"/>
      <c r="K990" s="547"/>
      <c r="L990" s="547"/>
      <c r="M990" s="64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</row>
    <row r="991">
      <c r="A991" s="84"/>
      <c r="B991" s="639"/>
      <c r="C991" s="84"/>
      <c r="D991" s="534"/>
      <c r="E991" s="640"/>
      <c r="F991" s="84"/>
      <c r="G991" s="84"/>
      <c r="H991" s="84"/>
      <c r="I991" s="535"/>
      <c r="J991" s="535"/>
      <c r="K991" s="535"/>
      <c r="L991" s="535"/>
      <c r="M991" s="391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</row>
    <row r="992">
      <c r="A992" s="53"/>
      <c r="B992" s="641"/>
      <c r="C992" s="53"/>
      <c r="D992" s="546"/>
      <c r="E992" s="642"/>
      <c r="F992" s="53"/>
      <c r="G992" s="53"/>
      <c r="H992" s="53"/>
      <c r="I992" s="547"/>
      <c r="J992" s="547"/>
      <c r="K992" s="547"/>
      <c r="L992" s="547"/>
      <c r="M992" s="64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</row>
    <row r="993">
      <c r="A993" s="84"/>
      <c r="B993" s="639"/>
      <c r="C993" s="84"/>
      <c r="D993" s="534"/>
      <c r="E993" s="640"/>
      <c r="F993" s="84"/>
      <c r="G993" s="84"/>
      <c r="H993" s="84"/>
      <c r="I993" s="535"/>
      <c r="J993" s="535"/>
      <c r="K993" s="535"/>
      <c r="L993" s="535"/>
      <c r="M993" s="391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</row>
    <row r="994">
      <c r="A994" s="53"/>
      <c r="B994" s="641"/>
      <c r="C994" s="53"/>
      <c r="D994" s="546"/>
      <c r="E994" s="642"/>
      <c r="F994" s="53"/>
      <c r="G994" s="53"/>
      <c r="H994" s="53"/>
      <c r="I994" s="547"/>
      <c r="J994" s="547"/>
      <c r="K994" s="547"/>
      <c r="L994" s="547"/>
      <c r="M994" s="64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</row>
    <row r="995">
      <c r="A995" s="84"/>
      <c r="B995" s="639"/>
      <c r="C995" s="84"/>
      <c r="D995" s="534"/>
      <c r="E995" s="640"/>
      <c r="F995" s="84"/>
      <c r="G995" s="84"/>
      <c r="H995" s="84"/>
      <c r="I995" s="535"/>
      <c r="J995" s="535"/>
      <c r="K995" s="535"/>
      <c r="L995" s="535"/>
      <c r="M995" s="391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</row>
    <row r="996">
      <c r="A996" s="53"/>
      <c r="B996" s="641"/>
      <c r="C996" s="53"/>
      <c r="D996" s="546"/>
      <c r="E996" s="642"/>
      <c r="F996" s="53"/>
      <c r="G996" s="53"/>
      <c r="H996" s="53"/>
      <c r="I996" s="547"/>
      <c r="J996" s="547"/>
      <c r="K996" s="547"/>
      <c r="L996" s="547"/>
      <c r="M996" s="64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</row>
    <row r="997">
      <c r="A997" s="84"/>
      <c r="B997" s="639"/>
      <c r="C997" s="84"/>
      <c r="D997" s="534"/>
      <c r="E997" s="640"/>
      <c r="F997" s="84"/>
      <c r="G997" s="84"/>
      <c r="H997" s="84"/>
      <c r="I997" s="535"/>
      <c r="J997" s="535"/>
      <c r="K997" s="535"/>
      <c r="L997" s="535"/>
      <c r="M997" s="391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</row>
    <row r="998">
      <c r="A998" s="53"/>
      <c r="B998" s="641"/>
      <c r="C998" s="53"/>
      <c r="D998" s="546"/>
      <c r="E998" s="642"/>
      <c r="F998" s="53"/>
      <c r="G998" s="53"/>
      <c r="H998" s="53"/>
      <c r="I998" s="547"/>
      <c r="J998" s="547"/>
      <c r="K998" s="547"/>
      <c r="L998" s="547"/>
      <c r="M998" s="64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</row>
    <row r="999">
      <c r="A999" s="84"/>
      <c r="B999" s="639"/>
      <c r="C999" s="84"/>
      <c r="D999" s="534"/>
      <c r="E999" s="640"/>
      <c r="F999" s="84"/>
      <c r="G999" s="84"/>
      <c r="H999" s="84"/>
      <c r="I999" s="535"/>
      <c r="J999" s="535"/>
      <c r="K999" s="535"/>
      <c r="L999" s="535"/>
      <c r="M999" s="391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</row>
    <row r="1000">
      <c r="A1000" s="53"/>
      <c r="B1000" s="641"/>
      <c r="C1000" s="53"/>
      <c r="D1000" s="546"/>
      <c r="E1000" s="642"/>
      <c r="F1000" s="53"/>
      <c r="G1000" s="53"/>
      <c r="H1000" s="53"/>
      <c r="I1000" s="547"/>
      <c r="J1000" s="547"/>
      <c r="K1000" s="547"/>
      <c r="L1000" s="547"/>
      <c r="M1000" s="64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</row>
    <row r="1001">
      <c r="A1001" s="84"/>
      <c r="B1001" s="639"/>
      <c r="C1001" s="84"/>
      <c r="D1001" s="534"/>
      <c r="E1001" s="640"/>
      <c r="F1001" s="84"/>
      <c r="G1001" s="84"/>
      <c r="H1001" s="84"/>
      <c r="I1001" s="535"/>
      <c r="J1001" s="535"/>
      <c r="K1001" s="535"/>
      <c r="L1001" s="535"/>
      <c r="M1001" s="391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</row>
    <row r="1002">
      <c r="A1002" s="53"/>
      <c r="B1002" s="641"/>
      <c r="C1002" s="53"/>
      <c r="D1002" s="546"/>
      <c r="E1002" s="642"/>
      <c r="F1002" s="53"/>
      <c r="G1002" s="53"/>
      <c r="H1002" s="53"/>
      <c r="I1002" s="547"/>
      <c r="J1002" s="547"/>
      <c r="K1002" s="547"/>
      <c r="L1002" s="547"/>
      <c r="M1002" s="64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</row>
    <row r="1003">
      <c r="A1003" s="84"/>
      <c r="B1003" s="639"/>
      <c r="C1003" s="84"/>
      <c r="D1003" s="534"/>
      <c r="E1003" s="640"/>
      <c r="F1003" s="84"/>
      <c r="G1003" s="84"/>
      <c r="H1003" s="84"/>
      <c r="I1003" s="535"/>
      <c r="J1003" s="535"/>
      <c r="K1003" s="535"/>
      <c r="L1003" s="535"/>
      <c r="M1003" s="391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</row>
    <row r="1004">
      <c r="A1004" s="53"/>
      <c r="B1004" s="641"/>
      <c r="C1004" s="53"/>
      <c r="D1004" s="546"/>
      <c r="E1004" s="642"/>
      <c r="F1004" s="53"/>
      <c r="G1004" s="53"/>
      <c r="H1004" s="53"/>
      <c r="I1004" s="547"/>
      <c r="J1004" s="547"/>
      <c r="K1004" s="547"/>
      <c r="L1004" s="547"/>
      <c r="M1004" s="64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</row>
    <row r="1005">
      <c r="A1005" s="84"/>
      <c r="B1005" s="639"/>
      <c r="C1005" s="84"/>
      <c r="D1005" s="534"/>
      <c r="E1005" s="640"/>
      <c r="F1005" s="84"/>
      <c r="G1005" s="84"/>
      <c r="H1005" s="84"/>
      <c r="I1005" s="535"/>
      <c r="J1005" s="535"/>
      <c r="K1005" s="535"/>
      <c r="L1005" s="535"/>
      <c r="M1005" s="391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</row>
    <row r="1006">
      <c r="A1006" s="53"/>
      <c r="B1006" s="641"/>
      <c r="C1006" s="53"/>
      <c r="D1006" s="546"/>
      <c r="E1006" s="642"/>
      <c r="F1006" s="53"/>
      <c r="G1006" s="53"/>
      <c r="H1006" s="53"/>
      <c r="I1006" s="547"/>
      <c r="J1006" s="547"/>
      <c r="K1006" s="547"/>
      <c r="L1006" s="547"/>
      <c r="M1006" s="64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</row>
    <row r="1007">
      <c r="A1007" s="84"/>
      <c r="B1007" s="639"/>
      <c r="C1007" s="84"/>
      <c r="D1007" s="534"/>
      <c r="E1007" s="640"/>
      <c r="F1007" s="84"/>
      <c r="G1007" s="84"/>
      <c r="H1007" s="84"/>
      <c r="I1007" s="535"/>
      <c r="J1007" s="535"/>
      <c r="K1007" s="535"/>
      <c r="L1007" s="535"/>
      <c r="M1007" s="391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</row>
    <row r="1008">
      <c r="A1008" s="53"/>
      <c r="B1008" s="641"/>
      <c r="C1008" s="53"/>
      <c r="D1008" s="546"/>
      <c r="E1008" s="642"/>
      <c r="F1008" s="53"/>
      <c r="G1008" s="53"/>
      <c r="H1008" s="53"/>
      <c r="I1008" s="547"/>
      <c r="J1008" s="547"/>
      <c r="K1008" s="547"/>
      <c r="L1008" s="547"/>
      <c r="M1008" s="64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</row>
    <row r="1009">
      <c r="A1009" s="84"/>
      <c r="B1009" s="639"/>
      <c r="C1009" s="84"/>
      <c r="D1009" s="534"/>
      <c r="E1009" s="640"/>
      <c r="F1009" s="84"/>
      <c r="G1009" s="84"/>
      <c r="H1009" s="84"/>
      <c r="I1009" s="535"/>
      <c r="J1009" s="535"/>
      <c r="K1009" s="535"/>
      <c r="L1009" s="535"/>
      <c r="M1009" s="391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</row>
    <row r="1010">
      <c r="A1010" s="53"/>
      <c r="B1010" s="641"/>
      <c r="C1010" s="53"/>
      <c r="D1010" s="546"/>
      <c r="E1010" s="642"/>
      <c r="F1010" s="53"/>
      <c r="G1010" s="53"/>
      <c r="H1010" s="53"/>
      <c r="I1010" s="547"/>
      <c r="J1010" s="547"/>
      <c r="K1010" s="547"/>
      <c r="L1010" s="547"/>
      <c r="M1010" s="64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</row>
    <row r="1011">
      <c r="A1011" s="84"/>
      <c r="B1011" s="639"/>
      <c r="C1011" s="84"/>
      <c r="D1011" s="534"/>
      <c r="E1011" s="640"/>
      <c r="F1011" s="84"/>
      <c r="G1011" s="84"/>
      <c r="H1011" s="84"/>
      <c r="I1011" s="535"/>
      <c r="J1011" s="535"/>
      <c r="K1011" s="535"/>
      <c r="L1011" s="535"/>
      <c r="M1011" s="391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</row>
    <row r="1012">
      <c r="A1012" s="53"/>
      <c r="B1012" s="641"/>
      <c r="C1012" s="53"/>
      <c r="D1012" s="546"/>
      <c r="E1012" s="642"/>
      <c r="F1012" s="53"/>
      <c r="G1012" s="53"/>
      <c r="H1012" s="53"/>
      <c r="I1012" s="547"/>
      <c r="J1012" s="547"/>
      <c r="K1012" s="547"/>
      <c r="L1012" s="547"/>
      <c r="M1012" s="64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</row>
    <row r="1013">
      <c r="A1013" s="84"/>
      <c r="B1013" s="639"/>
      <c r="C1013" s="84"/>
      <c r="D1013" s="534"/>
      <c r="E1013" s="640"/>
      <c r="F1013" s="84"/>
      <c r="G1013" s="84"/>
      <c r="H1013" s="84"/>
      <c r="I1013" s="535"/>
      <c r="J1013" s="535"/>
      <c r="K1013" s="535"/>
      <c r="L1013" s="535"/>
      <c r="M1013" s="391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</row>
    <row r="1014">
      <c r="A1014" s="53"/>
      <c r="B1014" s="641"/>
      <c r="C1014" s="53"/>
      <c r="D1014" s="546"/>
      <c r="E1014" s="642"/>
      <c r="F1014" s="53"/>
      <c r="G1014" s="53"/>
      <c r="H1014" s="53"/>
      <c r="I1014" s="547"/>
      <c r="J1014" s="547"/>
      <c r="K1014" s="547"/>
      <c r="L1014" s="547"/>
      <c r="M1014" s="64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</row>
    <row r="1015">
      <c r="A1015" s="84"/>
      <c r="B1015" s="639"/>
      <c r="C1015" s="84"/>
      <c r="D1015" s="534"/>
      <c r="E1015" s="640"/>
      <c r="F1015" s="84"/>
      <c r="G1015" s="84"/>
      <c r="H1015" s="84"/>
      <c r="I1015" s="535"/>
      <c r="J1015" s="535"/>
      <c r="K1015" s="535"/>
      <c r="L1015" s="535"/>
      <c r="M1015" s="391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</row>
    <row r="1016">
      <c r="A1016" s="53"/>
      <c r="B1016" s="641"/>
      <c r="C1016" s="53"/>
      <c r="D1016" s="546"/>
      <c r="E1016" s="642"/>
      <c r="F1016" s="53"/>
      <c r="G1016" s="53"/>
      <c r="H1016" s="53"/>
      <c r="I1016" s="547"/>
      <c r="J1016" s="547"/>
      <c r="K1016" s="547"/>
      <c r="L1016" s="547"/>
      <c r="M1016" s="64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</row>
    <row r="1017">
      <c r="A1017" s="84"/>
      <c r="B1017" s="639"/>
      <c r="C1017" s="84"/>
      <c r="D1017" s="534"/>
      <c r="E1017" s="640"/>
      <c r="F1017" s="84"/>
      <c r="G1017" s="84"/>
      <c r="H1017" s="84"/>
      <c r="I1017" s="535"/>
      <c r="J1017" s="535"/>
      <c r="K1017" s="535"/>
      <c r="L1017" s="535"/>
      <c r="M1017" s="391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</row>
  </sheetData>
  <mergeCells count="103">
    <mergeCell ref="M4:M11"/>
    <mergeCell ref="M12:M33"/>
    <mergeCell ref="M36:M44"/>
    <mergeCell ref="M45:M50"/>
    <mergeCell ref="M51:M66"/>
    <mergeCell ref="M67:M82"/>
    <mergeCell ref="M83:M94"/>
    <mergeCell ref="M143:M151"/>
    <mergeCell ref="M153:M183"/>
    <mergeCell ref="M114:M115"/>
    <mergeCell ref="M116:M117"/>
    <mergeCell ref="M118:M123"/>
    <mergeCell ref="M124:M129"/>
    <mergeCell ref="M130:M133"/>
    <mergeCell ref="M134:M139"/>
    <mergeCell ref="M141:M142"/>
    <mergeCell ref="A134:A136"/>
    <mergeCell ref="A137:A140"/>
    <mergeCell ref="A141:A142"/>
    <mergeCell ref="A143:A144"/>
    <mergeCell ref="A145:A146"/>
    <mergeCell ref="A147:A148"/>
    <mergeCell ref="A152:M152"/>
    <mergeCell ref="A118:A119"/>
    <mergeCell ref="A120:A121"/>
    <mergeCell ref="A122:A123"/>
    <mergeCell ref="A126:A127"/>
    <mergeCell ref="A128:A129"/>
    <mergeCell ref="A130:A131"/>
    <mergeCell ref="A132:A133"/>
    <mergeCell ref="A196:A198"/>
    <mergeCell ref="A223:A225"/>
    <mergeCell ref="A228:A230"/>
    <mergeCell ref="A233:A235"/>
    <mergeCell ref="A238:A240"/>
    <mergeCell ref="A243:A245"/>
    <mergeCell ref="A153:A154"/>
    <mergeCell ref="A155:A156"/>
    <mergeCell ref="A157:A158"/>
    <mergeCell ref="A159:A160"/>
    <mergeCell ref="A161:A166"/>
    <mergeCell ref="A167:A168"/>
    <mergeCell ref="A170:A171"/>
    <mergeCell ref="C223:C225"/>
    <mergeCell ref="C228:C230"/>
    <mergeCell ref="C233:C235"/>
    <mergeCell ref="C238:C240"/>
    <mergeCell ref="C243:C245"/>
    <mergeCell ref="A176:A178"/>
    <mergeCell ref="A179:A181"/>
    <mergeCell ref="A182:A183"/>
    <mergeCell ref="G182:H183"/>
    <mergeCell ref="A212:M212"/>
    <mergeCell ref="A214:M214"/>
    <mergeCell ref="A219:H222"/>
    <mergeCell ref="B1:M1"/>
    <mergeCell ref="I2:I3"/>
    <mergeCell ref="L2:L3"/>
    <mergeCell ref="G3:H3"/>
    <mergeCell ref="J3:K3"/>
    <mergeCell ref="A4:A5"/>
    <mergeCell ref="A10:A11"/>
    <mergeCell ref="A6:A7"/>
    <mergeCell ref="A8:A9"/>
    <mergeCell ref="A12:A13"/>
    <mergeCell ref="A14:A15"/>
    <mergeCell ref="A16:A17"/>
    <mergeCell ref="A19:A20"/>
    <mergeCell ref="A21:A22"/>
    <mergeCell ref="A23:A24"/>
    <mergeCell ref="A25:A26"/>
    <mergeCell ref="A27:A30"/>
    <mergeCell ref="A31:A33"/>
    <mergeCell ref="A34:A35"/>
    <mergeCell ref="A36:A38"/>
    <mergeCell ref="A39:A41"/>
    <mergeCell ref="A42:A44"/>
    <mergeCell ref="A45:A47"/>
    <mergeCell ref="A48:A50"/>
    <mergeCell ref="A51:A54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M95:M98"/>
    <mergeCell ref="M99:M101"/>
    <mergeCell ref="M102:M104"/>
    <mergeCell ref="M105:M107"/>
    <mergeCell ref="M108:M112"/>
    <mergeCell ref="A113:M113"/>
    <mergeCell ref="A95:A96"/>
    <mergeCell ref="A97:A98"/>
    <mergeCell ref="A99:A101"/>
    <mergeCell ref="A102:A104"/>
    <mergeCell ref="A105:A107"/>
    <mergeCell ref="A108:A110"/>
    <mergeCell ref="A111:A112"/>
  </mergeCells>
  <conditionalFormatting sqref="E4:F11">
    <cfRule type="containsBlanks" dxfId="1" priority="1">
      <formula>LEN(TRIM(E4))=0</formula>
    </cfRule>
  </conditionalFormatting>
  <conditionalFormatting sqref="E12:F33">
    <cfRule type="containsBlanks" dxfId="1" priority="2">
      <formula>LEN(TRIM(E12))=0</formula>
    </cfRule>
  </conditionalFormatting>
  <conditionalFormatting sqref="E34:F44">
    <cfRule type="containsBlanks" dxfId="1" priority="3">
      <formula>LEN(TRIM(E34))=0</formula>
    </cfRule>
  </conditionalFormatting>
  <conditionalFormatting sqref="E45:F112">
    <cfRule type="containsBlanks" dxfId="2" priority="4">
      <formula>LEN(TRIM(E45))=0</formula>
    </cfRule>
  </conditionalFormatting>
  <conditionalFormatting sqref="E114:F151">
    <cfRule type="containsBlanks" dxfId="1" priority="5">
      <formula>LEN(TRIM(E114))=0</formula>
    </cfRule>
  </conditionalFormatting>
  <conditionalFormatting sqref="E153:F211">
    <cfRule type="containsBlanks" dxfId="1" priority="6">
      <formula>LEN(TRIM(E153))=0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5"/>
    <col customWidth="1" min="3" max="3" width="14.88"/>
  </cols>
  <sheetData>
    <row r="1">
      <c r="A1" s="1"/>
      <c r="B1" s="1"/>
      <c r="C1" s="2"/>
    </row>
    <row r="2">
      <c r="A2" s="1"/>
      <c r="B2" s="1"/>
      <c r="C2" s="2"/>
    </row>
    <row r="3">
      <c r="A3" s="1"/>
      <c r="B3" s="1"/>
      <c r="C3" s="2"/>
    </row>
    <row r="4">
      <c r="A4" s="1"/>
      <c r="B4" s="1"/>
      <c r="C4" s="2"/>
    </row>
    <row r="5">
      <c r="A5" s="1"/>
      <c r="B5" s="1"/>
      <c r="C5" s="2"/>
    </row>
    <row r="6">
      <c r="A6" s="1"/>
      <c r="B6" s="1"/>
      <c r="C6" s="2"/>
    </row>
    <row r="7">
      <c r="A7" s="1"/>
      <c r="B7" s="1"/>
      <c r="C7" s="2"/>
    </row>
    <row r="8">
      <c r="A8" s="1"/>
      <c r="B8" s="1"/>
      <c r="C8" s="2"/>
    </row>
    <row r="9">
      <c r="A9" s="1"/>
      <c r="B9" s="1"/>
      <c r="C9" s="2"/>
    </row>
    <row r="10">
      <c r="A10" s="1"/>
      <c r="B10" s="1"/>
      <c r="C10" s="2"/>
    </row>
    <row r="11">
      <c r="A11" s="1"/>
      <c r="B11" s="1"/>
      <c r="C11" s="2"/>
    </row>
    <row r="12">
      <c r="A12" s="1"/>
      <c r="B12" s="1"/>
      <c r="C12" s="2"/>
    </row>
    <row r="13">
      <c r="A13" s="1"/>
      <c r="B13" s="1"/>
      <c r="C13" s="2"/>
    </row>
    <row r="14">
      <c r="A14" s="1"/>
      <c r="B14" s="1"/>
      <c r="C14" s="2"/>
    </row>
    <row r="15">
      <c r="A15" s="1"/>
      <c r="B15" s="1"/>
      <c r="C15" s="2"/>
    </row>
    <row r="16">
      <c r="A16" s="1"/>
      <c r="B16" s="1"/>
      <c r="C16" s="2"/>
    </row>
    <row r="17">
      <c r="A17" s="1"/>
      <c r="B17" s="1"/>
      <c r="C17" s="2"/>
    </row>
    <row r="18">
      <c r="A18" s="1"/>
      <c r="B18" s="1"/>
      <c r="C18" s="2"/>
    </row>
    <row r="19">
      <c r="A19" s="1"/>
      <c r="B19" s="1"/>
      <c r="C19" s="2"/>
    </row>
    <row r="20">
      <c r="A20" s="1"/>
      <c r="B20" s="1"/>
      <c r="C20" s="2"/>
    </row>
    <row r="21">
      <c r="A21" s="4"/>
      <c r="B21" s="4"/>
      <c r="C21" s="6"/>
    </row>
    <row r="22">
      <c r="A22" s="4"/>
      <c r="B22" s="4"/>
      <c r="C22" s="6"/>
    </row>
    <row r="23">
      <c r="A23" s="4"/>
      <c r="B23" s="4"/>
      <c r="C23" s="6"/>
    </row>
    <row r="24">
      <c r="A24" s="4"/>
      <c r="B24" s="4"/>
      <c r="C24" s="6"/>
    </row>
    <row r="25">
      <c r="A25" s="4"/>
      <c r="B25" s="4"/>
      <c r="C25" s="6"/>
    </row>
    <row r="26">
      <c r="A26" s="4"/>
      <c r="B26" s="4"/>
      <c r="C26" s="6"/>
    </row>
    <row r="27">
      <c r="A27" s="4"/>
      <c r="B27" s="4"/>
      <c r="C27" s="6"/>
    </row>
    <row r="28">
      <c r="A28" s="4"/>
      <c r="B28" s="4"/>
      <c r="C28" s="6"/>
    </row>
    <row r="29">
      <c r="A29" s="4"/>
      <c r="B29" s="4"/>
      <c r="C29" s="6"/>
    </row>
    <row r="30">
      <c r="A30" s="4"/>
      <c r="B30" s="4"/>
      <c r="C30" s="6"/>
    </row>
    <row r="31">
      <c r="A31" s="4"/>
      <c r="B31" s="4"/>
      <c r="C31" s="6"/>
    </row>
    <row r="32">
      <c r="A32" s="4"/>
      <c r="B32" s="4"/>
      <c r="C32" s="6"/>
    </row>
    <row r="33">
      <c r="A33" s="4"/>
      <c r="B33" s="4"/>
      <c r="C33" s="6"/>
    </row>
    <row r="34">
      <c r="A34" s="4"/>
      <c r="B34" s="4"/>
      <c r="C34" s="6"/>
    </row>
    <row r="35">
      <c r="A35" s="4"/>
      <c r="B35" s="4"/>
      <c r="C35" s="6"/>
    </row>
    <row r="36">
      <c r="A36" s="4"/>
      <c r="B36" s="4"/>
      <c r="C36" s="6"/>
    </row>
    <row r="37">
      <c r="A37" s="4"/>
      <c r="B37" s="4"/>
      <c r="C37" s="6"/>
    </row>
    <row r="38">
      <c r="A38" s="4"/>
      <c r="B38" s="4"/>
      <c r="C38" s="6"/>
    </row>
    <row r="39">
      <c r="A39" s="4"/>
      <c r="B39" s="4"/>
      <c r="C3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43.38"/>
    <col customWidth="1" min="3" max="3" width="39.25"/>
    <col customWidth="1" min="4" max="4" width="17.13"/>
    <col customWidth="1" min="5" max="5" width="39.25"/>
    <col customWidth="1" min="6" max="6" width="14.5"/>
    <col customWidth="1" min="7" max="7" width="16.25"/>
  </cols>
  <sheetData>
    <row r="1">
      <c r="A1" s="3"/>
      <c r="B1" s="7"/>
      <c r="C1" s="7"/>
      <c r="D1" s="7"/>
      <c r="E1" s="7"/>
      <c r="F1" s="7"/>
      <c r="G1" s="7"/>
      <c r="H1" s="7"/>
      <c r="I1" s="8"/>
      <c r="J1" s="8"/>
      <c r="K1" s="10"/>
      <c r="L1" s="12"/>
      <c r="M1" s="12"/>
      <c r="N1" s="12"/>
    </row>
    <row r="2">
      <c r="A2" s="14" t="s">
        <v>2</v>
      </c>
      <c r="B2" s="16"/>
      <c r="C2" s="16"/>
      <c r="D2" s="16"/>
      <c r="E2" s="16"/>
      <c r="F2" s="16"/>
      <c r="G2" s="7"/>
      <c r="H2" s="7"/>
      <c r="I2" s="8"/>
      <c r="J2" s="8"/>
      <c r="K2" s="10"/>
      <c r="L2" s="12"/>
      <c r="M2" s="12"/>
      <c r="N2" s="12"/>
    </row>
    <row r="3">
      <c r="A3" s="17" t="s">
        <v>3</v>
      </c>
      <c r="B3" s="18"/>
      <c r="C3" s="20"/>
      <c r="D3" s="22"/>
      <c r="E3" s="22"/>
      <c r="F3" s="22"/>
      <c r="G3" s="24"/>
      <c r="H3" s="7"/>
      <c r="I3" s="8"/>
      <c r="J3" s="8"/>
      <c r="K3" s="10"/>
      <c r="L3" s="26"/>
      <c r="M3" s="12"/>
      <c r="N3" s="12"/>
    </row>
    <row r="4">
      <c r="A4" s="27" t="s">
        <v>5</v>
      </c>
      <c r="B4" s="27" t="s">
        <v>6</v>
      </c>
      <c r="C4" s="29" t="s">
        <v>7</v>
      </c>
      <c r="D4" s="27" t="s">
        <v>8</v>
      </c>
      <c r="E4" s="27" t="s">
        <v>9</v>
      </c>
      <c r="F4" s="27" t="s">
        <v>10</v>
      </c>
      <c r="G4" s="27" t="s">
        <v>12</v>
      </c>
      <c r="H4" s="7"/>
      <c r="I4" s="8"/>
      <c r="J4" s="8"/>
      <c r="K4" s="10"/>
      <c r="L4" s="12"/>
      <c r="M4" s="12"/>
      <c r="N4" s="12"/>
    </row>
    <row r="5">
      <c r="A5" s="31" t="s">
        <v>13</v>
      </c>
      <c r="B5" s="33"/>
      <c r="C5" s="33"/>
      <c r="D5" s="33"/>
      <c r="E5" s="33"/>
      <c r="F5" s="33"/>
      <c r="G5" s="34"/>
      <c r="H5" s="35"/>
      <c r="I5" s="37"/>
      <c r="L5" s="26"/>
      <c r="M5" s="12"/>
      <c r="N5" s="12"/>
    </row>
    <row r="6">
      <c r="A6" s="38" t="s">
        <v>17</v>
      </c>
      <c r="B6" s="40">
        <v>3299.0</v>
      </c>
      <c r="C6" s="40">
        <v>2969.0</v>
      </c>
      <c r="D6" s="41">
        <v>0.1</v>
      </c>
      <c r="E6" s="40">
        <v>3299.0</v>
      </c>
      <c r="F6" s="43">
        <v>330.0</v>
      </c>
      <c r="G6" s="44"/>
      <c r="H6" s="45"/>
      <c r="I6" s="46"/>
      <c r="J6" s="46"/>
      <c r="K6" s="46"/>
      <c r="L6" s="12"/>
      <c r="M6" s="47"/>
      <c r="N6" s="47"/>
    </row>
    <row r="7">
      <c r="A7" s="38" t="s">
        <v>20</v>
      </c>
      <c r="B7" s="40">
        <v>3999.0</v>
      </c>
      <c r="C7" s="40">
        <v>3599.0</v>
      </c>
      <c r="D7" s="41">
        <v>0.1</v>
      </c>
      <c r="E7" s="40">
        <v>3999.0</v>
      </c>
      <c r="F7" s="49">
        <v>400.0</v>
      </c>
      <c r="G7" s="44"/>
      <c r="H7" s="51"/>
      <c r="I7" s="55"/>
      <c r="J7" s="55"/>
      <c r="K7" s="55"/>
      <c r="L7" s="47"/>
      <c r="M7" s="47"/>
      <c r="N7" s="47"/>
    </row>
    <row r="8">
      <c r="A8" s="38" t="s">
        <v>24</v>
      </c>
      <c r="B8" s="40">
        <v>5999.0</v>
      </c>
      <c r="C8" s="40">
        <v>5399.0</v>
      </c>
      <c r="D8" s="41">
        <v>0.1</v>
      </c>
      <c r="E8" s="40">
        <v>5999.0</v>
      </c>
      <c r="F8" s="49">
        <v>600.0</v>
      </c>
      <c r="G8" s="59" t="s">
        <v>25</v>
      </c>
      <c r="H8" s="51"/>
      <c r="I8" s="55"/>
      <c r="J8" s="55"/>
      <c r="K8" s="55"/>
      <c r="L8" s="47"/>
      <c r="M8" s="47"/>
      <c r="N8" s="47"/>
    </row>
    <row r="9">
      <c r="A9" s="38" t="s">
        <v>26</v>
      </c>
      <c r="B9" s="40">
        <v>7499.0</v>
      </c>
      <c r="C9" s="40">
        <v>6749.0</v>
      </c>
      <c r="D9" s="41">
        <v>0.1</v>
      </c>
      <c r="E9" s="40">
        <v>7499.0</v>
      </c>
      <c r="F9" s="49">
        <v>750.0</v>
      </c>
      <c r="G9" s="44"/>
      <c r="H9" s="51"/>
      <c r="I9" s="55"/>
      <c r="J9" s="55"/>
      <c r="K9" s="55"/>
      <c r="L9" s="47"/>
      <c r="M9" s="47"/>
      <c r="N9" s="47"/>
    </row>
    <row r="10">
      <c r="A10" s="38" t="s">
        <v>27</v>
      </c>
      <c r="B10" s="40">
        <v>8999.0</v>
      </c>
      <c r="C10" s="40">
        <v>8099.0</v>
      </c>
      <c r="D10" s="41">
        <v>0.1</v>
      </c>
      <c r="E10" s="40">
        <v>8999.0</v>
      </c>
      <c r="F10" s="49">
        <v>900.0</v>
      </c>
      <c r="G10" s="44"/>
      <c r="H10" s="51"/>
      <c r="I10" s="55"/>
      <c r="J10" s="55"/>
      <c r="K10" s="55"/>
      <c r="L10" s="47"/>
      <c r="M10" s="47"/>
      <c r="N10" s="47"/>
    </row>
    <row r="11">
      <c r="A11" s="38" t="s">
        <v>29</v>
      </c>
      <c r="B11" s="40">
        <v>13999.0</v>
      </c>
      <c r="C11" s="40">
        <v>12599.0</v>
      </c>
      <c r="D11" s="41">
        <v>0.1</v>
      </c>
      <c r="E11" s="40">
        <v>13999.0</v>
      </c>
      <c r="F11" s="43">
        <v>1400.0</v>
      </c>
      <c r="G11" s="73" t="s">
        <v>30</v>
      </c>
      <c r="H11" s="51"/>
      <c r="I11" s="55"/>
      <c r="J11" s="55"/>
      <c r="K11" s="55"/>
      <c r="L11" s="47"/>
      <c r="M11" s="47"/>
      <c r="N11" s="47"/>
    </row>
    <row r="12">
      <c r="A12" s="38" t="s">
        <v>35</v>
      </c>
      <c r="B12" s="40">
        <v>16999.0</v>
      </c>
      <c r="C12" s="40">
        <v>15299.0</v>
      </c>
      <c r="D12" s="41">
        <v>0.1</v>
      </c>
      <c r="E12" s="40">
        <v>15999.0</v>
      </c>
      <c r="F12" s="49">
        <v>700.0</v>
      </c>
      <c r="G12" s="76"/>
      <c r="H12" s="51"/>
      <c r="I12" s="55"/>
      <c r="J12" s="55"/>
      <c r="K12" s="55"/>
      <c r="L12" s="47"/>
      <c r="M12" s="47"/>
      <c r="N12" s="47"/>
    </row>
    <row r="13">
      <c r="A13" s="38" t="s">
        <v>37</v>
      </c>
      <c r="B13" s="40">
        <v>17999.0</v>
      </c>
      <c r="C13" s="40">
        <v>16199.0</v>
      </c>
      <c r="D13" s="41">
        <v>0.1</v>
      </c>
      <c r="E13" s="40">
        <v>16999.0</v>
      </c>
      <c r="F13" s="79">
        <v>800.0</v>
      </c>
      <c r="G13" s="76"/>
      <c r="H13" s="51"/>
      <c r="I13" s="55"/>
      <c r="J13" s="55"/>
      <c r="K13" s="55"/>
      <c r="L13" s="47"/>
      <c r="M13" s="47"/>
      <c r="N13" s="47"/>
    </row>
    <row r="14">
      <c r="A14" s="38" t="s">
        <v>39</v>
      </c>
      <c r="B14" s="40">
        <v>20999.0</v>
      </c>
      <c r="C14" s="40">
        <v>18899.0</v>
      </c>
      <c r="D14" s="41">
        <v>0.1</v>
      </c>
      <c r="E14" s="40">
        <v>19999.0</v>
      </c>
      <c r="F14" s="40">
        <v>1100.0</v>
      </c>
      <c r="G14" s="76"/>
      <c r="H14" s="51"/>
      <c r="I14" s="51"/>
      <c r="J14" s="51"/>
      <c r="K14" s="55"/>
      <c r="L14" s="47"/>
      <c r="M14" s="12"/>
      <c r="N14" s="47"/>
    </row>
    <row r="15">
      <c r="A15" s="81" t="s">
        <v>41</v>
      </c>
      <c r="B15" s="33"/>
      <c r="C15" s="83"/>
      <c r="D15" s="83"/>
      <c r="E15" s="83"/>
      <c r="F15" s="85"/>
      <c r="G15" s="87"/>
      <c r="H15" s="51"/>
      <c r="I15" s="51"/>
      <c r="J15" s="51"/>
      <c r="K15" s="55"/>
      <c r="L15" s="47"/>
      <c r="M15" s="47"/>
      <c r="N15" s="47"/>
    </row>
    <row r="16">
      <c r="A16" s="38" t="s">
        <v>42</v>
      </c>
      <c r="B16" s="40">
        <v>22900.0</v>
      </c>
      <c r="C16" s="40">
        <v>19465.0</v>
      </c>
      <c r="D16" s="41">
        <v>0.15</v>
      </c>
      <c r="E16" s="40">
        <v>21900.0</v>
      </c>
      <c r="F16" s="40">
        <v>2435.0</v>
      </c>
      <c r="G16" s="90" t="s">
        <v>30</v>
      </c>
      <c r="H16" s="51"/>
      <c r="I16" s="51"/>
      <c r="J16" s="51"/>
      <c r="K16" s="55"/>
      <c r="L16" s="92"/>
      <c r="M16" s="47"/>
      <c r="N16" s="47"/>
    </row>
    <row r="17">
      <c r="A17" s="38" t="s">
        <v>44</v>
      </c>
      <c r="B17" s="40">
        <v>26900.0</v>
      </c>
      <c r="C17" s="40">
        <v>22865.0</v>
      </c>
      <c r="D17" s="41">
        <v>0.15</v>
      </c>
      <c r="E17" s="40">
        <v>24900.0</v>
      </c>
      <c r="F17" s="40">
        <v>2035.0</v>
      </c>
      <c r="G17" s="76"/>
      <c r="H17" s="51"/>
      <c r="I17" s="51"/>
      <c r="J17" s="51"/>
      <c r="K17" s="55"/>
      <c r="L17" s="92"/>
      <c r="M17" s="47"/>
      <c r="N17" s="47"/>
    </row>
    <row r="18">
      <c r="A18" s="38" t="s">
        <v>46</v>
      </c>
      <c r="B18" s="40">
        <v>46900.0</v>
      </c>
      <c r="C18" s="40">
        <v>42210.0</v>
      </c>
      <c r="D18" s="41">
        <v>0.1</v>
      </c>
      <c r="E18" s="40">
        <v>44900.0</v>
      </c>
      <c r="F18" s="40">
        <v>2690.0</v>
      </c>
      <c r="G18" s="90" t="s">
        <v>47</v>
      </c>
      <c r="H18" s="51"/>
      <c r="I18" s="51"/>
      <c r="J18" s="51"/>
      <c r="K18" s="55"/>
      <c r="L18" s="92"/>
      <c r="M18" s="47"/>
      <c r="N18" s="47"/>
    </row>
    <row r="19">
      <c r="A19" s="38" t="s">
        <v>49</v>
      </c>
      <c r="B19" s="40">
        <v>40900.0</v>
      </c>
      <c r="C19" s="40">
        <v>36810.0</v>
      </c>
      <c r="D19" s="41">
        <v>0.1</v>
      </c>
      <c r="E19" s="40">
        <v>38900.0</v>
      </c>
      <c r="F19" s="40">
        <v>2090.0</v>
      </c>
      <c r="G19" s="90" t="s">
        <v>30</v>
      </c>
      <c r="H19" s="51"/>
      <c r="I19" s="51"/>
      <c r="J19" s="51"/>
      <c r="K19" s="55"/>
      <c r="L19" s="92"/>
      <c r="M19" s="47"/>
      <c r="N19" s="47"/>
    </row>
    <row r="20">
      <c r="A20" s="38" t="s">
        <v>50</v>
      </c>
      <c r="B20" s="40">
        <v>33900.0</v>
      </c>
      <c r="C20" s="40">
        <v>30510.0</v>
      </c>
      <c r="D20" s="41">
        <v>0.1</v>
      </c>
      <c r="E20" s="40">
        <v>31900.0</v>
      </c>
      <c r="F20" s="40">
        <v>1390.0</v>
      </c>
      <c r="G20" s="76"/>
      <c r="H20" s="51"/>
      <c r="I20" s="51"/>
      <c r="J20" s="51"/>
      <c r="K20" s="55"/>
      <c r="L20" s="92"/>
      <c r="M20" s="47"/>
      <c r="N20" s="47"/>
    </row>
    <row r="21">
      <c r="A21" s="81" t="s">
        <v>51</v>
      </c>
      <c r="B21" s="33"/>
      <c r="C21" s="83"/>
      <c r="D21" s="83"/>
      <c r="E21" s="83"/>
      <c r="F21" s="85"/>
      <c r="G21" s="87"/>
      <c r="H21" s="51"/>
      <c r="I21" s="51"/>
      <c r="J21" s="51"/>
      <c r="K21" s="55"/>
      <c r="L21" s="92"/>
      <c r="M21" s="47"/>
      <c r="N21" s="47"/>
    </row>
    <row r="22">
      <c r="A22" s="38" t="s">
        <v>53</v>
      </c>
      <c r="B22" s="40">
        <v>40900.0</v>
      </c>
      <c r="C22" s="40">
        <v>34765.0</v>
      </c>
      <c r="D22" s="41">
        <v>0.15</v>
      </c>
      <c r="E22" s="40">
        <v>36900.0</v>
      </c>
      <c r="F22" s="43">
        <v>2135.0</v>
      </c>
      <c r="G22" s="90" t="s">
        <v>30</v>
      </c>
      <c r="H22" s="51"/>
      <c r="I22" s="51"/>
      <c r="J22" s="51"/>
      <c r="K22" s="55"/>
      <c r="L22" s="92"/>
      <c r="M22" s="47"/>
      <c r="N22" s="47"/>
    </row>
    <row r="23">
      <c r="A23" s="38" t="s">
        <v>54</v>
      </c>
      <c r="B23" s="40">
        <v>48900.0</v>
      </c>
      <c r="C23" s="40">
        <v>41565.0</v>
      </c>
      <c r="D23" s="41">
        <v>0.15</v>
      </c>
      <c r="E23" s="40">
        <v>44900.0</v>
      </c>
      <c r="F23" s="43">
        <v>3335.0</v>
      </c>
      <c r="G23" s="76"/>
      <c r="H23" s="51"/>
      <c r="I23" s="51"/>
      <c r="J23" s="51"/>
      <c r="K23" s="55"/>
      <c r="L23" s="92"/>
      <c r="M23" s="47"/>
      <c r="N23" s="47"/>
    </row>
    <row r="24">
      <c r="A24" s="81" t="s">
        <v>55</v>
      </c>
      <c r="B24" s="83"/>
      <c r="C24" s="83"/>
      <c r="D24" s="83"/>
      <c r="E24" s="83"/>
      <c r="F24" s="85"/>
      <c r="G24" s="100"/>
      <c r="H24" s="51"/>
      <c r="I24" s="51"/>
      <c r="J24" s="51"/>
      <c r="K24" s="55"/>
      <c r="L24" s="92"/>
      <c r="M24" s="47"/>
      <c r="N24" s="47"/>
    </row>
    <row r="25">
      <c r="A25" s="38" t="s">
        <v>56</v>
      </c>
      <c r="B25" s="40">
        <v>7490.0</v>
      </c>
      <c r="C25" s="40">
        <v>6367.0</v>
      </c>
      <c r="D25" s="41">
        <v>0.15</v>
      </c>
      <c r="E25" s="40">
        <v>6990.0</v>
      </c>
      <c r="F25" s="49">
        <v>624.0</v>
      </c>
      <c r="G25" s="103" t="s">
        <v>57</v>
      </c>
      <c r="H25" s="51"/>
      <c r="I25" s="51"/>
      <c r="J25" s="51"/>
      <c r="K25" s="55"/>
      <c r="L25" s="92"/>
      <c r="M25" s="47"/>
      <c r="N25" s="47"/>
    </row>
    <row r="26">
      <c r="A26" s="38" t="s">
        <v>59</v>
      </c>
      <c r="B26" s="40">
        <v>8490.0</v>
      </c>
      <c r="C26" s="40">
        <v>7217.0</v>
      </c>
      <c r="D26" s="41">
        <v>0.15</v>
      </c>
      <c r="E26" s="40">
        <v>7990.0</v>
      </c>
      <c r="F26" s="49">
        <v>774.0</v>
      </c>
      <c r="G26" s="76"/>
      <c r="H26" s="51"/>
      <c r="I26" s="51"/>
      <c r="J26" s="51"/>
      <c r="K26" s="55"/>
      <c r="L26" s="92"/>
      <c r="M26" s="47"/>
      <c r="N26" s="47"/>
    </row>
    <row r="27">
      <c r="A27" s="38" t="s">
        <v>60</v>
      </c>
      <c r="B27" s="40">
        <v>10490.0</v>
      </c>
      <c r="C27" s="40">
        <v>8917.0</v>
      </c>
      <c r="D27" s="41">
        <v>0.15</v>
      </c>
      <c r="E27" s="40">
        <v>9990.0</v>
      </c>
      <c r="F27" s="43">
        <v>1074.0</v>
      </c>
      <c r="G27" s="76"/>
      <c r="H27" s="51"/>
      <c r="I27" s="51"/>
      <c r="J27" s="51"/>
      <c r="K27" s="55"/>
      <c r="L27" s="92"/>
      <c r="M27" s="47"/>
      <c r="N27" s="47"/>
    </row>
    <row r="28">
      <c r="A28" s="81" t="s">
        <v>61</v>
      </c>
      <c r="B28" s="83"/>
      <c r="C28" s="83"/>
      <c r="D28" s="83"/>
      <c r="E28" s="83"/>
      <c r="F28" s="85"/>
      <c r="G28" s="100"/>
      <c r="H28" s="51"/>
      <c r="I28" s="51"/>
      <c r="J28" s="51"/>
      <c r="K28" s="55"/>
      <c r="L28" s="92"/>
      <c r="M28" s="47"/>
      <c r="N28" s="47"/>
    </row>
    <row r="29">
      <c r="A29" s="109" t="s">
        <v>62</v>
      </c>
      <c r="B29" s="40">
        <v>12990.0</v>
      </c>
      <c r="C29" s="40">
        <v>11691.0</v>
      </c>
      <c r="D29" s="41">
        <v>0.1</v>
      </c>
      <c r="E29" s="40">
        <v>12990.0</v>
      </c>
      <c r="F29" s="43">
        <v>1299.0</v>
      </c>
      <c r="G29" s="113" t="s">
        <v>63</v>
      </c>
      <c r="H29" s="51"/>
      <c r="I29" s="51"/>
      <c r="J29" s="51"/>
      <c r="K29" s="55"/>
      <c r="L29" s="92"/>
      <c r="M29" s="47"/>
      <c r="N29" s="47"/>
    </row>
    <row r="30">
      <c r="A30" s="109" t="s">
        <v>64</v>
      </c>
      <c r="B30" s="40">
        <v>16990.0</v>
      </c>
      <c r="C30" s="40">
        <v>15291.0</v>
      </c>
      <c r="D30" s="41">
        <v>0.1</v>
      </c>
      <c r="E30" s="40">
        <v>16990.0</v>
      </c>
      <c r="F30" s="43">
        <v>1699.0</v>
      </c>
      <c r="G30" s="76"/>
      <c r="H30" s="51"/>
      <c r="I30" s="51"/>
      <c r="J30" s="51"/>
      <c r="K30" s="55"/>
      <c r="L30" s="92"/>
      <c r="M30" s="47"/>
      <c r="N30" s="47"/>
    </row>
    <row r="31">
      <c r="A31" s="31" t="s">
        <v>66</v>
      </c>
      <c r="B31" s="83"/>
      <c r="C31" s="83"/>
      <c r="D31" s="83"/>
      <c r="E31" s="83"/>
      <c r="F31" s="85"/>
      <c r="G31" s="100"/>
      <c r="H31" s="51"/>
      <c r="I31" s="51"/>
      <c r="J31" s="51"/>
      <c r="K31" s="55"/>
      <c r="L31" s="92"/>
      <c r="M31" s="47"/>
      <c r="N31" s="47"/>
    </row>
    <row r="32">
      <c r="A32" s="109" t="s">
        <v>67</v>
      </c>
      <c r="B32" s="40">
        <v>19900.0</v>
      </c>
      <c r="C32" s="40">
        <v>16915.0</v>
      </c>
      <c r="D32" s="41">
        <v>0.15</v>
      </c>
      <c r="E32" s="40">
        <v>17900.0</v>
      </c>
      <c r="F32" s="49">
        <v>985.0</v>
      </c>
      <c r="G32" s="73" t="s">
        <v>68</v>
      </c>
      <c r="H32" s="51"/>
      <c r="I32" s="51"/>
      <c r="J32" s="51"/>
      <c r="K32" s="55"/>
      <c r="L32" s="92"/>
      <c r="M32" s="47"/>
      <c r="N32" s="47"/>
    </row>
    <row r="33">
      <c r="A33" s="109" t="s">
        <v>69</v>
      </c>
      <c r="B33" s="40">
        <v>22900.0</v>
      </c>
      <c r="C33" s="40">
        <v>19465.0</v>
      </c>
      <c r="D33" s="41">
        <v>0.15</v>
      </c>
      <c r="E33" s="40">
        <v>20900.0</v>
      </c>
      <c r="F33" s="43">
        <v>1435.0</v>
      </c>
      <c r="G33" s="76"/>
      <c r="H33" s="51"/>
      <c r="I33" s="51"/>
      <c r="J33" s="51"/>
      <c r="K33" s="55"/>
      <c r="L33" s="92"/>
      <c r="M33" s="47"/>
      <c r="N33" s="47"/>
    </row>
    <row r="34">
      <c r="A34" s="109" t="s">
        <v>70</v>
      </c>
      <c r="B34" s="40">
        <v>27900.0</v>
      </c>
      <c r="C34" s="40">
        <v>23715.0</v>
      </c>
      <c r="D34" s="41">
        <v>0.15</v>
      </c>
      <c r="E34" s="40">
        <v>23900.0</v>
      </c>
      <c r="F34" s="49">
        <v>185.0</v>
      </c>
      <c r="G34" s="76"/>
      <c r="H34" s="51"/>
      <c r="I34" s="51"/>
      <c r="J34" s="51"/>
      <c r="K34" s="55"/>
      <c r="L34" s="92"/>
      <c r="M34" s="47"/>
      <c r="N34" s="47"/>
    </row>
    <row r="35">
      <c r="A35" s="109" t="s">
        <v>71</v>
      </c>
      <c r="B35" s="40">
        <v>30900.0</v>
      </c>
      <c r="C35" s="40">
        <v>26265.0</v>
      </c>
      <c r="D35" s="41">
        <v>0.15</v>
      </c>
      <c r="E35" s="40">
        <v>26900.0</v>
      </c>
      <c r="F35" s="49">
        <v>635.0</v>
      </c>
      <c r="G35" s="76"/>
      <c r="H35" s="51"/>
      <c r="I35" s="51"/>
      <c r="J35" s="51"/>
      <c r="K35" s="55"/>
      <c r="L35" s="92"/>
      <c r="M35" s="47"/>
      <c r="N35" s="47"/>
    </row>
    <row r="36">
      <c r="A36" s="31" t="s">
        <v>72</v>
      </c>
      <c r="B36" s="83"/>
      <c r="C36" s="83"/>
      <c r="D36" s="83"/>
      <c r="E36" s="83"/>
      <c r="F36" s="85"/>
      <c r="G36" s="100"/>
      <c r="H36" s="51"/>
      <c r="I36" s="51"/>
      <c r="J36" s="51"/>
      <c r="K36" s="55"/>
      <c r="L36" s="92"/>
      <c r="M36" s="47"/>
      <c r="N36" s="47"/>
    </row>
    <row r="37">
      <c r="A37" s="109" t="s">
        <v>74</v>
      </c>
      <c r="B37" s="40">
        <v>28900.0</v>
      </c>
      <c r="C37" s="40">
        <v>24565.0</v>
      </c>
      <c r="D37" s="41">
        <v>0.15</v>
      </c>
      <c r="E37" s="40">
        <v>26900.0</v>
      </c>
      <c r="F37" s="43">
        <v>2335.0</v>
      </c>
      <c r="G37" s="73" t="s">
        <v>68</v>
      </c>
      <c r="H37" s="51"/>
      <c r="I37" s="51"/>
      <c r="J37" s="51"/>
      <c r="K37" s="55"/>
      <c r="L37" s="92"/>
      <c r="M37" s="47"/>
      <c r="N37" s="47"/>
    </row>
    <row r="38">
      <c r="A38" s="109" t="s">
        <v>75</v>
      </c>
      <c r="B38" s="40">
        <v>33900.0</v>
      </c>
      <c r="C38" s="40">
        <v>28815.0</v>
      </c>
      <c r="D38" s="41">
        <v>0.15</v>
      </c>
      <c r="E38" s="40">
        <v>31900.0</v>
      </c>
      <c r="F38" s="43">
        <v>3085.0</v>
      </c>
      <c r="G38" s="76"/>
      <c r="H38" s="51"/>
      <c r="I38" s="51"/>
      <c r="J38" s="51"/>
      <c r="K38" s="55"/>
      <c r="L38" s="92"/>
      <c r="M38" s="47"/>
      <c r="N38" s="47"/>
    </row>
    <row r="39">
      <c r="A39" s="109" t="s">
        <v>77</v>
      </c>
      <c r="B39" s="40">
        <v>48900.0</v>
      </c>
      <c r="C39" s="40">
        <v>41565.0</v>
      </c>
      <c r="D39" s="41">
        <v>0.15</v>
      </c>
      <c r="E39" s="40">
        <v>45900.0</v>
      </c>
      <c r="F39" s="43">
        <v>4335.0</v>
      </c>
      <c r="G39" s="76"/>
      <c r="H39" s="51"/>
      <c r="I39" s="51"/>
      <c r="J39" s="51"/>
      <c r="K39" s="55"/>
      <c r="L39" s="92"/>
      <c r="M39" s="47"/>
      <c r="N39" s="47"/>
    </row>
    <row r="40">
      <c r="A40" s="10"/>
      <c r="B40" s="7"/>
      <c r="C40" s="7"/>
      <c r="D40" s="7"/>
      <c r="E40" s="7"/>
      <c r="F40" s="126"/>
      <c r="G40" s="7"/>
      <c r="H40" s="51"/>
      <c r="I40" s="51"/>
      <c r="J40" s="51"/>
      <c r="K40" s="55"/>
      <c r="L40" s="92"/>
      <c r="M40" s="47"/>
      <c r="N40" s="47"/>
    </row>
    <row r="41">
      <c r="A41" s="10"/>
      <c r="B41" s="7"/>
      <c r="C41" s="7"/>
      <c r="D41" s="7"/>
      <c r="E41" s="7"/>
      <c r="F41" s="126"/>
      <c r="G41" s="7"/>
      <c r="H41" s="51"/>
      <c r="I41" s="51"/>
      <c r="J41" s="51"/>
      <c r="K41" s="55"/>
      <c r="L41" s="92"/>
      <c r="M41" s="47"/>
      <c r="N41" s="47"/>
    </row>
    <row r="42">
      <c r="A42" s="10"/>
      <c r="B42" s="7"/>
      <c r="C42" s="7"/>
      <c r="D42" s="7"/>
      <c r="E42" s="7"/>
      <c r="F42" s="126"/>
      <c r="G42" s="7"/>
      <c r="H42" s="51"/>
      <c r="I42" s="51"/>
      <c r="J42" s="51"/>
      <c r="K42" s="55"/>
      <c r="L42" s="92"/>
      <c r="M42" s="47"/>
      <c r="N42" s="47"/>
    </row>
    <row r="43">
      <c r="A43" s="10"/>
      <c r="B43" s="7"/>
      <c r="C43" s="7"/>
      <c r="D43" s="7"/>
      <c r="E43" s="7"/>
      <c r="F43" s="126"/>
      <c r="G43" s="7"/>
      <c r="H43" s="51"/>
      <c r="I43" s="51"/>
      <c r="J43" s="51"/>
      <c r="K43" s="55"/>
      <c r="L43" s="92"/>
      <c r="M43" s="47"/>
      <c r="N43" s="47"/>
    </row>
    <row r="44">
      <c r="A44" s="10"/>
      <c r="B44" s="7"/>
      <c r="C44" s="7"/>
      <c r="D44" s="7"/>
      <c r="E44" s="7"/>
      <c r="F44" s="126"/>
      <c r="G44" s="7"/>
      <c r="H44" s="51"/>
      <c r="I44" s="55"/>
      <c r="J44" s="55"/>
      <c r="K44" s="55"/>
      <c r="L44" s="92"/>
      <c r="M44" s="47"/>
      <c r="N44" s="47"/>
    </row>
    <row r="45">
      <c r="A45" s="10"/>
      <c r="B45" s="7"/>
      <c r="C45" s="7"/>
      <c r="D45" s="7"/>
      <c r="E45" s="7"/>
      <c r="F45" s="126"/>
      <c r="G45" s="7"/>
      <c r="H45" s="51"/>
      <c r="I45" s="51"/>
      <c r="J45" s="51"/>
      <c r="K45" s="55"/>
      <c r="L45" s="92"/>
      <c r="M45" s="47"/>
      <c r="N45" s="47"/>
    </row>
    <row r="46">
      <c r="A46" s="10"/>
      <c r="B46" s="7"/>
      <c r="C46" s="7"/>
      <c r="D46" s="7"/>
      <c r="E46" s="7"/>
      <c r="F46" s="126"/>
      <c r="G46" s="7"/>
      <c r="H46" s="51"/>
      <c r="I46" s="51"/>
      <c r="J46" s="51"/>
      <c r="K46" s="55"/>
      <c r="L46" s="92"/>
      <c r="M46" s="47"/>
      <c r="N46" s="47"/>
    </row>
    <row r="47">
      <c r="A47" s="10"/>
      <c r="B47" s="7"/>
      <c r="C47" s="7"/>
      <c r="D47" s="7"/>
      <c r="E47" s="7"/>
      <c r="F47" s="126"/>
      <c r="G47" s="7"/>
      <c r="H47" s="51"/>
      <c r="I47" s="51"/>
      <c r="J47" s="51"/>
      <c r="K47" s="55"/>
      <c r="L47" s="92"/>
      <c r="M47" s="47"/>
      <c r="N47" s="47"/>
    </row>
    <row r="48">
      <c r="A48" s="10"/>
      <c r="B48" s="7"/>
      <c r="C48" s="7"/>
      <c r="D48" s="7"/>
      <c r="E48" s="7"/>
      <c r="F48" s="126"/>
      <c r="G48" s="7"/>
      <c r="H48" s="51"/>
      <c r="I48" s="51"/>
      <c r="J48" s="51"/>
      <c r="K48" s="55"/>
      <c r="L48" s="92"/>
      <c r="M48" s="47"/>
      <c r="N48" s="47"/>
    </row>
    <row r="49">
      <c r="A49" s="10"/>
      <c r="B49" s="7"/>
      <c r="C49" s="7"/>
      <c r="D49" s="7"/>
      <c r="E49" s="7"/>
      <c r="F49" s="126"/>
      <c r="G49" s="7"/>
      <c r="H49" s="51"/>
      <c r="I49" s="51"/>
      <c r="J49" s="51"/>
      <c r="K49" s="55"/>
      <c r="L49" s="138"/>
      <c r="M49" s="47"/>
      <c r="N49" s="47"/>
    </row>
    <row r="50">
      <c r="A50" s="10"/>
      <c r="B50" s="7"/>
      <c r="C50" s="7"/>
      <c r="D50" s="7"/>
      <c r="E50" s="7"/>
      <c r="F50" s="126"/>
      <c r="G50" s="7"/>
      <c r="H50" s="51"/>
      <c r="I50" s="51"/>
      <c r="J50" s="51"/>
      <c r="K50" s="55"/>
      <c r="L50" s="138"/>
      <c r="M50" s="47"/>
      <c r="N50" s="47"/>
    </row>
    <row r="51">
      <c r="A51" s="10"/>
      <c r="B51" s="7"/>
      <c r="C51" s="7"/>
      <c r="D51" s="7"/>
      <c r="E51" s="7"/>
      <c r="F51" s="126"/>
      <c r="G51" s="7"/>
      <c r="H51" s="51"/>
      <c r="I51" s="51"/>
      <c r="J51" s="51"/>
      <c r="K51" s="55"/>
      <c r="L51" s="138"/>
      <c r="M51" s="47"/>
      <c r="N51" s="47"/>
    </row>
    <row r="52">
      <c r="A52" s="10"/>
      <c r="B52" s="7"/>
      <c r="C52" s="7"/>
      <c r="D52" s="7"/>
      <c r="E52" s="7"/>
      <c r="F52" s="126"/>
      <c r="G52" s="7"/>
      <c r="H52" s="51"/>
      <c r="I52" s="51"/>
      <c r="J52" s="51"/>
      <c r="K52" s="55"/>
      <c r="L52" s="138"/>
      <c r="M52" s="47"/>
      <c r="N52" s="47"/>
    </row>
    <row r="53">
      <c r="A53" s="10"/>
      <c r="B53" s="7"/>
      <c r="C53" s="7"/>
      <c r="D53" s="7"/>
      <c r="E53" s="7"/>
      <c r="F53" s="126"/>
      <c r="G53" s="7"/>
      <c r="H53" s="51"/>
      <c r="I53" s="51"/>
      <c r="J53" s="51"/>
      <c r="K53" s="55"/>
      <c r="L53" s="138"/>
      <c r="M53" s="47"/>
      <c r="N53" s="47"/>
    </row>
    <row r="54">
      <c r="A54" s="10"/>
      <c r="B54" s="7"/>
      <c r="C54" s="7"/>
      <c r="D54" s="7"/>
      <c r="E54" s="7"/>
      <c r="F54" s="126"/>
      <c r="G54" s="7"/>
      <c r="H54" s="51"/>
      <c r="I54" s="51"/>
      <c r="J54" s="51"/>
      <c r="K54" s="55"/>
      <c r="L54" s="138"/>
      <c r="M54" s="47"/>
      <c r="N54" s="47"/>
    </row>
    <row r="55">
      <c r="A55" s="10"/>
      <c r="B55" s="7"/>
      <c r="C55" s="7"/>
      <c r="D55" s="7"/>
      <c r="E55" s="7"/>
      <c r="F55" s="126"/>
      <c r="G55" s="7"/>
      <c r="H55" s="51"/>
      <c r="I55" s="51"/>
      <c r="J55" s="51"/>
      <c r="K55" s="55"/>
      <c r="L55" s="138"/>
      <c r="M55" s="47"/>
      <c r="N55" s="47"/>
    </row>
    <row r="56">
      <c r="A56" s="7"/>
      <c r="B56" s="7"/>
      <c r="C56" s="7"/>
      <c r="D56" s="7"/>
      <c r="E56" s="7"/>
      <c r="F56" s="126"/>
      <c r="G56" s="7"/>
      <c r="H56" s="51"/>
      <c r="I56" s="51"/>
      <c r="J56" s="51"/>
      <c r="K56" s="55"/>
      <c r="L56" s="92"/>
      <c r="M56" s="47"/>
      <c r="N56" s="47"/>
    </row>
    <row r="57">
      <c r="A57" s="7"/>
      <c r="B57" s="7"/>
      <c r="C57" s="7"/>
      <c r="D57" s="7"/>
      <c r="E57" s="7"/>
      <c r="F57" s="126"/>
      <c r="G57" s="7"/>
      <c r="H57" s="51"/>
      <c r="I57" s="51"/>
      <c r="J57" s="51"/>
      <c r="K57" s="55"/>
      <c r="L57" s="92"/>
      <c r="M57" s="47"/>
      <c r="N57" s="47"/>
    </row>
    <row r="58">
      <c r="A58" s="7"/>
      <c r="B58" s="7"/>
      <c r="C58" s="7"/>
      <c r="D58" s="7"/>
      <c r="E58" s="7"/>
      <c r="F58" s="126"/>
      <c r="G58" s="7"/>
      <c r="H58" s="51"/>
      <c r="I58" s="51"/>
      <c r="J58" s="51"/>
      <c r="K58" s="55"/>
      <c r="L58" s="92"/>
      <c r="M58" s="47"/>
      <c r="N58" s="47"/>
    </row>
    <row r="59">
      <c r="A59" s="7"/>
      <c r="B59" s="7"/>
      <c r="C59" s="7"/>
      <c r="D59" s="7"/>
      <c r="E59" s="7"/>
      <c r="F59" s="126"/>
      <c r="G59" s="7"/>
      <c r="H59" s="51"/>
      <c r="I59" s="51"/>
      <c r="J59" s="51"/>
      <c r="K59" s="55"/>
      <c r="L59" s="92"/>
      <c r="M59" s="47"/>
      <c r="N59" s="47"/>
    </row>
    <row r="60">
      <c r="A60" s="7"/>
      <c r="B60" s="7"/>
      <c r="C60" s="7"/>
      <c r="D60" s="7"/>
      <c r="E60" s="7"/>
      <c r="F60" s="126"/>
      <c r="G60" s="7"/>
      <c r="H60" s="51"/>
      <c r="I60" s="51"/>
      <c r="J60" s="51"/>
      <c r="K60" s="55"/>
      <c r="L60" s="92"/>
      <c r="M60" s="47"/>
      <c r="N60" s="47"/>
    </row>
    <row r="61">
      <c r="A61" s="146"/>
      <c r="B61" s="146"/>
      <c r="C61" s="146"/>
      <c r="D61" s="51"/>
      <c r="E61" s="51"/>
      <c r="F61" s="147"/>
      <c r="G61" s="148"/>
      <c r="H61" s="51"/>
      <c r="I61" s="51"/>
      <c r="J61" s="51"/>
      <c r="K61" s="55"/>
      <c r="L61" s="92"/>
      <c r="M61" s="47"/>
      <c r="N61" s="47"/>
    </row>
    <row r="62">
      <c r="A62" s="149"/>
      <c r="B62" s="149"/>
      <c r="C62" s="149"/>
      <c r="D62" s="151"/>
      <c r="E62" s="151"/>
      <c r="F62" s="149"/>
      <c r="G62" s="151"/>
      <c r="H62" s="151"/>
      <c r="I62" s="47"/>
      <c r="J62" s="151"/>
      <c r="K62" s="151"/>
      <c r="L62" s="47"/>
      <c r="M62" s="47"/>
      <c r="N62" s="47"/>
    </row>
    <row r="63">
      <c r="A63" s="149"/>
      <c r="B63" s="149"/>
      <c r="C63" s="149"/>
      <c r="D63" s="151"/>
      <c r="E63" s="151"/>
      <c r="F63" s="149"/>
      <c r="G63" s="151"/>
      <c r="H63" s="151"/>
      <c r="I63" s="47"/>
      <c r="J63" s="151"/>
      <c r="K63" s="151"/>
      <c r="L63" s="47"/>
      <c r="M63" s="47"/>
      <c r="N63" s="47"/>
    </row>
    <row r="64">
      <c r="A64" s="149"/>
      <c r="B64" s="149"/>
      <c r="C64" s="149"/>
      <c r="D64" s="151"/>
      <c r="E64" s="151"/>
      <c r="F64" s="151"/>
      <c r="G64" s="151"/>
      <c r="H64" s="151"/>
      <c r="I64" s="151"/>
      <c r="J64" s="151"/>
      <c r="K64" s="151"/>
      <c r="L64" s="47"/>
      <c r="M64" s="47"/>
      <c r="N64" s="47"/>
    </row>
    <row r="65">
      <c r="A65" s="149"/>
      <c r="B65" s="149"/>
      <c r="C65" s="149"/>
      <c r="D65" s="151"/>
      <c r="E65" s="151"/>
      <c r="F65" s="151"/>
      <c r="G65" s="151"/>
      <c r="H65" s="151"/>
      <c r="I65" s="151"/>
      <c r="J65" s="151"/>
      <c r="K65" s="151"/>
      <c r="L65" s="47"/>
      <c r="M65" s="47"/>
      <c r="N65" s="47"/>
    </row>
    <row r="66">
      <c r="A66" s="149"/>
      <c r="B66" s="149"/>
      <c r="C66" s="149"/>
      <c r="D66" s="151"/>
      <c r="E66" s="151"/>
      <c r="F66" s="151"/>
      <c r="G66" s="151"/>
      <c r="H66" s="149"/>
      <c r="I66" s="149"/>
      <c r="J66" s="151"/>
      <c r="K66" s="151"/>
      <c r="L66" s="47"/>
      <c r="M66" s="47"/>
      <c r="N66" s="47"/>
    </row>
    <row r="67">
      <c r="A67" s="149"/>
      <c r="B67" s="149"/>
      <c r="C67" s="149"/>
      <c r="D67" s="151"/>
      <c r="E67" s="151"/>
      <c r="F67" s="151"/>
      <c r="G67" s="151"/>
      <c r="H67" s="149"/>
      <c r="I67" s="149"/>
      <c r="J67" s="151"/>
      <c r="K67" s="151"/>
      <c r="L67" s="47"/>
      <c r="M67" s="47"/>
      <c r="N67" s="47"/>
    </row>
    <row r="68">
      <c r="A68" s="149"/>
      <c r="B68" s="149"/>
      <c r="C68" s="149"/>
      <c r="D68" s="151"/>
      <c r="E68" s="151"/>
      <c r="F68" s="151"/>
      <c r="G68" s="151"/>
      <c r="H68" s="149"/>
      <c r="I68" s="151"/>
      <c r="J68" s="151"/>
      <c r="K68" s="151"/>
      <c r="L68" s="47"/>
      <c r="M68" s="47"/>
      <c r="N68" s="47"/>
    </row>
    <row r="69">
      <c r="A69" s="149"/>
      <c r="B69" s="149"/>
      <c r="C69" s="149"/>
      <c r="D69" s="155"/>
      <c r="E69" s="47"/>
      <c r="F69" s="151"/>
      <c r="G69" s="151"/>
      <c r="H69" s="149"/>
      <c r="I69" s="151"/>
      <c r="J69" s="151"/>
      <c r="K69" s="151"/>
      <c r="L69" s="47"/>
      <c r="M69" s="47"/>
      <c r="N69" s="47"/>
    </row>
    <row r="70">
      <c r="A70" s="149"/>
      <c r="B70" s="149"/>
      <c r="C70" s="149"/>
      <c r="D70" s="155"/>
      <c r="E70" s="47"/>
      <c r="F70" s="151"/>
      <c r="G70" s="151"/>
      <c r="H70" s="149"/>
      <c r="I70" s="151"/>
      <c r="J70" s="151"/>
      <c r="K70" s="151"/>
      <c r="L70" s="47"/>
      <c r="M70" s="47"/>
      <c r="N70" s="47"/>
    </row>
    <row r="71">
      <c r="A71" s="149"/>
      <c r="B71" s="149"/>
      <c r="C71" s="149"/>
      <c r="D71" s="155"/>
      <c r="E71" s="47"/>
      <c r="F71" s="151"/>
      <c r="G71" s="151"/>
      <c r="H71" s="149"/>
      <c r="I71" s="151"/>
      <c r="J71" s="151"/>
      <c r="K71" s="151"/>
      <c r="L71" s="47"/>
      <c r="M71" s="47"/>
      <c r="N71" s="47"/>
    </row>
    <row r="72">
      <c r="A72" s="149"/>
      <c r="B72" s="149"/>
      <c r="C72" s="149"/>
      <c r="D72" s="155"/>
      <c r="E72" s="47"/>
      <c r="F72" s="151"/>
      <c r="G72" s="151"/>
      <c r="H72" s="149"/>
      <c r="I72" s="151"/>
      <c r="J72" s="151"/>
      <c r="K72" s="151"/>
      <c r="L72" s="47"/>
      <c r="M72" s="47"/>
      <c r="N72" s="47"/>
    </row>
    <row r="73">
      <c r="A73" s="149"/>
      <c r="B73" s="149"/>
      <c r="C73" s="149"/>
      <c r="D73" s="155"/>
      <c r="E73" s="47"/>
      <c r="F73" s="151"/>
      <c r="G73" s="151"/>
      <c r="H73" s="149"/>
      <c r="I73" s="151"/>
      <c r="J73" s="151"/>
      <c r="K73" s="151"/>
      <c r="L73" s="47"/>
      <c r="M73" s="47"/>
      <c r="N73" s="47"/>
    </row>
    <row r="74">
      <c r="A74" s="149"/>
      <c r="B74" s="149"/>
      <c r="C74" s="151"/>
      <c r="D74" s="155"/>
      <c r="E74" s="47"/>
      <c r="F74" s="151"/>
      <c r="G74" s="151"/>
      <c r="H74" s="151"/>
      <c r="I74" s="151"/>
      <c r="J74" s="151"/>
      <c r="K74" s="151"/>
      <c r="L74" s="47"/>
      <c r="M74" s="47"/>
      <c r="N74" s="47"/>
    </row>
    <row r="75">
      <c r="A75" s="149"/>
      <c r="B75" s="149"/>
      <c r="C75" s="151"/>
      <c r="D75" s="155"/>
      <c r="E75" s="47"/>
      <c r="F75" s="151"/>
      <c r="G75" s="151"/>
      <c r="H75" s="151"/>
      <c r="I75" s="151"/>
      <c r="J75" s="151"/>
      <c r="K75" s="151"/>
      <c r="L75" s="47"/>
      <c r="M75" s="47"/>
      <c r="N75" s="47"/>
    </row>
    <row r="76">
      <c r="A76" s="149"/>
      <c r="B76" s="149"/>
      <c r="C76" s="151"/>
      <c r="D76" s="155"/>
      <c r="E76" s="47"/>
      <c r="F76" s="151"/>
      <c r="G76" s="151"/>
      <c r="H76" s="151"/>
      <c r="I76" s="151"/>
      <c r="J76" s="151"/>
      <c r="K76" s="151"/>
      <c r="L76" s="47"/>
      <c r="M76" s="47"/>
      <c r="N76" s="47"/>
    </row>
    <row r="77">
      <c r="A77" s="149"/>
      <c r="B77" s="149"/>
      <c r="C77" s="149"/>
      <c r="D77" s="155"/>
      <c r="E77" s="47"/>
      <c r="F77" s="151"/>
      <c r="G77" s="151"/>
      <c r="H77" s="151"/>
      <c r="I77" s="151"/>
      <c r="J77" s="151"/>
      <c r="K77" s="151"/>
      <c r="L77" s="47"/>
      <c r="M77" s="47"/>
      <c r="N77" s="47"/>
    </row>
    <row r="78">
      <c r="A78" s="149"/>
      <c r="B78" s="149"/>
      <c r="C78" s="149"/>
      <c r="D78" s="155"/>
      <c r="E78" s="47"/>
      <c r="F78" s="151"/>
      <c r="G78" s="151"/>
      <c r="H78" s="151"/>
      <c r="I78" s="151"/>
      <c r="J78" s="151"/>
      <c r="K78" s="151"/>
      <c r="L78" s="47"/>
      <c r="M78" s="47"/>
      <c r="N78" s="47"/>
    </row>
    <row r="79">
      <c r="A79" s="149"/>
      <c r="B79" s="149"/>
      <c r="C79" s="149"/>
      <c r="D79" s="155"/>
      <c r="E79" s="47"/>
      <c r="F79" s="151"/>
      <c r="G79" s="151"/>
      <c r="H79" s="151"/>
      <c r="I79" s="151"/>
      <c r="J79" s="151"/>
      <c r="K79" s="151"/>
      <c r="L79" s="47"/>
      <c r="M79" s="47"/>
      <c r="N79" s="47"/>
    </row>
    <row r="80">
      <c r="A80" s="149"/>
      <c r="B80" s="149"/>
      <c r="C80" s="151"/>
      <c r="D80" s="155"/>
      <c r="E80" s="47"/>
      <c r="F80" s="151"/>
      <c r="G80" s="151"/>
      <c r="H80" s="151"/>
      <c r="I80" s="151"/>
      <c r="J80" s="151"/>
      <c r="K80" s="151"/>
      <c r="L80" s="47"/>
      <c r="M80" s="47"/>
      <c r="N80" s="47"/>
    </row>
    <row r="81">
      <c r="A81" s="149"/>
      <c r="B81" s="149"/>
      <c r="C81" s="151"/>
      <c r="D81" s="155"/>
      <c r="E81" s="47"/>
      <c r="F81" s="151"/>
      <c r="G81" s="151"/>
      <c r="H81" s="151"/>
      <c r="I81" s="151"/>
      <c r="J81" s="151"/>
      <c r="K81" s="151"/>
      <c r="L81" s="47"/>
      <c r="M81" s="47"/>
      <c r="N81" s="47"/>
    </row>
    <row r="82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</row>
    <row r="83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</row>
    <row r="84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</row>
    <row r="85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</row>
    <row r="86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</row>
    <row r="87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</row>
    <row r="88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</row>
    <row r="89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</row>
    <row r="9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</row>
    <row r="9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</row>
    <row r="92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</row>
    <row r="93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</row>
    <row r="94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</row>
    <row r="95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</row>
    <row r="96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</row>
    <row r="97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</row>
    <row r="98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</row>
    <row r="99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</row>
    <row r="10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</row>
    <row r="10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</row>
    <row r="102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</row>
    <row r="103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</row>
    <row r="104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</row>
    <row r="105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</row>
    <row r="106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</row>
    <row r="107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</row>
    <row r="108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</row>
    <row r="109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</row>
    <row r="11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</row>
    <row r="11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</row>
    <row r="112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</row>
    <row r="113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</row>
    <row r="114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</row>
    <row r="1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</row>
    <row r="116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</row>
    <row r="117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</row>
    <row r="118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</row>
    <row r="119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</row>
    <row r="12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</row>
    <row r="12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</row>
    <row r="122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</row>
    <row r="12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</row>
    <row r="124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</row>
    <row r="12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</row>
    <row r="126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</row>
    <row r="127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</row>
    <row r="128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</row>
    <row r="129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</row>
    <row r="1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</row>
    <row r="13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</row>
    <row r="132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</row>
    <row r="133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</row>
    <row r="134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</row>
    <row r="13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</row>
    <row r="136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</row>
    <row r="137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</row>
    <row r="138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</row>
    <row r="139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</row>
    <row r="14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</row>
    <row r="14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</row>
    <row r="142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</row>
    <row r="143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</row>
    <row r="144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</row>
    <row r="145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</row>
    <row r="146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</row>
    <row r="147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</row>
    <row r="148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</row>
    <row r="149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</row>
    <row r="15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</row>
    <row r="15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</row>
    <row r="152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</row>
    <row r="153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</row>
    <row r="154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</row>
    <row r="155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</row>
    <row r="156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</row>
    <row r="157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</row>
    <row r="158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</row>
    <row r="159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</row>
    <row r="16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</row>
    <row r="16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</row>
    <row r="162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</row>
    <row r="163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</row>
    <row r="164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</row>
    <row r="165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</row>
    <row r="166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</row>
    <row r="167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</row>
    <row r="168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</row>
    <row r="169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</row>
    <row r="17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</row>
    <row r="1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</row>
    <row r="172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</row>
    <row r="173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</row>
    <row r="174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</row>
    <row r="175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</row>
    <row r="176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</row>
    <row r="177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</row>
    <row r="178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</row>
    <row r="179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</row>
    <row r="18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</row>
    <row r="18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</row>
    <row r="182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</row>
    <row r="18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</row>
    <row r="184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</row>
    <row r="185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</row>
    <row r="186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</row>
    <row r="187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</row>
    <row r="188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</row>
    <row r="189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</row>
    <row r="19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</row>
    <row r="19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</row>
    <row r="192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</row>
    <row r="193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</row>
    <row r="194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</row>
    <row r="195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</row>
    <row r="196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</row>
    <row r="197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</row>
    <row r="198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</row>
    <row r="199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</row>
    <row r="20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</row>
    <row r="20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</row>
    <row r="202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</row>
    <row r="203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</row>
    <row r="204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</row>
    <row r="205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</row>
    <row r="206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</row>
    <row r="207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</row>
    <row r="208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</row>
    <row r="209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</row>
    <row r="210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</row>
    <row r="21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</row>
    <row r="212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</row>
    <row r="213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</row>
    <row r="214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</row>
    <row r="215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</row>
    <row r="216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</row>
    <row r="217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</row>
    <row r="218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</row>
    <row r="219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</row>
    <row r="220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</row>
    <row r="22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</row>
    <row r="222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</row>
    <row r="223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</row>
    <row r="224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</row>
    <row r="225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</row>
    <row r="226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</row>
    <row r="227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</row>
    <row r="228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</row>
    <row r="229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</row>
    <row r="230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</row>
    <row r="23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</row>
    <row r="232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</row>
    <row r="233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</row>
    <row r="234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</row>
    <row r="235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</row>
    <row r="236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</row>
    <row r="237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</row>
    <row r="238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</row>
    <row r="239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</row>
    <row r="240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</row>
    <row r="24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</row>
    <row r="242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</row>
    <row r="24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</row>
    <row r="244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</row>
    <row r="245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</row>
    <row r="246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</row>
    <row r="247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</row>
    <row r="248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</row>
    <row r="249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</row>
    <row r="250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</row>
    <row r="25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</row>
    <row r="252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</row>
    <row r="253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</row>
    <row r="254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</row>
    <row r="255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</row>
    <row r="256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</row>
    <row r="257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</row>
    <row r="258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</row>
    <row r="259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</row>
    <row r="260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</row>
    <row r="26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</row>
    <row r="262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</row>
    <row r="263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</row>
    <row r="264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</row>
    <row r="265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</row>
    <row r="266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</row>
    <row r="267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</row>
    <row r="268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</row>
    <row r="269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</row>
    <row r="270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</row>
    <row r="27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</row>
    <row r="272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</row>
    <row r="273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</row>
    <row r="274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</row>
    <row r="275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</row>
    <row r="276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</row>
    <row r="277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</row>
    <row r="278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</row>
    <row r="279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</row>
    <row r="280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</row>
    <row r="28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</row>
    <row r="282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</row>
    <row r="283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</row>
    <row r="284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</row>
    <row r="285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</row>
    <row r="286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</row>
    <row r="287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</row>
    <row r="288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</row>
    <row r="289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</row>
    <row r="290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</row>
    <row r="29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</row>
    <row r="292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</row>
    <row r="293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</row>
    <row r="294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</row>
    <row r="295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</row>
    <row r="296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</row>
    <row r="297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</row>
    <row r="298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</row>
    <row r="299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</row>
    <row r="300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</row>
    <row r="30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</row>
    <row r="302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</row>
    <row r="30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</row>
    <row r="304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</row>
    <row r="305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</row>
    <row r="306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</row>
    <row r="307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</row>
    <row r="308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</row>
    <row r="309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</row>
    <row r="310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</row>
    <row r="31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</row>
    <row r="312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</row>
    <row r="313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</row>
    <row r="314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</row>
    <row r="315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</row>
    <row r="316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</row>
    <row r="317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</row>
    <row r="318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</row>
    <row r="319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</row>
    <row r="320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</row>
    <row r="32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</row>
    <row r="322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</row>
    <row r="323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</row>
    <row r="324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</row>
    <row r="325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</row>
    <row r="326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</row>
    <row r="327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</row>
    <row r="328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</row>
    <row r="329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</row>
    <row r="330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</row>
    <row r="33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</row>
    <row r="332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</row>
    <row r="333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</row>
    <row r="334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</row>
    <row r="335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</row>
    <row r="336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</row>
    <row r="337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</row>
    <row r="338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</row>
    <row r="339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</row>
    <row r="340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</row>
    <row r="34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</row>
    <row r="342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</row>
    <row r="343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</row>
    <row r="344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</row>
    <row r="345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</row>
    <row r="346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</row>
    <row r="347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</row>
    <row r="348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</row>
    <row r="349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</row>
    <row r="350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</row>
    <row r="35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</row>
    <row r="352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</row>
    <row r="353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</row>
    <row r="354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</row>
    <row r="355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</row>
    <row r="356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</row>
    <row r="357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</row>
    <row r="358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</row>
    <row r="359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</row>
    <row r="360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</row>
    <row r="36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</row>
    <row r="362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</row>
    <row r="36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</row>
    <row r="364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</row>
    <row r="365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</row>
    <row r="366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</row>
    <row r="367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</row>
    <row r="368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</row>
    <row r="369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</row>
    <row r="370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</row>
    <row r="37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</row>
    <row r="372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</row>
    <row r="373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</row>
    <row r="374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</row>
    <row r="375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</row>
    <row r="376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</row>
    <row r="377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</row>
    <row r="378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</row>
    <row r="379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</row>
    <row r="380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</row>
    <row r="38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</row>
    <row r="382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</row>
    <row r="383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</row>
    <row r="384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</row>
    <row r="385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</row>
    <row r="386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</row>
    <row r="387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</row>
    <row r="388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</row>
    <row r="389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</row>
    <row r="390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</row>
    <row r="39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</row>
    <row r="392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</row>
    <row r="393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</row>
    <row r="394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</row>
    <row r="395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</row>
    <row r="396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</row>
    <row r="397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</row>
    <row r="398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</row>
    <row r="399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</row>
    <row r="400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</row>
    <row r="40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</row>
    <row r="402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</row>
    <row r="403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</row>
    <row r="404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</row>
    <row r="405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</row>
    <row r="406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</row>
    <row r="407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</row>
    <row r="408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</row>
    <row r="409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</row>
    <row r="410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</row>
    <row r="41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</row>
    <row r="412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</row>
    <row r="413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</row>
    <row r="414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</row>
    <row r="415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</row>
    <row r="416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</row>
    <row r="417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</row>
    <row r="418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</row>
    <row r="419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</row>
    <row r="420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</row>
    <row r="42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</row>
    <row r="422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</row>
    <row r="42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</row>
    <row r="424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</row>
    <row r="425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</row>
    <row r="426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</row>
    <row r="427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</row>
    <row r="428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</row>
    <row r="429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</row>
    <row r="430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</row>
    <row r="43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</row>
    <row r="432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</row>
    <row r="433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</row>
    <row r="434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</row>
    <row r="435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</row>
    <row r="436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</row>
    <row r="437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</row>
    <row r="438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</row>
    <row r="439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</row>
    <row r="440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</row>
    <row r="44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</row>
    <row r="442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</row>
    <row r="443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</row>
    <row r="444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</row>
    <row r="445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</row>
    <row r="446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</row>
    <row r="447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</row>
    <row r="448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</row>
    <row r="449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</row>
    <row r="450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</row>
    <row r="45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</row>
    <row r="452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</row>
    <row r="453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</row>
    <row r="454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</row>
    <row r="455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</row>
    <row r="456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</row>
    <row r="457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</row>
    <row r="458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</row>
    <row r="459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</row>
    <row r="460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</row>
    <row r="46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</row>
    <row r="462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</row>
    <row r="463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</row>
    <row r="464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</row>
    <row r="465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</row>
    <row r="466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</row>
    <row r="467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</row>
    <row r="468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</row>
    <row r="469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</row>
    <row r="470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</row>
    <row r="47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</row>
    <row r="472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</row>
    <row r="473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</row>
    <row r="474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</row>
    <row r="475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</row>
    <row r="476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</row>
    <row r="477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</row>
    <row r="478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</row>
    <row r="479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</row>
    <row r="480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</row>
    <row r="48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</row>
    <row r="482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</row>
    <row r="48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</row>
    <row r="484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</row>
    <row r="485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</row>
    <row r="486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</row>
    <row r="487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</row>
    <row r="488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</row>
    <row r="489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</row>
    <row r="490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</row>
    <row r="49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</row>
    <row r="492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</row>
    <row r="493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</row>
    <row r="494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</row>
    <row r="495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</row>
    <row r="496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</row>
    <row r="497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</row>
    <row r="498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</row>
    <row r="499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</row>
    <row r="500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</row>
    <row r="50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</row>
    <row r="502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</row>
    <row r="503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</row>
    <row r="504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</row>
    <row r="505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</row>
    <row r="506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</row>
    <row r="507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</row>
    <row r="508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</row>
    <row r="509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</row>
    <row r="510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</row>
    <row r="51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</row>
    <row r="512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</row>
    <row r="513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</row>
    <row r="514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</row>
    <row r="515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</row>
    <row r="516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</row>
    <row r="517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</row>
    <row r="518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</row>
    <row r="519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</row>
    <row r="520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</row>
    <row r="52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</row>
    <row r="522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</row>
    <row r="523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</row>
    <row r="524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</row>
    <row r="525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</row>
    <row r="526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</row>
    <row r="527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</row>
    <row r="528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</row>
    <row r="529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</row>
    <row r="530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</row>
    <row r="53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</row>
    <row r="532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</row>
    <row r="533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</row>
    <row r="534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</row>
    <row r="535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</row>
    <row r="536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</row>
    <row r="537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</row>
    <row r="538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</row>
    <row r="539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</row>
    <row r="540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</row>
    <row r="54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</row>
    <row r="542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</row>
    <row r="54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</row>
    <row r="544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</row>
    <row r="545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</row>
    <row r="546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</row>
    <row r="547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</row>
    <row r="548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</row>
    <row r="549">
      <c r="A549" s="47"/>
      <c r="B549" s="47"/>
      <c r="C549" s="47"/>
      <c r="D549" s="47"/>
      <c r="E549" s="47"/>
      <c r="F549" s="47"/>
      <c r="G549" s="47"/>
      <c r="H549" s="47"/>
      <c r="I549" s="47"/>
      <c r="J549" s="12"/>
      <c r="K549" s="249"/>
      <c r="L549" s="249"/>
    </row>
    <row r="550">
      <c r="A550" s="47"/>
      <c r="B550" s="47"/>
      <c r="C550" s="47"/>
      <c r="D550" s="47"/>
      <c r="E550" s="47"/>
      <c r="F550" s="47"/>
      <c r="G550" s="47"/>
      <c r="H550" s="47"/>
      <c r="I550" s="47"/>
      <c r="J550" s="12"/>
      <c r="K550" s="249"/>
      <c r="L550" s="249"/>
    </row>
    <row r="551">
      <c r="A551" s="47"/>
      <c r="B551" s="47"/>
      <c r="C551" s="47"/>
      <c r="D551" s="47"/>
      <c r="E551" s="47"/>
      <c r="F551" s="47"/>
      <c r="G551" s="47"/>
      <c r="H551" s="47"/>
      <c r="I551" s="47"/>
      <c r="J551" s="12"/>
      <c r="K551" s="249"/>
      <c r="L551" s="249"/>
    </row>
    <row r="552">
      <c r="A552" s="47"/>
      <c r="B552" s="47"/>
      <c r="C552" s="47"/>
      <c r="D552" s="47"/>
      <c r="E552" s="47"/>
      <c r="F552" s="47"/>
      <c r="G552" s="47"/>
      <c r="H552" s="47"/>
      <c r="I552" s="47"/>
      <c r="J552" s="12"/>
      <c r="K552" s="249"/>
      <c r="L552" s="249"/>
    </row>
    <row r="553">
      <c r="A553" s="47"/>
      <c r="B553" s="47"/>
      <c r="C553" s="47"/>
      <c r="D553" s="47"/>
      <c r="E553" s="47"/>
      <c r="F553" s="47"/>
      <c r="G553" s="47"/>
      <c r="H553" s="47"/>
      <c r="I553" s="47"/>
      <c r="J553" s="12"/>
      <c r="K553" s="249"/>
      <c r="L553" s="249"/>
    </row>
    <row r="554">
      <c r="A554" s="47"/>
      <c r="B554" s="47"/>
      <c r="C554" s="47"/>
      <c r="D554" s="47"/>
      <c r="E554" s="47"/>
      <c r="F554" s="47"/>
      <c r="G554" s="47"/>
      <c r="H554" s="47"/>
      <c r="I554" s="47"/>
      <c r="J554" s="12"/>
      <c r="K554" s="249"/>
      <c r="L554" s="249"/>
    </row>
    <row r="555">
      <c r="A555" s="47"/>
      <c r="B555" s="47"/>
      <c r="C555" s="47"/>
      <c r="D555" s="47"/>
      <c r="E555" s="47"/>
      <c r="F555" s="47"/>
      <c r="G555" s="47"/>
      <c r="H555" s="47"/>
      <c r="I555" s="47"/>
      <c r="J555" s="12"/>
      <c r="K555" s="249"/>
      <c r="L555" s="249"/>
    </row>
    <row r="556">
      <c r="A556" s="47"/>
      <c r="B556" s="47"/>
      <c r="C556" s="47"/>
      <c r="D556" s="47"/>
      <c r="E556" s="47"/>
      <c r="F556" s="47"/>
      <c r="G556" s="47"/>
      <c r="H556" s="47"/>
      <c r="I556" s="47"/>
      <c r="J556" s="12"/>
      <c r="K556" s="249"/>
      <c r="L556" s="249"/>
    </row>
    <row r="557">
      <c r="A557" s="47"/>
      <c r="B557" s="47"/>
      <c r="C557" s="47"/>
      <c r="D557" s="47"/>
      <c r="E557" s="47"/>
      <c r="F557" s="47"/>
      <c r="G557" s="47"/>
      <c r="H557" s="47"/>
      <c r="I557" s="47"/>
      <c r="J557" s="12"/>
      <c r="K557" s="249"/>
      <c r="L557" s="249"/>
    </row>
    <row r="558">
      <c r="A558" s="47"/>
      <c r="B558" s="47"/>
      <c r="C558" s="47"/>
      <c r="D558" s="47"/>
      <c r="E558" s="47"/>
      <c r="F558" s="47"/>
      <c r="G558" s="47"/>
      <c r="H558" s="47"/>
      <c r="I558" s="47"/>
      <c r="J558" s="12"/>
      <c r="K558" s="249"/>
      <c r="L558" s="249"/>
    </row>
    <row r="559">
      <c r="A559" s="47"/>
      <c r="B559" s="47"/>
      <c r="C559" s="47"/>
      <c r="D559" s="47"/>
      <c r="E559" s="47"/>
      <c r="F559" s="47"/>
      <c r="G559" s="47"/>
      <c r="H559" s="47"/>
      <c r="I559" s="47"/>
      <c r="J559" s="12"/>
      <c r="K559" s="249"/>
      <c r="L559" s="249"/>
    </row>
    <row r="560">
      <c r="A560" s="47"/>
      <c r="B560" s="47"/>
      <c r="C560" s="47"/>
      <c r="D560" s="47"/>
      <c r="E560" s="47"/>
      <c r="F560" s="47"/>
      <c r="G560" s="47"/>
      <c r="H560" s="47"/>
      <c r="I560" s="47"/>
      <c r="J560" s="12"/>
      <c r="K560" s="249"/>
      <c r="L560" s="249"/>
    </row>
    <row r="561">
      <c r="A561" s="47"/>
      <c r="B561" s="47"/>
      <c r="C561" s="47"/>
      <c r="D561" s="47"/>
      <c r="E561" s="47"/>
      <c r="F561" s="47"/>
      <c r="G561" s="47"/>
      <c r="H561" s="47"/>
      <c r="I561" s="47"/>
      <c r="J561" s="12"/>
      <c r="K561" s="249"/>
      <c r="L561" s="249"/>
    </row>
    <row r="562">
      <c r="A562" s="47"/>
      <c r="B562" s="47"/>
      <c r="C562" s="47"/>
      <c r="D562" s="47"/>
      <c r="E562" s="47"/>
      <c r="F562" s="47"/>
      <c r="G562" s="47"/>
      <c r="H562" s="47"/>
      <c r="I562" s="47"/>
      <c r="J562" s="12"/>
      <c r="K562" s="249"/>
      <c r="L562" s="249"/>
    </row>
    <row r="563">
      <c r="A563" s="47"/>
      <c r="B563" s="47"/>
      <c r="C563" s="47"/>
      <c r="D563" s="47"/>
      <c r="E563" s="47"/>
      <c r="F563" s="47"/>
      <c r="G563" s="47"/>
      <c r="H563" s="47"/>
      <c r="I563" s="47"/>
      <c r="J563" s="12"/>
      <c r="K563" s="249"/>
      <c r="L563" s="249"/>
    </row>
    <row r="564">
      <c r="A564" s="47"/>
      <c r="B564" s="47"/>
      <c r="C564" s="47"/>
      <c r="D564" s="47"/>
      <c r="E564" s="47"/>
      <c r="F564" s="47"/>
      <c r="G564" s="47"/>
      <c r="H564" s="47"/>
      <c r="I564" s="47"/>
      <c r="J564" s="12"/>
      <c r="K564" s="249"/>
      <c r="L564" s="249"/>
    </row>
    <row r="565">
      <c r="A565" s="47"/>
      <c r="B565" s="47"/>
      <c r="C565" s="47"/>
      <c r="D565" s="47"/>
      <c r="E565" s="47"/>
      <c r="F565" s="47"/>
      <c r="G565" s="47"/>
      <c r="H565" s="47"/>
      <c r="I565" s="47"/>
      <c r="J565" s="12"/>
      <c r="K565" s="249"/>
      <c r="L565" s="249"/>
    </row>
    <row r="566">
      <c r="A566" s="47"/>
      <c r="B566" s="47"/>
      <c r="C566" s="47"/>
      <c r="D566" s="47"/>
      <c r="E566" s="47"/>
      <c r="F566" s="47"/>
      <c r="G566" s="47"/>
      <c r="H566" s="47"/>
      <c r="I566" s="47"/>
      <c r="J566" s="12"/>
      <c r="K566" s="249"/>
      <c r="L566" s="249"/>
    </row>
    <row r="567">
      <c r="A567" s="47"/>
      <c r="B567" s="47"/>
      <c r="C567" s="47"/>
      <c r="D567" s="47"/>
      <c r="E567" s="47"/>
      <c r="F567" s="47"/>
      <c r="G567" s="47"/>
      <c r="H567" s="47"/>
      <c r="I567" s="47"/>
      <c r="J567" s="12"/>
      <c r="K567" s="249"/>
      <c r="L567" s="249"/>
    </row>
    <row r="568">
      <c r="A568" s="47"/>
      <c r="B568" s="47"/>
      <c r="C568" s="47"/>
      <c r="D568" s="47"/>
      <c r="E568" s="47"/>
      <c r="F568" s="47"/>
      <c r="G568" s="47"/>
      <c r="H568" s="47"/>
      <c r="I568" s="47"/>
      <c r="J568" s="12"/>
      <c r="K568" s="249"/>
      <c r="L568" s="249"/>
    </row>
    <row r="569">
      <c r="A569" s="47"/>
      <c r="B569" s="47"/>
      <c r="C569" s="47"/>
      <c r="D569" s="47"/>
      <c r="E569" s="47"/>
      <c r="F569" s="47"/>
      <c r="G569" s="47"/>
      <c r="H569" s="47"/>
      <c r="I569" s="47"/>
      <c r="J569" s="12"/>
      <c r="K569" s="249"/>
      <c r="L569" s="249"/>
    </row>
    <row r="570">
      <c r="A570" s="47"/>
      <c r="B570" s="47"/>
      <c r="C570" s="47"/>
      <c r="D570" s="47"/>
      <c r="E570" s="47"/>
      <c r="F570" s="47"/>
      <c r="G570" s="47"/>
      <c r="H570" s="47"/>
      <c r="I570" s="47"/>
      <c r="J570" s="12"/>
      <c r="K570" s="249"/>
      <c r="L570" s="249"/>
    </row>
    <row r="571">
      <c r="A571" s="47"/>
      <c r="B571" s="47"/>
      <c r="C571" s="47"/>
      <c r="D571" s="47"/>
      <c r="E571" s="47"/>
      <c r="F571" s="47"/>
      <c r="G571" s="47"/>
      <c r="H571" s="47"/>
      <c r="I571" s="47"/>
      <c r="J571" s="12"/>
      <c r="K571" s="249"/>
      <c r="L571" s="249"/>
    </row>
    <row r="572">
      <c r="A572" s="47"/>
      <c r="B572" s="47"/>
      <c r="C572" s="47"/>
      <c r="D572" s="47"/>
      <c r="E572" s="47"/>
      <c r="F572" s="47"/>
      <c r="G572" s="47"/>
      <c r="H572" s="47"/>
      <c r="I572" s="47"/>
      <c r="J572" s="12"/>
      <c r="K572" s="249"/>
      <c r="L572" s="249"/>
    </row>
    <row r="573">
      <c r="A573" s="47"/>
      <c r="B573" s="47"/>
      <c r="C573" s="47"/>
      <c r="D573" s="47"/>
      <c r="E573" s="47"/>
      <c r="F573" s="47"/>
      <c r="G573" s="47"/>
      <c r="H573" s="47"/>
      <c r="I573" s="47"/>
      <c r="J573" s="12"/>
      <c r="K573" s="249"/>
      <c r="L573" s="249"/>
    </row>
    <row r="574">
      <c r="A574" s="47"/>
      <c r="B574" s="47"/>
      <c r="C574" s="47"/>
      <c r="D574" s="47"/>
      <c r="E574" s="47"/>
      <c r="F574" s="47"/>
      <c r="G574" s="47"/>
      <c r="H574" s="47"/>
      <c r="I574" s="47"/>
      <c r="J574" s="12"/>
      <c r="K574" s="249"/>
      <c r="L574" s="249"/>
    </row>
    <row r="575">
      <c r="A575" s="47"/>
      <c r="B575" s="47"/>
      <c r="C575" s="47"/>
      <c r="D575" s="47"/>
      <c r="E575" s="47"/>
      <c r="F575" s="47"/>
      <c r="G575" s="47"/>
      <c r="H575" s="47"/>
      <c r="I575" s="47"/>
      <c r="J575" s="12"/>
    </row>
    <row r="576">
      <c r="A576" s="47"/>
      <c r="B576" s="47"/>
      <c r="C576" s="47"/>
      <c r="D576" s="47"/>
      <c r="E576" s="47"/>
      <c r="F576" s="47"/>
      <c r="G576" s="47"/>
      <c r="H576" s="47"/>
      <c r="I576" s="47"/>
      <c r="J576" s="12"/>
    </row>
    <row r="577">
      <c r="F577" s="262"/>
    </row>
    <row r="578">
      <c r="F578" s="262"/>
    </row>
    <row r="579">
      <c r="F579" s="262"/>
    </row>
    <row r="580">
      <c r="F580" s="262"/>
    </row>
    <row r="581">
      <c r="F581" s="262"/>
    </row>
    <row r="582">
      <c r="F582" s="262"/>
    </row>
    <row r="583">
      <c r="F583" s="262"/>
    </row>
    <row r="584">
      <c r="F584" s="262"/>
    </row>
    <row r="585">
      <c r="F585" s="262"/>
    </row>
    <row r="586">
      <c r="F586" s="262"/>
    </row>
    <row r="587">
      <c r="F587" s="262"/>
    </row>
    <row r="588">
      <c r="F588" s="262"/>
    </row>
    <row r="589">
      <c r="F589" s="262"/>
    </row>
    <row r="590">
      <c r="F590" s="262"/>
    </row>
    <row r="591">
      <c r="F591" s="262"/>
    </row>
    <row r="592">
      <c r="F592" s="262"/>
    </row>
    <row r="593">
      <c r="F593" s="262"/>
    </row>
    <row r="594">
      <c r="F594" s="262"/>
    </row>
    <row r="595">
      <c r="F595" s="262"/>
    </row>
    <row r="596">
      <c r="F596" s="262"/>
    </row>
    <row r="597">
      <c r="F597" s="262"/>
    </row>
    <row r="598">
      <c r="F598" s="262"/>
    </row>
    <row r="599">
      <c r="F599" s="262"/>
    </row>
    <row r="600">
      <c r="F600" s="262"/>
    </row>
    <row r="601">
      <c r="F601" s="262"/>
    </row>
    <row r="602">
      <c r="F602" s="262"/>
    </row>
    <row r="603">
      <c r="F603" s="262"/>
    </row>
    <row r="604">
      <c r="F604" s="262"/>
    </row>
    <row r="605">
      <c r="F605" s="262"/>
    </row>
    <row r="606">
      <c r="F606" s="262"/>
    </row>
    <row r="607">
      <c r="F607" s="262"/>
    </row>
    <row r="608">
      <c r="F608" s="262"/>
    </row>
    <row r="609">
      <c r="F609" s="262"/>
    </row>
    <row r="610">
      <c r="F610" s="262"/>
    </row>
    <row r="611">
      <c r="F611" s="262"/>
    </row>
    <row r="612">
      <c r="F612" s="262"/>
    </row>
    <row r="613">
      <c r="F613" s="262"/>
    </row>
    <row r="614">
      <c r="F614" s="262"/>
    </row>
    <row r="615">
      <c r="F615" s="262"/>
    </row>
    <row r="616">
      <c r="F616" s="262"/>
    </row>
    <row r="617">
      <c r="F617" s="262"/>
    </row>
    <row r="618">
      <c r="F618" s="262"/>
    </row>
    <row r="619">
      <c r="F619" s="262"/>
    </row>
    <row r="620">
      <c r="F620" s="262"/>
    </row>
    <row r="621">
      <c r="F621" s="262"/>
    </row>
    <row r="622">
      <c r="F622" s="262"/>
    </row>
    <row r="623">
      <c r="F623" s="262"/>
    </row>
    <row r="624">
      <c r="F624" s="262"/>
    </row>
    <row r="625">
      <c r="F625" s="262"/>
    </row>
    <row r="626">
      <c r="F626" s="262"/>
    </row>
    <row r="627">
      <c r="F627" s="262"/>
    </row>
    <row r="628">
      <c r="F628" s="262"/>
    </row>
    <row r="629">
      <c r="F629" s="262"/>
    </row>
    <row r="630">
      <c r="F630" s="262"/>
    </row>
    <row r="631">
      <c r="F631" s="262"/>
    </row>
    <row r="632">
      <c r="F632" s="262"/>
    </row>
    <row r="633">
      <c r="F633" s="262"/>
    </row>
    <row r="634">
      <c r="F634" s="262"/>
    </row>
    <row r="635">
      <c r="F635" s="262"/>
    </row>
    <row r="636">
      <c r="F636" s="262"/>
    </row>
    <row r="637">
      <c r="F637" s="262"/>
    </row>
    <row r="638">
      <c r="F638" s="262"/>
    </row>
    <row r="639">
      <c r="F639" s="262"/>
    </row>
    <row r="640">
      <c r="F640" s="262"/>
    </row>
    <row r="641">
      <c r="F641" s="262"/>
    </row>
    <row r="642">
      <c r="F642" s="262"/>
    </row>
    <row r="643">
      <c r="F643" s="262"/>
    </row>
    <row r="644">
      <c r="F644" s="262"/>
    </row>
    <row r="645">
      <c r="F645" s="262"/>
    </row>
    <row r="646">
      <c r="F646" s="262"/>
    </row>
    <row r="647">
      <c r="F647" s="262"/>
    </row>
    <row r="648">
      <c r="F648" s="262"/>
    </row>
    <row r="649">
      <c r="F649" s="262"/>
    </row>
    <row r="650">
      <c r="F650" s="262"/>
    </row>
    <row r="651">
      <c r="F651" s="262"/>
    </row>
    <row r="652">
      <c r="F652" s="262"/>
    </row>
    <row r="653">
      <c r="F653" s="262"/>
    </row>
    <row r="654">
      <c r="F654" s="262"/>
    </row>
    <row r="655">
      <c r="F655" s="262"/>
    </row>
    <row r="656">
      <c r="F656" s="262"/>
    </row>
    <row r="657">
      <c r="F657" s="262"/>
    </row>
    <row r="658">
      <c r="F658" s="262"/>
    </row>
    <row r="659">
      <c r="F659" s="262"/>
    </row>
    <row r="660">
      <c r="F660" s="262"/>
    </row>
    <row r="661">
      <c r="F661" s="262"/>
    </row>
    <row r="662">
      <c r="F662" s="262"/>
    </row>
    <row r="663">
      <c r="F663" s="262"/>
    </row>
    <row r="664">
      <c r="F664" s="262"/>
    </row>
    <row r="665">
      <c r="F665" s="262"/>
    </row>
    <row r="666">
      <c r="F666" s="262"/>
    </row>
    <row r="667">
      <c r="F667" s="262"/>
    </row>
    <row r="668">
      <c r="F668" s="262"/>
    </row>
    <row r="669">
      <c r="F669" s="262"/>
    </row>
    <row r="670">
      <c r="F670" s="262"/>
    </row>
    <row r="671">
      <c r="F671" s="262"/>
    </row>
    <row r="672">
      <c r="F672" s="262"/>
    </row>
    <row r="673">
      <c r="F673" s="262"/>
    </row>
    <row r="674">
      <c r="F674" s="262"/>
    </row>
    <row r="675">
      <c r="F675" s="262"/>
    </row>
    <row r="676">
      <c r="F676" s="262"/>
    </row>
    <row r="677">
      <c r="F677" s="262"/>
    </row>
    <row r="678">
      <c r="F678" s="262"/>
    </row>
    <row r="679">
      <c r="F679" s="262"/>
    </row>
    <row r="680">
      <c r="F680" s="262"/>
    </row>
    <row r="681">
      <c r="F681" s="262"/>
    </row>
    <row r="682">
      <c r="F682" s="262"/>
    </row>
    <row r="683">
      <c r="F683" s="262"/>
    </row>
    <row r="684">
      <c r="F684" s="262"/>
    </row>
    <row r="685">
      <c r="F685" s="262"/>
    </row>
    <row r="686">
      <c r="F686" s="262"/>
    </row>
    <row r="687">
      <c r="F687" s="262"/>
    </row>
    <row r="688">
      <c r="F688" s="262"/>
    </row>
    <row r="689">
      <c r="F689" s="262"/>
    </row>
    <row r="690">
      <c r="F690" s="262"/>
    </row>
    <row r="691">
      <c r="F691" s="262"/>
    </row>
    <row r="692">
      <c r="F692" s="262"/>
    </row>
    <row r="693">
      <c r="F693" s="262"/>
    </row>
    <row r="694">
      <c r="F694" s="262"/>
    </row>
    <row r="695">
      <c r="F695" s="262"/>
    </row>
    <row r="696">
      <c r="F696" s="262"/>
    </row>
    <row r="697">
      <c r="F697" s="262"/>
    </row>
    <row r="698">
      <c r="F698" s="262"/>
    </row>
    <row r="699">
      <c r="F699" s="262"/>
    </row>
    <row r="700">
      <c r="F700" s="262"/>
    </row>
    <row r="701">
      <c r="F701" s="262"/>
    </row>
    <row r="702">
      <c r="F702" s="262"/>
    </row>
    <row r="703">
      <c r="F703" s="262"/>
    </row>
    <row r="704">
      <c r="F704" s="262"/>
    </row>
    <row r="705">
      <c r="F705" s="262"/>
    </row>
    <row r="706">
      <c r="F706" s="262"/>
    </row>
    <row r="707">
      <c r="F707" s="262"/>
    </row>
    <row r="708">
      <c r="F708" s="262"/>
    </row>
    <row r="709">
      <c r="F709" s="262"/>
    </row>
    <row r="710">
      <c r="F710" s="262"/>
    </row>
    <row r="711">
      <c r="F711" s="262"/>
    </row>
    <row r="712">
      <c r="F712" s="262"/>
    </row>
    <row r="713">
      <c r="F713" s="262"/>
    </row>
    <row r="714">
      <c r="F714" s="262"/>
    </row>
    <row r="715">
      <c r="F715" s="262"/>
    </row>
    <row r="716">
      <c r="F716" s="262"/>
    </row>
    <row r="717">
      <c r="F717" s="262"/>
    </row>
    <row r="718">
      <c r="F718" s="262"/>
    </row>
    <row r="719">
      <c r="F719" s="262"/>
    </row>
    <row r="720">
      <c r="F720" s="262"/>
    </row>
    <row r="721">
      <c r="F721" s="262"/>
    </row>
    <row r="722">
      <c r="F722" s="262"/>
    </row>
    <row r="723">
      <c r="F723" s="262"/>
    </row>
    <row r="724">
      <c r="F724" s="262"/>
    </row>
    <row r="725">
      <c r="F725" s="262"/>
    </row>
    <row r="726">
      <c r="F726" s="262"/>
    </row>
    <row r="727">
      <c r="F727" s="262"/>
    </row>
    <row r="728">
      <c r="F728" s="262"/>
    </row>
    <row r="729">
      <c r="F729" s="262"/>
    </row>
    <row r="730">
      <c r="F730" s="262"/>
    </row>
    <row r="731">
      <c r="F731" s="262"/>
    </row>
    <row r="732">
      <c r="F732" s="262"/>
    </row>
    <row r="733">
      <c r="F733" s="262"/>
    </row>
    <row r="734">
      <c r="F734" s="262"/>
    </row>
    <row r="735">
      <c r="F735" s="262"/>
    </row>
    <row r="736">
      <c r="F736" s="262"/>
    </row>
    <row r="737">
      <c r="F737" s="262"/>
    </row>
    <row r="738">
      <c r="F738" s="262"/>
    </row>
    <row r="739">
      <c r="F739" s="262"/>
    </row>
    <row r="740">
      <c r="F740" s="262"/>
    </row>
    <row r="741">
      <c r="F741" s="262"/>
    </row>
    <row r="742">
      <c r="F742" s="262"/>
    </row>
    <row r="743">
      <c r="F743" s="262"/>
    </row>
    <row r="744">
      <c r="F744" s="262"/>
    </row>
    <row r="745">
      <c r="F745" s="262"/>
    </row>
    <row r="746">
      <c r="F746" s="262"/>
    </row>
    <row r="747">
      <c r="F747" s="262"/>
    </row>
    <row r="748">
      <c r="F748" s="262"/>
    </row>
    <row r="749">
      <c r="F749" s="262"/>
    </row>
    <row r="750">
      <c r="F750" s="262"/>
    </row>
    <row r="751">
      <c r="F751" s="262"/>
    </row>
    <row r="752">
      <c r="F752" s="262"/>
    </row>
    <row r="753">
      <c r="F753" s="262"/>
    </row>
    <row r="754">
      <c r="F754" s="262"/>
    </row>
    <row r="755">
      <c r="F755" s="262"/>
    </row>
    <row r="756">
      <c r="F756" s="262"/>
    </row>
    <row r="757">
      <c r="F757" s="262"/>
    </row>
    <row r="758">
      <c r="F758" s="262"/>
    </row>
    <row r="759">
      <c r="F759" s="262"/>
    </row>
    <row r="760">
      <c r="F760" s="262"/>
    </row>
    <row r="761">
      <c r="F761" s="262"/>
    </row>
    <row r="762">
      <c r="F762" s="262"/>
    </row>
    <row r="763">
      <c r="F763" s="262"/>
    </row>
    <row r="764">
      <c r="F764" s="262"/>
    </row>
    <row r="765">
      <c r="F765" s="262"/>
    </row>
    <row r="766">
      <c r="F766" s="262"/>
    </row>
    <row r="767">
      <c r="F767" s="262"/>
    </row>
    <row r="768">
      <c r="F768" s="262"/>
    </row>
    <row r="769">
      <c r="F769" s="262"/>
    </row>
    <row r="770">
      <c r="F770" s="262"/>
    </row>
    <row r="771">
      <c r="F771" s="262"/>
    </row>
    <row r="772">
      <c r="F772" s="262"/>
    </row>
    <row r="773">
      <c r="F773" s="262"/>
    </row>
    <row r="774">
      <c r="F774" s="262"/>
    </row>
    <row r="775">
      <c r="F775" s="262"/>
    </row>
    <row r="776">
      <c r="F776" s="262"/>
    </row>
    <row r="777">
      <c r="F777" s="262"/>
    </row>
    <row r="778">
      <c r="F778" s="262"/>
    </row>
    <row r="779">
      <c r="F779" s="262"/>
    </row>
    <row r="780">
      <c r="F780" s="262"/>
    </row>
    <row r="781">
      <c r="F781" s="262"/>
    </row>
    <row r="782">
      <c r="F782" s="262"/>
    </row>
    <row r="783">
      <c r="F783" s="262"/>
    </row>
    <row r="784">
      <c r="F784" s="262"/>
    </row>
    <row r="785">
      <c r="F785" s="262"/>
    </row>
    <row r="786">
      <c r="F786" s="262"/>
    </row>
    <row r="787">
      <c r="F787" s="262"/>
    </row>
    <row r="788">
      <c r="F788" s="262"/>
    </row>
    <row r="789">
      <c r="F789" s="262"/>
    </row>
    <row r="790">
      <c r="F790" s="262"/>
    </row>
    <row r="791">
      <c r="F791" s="262"/>
    </row>
    <row r="792">
      <c r="F792" s="262"/>
    </row>
    <row r="793">
      <c r="F793" s="262"/>
    </row>
    <row r="794">
      <c r="F794" s="262"/>
    </row>
    <row r="795">
      <c r="F795" s="262"/>
    </row>
    <row r="796">
      <c r="F796" s="262"/>
    </row>
    <row r="797">
      <c r="F797" s="262"/>
    </row>
    <row r="798">
      <c r="F798" s="262"/>
    </row>
    <row r="799">
      <c r="F799" s="262"/>
    </row>
    <row r="800">
      <c r="F800" s="262"/>
    </row>
    <row r="801">
      <c r="F801" s="262"/>
    </row>
    <row r="802">
      <c r="F802" s="262"/>
    </row>
    <row r="803">
      <c r="F803" s="262"/>
    </row>
    <row r="804">
      <c r="F804" s="262"/>
    </row>
    <row r="805">
      <c r="F805" s="262"/>
    </row>
    <row r="806">
      <c r="F806" s="262"/>
    </row>
    <row r="807">
      <c r="F807" s="262"/>
    </row>
    <row r="808">
      <c r="F808" s="262"/>
    </row>
    <row r="809">
      <c r="F809" s="262"/>
    </row>
    <row r="810">
      <c r="F810" s="262"/>
    </row>
    <row r="811">
      <c r="F811" s="262"/>
    </row>
    <row r="812">
      <c r="F812" s="262"/>
    </row>
    <row r="813">
      <c r="F813" s="262"/>
    </row>
    <row r="814">
      <c r="F814" s="262"/>
    </row>
    <row r="815">
      <c r="F815" s="262"/>
    </row>
    <row r="816">
      <c r="F816" s="262"/>
    </row>
    <row r="817">
      <c r="F817" s="262"/>
    </row>
    <row r="818">
      <c r="F818" s="262"/>
    </row>
    <row r="819">
      <c r="F819" s="262"/>
    </row>
    <row r="820">
      <c r="F820" s="262"/>
    </row>
    <row r="821">
      <c r="F821" s="262"/>
    </row>
    <row r="822">
      <c r="F822" s="262"/>
    </row>
    <row r="823">
      <c r="F823" s="262"/>
    </row>
    <row r="824">
      <c r="F824" s="262"/>
    </row>
    <row r="825">
      <c r="F825" s="262"/>
    </row>
    <row r="826">
      <c r="F826" s="262"/>
    </row>
    <row r="827">
      <c r="F827" s="262"/>
    </row>
    <row r="828">
      <c r="F828" s="262"/>
    </row>
    <row r="829">
      <c r="F829" s="262"/>
    </row>
    <row r="830">
      <c r="F830" s="262"/>
    </row>
    <row r="831">
      <c r="F831" s="262"/>
    </row>
    <row r="832">
      <c r="F832" s="262"/>
    </row>
    <row r="833">
      <c r="F833" s="262"/>
    </row>
    <row r="834">
      <c r="F834" s="262"/>
    </row>
    <row r="835">
      <c r="F835" s="262"/>
    </row>
    <row r="836">
      <c r="F836" s="262"/>
    </row>
    <row r="837">
      <c r="F837" s="262"/>
    </row>
    <row r="838">
      <c r="F838" s="262"/>
    </row>
    <row r="839">
      <c r="F839" s="262"/>
    </row>
    <row r="840">
      <c r="F840" s="262"/>
    </row>
    <row r="841">
      <c r="F841" s="262"/>
    </row>
    <row r="842">
      <c r="F842" s="262"/>
    </row>
    <row r="843">
      <c r="F843" s="262"/>
    </row>
    <row r="844">
      <c r="F844" s="262"/>
    </row>
    <row r="845">
      <c r="F845" s="262"/>
    </row>
    <row r="846">
      <c r="F846" s="262"/>
    </row>
    <row r="847">
      <c r="F847" s="262"/>
    </row>
    <row r="848">
      <c r="F848" s="262"/>
    </row>
    <row r="849">
      <c r="F849" s="262"/>
    </row>
    <row r="850">
      <c r="F850" s="262"/>
    </row>
    <row r="851">
      <c r="F851" s="262"/>
    </row>
    <row r="852">
      <c r="F852" s="262"/>
    </row>
    <row r="853">
      <c r="F853" s="262"/>
    </row>
    <row r="854">
      <c r="F854" s="262"/>
    </row>
    <row r="855">
      <c r="F855" s="262"/>
    </row>
    <row r="856">
      <c r="F856" s="262"/>
    </row>
    <row r="857">
      <c r="F857" s="262"/>
    </row>
    <row r="858">
      <c r="F858" s="262"/>
    </row>
    <row r="859">
      <c r="F859" s="262"/>
    </row>
    <row r="860">
      <c r="F860" s="262"/>
    </row>
    <row r="861">
      <c r="F861" s="262"/>
    </row>
    <row r="862">
      <c r="F862" s="262"/>
    </row>
    <row r="863">
      <c r="F863" s="262"/>
    </row>
    <row r="864">
      <c r="F864" s="262"/>
    </row>
    <row r="865">
      <c r="F865" s="262"/>
    </row>
    <row r="866">
      <c r="F866" s="262"/>
    </row>
    <row r="867">
      <c r="F867" s="262"/>
    </row>
    <row r="868">
      <c r="F868" s="262"/>
    </row>
    <row r="869">
      <c r="F869" s="262"/>
    </row>
    <row r="870">
      <c r="F870" s="262"/>
    </row>
    <row r="871">
      <c r="F871" s="262"/>
    </row>
    <row r="872">
      <c r="F872" s="262"/>
    </row>
    <row r="873">
      <c r="F873" s="262"/>
    </row>
    <row r="874">
      <c r="F874" s="262"/>
    </row>
  </sheetData>
  <mergeCells count="10">
    <mergeCell ref="G29:G30"/>
    <mergeCell ref="G32:G35"/>
    <mergeCell ref="G37:G39"/>
    <mergeCell ref="A2:F2"/>
    <mergeCell ref="I5:K5"/>
    <mergeCell ref="G11:G14"/>
    <mergeCell ref="G16:G17"/>
    <mergeCell ref="G19:G20"/>
    <mergeCell ref="G22:G23"/>
    <mergeCell ref="G25:G2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2.75"/>
    <col customWidth="1" min="2" max="2" width="17.13"/>
    <col customWidth="1" min="3" max="3" width="25.38"/>
    <col customWidth="1" min="4" max="4" width="8.5"/>
    <col customWidth="1" min="15" max="16" width="16.13"/>
    <col customWidth="1" min="24" max="24" width="64.88"/>
    <col customWidth="1" min="25" max="25" width="16.38"/>
  </cols>
  <sheetData>
    <row r="1">
      <c r="A1" s="54" t="s">
        <v>22</v>
      </c>
      <c r="B1" s="58" t="s">
        <v>23</v>
      </c>
      <c r="C1" s="61"/>
      <c r="D1" s="64" t="s">
        <v>28</v>
      </c>
      <c r="E1" s="67" t="s">
        <v>14</v>
      </c>
      <c r="F1" s="67" t="s">
        <v>31</v>
      </c>
      <c r="G1" s="69"/>
      <c r="H1" s="69"/>
      <c r="I1" s="69"/>
      <c r="J1" s="69"/>
      <c r="K1" s="69"/>
      <c r="L1" s="69"/>
      <c r="M1" s="69" t="s">
        <v>32</v>
      </c>
      <c r="N1" s="69" t="s">
        <v>33</v>
      </c>
      <c r="O1" s="69" t="s">
        <v>34</v>
      </c>
      <c r="X1" s="88" t="str">
        <f t="array" ref="X1">_xlfn.XLOOKUP("Other",Stock1!A1,Stock1!I1,"")</f>
        <v/>
      </c>
      <c r="Y1" s="95" t="str">
        <f t="array" ref="Y1">_xlfn.XLOOKUP(X1,Stock1!I1,Stock1!F1,"")</f>
        <v/>
      </c>
      <c r="Z1" s="95" t="str">
        <f t="array" ref="Z1">_xlfn.XLOOKUP(X1,Stock1!I1,Stock1!J1,"")</f>
        <v/>
      </c>
      <c r="AA1" s="102" t="str">
        <f t="array" ref="AA1">_xlfn.XLOOKUP(Y1,DATAPremium!A:A,DATAPremium!C:C,"")</f>
        <v/>
      </c>
    </row>
    <row r="2">
      <c r="A2" s="107" t="str">
        <f t="shared" ref="A2:B2" si="1">UNIQUE(X:X)</f>
        <v/>
      </c>
      <c r="B2" s="111" t="str">
        <f t="shared" si="1"/>
        <v/>
      </c>
      <c r="C2" s="114"/>
      <c r="D2" s="114"/>
      <c r="E2" s="107"/>
      <c r="F2" s="107"/>
      <c r="G2" s="116"/>
      <c r="H2" s="116"/>
      <c r="I2" s="116"/>
      <c r="J2" s="116"/>
      <c r="K2" s="116"/>
      <c r="L2" s="116"/>
      <c r="M2" s="116"/>
      <c r="N2" s="116"/>
      <c r="X2" s="120" t="str">
        <f t="array" ref="X2">_xlfn.XLOOKUP("Other",Stock1!A2,Stock1!I2,"")</f>
        <v/>
      </c>
      <c r="Y2" s="95" t="str">
        <f t="array" ref="Y2">_xlfn.XLOOKUP(X2,Stock1!I2,Stock1!F2,"")</f>
        <v/>
      </c>
      <c r="Z2" s="95" t="str">
        <f t="array" ref="Z2">_xlfn.XLOOKUP(X2,Stock1!I2,Stock1!J2,"")</f>
        <v/>
      </c>
      <c r="AA2" s="102" t="str">
        <f t="array" ref="AA2">_xlfn.XLOOKUP(Y2,DATAPremium!A:A,DATAPremium!C:C,"")</f>
        <v/>
      </c>
    </row>
    <row r="3">
      <c r="A3" s="132" t="s">
        <v>78</v>
      </c>
      <c r="B3" s="135" t="s">
        <v>81</v>
      </c>
      <c r="C3" s="132" t="str">
        <f t="array" ref="C3">_xlfn.XLOOKUP(B3,DATAPremium!A:A,DATAPremium!C:C,"")</f>
        <v>Tablet</v>
      </c>
      <c r="D3" s="143">
        <f t="array" ref="D3">_xlfn.XLOOKUP(B3,Stock1!F:F,Stock1!E:E,"")</f>
        <v>299</v>
      </c>
      <c r="E3" s="132">
        <f t="array" ref="E3">_xlfn.XLOOKUP(B3,Stock1!F:F,Stock1!J:J,"")</f>
        <v>16</v>
      </c>
      <c r="F3" s="150">
        <v>15.0</v>
      </c>
      <c r="G3" s="152"/>
      <c r="H3" s="152"/>
      <c r="I3" s="152"/>
      <c r="J3" s="152"/>
      <c r="K3" s="152"/>
      <c r="L3" s="152"/>
      <c r="M3" s="152"/>
      <c r="N3" s="152">
        <f t="shared" ref="N3:N47" si="2">F3-E3</f>
        <v>-1</v>
      </c>
      <c r="X3" s="88" t="str">
        <f t="array" ref="X3">_xlfn.XLOOKUP("Other",Stock1!A3,Stock1!I3,"")</f>
        <v/>
      </c>
      <c r="Y3" s="95" t="str">
        <f t="array" ref="Y3">_xlfn.XLOOKUP(X3,Stock1!I3,Stock1!F3,"")</f>
        <v/>
      </c>
      <c r="Z3" s="95" t="str">
        <f t="array" ref="Z3">_xlfn.XLOOKUP(X3,Stock1!I3,Stock1!J3,"")</f>
        <v/>
      </c>
      <c r="AA3" s="102" t="str">
        <f t="array" ref="AA3">_xlfn.XLOOKUP(Y3,DATAPremium!A:A,DATAPremium!C:C,"")</f>
        <v/>
      </c>
    </row>
    <row r="4">
      <c r="A4" s="132" t="s">
        <v>87</v>
      </c>
      <c r="B4" s="135" t="s">
        <v>88</v>
      </c>
      <c r="C4" s="132" t="str">
        <f t="array" ref="C4">_xlfn.XLOOKUP(B4,DATAPremium!A:A,DATAPremium!C:C,"")</f>
        <v>Smartphone 10,000 up</v>
      </c>
      <c r="D4" s="143">
        <f t="array" ref="D4">_xlfn.XLOOKUP(B4,Stock1!F:F,Stock1!E:E,"")</f>
        <v>599</v>
      </c>
      <c r="E4" s="132">
        <f t="array" ref="E4">_xlfn.XLOOKUP(B4,Stock1!F:F,Stock1!J:J,"")</f>
        <v>19</v>
      </c>
      <c r="F4" s="150">
        <v>19.0</v>
      </c>
      <c r="G4" s="152"/>
      <c r="H4" s="152"/>
      <c r="I4" s="152"/>
      <c r="J4" s="152"/>
      <c r="K4" s="152"/>
      <c r="L4" s="152"/>
      <c r="M4" s="152"/>
      <c r="N4" s="152">
        <f t="shared" si="2"/>
        <v>0</v>
      </c>
      <c r="X4" s="88" t="str">
        <f t="array" ref="X4">_xlfn.XLOOKUP("Other",Stock1!A4,Stock1!I4,"")</f>
        <v/>
      </c>
      <c r="Y4" s="95" t="str">
        <f t="array" ref="Y4">_xlfn.XLOOKUP(X4,Stock1!I4,Stock1!F4,"")</f>
        <v/>
      </c>
      <c r="Z4" s="95" t="str">
        <f t="array" ref="Z4">_xlfn.XLOOKUP(X4,Stock1!I4,Stock1!J4,"")</f>
        <v/>
      </c>
      <c r="AA4" s="102" t="str">
        <f t="array" ref="AA4">_xlfn.XLOOKUP(Y4,DATAPremium!A:A,DATAPremium!C:C,"")</f>
        <v/>
      </c>
    </row>
    <row r="5">
      <c r="A5" s="132" t="s">
        <v>94</v>
      </c>
      <c r="B5" s="135" t="s">
        <v>95</v>
      </c>
      <c r="C5" s="132" t="str">
        <f t="array" ref="C5">_xlfn.XLOOKUP(B5,DATAPremium!A:A,DATAPremium!C:C,"")</f>
        <v>Smartphone</v>
      </c>
      <c r="D5" s="143">
        <f t="array" ref="D5">_xlfn.XLOOKUP(B5,Stock1!F:F,Stock1!E:E,"")</f>
        <v>399</v>
      </c>
      <c r="E5" s="132">
        <f t="array" ref="E5">_xlfn.XLOOKUP(B5,Stock1!F:F,Stock1!J:J,"")</f>
        <v>18</v>
      </c>
      <c r="F5" s="150">
        <v>19.0</v>
      </c>
      <c r="G5" s="152"/>
      <c r="H5" s="152"/>
      <c r="I5" s="152"/>
      <c r="J5" s="152"/>
      <c r="K5" s="152"/>
      <c r="L5" s="152"/>
      <c r="M5" s="152"/>
      <c r="N5" s="152">
        <f t="shared" si="2"/>
        <v>1</v>
      </c>
      <c r="X5" s="88" t="str">
        <f t="array" ref="X5">_xlfn.XLOOKUP("Other",Stock1!A5,Stock1!I5,"")</f>
        <v/>
      </c>
      <c r="Y5" s="95" t="str">
        <f t="array" ref="Y5">_xlfn.XLOOKUP(X5,Stock1!I5,Stock1!F5,"")</f>
        <v/>
      </c>
      <c r="Z5" s="95" t="str">
        <f t="array" ref="Z5">_xlfn.XLOOKUP(X5,Stock1!I5,Stock1!J5,"")</f>
        <v/>
      </c>
      <c r="AA5" s="102" t="str">
        <f t="array" ref="AA5">_xlfn.XLOOKUP(Y5,DATAPremium!A:A,DATAPremium!C:C,"")</f>
        <v/>
      </c>
    </row>
    <row r="6">
      <c r="A6" s="132" t="s">
        <v>98</v>
      </c>
      <c r="B6" s="135" t="s">
        <v>99</v>
      </c>
      <c r="C6" s="132" t="str">
        <f t="array" ref="C6">_xlfn.XLOOKUP(B6,DATAPremium!A:A,DATAPremium!C:C,"")</f>
        <v>Tablet</v>
      </c>
      <c r="D6" s="143">
        <f t="array" ref="D6">_xlfn.XLOOKUP(B6,Stock1!F:F,Stock1!E:E,"")</f>
        <v>199</v>
      </c>
      <c r="E6" s="132">
        <f t="array" ref="E6">_xlfn.XLOOKUP(B6,Stock1!F:F,Stock1!J:J,"")</f>
        <v>20</v>
      </c>
      <c r="F6" s="150">
        <v>20.0</v>
      </c>
      <c r="G6" s="152"/>
      <c r="H6" s="152"/>
      <c r="I6" s="152"/>
      <c r="J6" s="152"/>
      <c r="K6" s="152"/>
      <c r="L6" s="152"/>
      <c r="M6" s="152"/>
      <c r="N6" s="152">
        <f t="shared" si="2"/>
        <v>0</v>
      </c>
      <c r="X6" s="88" t="str">
        <f t="array" ref="X6">_xlfn.XLOOKUP("Other",Stock1!A6,Stock1!I6,"")</f>
        <v/>
      </c>
      <c r="Y6" s="95" t="str">
        <f t="array" ref="Y6">_xlfn.XLOOKUP(X6,Stock1!I6,Stock1!F6,"")</f>
        <v/>
      </c>
      <c r="Z6" s="95" t="str">
        <f t="array" ref="Z6">_xlfn.XLOOKUP(X6,Stock1!I6,Stock1!J6,"")</f>
        <v/>
      </c>
      <c r="AA6" s="102" t="str">
        <f t="array" ref="AA6">_xlfn.XLOOKUP(Y6,DATAPremium!A:A,DATAPremium!C:C,"")</f>
        <v/>
      </c>
    </row>
    <row r="7">
      <c r="A7" s="132" t="s">
        <v>104</v>
      </c>
      <c r="B7" s="135" t="s">
        <v>105</v>
      </c>
      <c r="C7" s="132" t="str">
        <f t="array" ref="C7">_xlfn.XLOOKUP(B7,DATAPremium!A:A,DATAPremium!C:C,"")</f>
        <v/>
      </c>
      <c r="D7" s="143">
        <f t="array" ref="D7">_xlfn.XLOOKUP(B7,Stock1!F:F,Stock1!E:E,"")</f>
        <v>599</v>
      </c>
      <c r="E7" s="132">
        <f t="array" ref="E7">_xlfn.XLOOKUP(B7,Stock1!F:F,Stock1!J:J,"")</f>
        <v>3</v>
      </c>
      <c r="F7" s="150">
        <v>5.0</v>
      </c>
      <c r="G7" s="152"/>
      <c r="H7" s="152"/>
      <c r="I7" s="152"/>
      <c r="J7" s="152"/>
      <c r="K7" s="152"/>
      <c r="L7" s="152"/>
      <c r="M7" s="152"/>
      <c r="N7" s="152">
        <f t="shared" si="2"/>
        <v>2</v>
      </c>
      <c r="X7" s="88" t="str">
        <f t="array" ref="X7">_xlfn.XLOOKUP("Other",Stock1!A7,Stock1!I7,"")</f>
        <v/>
      </c>
      <c r="Y7" s="95" t="str">
        <f t="array" ref="Y7">_xlfn.XLOOKUP(X7,Stock1!I7,Stock1!F7,"")</f>
        <v/>
      </c>
      <c r="Z7" s="95" t="str">
        <f t="array" ref="Z7">_xlfn.XLOOKUP(X7,Stock1!I7,Stock1!J7,"")</f>
        <v/>
      </c>
      <c r="AA7" s="102" t="str">
        <f t="array" ref="AA7">_xlfn.XLOOKUP(Y7,DATAPremium!A:A,DATAPremium!C:C,"")</f>
        <v/>
      </c>
    </row>
    <row r="8">
      <c r="A8" s="132" t="s">
        <v>108</v>
      </c>
      <c r="B8" s="135" t="s">
        <v>109</v>
      </c>
      <c r="C8" s="132" t="str">
        <f t="array" ref="C8">_xlfn.XLOOKUP(B8,DATAPremium!A:A,DATAPremium!C:C,"")</f>
        <v>Smartphone 20,000 up</v>
      </c>
      <c r="D8" s="143">
        <f t="array" ref="D8">_xlfn.XLOOKUP(B8,Stock1!F:F,Stock1!E:E,"")</f>
        <v>999</v>
      </c>
      <c r="E8" s="132">
        <f t="array" ref="E8">_xlfn.XLOOKUP(B8,Stock1!F:F,Stock1!J:J,"")</f>
        <v>27</v>
      </c>
      <c r="F8" s="150">
        <v>30.0</v>
      </c>
      <c r="G8" s="152"/>
      <c r="H8" s="152"/>
      <c r="I8" s="152"/>
      <c r="J8" s="152"/>
      <c r="K8" s="152"/>
      <c r="L8" s="152"/>
      <c r="M8" s="152"/>
      <c r="N8" s="152">
        <f t="shared" si="2"/>
        <v>3</v>
      </c>
      <c r="X8" s="88" t="str">
        <f t="array" ref="X8">_xlfn.XLOOKUP("Other",Stock1!A8,Stock1!I8,"")</f>
        <v/>
      </c>
      <c r="Y8" s="95" t="str">
        <f t="array" ref="Y8">_xlfn.XLOOKUP(X8,Stock1!I8,Stock1!F8,"")</f>
        <v/>
      </c>
      <c r="Z8" s="95" t="str">
        <f t="array" ref="Z8">_xlfn.XLOOKUP(X8,Stock1!I8,Stock1!J8,"")</f>
        <v/>
      </c>
      <c r="AA8" s="102" t="str">
        <f t="array" ref="AA8">_xlfn.XLOOKUP(Y8,DATAPremium!A:A,DATAPremium!C:C,"")</f>
        <v/>
      </c>
    </row>
    <row r="9">
      <c r="A9" s="132" t="s">
        <v>111</v>
      </c>
      <c r="B9" s="135" t="s">
        <v>112</v>
      </c>
      <c r="C9" s="132" t="str">
        <f t="array" ref="C9">_xlfn.XLOOKUP(B9,DATAPremium!A:A,DATAPremium!C:C,"")</f>
        <v>Smartphone 10,000 up</v>
      </c>
      <c r="D9" s="143">
        <f t="array" ref="D9">_xlfn.XLOOKUP(B9,Stock1!F:F,Stock1!E:E,"")</f>
        <v>359</v>
      </c>
      <c r="E9" s="132">
        <f t="array" ref="E9">_xlfn.XLOOKUP(B9,Stock1!F:F,Stock1!J:J,"")</f>
        <v>51</v>
      </c>
      <c r="F9" s="150">
        <v>51.0</v>
      </c>
      <c r="G9" s="152"/>
      <c r="H9" s="152"/>
      <c r="I9" s="152"/>
      <c r="J9" s="152"/>
      <c r="K9" s="152"/>
      <c r="L9" s="152"/>
      <c r="M9" s="152"/>
      <c r="N9" s="152">
        <f t="shared" si="2"/>
        <v>0</v>
      </c>
      <c r="X9" s="88" t="str">
        <f t="array" ref="X9">_xlfn.XLOOKUP("Other",Stock1!A9,Stock1!I9,"")</f>
        <v/>
      </c>
      <c r="Y9" s="95" t="str">
        <f t="array" ref="Y9">_xlfn.XLOOKUP(X9,Stock1!I9,Stock1!F9,"")</f>
        <v/>
      </c>
      <c r="Z9" s="95" t="str">
        <f t="array" ref="Z9">_xlfn.XLOOKUP(X9,Stock1!I9,Stock1!J9,"")</f>
        <v/>
      </c>
      <c r="AA9" s="102" t="str">
        <f t="array" ref="AA9">_xlfn.XLOOKUP(Y9,DATAPremium!A:A,DATAPremium!C:C,"")</f>
        <v/>
      </c>
    </row>
    <row r="10">
      <c r="A10" s="132" t="s">
        <v>113</v>
      </c>
      <c r="B10" s="135" t="s">
        <v>114</v>
      </c>
      <c r="C10" s="132" t="str">
        <f t="array" ref="C10">_xlfn.XLOOKUP(B10,DATAPremium!A:A,DATAPremium!C:C,"")</f>
        <v>Smartphone 5,000 up</v>
      </c>
      <c r="D10" s="143">
        <f t="array" ref="D10">_xlfn.XLOOKUP(B10,Stock1!F:F,Stock1!E:E,"")</f>
        <v>399</v>
      </c>
      <c r="E10" s="132">
        <f t="array" ref="E10">_xlfn.XLOOKUP(B10,Stock1!F:F,Stock1!J:J,"")</f>
        <v>6</v>
      </c>
      <c r="F10" s="150">
        <v>6.0</v>
      </c>
      <c r="G10" s="152"/>
      <c r="H10" s="152"/>
      <c r="I10" s="152"/>
      <c r="J10" s="152"/>
      <c r="K10" s="152"/>
      <c r="L10" s="152"/>
      <c r="M10" s="152"/>
      <c r="N10" s="152">
        <f t="shared" si="2"/>
        <v>0</v>
      </c>
      <c r="X10" s="88" t="str">
        <f t="array" ref="X10">_xlfn.XLOOKUP("Other",Stock1!A10,Stock1!I10,"")</f>
        <v/>
      </c>
      <c r="Y10" s="95" t="str">
        <f t="array" ref="Y10">_xlfn.XLOOKUP(X10,Stock1!I10,Stock1!F10,"")</f>
        <v/>
      </c>
      <c r="Z10" s="95" t="str">
        <f t="array" ref="Z10">_xlfn.XLOOKUP(X10,Stock1!I10,Stock1!J10,"")</f>
        <v/>
      </c>
      <c r="AA10" s="102" t="str">
        <f t="array" ref="AA10">_xlfn.XLOOKUP(Y10,DATAPremium!A:A,DATAPremium!C:C,"")</f>
        <v/>
      </c>
    </row>
    <row r="11">
      <c r="A11" s="132" t="s">
        <v>117</v>
      </c>
      <c r="B11" s="135" t="s">
        <v>119</v>
      </c>
      <c r="C11" s="132" t="str">
        <f t="array" ref="C11">_xlfn.XLOOKUP(B11,DATAPremium!A:A,DATAPremium!C:C,"")</f>
        <v>Smartphone 8,000 up</v>
      </c>
      <c r="D11" s="143">
        <f t="array" ref="D11">_xlfn.XLOOKUP(B11,Stock1!F:F,Stock1!E:E,"")</f>
        <v>599</v>
      </c>
      <c r="E11" s="132">
        <f t="array" ref="E11">_xlfn.XLOOKUP(B11,Stock1!F:F,Stock1!J:J,"")</f>
        <v>2</v>
      </c>
      <c r="F11" s="150">
        <v>2.0</v>
      </c>
      <c r="G11" s="152"/>
      <c r="H11" s="152"/>
      <c r="I11" s="152"/>
      <c r="J11" s="152"/>
      <c r="K11" s="152"/>
      <c r="L11" s="196"/>
      <c r="M11" s="152"/>
      <c r="N11" s="152">
        <f t="shared" si="2"/>
        <v>0</v>
      </c>
      <c r="X11" s="88" t="str">
        <f t="array" ref="X11">_xlfn.XLOOKUP("Other",Stock1!A11,Stock1!I11,"")</f>
        <v/>
      </c>
      <c r="Y11" s="95" t="str">
        <f t="array" ref="Y11">_xlfn.XLOOKUP(X11,Stock1!I11,Stock1!F11,"")</f>
        <v/>
      </c>
      <c r="Z11" s="95" t="str">
        <f t="array" ref="Z11">_xlfn.XLOOKUP(X11,Stock1!I11,Stock1!J11,"")</f>
        <v/>
      </c>
      <c r="AA11" s="102" t="str">
        <f t="array" ref="AA11">_xlfn.XLOOKUP(Y11,DATAPremium!A:A,DATAPremium!C:C,"")</f>
        <v/>
      </c>
    </row>
    <row r="12">
      <c r="A12" s="132" t="s">
        <v>125</v>
      </c>
      <c r="B12" s="135" t="s">
        <v>126</v>
      </c>
      <c r="C12" s="132" t="str">
        <f t="array" ref="C12">_xlfn.XLOOKUP(B12,DATAPremium!A:A,DATAPremium!C:C,"")</f>
        <v>Tablet</v>
      </c>
      <c r="D12" s="143">
        <f t="array" ref="D12">_xlfn.XLOOKUP(B12,Stock1!F:F,Stock1!E:E,"")</f>
        <v>199</v>
      </c>
      <c r="E12" s="132">
        <f t="array" ref="E12">_xlfn.XLOOKUP(B12,Stock1!F:F,Stock1!J:J,"")</f>
        <v>27</v>
      </c>
      <c r="F12" s="150">
        <v>27.0</v>
      </c>
      <c r="G12" s="152"/>
      <c r="H12" s="152"/>
      <c r="I12" s="152"/>
      <c r="J12" s="152"/>
      <c r="K12" s="152"/>
      <c r="L12" s="152"/>
      <c r="M12" s="152"/>
      <c r="N12" s="152">
        <f t="shared" si="2"/>
        <v>0</v>
      </c>
      <c r="X12" s="88" t="str">
        <f t="array" ref="X12">_xlfn.XLOOKUP("Other",Stock1!A12,Stock1!I12,"")</f>
        <v/>
      </c>
      <c r="Y12" s="95" t="str">
        <f t="array" ref="Y12">_xlfn.XLOOKUP(X12,Stock1!I12,Stock1!F12,"")</f>
        <v/>
      </c>
      <c r="Z12" s="95" t="str">
        <f t="array" ref="Z12">_xlfn.XLOOKUP(X12,Stock1!I12,Stock1!J12,"")</f>
        <v/>
      </c>
      <c r="AA12" s="102" t="str">
        <f t="array" ref="AA12">_xlfn.XLOOKUP(Y12,DATAPremium!A:A,DATAPremium!C:C,"")</f>
        <v/>
      </c>
    </row>
    <row r="13">
      <c r="A13" s="132" t="s">
        <v>130</v>
      </c>
      <c r="B13" s="135" t="s">
        <v>131</v>
      </c>
      <c r="C13" s="132" t="str">
        <f t="array" ref="C13">_xlfn.XLOOKUP(B13,DATAPremium!A:A,DATAPremium!C:C,"")</f>
        <v/>
      </c>
      <c r="D13" s="143">
        <f t="array" ref="D13">_xlfn.XLOOKUP(B13,Stock1!F:F,Stock1!E:E,"")</f>
        <v>199</v>
      </c>
      <c r="E13" s="132">
        <f t="array" ref="E13">_xlfn.XLOOKUP(B13,Stock1!F:F,Stock1!J:J,"")</f>
        <v>20</v>
      </c>
      <c r="F13" s="150">
        <v>20.0</v>
      </c>
      <c r="G13" s="152"/>
      <c r="H13" s="152"/>
      <c r="I13" s="152"/>
      <c r="J13" s="152"/>
      <c r="K13" s="152"/>
      <c r="L13" s="152"/>
      <c r="M13" s="152"/>
      <c r="N13" s="152">
        <f t="shared" si="2"/>
        <v>0</v>
      </c>
      <c r="X13" s="88" t="str">
        <f t="array" ref="X13">_xlfn.XLOOKUP("Other",Stock1!A13,Stock1!I13,"")</f>
        <v/>
      </c>
      <c r="Y13" s="95" t="str">
        <f t="array" ref="Y13">_xlfn.XLOOKUP(X13,Stock1!I13,Stock1!F13,"")</f>
        <v/>
      </c>
      <c r="Z13" s="95" t="str">
        <f t="array" ref="Z13">_xlfn.XLOOKUP(X13,Stock1!I13,Stock1!J13,"")</f>
        <v/>
      </c>
      <c r="AA13" s="102" t="str">
        <f t="array" ref="AA13">_xlfn.XLOOKUP(Y13,DATAPremium!A:A,DATAPremium!C:C,"")</f>
        <v/>
      </c>
    </row>
    <row r="14">
      <c r="A14" s="132" t="s">
        <v>135</v>
      </c>
      <c r="B14" s="135" t="s">
        <v>136</v>
      </c>
      <c r="C14" s="132" t="str">
        <f t="array" ref="C14">_xlfn.XLOOKUP(B14,DATAPremium!A:A,DATAPremium!C:C,"")</f>
        <v>Tablet</v>
      </c>
      <c r="D14" s="143">
        <f t="array" ref="D14">_xlfn.XLOOKUP(B14,Stock1!F:F,Stock1!E:E,"")</f>
        <v>199</v>
      </c>
      <c r="E14" s="132">
        <f t="array" ref="E14">_xlfn.XLOOKUP(B14,Stock1!F:F,Stock1!J:J,"")</f>
        <v>27</v>
      </c>
      <c r="F14" s="150">
        <v>28.0</v>
      </c>
      <c r="G14" s="152"/>
      <c r="H14" s="152"/>
      <c r="I14" s="152"/>
      <c r="J14" s="152"/>
      <c r="K14" s="152"/>
      <c r="L14" s="152"/>
      <c r="M14" s="152"/>
      <c r="N14" s="152">
        <f t="shared" si="2"/>
        <v>1</v>
      </c>
      <c r="X14" s="88" t="str">
        <f t="array" ref="X14">_xlfn.XLOOKUP("Other",Stock1!A14,Stock1!I14,"")</f>
        <v/>
      </c>
      <c r="Y14" s="95" t="str">
        <f t="array" ref="Y14">_xlfn.XLOOKUP(X14,Stock1!I14,Stock1!F14,"")</f>
        <v/>
      </c>
      <c r="Z14" s="95" t="str">
        <f t="array" ref="Z14">_xlfn.XLOOKUP(X14,Stock1!I14,Stock1!J14,"")</f>
        <v/>
      </c>
      <c r="AA14" s="102" t="str">
        <f t="array" ref="AA14">_xlfn.XLOOKUP(Y14,DATAPremium!A:A,DATAPremium!C:C,"")</f>
        <v/>
      </c>
    </row>
    <row r="15">
      <c r="A15" s="132" t="s">
        <v>143</v>
      </c>
      <c r="B15" s="135" t="s">
        <v>144</v>
      </c>
      <c r="C15" s="132" t="str">
        <f t="array" ref="C15">_xlfn.XLOOKUP(B15,DATAPremium!A:A,DATAPremium!C:C,"")</f>
        <v>Tablet</v>
      </c>
      <c r="D15" s="143">
        <f t="array" ref="D15">_xlfn.XLOOKUP(B15,Stock1!F:F,Stock1!E:E,"")</f>
        <v>199</v>
      </c>
      <c r="E15" s="132">
        <f t="array" ref="E15">_xlfn.XLOOKUP(B15,Stock1!F:F,Stock1!J:J,"")</f>
        <v>17</v>
      </c>
      <c r="F15" s="150">
        <v>17.0</v>
      </c>
      <c r="G15" s="152"/>
      <c r="H15" s="152"/>
      <c r="I15" s="152"/>
      <c r="J15" s="152"/>
      <c r="K15" s="152"/>
      <c r="L15" s="152"/>
      <c r="M15" s="152"/>
      <c r="N15" s="152">
        <f t="shared" si="2"/>
        <v>0</v>
      </c>
      <c r="X15" s="88" t="str">
        <f t="array" ref="X15">_xlfn.XLOOKUP("Other",Stock1!A15,Stock1!I15,"")</f>
        <v/>
      </c>
      <c r="Y15" s="95" t="str">
        <f t="array" ref="Y15">_xlfn.XLOOKUP(X15,Stock1!I15,Stock1!F15,"")</f>
        <v/>
      </c>
      <c r="Z15" s="95" t="str">
        <f t="array" ref="Z15">_xlfn.XLOOKUP(X15,Stock1!I15,Stock1!J15,"")</f>
        <v/>
      </c>
      <c r="AA15" s="102" t="str">
        <f t="array" ref="AA15">_xlfn.XLOOKUP(Y15,DATAPremium!A:A,DATAPremium!C:C,"")</f>
        <v/>
      </c>
    </row>
    <row r="16">
      <c r="A16" s="132" t="s">
        <v>148</v>
      </c>
      <c r="B16" s="135" t="s">
        <v>149</v>
      </c>
      <c r="C16" s="132" t="str">
        <f t="array" ref="C16">_xlfn.XLOOKUP(B16,DATAPremium!A:A,DATAPremium!C:C,"")</f>
        <v>Tablet</v>
      </c>
      <c r="D16" s="143">
        <f t="array" ref="D16">_xlfn.XLOOKUP(B16,Stock1!F:F,Stock1!E:E,"")</f>
        <v>299</v>
      </c>
      <c r="E16" s="132">
        <f t="array" ref="E16">_xlfn.XLOOKUP(B16,Stock1!F:F,Stock1!J:J,"")</f>
        <v>15</v>
      </c>
      <c r="F16" s="150">
        <v>15.0</v>
      </c>
      <c r="G16" s="152"/>
      <c r="H16" s="152"/>
      <c r="I16" s="152"/>
      <c r="J16" s="152"/>
      <c r="K16" s="152"/>
      <c r="L16" s="152"/>
      <c r="M16" s="152"/>
      <c r="N16" s="152">
        <f t="shared" si="2"/>
        <v>0</v>
      </c>
      <c r="X16" s="88" t="str">
        <f t="array" ref="X16">_xlfn.XLOOKUP("Other",Stock1!A16,Stock1!I16,"")</f>
        <v/>
      </c>
      <c r="Y16" s="95" t="str">
        <f t="array" ref="Y16">_xlfn.XLOOKUP(X16,Stock1!I16,Stock1!F16,"")</f>
        <v/>
      </c>
      <c r="Z16" s="95" t="str">
        <f t="array" ref="Z16">_xlfn.XLOOKUP(X16,Stock1!I16,Stock1!J16,"")</f>
        <v/>
      </c>
      <c r="AA16" s="102" t="str">
        <f t="array" ref="AA16">_xlfn.XLOOKUP(Y16,DATAPremium!A:A,DATAPremium!C:C,"")</f>
        <v/>
      </c>
    </row>
    <row r="17">
      <c r="A17" s="132" t="s">
        <v>152</v>
      </c>
      <c r="B17" s="135" t="s">
        <v>153</v>
      </c>
      <c r="C17" s="132" t="str">
        <f t="array" ref="C17">_xlfn.XLOOKUP(B17,DATAPremium!A:A,DATAPremium!C:C,"")</f>
        <v>Smartphone 30,000 up</v>
      </c>
      <c r="D17" s="143">
        <f t="array" ref="D17">_xlfn.XLOOKUP(B17,Stock1!F:F,Stock1!E:E,"")</f>
        <v>1790</v>
      </c>
      <c r="E17" s="132">
        <f t="array" ref="E17">_xlfn.XLOOKUP(B17,Stock1!F:F,Stock1!J:J,"")</f>
        <v>5</v>
      </c>
      <c r="F17" s="224">
        <v>6.0</v>
      </c>
      <c r="G17" s="196"/>
      <c r="H17" s="196"/>
      <c r="I17" s="196"/>
      <c r="J17" s="152"/>
      <c r="K17" s="152"/>
      <c r="L17" s="152"/>
      <c r="M17" s="152"/>
      <c r="N17" s="152">
        <f t="shared" si="2"/>
        <v>1</v>
      </c>
      <c r="X17" s="88" t="str">
        <f t="array" ref="X17">_xlfn.XLOOKUP("Other",Stock1!A17,Stock1!I17,"")</f>
        <v/>
      </c>
      <c r="Y17" s="95" t="str">
        <f t="array" ref="Y17">_xlfn.XLOOKUP(X17,Stock1!I17,Stock1!F17,"")</f>
        <v/>
      </c>
      <c r="Z17" s="95" t="str">
        <f t="array" ref="Z17">_xlfn.XLOOKUP(X17,Stock1!I17,Stock1!J17,"")</f>
        <v/>
      </c>
      <c r="AA17" s="102" t="str">
        <f t="array" ref="AA17">_xlfn.XLOOKUP(Y17,DATAPremium!A:A,DATAPremium!C:C,"")</f>
        <v/>
      </c>
    </row>
    <row r="18">
      <c r="A18" s="132" t="s">
        <v>160</v>
      </c>
      <c r="B18" s="135" t="s">
        <v>161</v>
      </c>
      <c r="C18" s="132" t="str">
        <f t="array" ref="C18">_xlfn.XLOOKUP(B18,DATAPremium!A:A,DATAPremium!C:C,"")</f>
        <v>Smartphone S26 Ultra CRM</v>
      </c>
      <c r="D18" s="143">
        <f t="array" ref="D18">_xlfn.XLOOKUP(B18,Stock1!F:F,Stock1!E:E,"")</f>
        <v>2990</v>
      </c>
      <c r="E18" s="132">
        <f t="array" ref="E18">_xlfn.XLOOKUP(B18,Stock1!F:F,Stock1!J:J,"")</f>
        <v>17</v>
      </c>
      <c r="F18" s="150">
        <v>18.0</v>
      </c>
      <c r="G18" s="152"/>
      <c r="H18" s="152"/>
      <c r="I18" s="152"/>
      <c r="J18" s="152"/>
      <c r="K18" s="152"/>
      <c r="L18" s="152"/>
      <c r="M18" s="152"/>
      <c r="N18" s="152">
        <f t="shared" si="2"/>
        <v>1</v>
      </c>
      <c r="X18" s="88" t="str">
        <f t="array" ref="X18">_xlfn.XLOOKUP("Other",Stock1!A18,Stock1!I18,"")</f>
        <v/>
      </c>
      <c r="Y18" s="95" t="str">
        <f t="array" ref="Y18">_xlfn.XLOOKUP(X18,Stock1!I18,Stock1!F18,"")</f>
        <v/>
      </c>
      <c r="Z18" s="95" t="str">
        <f t="array" ref="Z18">_xlfn.XLOOKUP(X18,Stock1!I18,Stock1!J18,"")</f>
        <v/>
      </c>
      <c r="AA18" s="102" t="str">
        <f t="array" ref="AA18">_xlfn.XLOOKUP(Y18,DATAPremium!A:A,DATAPremium!C:C,"")</f>
        <v/>
      </c>
    </row>
    <row r="19">
      <c r="A19" s="132" t="s">
        <v>163</v>
      </c>
      <c r="B19" s="135" t="s">
        <v>164</v>
      </c>
      <c r="C19" s="132" t="str">
        <f t="array" ref="C19">_xlfn.XLOOKUP(B19,DATAPremium!A:A,DATAPremium!C:C,"")</f>
        <v>Smartphone S26 Series</v>
      </c>
      <c r="D19" s="143">
        <f t="array" ref="D19">_xlfn.XLOOKUP(B19,Stock1!F:F,Stock1!E:E,"")</f>
        <v>1990</v>
      </c>
      <c r="E19" s="132">
        <f t="array" ref="E19">_xlfn.XLOOKUP(B19,Stock1!F:F,Stock1!J:J,"")</f>
        <v>8</v>
      </c>
      <c r="F19" s="150">
        <v>11.0</v>
      </c>
      <c r="G19" s="152"/>
      <c r="H19" s="152"/>
      <c r="I19" s="152"/>
      <c r="J19" s="152"/>
      <c r="K19" s="152"/>
      <c r="L19" s="152"/>
      <c r="M19" s="152"/>
      <c r="N19" s="152">
        <f t="shared" si="2"/>
        <v>3</v>
      </c>
      <c r="X19" s="88" t="str">
        <f t="array" ref="X19">_xlfn.XLOOKUP("Other",Stock1!A19,Stock1!I19,"")</f>
        <v/>
      </c>
      <c r="Y19" s="95" t="str">
        <f t="array" ref="Y19">_xlfn.XLOOKUP(X19,Stock1!I19,Stock1!F19,"")</f>
        <v/>
      </c>
      <c r="Z19" s="95" t="str">
        <f t="array" ref="Z19">_xlfn.XLOOKUP(X19,Stock1!I19,Stock1!J19,"")</f>
        <v/>
      </c>
      <c r="AA19" s="102" t="str">
        <f t="array" ref="AA19">_xlfn.XLOOKUP(Y19,DATAPremium!A:A,DATAPremium!C:C,"")</f>
        <v/>
      </c>
    </row>
    <row r="20">
      <c r="A20" s="132" t="s">
        <v>166</v>
      </c>
      <c r="B20" s="135" t="s">
        <v>167</v>
      </c>
      <c r="C20" s="132" t="str">
        <f t="array" ref="C20">_xlfn.XLOOKUP(B20,DATAPremium!A:A,DATAPremium!C:C,"")</f>
        <v>Smartphone S26 Series</v>
      </c>
      <c r="D20" s="143">
        <f t="array" ref="D20">_xlfn.XLOOKUP(B20,Stock1!F:F,Stock1!E:E,"")</f>
        <v>1990</v>
      </c>
      <c r="E20" s="132">
        <f t="array" ref="E20">_xlfn.XLOOKUP(B20,Stock1!F:F,Stock1!J:J,"")</f>
        <v>7</v>
      </c>
      <c r="F20" s="235">
        <v>8.0</v>
      </c>
      <c r="G20" s="236"/>
      <c r="H20" s="236"/>
      <c r="I20" s="236"/>
      <c r="J20" s="236"/>
      <c r="K20" s="237"/>
      <c r="L20" s="152"/>
      <c r="M20" s="152"/>
      <c r="N20" s="152">
        <f t="shared" si="2"/>
        <v>1</v>
      </c>
      <c r="X20" s="88" t="str">
        <f t="array" ref="X20">_xlfn.XLOOKUP("Other",Stock1!A20,Stock1!I20,"")</f>
        <v/>
      </c>
      <c r="Y20" s="95" t="str">
        <f t="array" ref="Y20">_xlfn.XLOOKUP(X20,Stock1!I20,Stock1!F20,"")</f>
        <v/>
      </c>
      <c r="Z20" s="95" t="str">
        <f t="array" ref="Z20">_xlfn.XLOOKUP(X20,Stock1!I20,Stock1!J20,"")</f>
        <v/>
      </c>
      <c r="AA20" s="102" t="str">
        <f t="array" ref="AA20">_xlfn.XLOOKUP(Y20,DATAPremium!A:A,DATAPremium!C:C,"")</f>
        <v/>
      </c>
    </row>
    <row r="21">
      <c r="A21" s="132" t="s">
        <v>173</v>
      </c>
      <c r="B21" s="135" t="s">
        <v>174</v>
      </c>
      <c r="C21" s="132" t="str">
        <f t="array" ref="C21">_xlfn.XLOOKUP(B21,DATAPremium!A:A,DATAPremium!C:C,"")</f>
        <v>Projector</v>
      </c>
      <c r="D21" s="143">
        <f t="array" ref="D21">_xlfn.XLOOKUP(B21,Stock1!F:F,Stock1!E:E,"")</f>
        <v>1990</v>
      </c>
      <c r="E21" s="132">
        <f t="array" ref="E21">_xlfn.XLOOKUP(B21,Stock1!F:F,Stock1!J:J,"")</f>
        <v>1</v>
      </c>
      <c r="F21" s="150">
        <v>1.0</v>
      </c>
      <c r="G21" s="152"/>
      <c r="H21" s="152"/>
      <c r="I21" s="152"/>
      <c r="J21" s="152"/>
      <c r="K21" s="152"/>
      <c r="L21" s="152"/>
      <c r="M21" s="152"/>
      <c r="N21" s="152">
        <f t="shared" si="2"/>
        <v>0</v>
      </c>
      <c r="X21" s="88" t="str">
        <f t="array" ref="X21">_xlfn.XLOOKUP("Other",Stock1!A21,Stock1!I21,"")</f>
        <v/>
      </c>
      <c r="Y21" s="95" t="str">
        <f t="array" ref="Y21">_xlfn.XLOOKUP(X21,Stock1!I21,Stock1!F21,"")</f>
        <v/>
      </c>
      <c r="Z21" s="95" t="str">
        <f t="array" ref="Z21">_xlfn.XLOOKUP(X21,Stock1!I21,Stock1!J21,"")</f>
        <v/>
      </c>
      <c r="AA21" s="102" t="str">
        <f t="array" ref="AA21">_xlfn.XLOOKUP(Y21,DATAPremium!A:A,DATAPremium!C:C,"")</f>
        <v/>
      </c>
    </row>
    <row r="22">
      <c r="A22" s="132" t="s">
        <v>176</v>
      </c>
      <c r="B22" s="135" t="s">
        <v>177</v>
      </c>
      <c r="C22" s="132" t="str">
        <f t="array" ref="C22">_xlfn.XLOOKUP(B22,DATAPremium!A:A,DATAPremium!C:C,"")</f>
        <v>Projector</v>
      </c>
      <c r="D22" s="143">
        <f t="array" ref="D22">_xlfn.XLOOKUP(B22,Stock1!F:F,Stock1!E:E,"")</f>
        <v>990</v>
      </c>
      <c r="E22" s="132">
        <f t="array" ref="E22">_xlfn.XLOOKUP(B22,Stock1!F:F,Stock1!J:J,"")</f>
        <v>1</v>
      </c>
      <c r="F22" s="150">
        <v>1.0</v>
      </c>
      <c r="G22" s="152"/>
      <c r="H22" s="152"/>
      <c r="I22" s="152"/>
      <c r="J22" s="152"/>
      <c r="K22" s="152"/>
      <c r="L22" s="152"/>
      <c r="M22" s="152"/>
      <c r="N22" s="152">
        <f t="shared" si="2"/>
        <v>0</v>
      </c>
      <c r="X22" s="88" t="str">
        <f t="array" ref="X22">_xlfn.XLOOKUP("Other",Stock1!A22,Stock1!I22,"")</f>
        <v/>
      </c>
      <c r="Y22" s="95" t="str">
        <f t="array" ref="Y22">_xlfn.XLOOKUP(X22,Stock1!I22,Stock1!F22,"")</f>
        <v/>
      </c>
      <c r="Z22" s="95" t="str">
        <f t="array" ref="Z22">_xlfn.XLOOKUP(X22,Stock1!I22,Stock1!J22,"")</f>
        <v/>
      </c>
      <c r="AA22" s="102" t="str">
        <f t="array" ref="AA22">_xlfn.XLOOKUP(Y22,DATAPremium!A:A,DATAPremium!C:C,"")</f>
        <v/>
      </c>
    </row>
    <row r="23">
      <c r="A23" s="132" t="s">
        <v>179</v>
      </c>
      <c r="B23" s="135" t="s">
        <v>180</v>
      </c>
      <c r="C23" s="132" t="str">
        <f t="array" ref="C23">_xlfn.XLOOKUP(B23,DATAPremium!A:A,DATAPremium!C:C,"")</f>
        <v>Focus</v>
      </c>
      <c r="D23" s="143">
        <f t="array" ref="D23">_xlfn.XLOOKUP(B23,Stock1!F:F,Stock1!E:E,"")</f>
        <v>99</v>
      </c>
      <c r="E23" s="132">
        <f t="array" ref="E23">_xlfn.XLOOKUP(B23,Stock1!F:F,Stock1!J:J,"")</f>
        <v>1</v>
      </c>
      <c r="F23" s="150">
        <v>1.0</v>
      </c>
      <c r="G23" s="152"/>
      <c r="H23" s="152"/>
      <c r="I23" s="152"/>
      <c r="J23" s="152"/>
      <c r="K23" s="152"/>
      <c r="L23" s="152"/>
      <c r="M23" s="152"/>
      <c r="N23" s="152">
        <f t="shared" si="2"/>
        <v>0</v>
      </c>
      <c r="X23" s="88" t="str">
        <f t="array" ref="X23">_xlfn.XLOOKUP("Other",Stock1!A23,Stock1!I23,"")</f>
        <v/>
      </c>
      <c r="Y23" s="95" t="str">
        <f t="array" ref="Y23">_xlfn.XLOOKUP(X23,Stock1!I23,Stock1!F23,"")</f>
        <v/>
      </c>
      <c r="Z23" s="95" t="str">
        <f t="array" ref="Z23">_xlfn.XLOOKUP(X23,Stock1!I23,Stock1!J23,"")</f>
        <v/>
      </c>
      <c r="AA23" s="102" t="str">
        <f t="array" ref="AA23">_xlfn.XLOOKUP(Y23,DATAPremium!A:A,DATAPremium!C:C,"")</f>
        <v/>
      </c>
    </row>
    <row r="24">
      <c r="A24" s="132" t="s">
        <v>184</v>
      </c>
      <c r="B24" s="135" t="s">
        <v>185</v>
      </c>
      <c r="C24" s="132" t="str">
        <f t="array" ref="C24">_xlfn.XLOOKUP(B24,DATAPremium!A:A,DATAPremium!C:C,"")</f>
        <v/>
      </c>
      <c r="D24" s="143">
        <f t="array" ref="D24">_xlfn.XLOOKUP(B24,Stock1!F:F,Stock1!E:E,"")</f>
        <v>1090</v>
      </c>
      <c r="E24" s="132">
        <f t="array" ref="E24">_xlfn.XLOOKUP(B24,Stock1!F:F,Stock1!J:J,"")</f>
        <v>7</v>
      </c>
      <c r="F24" s="150">
        <v>10.0</v>
      </c>
      <c r="G24" s="152"/>
      <c r="H24" s="152"/>
      <c r="I24" s="152"/>
      <c r="J24" s="152"/>
      <c r="K24" s="152"/>
      <c r="L24" s="152"/>
      <c r="M24" s="152"/>
      <c r="N24" s="152">
        <f t="shared" si="2"/>
        <v>3</v>
      </c>
      <c r="X24" s="88" t="str">
        <f t="array" ref="X24">_xlfn.XLOOKUP("Other",Stock1!A24,Stock1!I24,"")</f>
        <v/>
      </c>
      <c r="Y24" s="95" t="str">
        <f t="array" ref="Y24">_xlfn.XLOOKUP(X24,Stock1!I24,Stock1!F24,"")</f>
        <v/>
      </c>
      <c r="Z24" s="95" t="str">
        <f t="array" ref="Z24">_xlfn.XLOOKUP(X24,Stock1!I24,Stock1!J24,"")</f>
        <v/>
      </c>
      <c r="AA24" s="102" t="str">
        <f t="array" ref="AA24">_xlfn.XLOOKUP(Y24,DATAPremium!A:A,DATAPremium!C:C,"")</f>
        <v/>
      </c>
    </row>
    <row r="25">
      <c r="A25" s="132" t="s">
        <v>188</v>
      </c>
      <c r="B25" s="135" t="s">
        <v>189</v>
      </c>
      <c r="C25" s="132" t="str">
        <f t="array" ref="C25">_xlfn.XLOOKUP(B25,DATAPremium!A:A,DATAPremium!C:C,"")</f>
        <v>Smartphone Flip7FE</v>
      </c>
      <c r="D25" s="143">
        <f t="array" ref="D25">_xlfn.XLOOKUP(B25,Stock1!F:F,Stock1!E:E,"")</f>
        <v>1190</v>
      </c>
      <c r="E25" s="132">
        <f t="array" ref="E25">_xlfn.XLOOKUP(B25,Stock1!F:F,Stock1!J:J,"")</f>
        <v>1</v>
      </c>
      <c r="F25" s="150">
        <v>1.0</v>
      </c>
      <c r="G25" s="152"/>
      <c r="H25" s="152"/>
      <c r="I25" s="152"/>
      <c r="J25" s="152"/>
      <c r="K25" s="152"/>
      <c r="L25" s="152"/>
      <c r="M25" s="152"/>
      <c r="N25" s="152">
        <f t="shared" si="2"/>
        <v>0</v>
      </c>
      <c r="X25" s="88" t="str">
        <f t="array" ref="X25">_xlfn.XLOOKUP("Other",Stock1!A25,Stock1!I25,"")</f>
        <v/>
      </c>
      <c r="Y25" s="95" t="str">
        <f t="array" ref="Y25">_xlfn.XLOOKUP(X25,Stock1!I25,Stock1!F25,"")</f>
        <v/>
      </c>
      <c r="Z25" s="95" t="str">
        <f t="array" ref="Z25">_xlfn.XLOOKUP(X25,Stock1!I25,Stock1!J25,"")</f>
        <v/>
      </c>
      <c r="AA25" s="102" t="str">
        <f t="array" ref="AA25">_xlfn.XLOOKUP(Y25,DATAPremium!A:A,DATAPremium!C:C,"")</f>
        <v/>
      </c>
    </row>
    <row r="26">
      <c r="A26" s="132" t="s">
        <v>192</v>
      </c>
      <c r="B26" s="135" t="s">
        <v>193</v>
      </c>
      <c r="C26" s="132" t="str">
        <f t="array" ref="C26">_xlfn.XLOOKUP(B26,DATAPremium!A:A,DATAPremium!C:C,"")</f>
        <v>Smartphone Flip7FE</v>
      </c>
      <c r="D26" s="143">
        <f t="array" ref="D26">_xlfn.XLOOKUP(B26,Stock1!F:F,Stock1!E:E,"")</f>
        <v>1090</v>
      </c>
      <c r="E26" s="132">
        <f t="array" ref="E26">_xlfn.XLOOKUP(B26,Stock1!F:F,Stock1!J:J,"")</f>
        <v>1</v>
      </c>
      <c r="F26" s="150">
        <v>1.0</v>
      </c>
      <c r="G26" s="152"/>
      <c r="H26" s="152"/>
      <c r="I26" s="152"/>
      <c r="J26" s="152"/>
      <c r="K26" s="152"/>
      <c r="L26" s="152"/>
      <c r="M26" s="152"/>
      <c r="N26" s="152">
        <f t="shared" si="2"/>
        <v>0</v>
      </c>
      <c r="X26" s="88" t="str">
        <f t="array" ref="X26">_xlfn.XLOOKUP("Other",Stock1!A26,Stock1!I26,"")</f>
        <v/>
      </c>
      <c r="Y26" s="95" t="str">
        <f t="array" ref="Y26">_xlfn.XLOOKUP(X26,Stock1!I26,Stock1!F26,"")</f>
        <v/>
      </c>
      <c r="Z26" s="95" t="str">
        <f t="array" ref="Z26">_xlfn.XLOOKUP(X26,Stock1!I26,Stock1!J26,"")</f>
        <v/>
      </c>
      <c r="AA26" s="102" t="str">
        <f t="array" ref="AA26">_xlfn.XLOOKUP(Y26,DATAPremium!A:A,DATAPremium!C:C,"")</f>
        <v/>
      </c>
    </row>
    <row r="27">
      <c r="A27" s="132" t="s">
        <v>195</v>
      </c>
      <c r="B27" s="135" t="s">
        <v>196</v>
      </c>
      <c r="C27" s="132" t="str">
        <f t="array" ref="C27">_xlfn.XLOOKUP(B27,DATAPremium!A:A,DATAPremium!C:C,"")</f>
        <v>Smartphone Flip7FE</v>
      </c>
      <c r="D27" s="143">
        <f t="array" ref="D27">_xlfn.XLOOKUP(B27,Stock1!F:F,Stock1!E:E,"")</f>
        <v>590</v>
      </c>
      <c r="E27" s="132">
        <f t="array" ref="E27">_xlfn.XLOOKUP(B27,Stock1!F:F,Stock1!J:J,"")</f>
        <v>1</v>
      </c>
      <c r="F27" s="150">
        <v>1.0</v>
      </c>
      <c r="G27" s="152"/>
      <c r="H27" s="152"/>
      <c r="I27" s="152"/>
      <c r="J27" s="152"/>
      <c r="K27" s="152"/>
      <c r="L27" s="152"/>
      <c r="M27" s="152"/>
      <c r="N27" s="152">
        <f t="shared" si="2"/>
        <v>0</v>
      </c>
      <c r="X27" s="88" t="str">
        <f t="array" ref="X27">_xlfn.XLOOKUP("Other",Stock1!A27,Stock1!I27,"")</f>
        <v/>
      </c>
      <c r="Y27" s="95" t="str">
        <f t="array" ref="Y27">_xlfn.XLOOKUP(X27,Stock1!I27,Stock1!F27,"")</f>
        <v/>
      </c>
      <c r="Z27" s="95" t="str">
        <f t="array" ref="Z27">_xlfn.XLOOKUP(X27,Stock1!I27,Stock1!J27,"")</f>
        <v/>
      </c>
      <c r="AA27" s="102" t="str">
        <f t="array" ref="AA27">_xlfn.XLOOKUP(Y27,DATAPremium!A:A,DATAPremium!C:C,"")</f>
        <v/>
      </c>
    </row>
    <row r="28">
      <c r="A28" s="132" t="s">
        <v>202</v>
      </c>
      <c r="B28" s="135" t="s">
        <v>203</v>
      </c>
      <c r="C28" s="132" t="str">
        <f t="array" ref="C28">_xlfn.XLOOKUP(B28,DATAPremium!A:A,DATAPremium!C:C,"")</f>
        <v>Smartphone S26 Ultra</v>
      </c>
      <c r="D28" s="143">
        <f t="array" ref="D28">_xlfn.XLOOKUP(B28,Stock1!F:F,Stock1!E:E,"")</f>
        <v>1090</v>
      </c>
      <c r="E28" s="132">
        <f t="array" ref="E28">_xlfn.XLOOKUP(B28,Stock1!F:F,Stock1!J:J,"")</f>
        <v>7</v>
      </c>
      <c r="F28" s="150">
        <v>7.0</v>
      </c>
      <c r="G28" s="152"/>
      <c r="H28" s="152"/>
      <c r="I28" s="152"/>
      <c r="J28" s="152"/>
      <c r="K28" s="152"/>
      <c r="L28" s="152"/>
      <c r="M28" s="152"/>
      <c r="N28" s="152">
        <f t="shared" si="2"/>
        <v>0</v>
      </c>
      <c r="X28" s="88" t="str">
        <f t="array" ref="X28">_xlfn.XLOOKUP("Other",Stock1!A28,Stock1!I28,"")</f>
        <v/>
      </c>
      <c r="Y28" s="95" t="str">
        <f t="array" ref="Y28">_xlfn.XLOOKUP(X28,Stock1!I28,Stock1!F28,"")</f>
        <v/>
      </c>
      <c r="Z28" s="95" t="str">
        <f t="array" ref="Z28">_xlfn.XLOOKUP(X28,Stock1!I28,Stock1!J28,"")</f>
        <v/>
      </c>
      <c r="AA28" s="102" t="str">
        <f t="array" ref="AA28">_xlfn.XLOOKUP(Y28,DATAPremium!A:A,DATAPremium!C:C,"")</f>
        <v/>
      </c>
    </row>
    <row r="29">
      <c r="A29" s="132"/>
      <c r="B29" s="132"/>
      <c r="C29" s="132" t="str">
        <f t="array" ref="C29">_xlfn.XLOOKUP(B29,DATAPremium!A:A,DATAPremium!C:C,"")</f>
        <v/>
      </c>
      <c r="D29" s="143" t="str">
        <f t="array" ref="D29">_xlfn.XLOOKUP(B29,Stock1!F:F,Stock1!E:E,"")</f>
        <v/>
      </c>
      <c r="E29" s="132" t="str">
        <f t="array" ref="E29">_xlfn.XLOOKUP(B29,Stock1!F:F,Stock1!J:J,"")</f>
        <v/>
      </c>
      <c r="F29" s="224"/>
      <c r="G29" s="196"/>
      <c r="H29" s="196"/>
      <c r="I29" s="196"/>
      <c r="J29" s="196"/>
      <c r="K29" s="196"/>
      <c r="L29" s="152"/>
      <c r="M29" s="152"/>
      <c r="N29" s="152">
        <f t="shared" si="2"/>
        <v>0</v>
      </c>
      <c r="X29" s="88" t="str">
        <f t="array" ref="X29">_xlfn.XLOOKUP("Other",Stock1!A29,Stock1!I29,"")</f>
        <v/>
      </c>
      <c r="Y29" s="95" t="str">
        <f t="array" ref="Y29">_xlfn.XLOOKUP(X29,Stock1!I29,Stock1!F29,"")</f>
        <v/>
      </c>
      <c r="Z29" s="95" t="str">
        <f t="array" ref="Z29">_xlfn.XLOOKUP(X29,Stock1!I29,Stock1!J29,"")</f>
        <v/>
      </c>
      <c r="AA29" s="102" t="str">
        <f t="array" ref="AA29">_xlfn.XLOOKUP(Y29,DATAPremium!A:A,DATAPremium!C:C,"")</f>
        <v/>
      </c>
    </row>
    <row r="30">
      <c r="A30" s="132"/>
      <c r="B30" s="132"/>
      <c r="C30" s="132" t="str">
        <f t="array" ref="C30">_xlfn.XLOOKUP(B30,DATAPremium!A:A,DATAPremium!C:C,"")</f>
        <v/>
      </c>
      <c r="D30" s="143" t="str">
        <f t="array" ref="D30">_xlfn.XLOOKUP(B30,Stock1!F:F,Stock1!E:E,"")</f>
        <v/>
      </c>
      <c r="E30" s="132" t="str">
        <f t="array" ref="E30">_xlfn.XLOOKUP(B30,Stock1!F:F,Stock1!J:J,"")</f>
        <v/>
      </c>
      <c r="F30" s="150"/>
      <c r="G30" s="152"/>
      <c r="H30" s="152"/>
      <c r="I30" s="152"/>
      <c r="J30" s="152"/>
      <c r="K30" s="152"/>
      <c r="L30" s="152"/>
      <c r="M30" s="152"/>
      <c r="N30" s="152">
        <f t="shared" si="2"/>
        <v>0</v>
      </c>
      <c r="X30" s="88" t="str">
        <f t="array" ref="X30">_xlfn.XLOOKUP("Other",Stock1!A30,Stock1!I30,"")</f>
        <v/>
      </c>
      <c r="Y30" s="95" t="str">
        <f t="array" ref="Y30">_xlfn.XLOOKUP(X30,Stock1!I30,Stock1!F30,"")</f>
        <v/>
      </c>
      <c r="Z30" s="95" t="str">
        <f t="array" ref="Z30">_xlfn.XLOOKUP(X30,Stock1!I30,Stock1!J30,"")</f>
        <v/>
      </c>
      <c r="AA30" s="102" t="str">
        <f t="array" ref="AA30">_xlfn.XLOOKUP(Y30,DATAPremium!A:A,DATAPremium!C:C,"")</f>
        <v/>
      </c>
    </row>
    <row r="31">
      <c r="A31" s="150"/>
      <c r="B31" s="150"/>
      <c r="C31" s="132" t="str">
        <f t="array" ref="C31">_xlfn.XLOOKUP(B31,DATAPremium!A:A,DATAPremium!C:C,"")</f>
        <v/>
      </c>
      <c r="D31" s="143" t="str">
        <f t="array" ref="D31">_xlfn.XLOOKUP(B31,Stock1!F:F,Stock1!E:E,"")</f>
        <v/>
      </c>
      <c r="E31" s="132" t="str">
        <f t="array" ref="E31">_xlfn.XLOOKUP(B31,Stock1!F:F,Stock1!J:J,"")</f>
        <v/>
      </c>
      <c r="F31" s="150"/>
      <c r="G31" s="152"/>
      <c r="H31" s="152"/>
      <c r="I31" s="152"/>
      <c r="J31" s="152"/>
      <c r="K31" s="152"/>
      <c r="L31" s="152"/>
      <c r="M31" s="152"/>
      <c r="N31" s="152">
        <f t="shared" si="2"/>
        <v>0</v>
      </c>
      <c r="X31" s="88" t="str">
        <f t="array" ref="X31">_xlfn.XLOOKUP("Other",Stock1!A31,Stock1!I31,"")</f>
        <v/>
      </c>
      <c r="Y31" s="95" t="str">
        <f t="array" ref="Y31">_xlfn.XLOOKUP(X31,Stock1!I31,Stock1!F31,"")</f>
        <v/>
      </c>
      <c r="Z31" s="95" t="str">
        <f t="array" ref="Z31">_xlfn.XLOOKUP(X31,Stock1!I31,Stock1!J31,"")</f>
        <v/>
      </c>
      <c r="AA31" s="102" t="str">
        <f t="array" ref="AA31">_xlfn.XLOOKUP(Y31,DATAPremium!A:A,DATAPremium!C:C,"")</f>
        <v/>
      </c>
    </row>
    <row r="32">
      <c r="A32" s="132"/>
      <c r="B32" s="132"/>
      <c r="C32" s="132" t="str">
        <f t="array" ref="C32">_xlfn.XLOOKUP(B32,DATAPremium!A:A,DATAPremium!C:C,"")</f>
        <v/>
      </c>
      <c r="D32" s="143" t="str">
        <f t="array" ref="D32">_xlfn.XLOOKUP(B32,Stock1!F:F,Stock1!E:E,"")</f>
        <v/>
      </c>
      <c r="E32" s="132" t="str">
        <f t="array" ref="E32">_xlfn.XLOOKUP(B32,Stock1!F:F,Stock1!J:J,"")</f>
        <v/>
      </c>
      <c r="F32" s="150"/>
      <c r="G32" s="152"/>
      <c r="H32" s="152"/>
      <c r="I32" s="152"/>
      <c r="J32" s="152"/>
      <c r="K32" s="152"/>
      <c r="L32" s="152"/>
      <c r="M32" s="289"/>
      <c r="N32" s="152">
        <f t="shared" si="2"/>
        <v>0</v>
      </c>
      <c r="X32" s="88" t="str">
        <f t="array" ref="X32">_xlfn.XLOOKUP("Other",Stock1!A32,Stock1!I32,"")</f>
        <v/>
      </c>
      <c r="Y32" s="95" t="str">
        <f t="array" ref="Y32">_xlfn.XLOOKUP(X32,Stock1!I32,Stock1!F32,"")</f>
        <v/>
      </c>
      <c r="Z32" s="95" t="str">
        <f t="array" ref="Z32">_xlfn.XLOOKUP(X32,Stock1!I32,Stock1!J32,"")</f>
        <v/>
      </c>
      <c r="AA32" s="102" t="str">
        <f t="array" ref="AA32">_xlfn.XLOOKUP(Y32,DATAPremium!A:A,DATAPremium!C:C,"")</f>
        <v/>
      </c>
    </row>
    <row r="33">
      <c r="A33" s="132"/>
      <c r="B33" s="132"/>
      <c r="C33" s="132" t="str">
        <f t="array" ref="C33">_xlfn.XLOOKUP(B33,DATAPremium!A:A,DATAPremium!C:C,"")</f>
        <v/>
      </c>
      <c r="D33" s="143" t="str">
        <f t="array" ref="D33">_xlfn.XLOOKUP(B33,Stock1!F:F,Stock1!E:E,"")</f>
        <v/>
      </c>
      <c r="E33" s="132" t="str">
        <f t="array" ref="E33">_xlfn.XLOOKUP(B33,Stock1!F:F,Stock1!J:J,"")</f>
        <v/>
      </c>
      <c r="F33" s="150"/>
      <c r="G33" s="152"/>
      <c r="H33" s="152"/>
      <c r="I33" s="152"/>
      <c r="J33" s="152"/>
      <c r="K33" s="152"/>
      <c r="L33" s="289"/>
      <c r="M33" s="289"/>
      <c r="N33" s="152">
        <f t="shared" si="2"/>
        <v>0</v>
      </c>
      <c r="X33" s="88" t="str">
        <f t="array" ref="X33">_xlfn.XLOOKUP("Other",Stock1!A33,Stock1!I33,"")</f>
        <v/>
      </c>
      <c r="Y33" s="95" t="str">
        <f t="array" ref="Y33">_xlfn.XLOOKUP(X33,Stock1!I33,Stock1!F33,"")</f>
        <v/>
      </c>
      <c r="Z33" s="95" t="str">
        <f t="array" ref="Z33">_xlfn.XLOOKUP(X33,Stock1!I33,Stock1!J33,"")</f>
        <v/>
      </c>
      <c r="AA33" s="102" t="str">
        <f t="array" ref="AA33">_xlfn.XLOOKUP(Y33,DATAPremium!A:A,DATAPremium!C:C,"")</f>
        <v/>
      </c>
    </row>
    <row r="34">
      <c r="A34" s="132"/>
      <c r="B34" s="132"/>
      <c r="C34" s="132" t="str">
        <f t="array" ref="C34">_xlfn.XLOOKUP(B34,DATAPremium!A:A,DATAPremium!C:C,"")</f>
        <v/>
      </c>
      <c r="D34" s="143" t="str">
        <f t="array" ref="D34">_xlfn.XLOOKUP(B34,Stock1!F:F,Stock1!E:E,"")</f>
        <v/>
      </c>
      <c r="E34" s="132" t="str">
        <f t="array" ref="E34">_xlfn.XLOOKUP(B34,Stock1!F:F,Stock1!J:J,"")</f>
        <v/>
      </c>
      <c r="F34" s="150"/>
      <c r="G34" s="152"/>
      <c r="H34" s="152"/>
      <c r="I34" s="152"/>
      <c r="J34" s="152"/>
      <c r="K34" s="152"/>
      <c r="L34" s="289"/>
      <c r="M34" s="289"/>
      <c r="N34" s="152">
        <f t="shared" si="2"/>
        <v>0</v>
      </c>
      <c r="X34" s="88" t="str">
        <f t="array" ref="X34">_xlfn.XLOOKUP("Other",Stock1!A34,Stock1!I34,"")</f>
        <v/>
      </c>
      <c r="Y34" s="95" t="str">
        <f t="array" ref="Y34">_xlfn.XLOOKUP(X34,Stock1!I34,Stock1!F34,"")</f>
        <v/>
      </c>
      <c r="Z34" s="95" t="str">
        <f t="array" ref="Z34">_xlfn.XLOOKUP(X34,Stock1!I34,Stock1!J34,"")</f>
        <v/>
      </c>
      <c r="AA34" s="102" t="str">
        <f t="array" ref="AA34">_xlfn.XLOOKUP(Y34,DATAPremium!A:A,DATAPremium!C:C,"")</f>
        <v/>
      </c>
    </row>
    <row r="35">
      <c r="A35" s="132"/>
      <c r="B35" s="132"/>
      <c r="C35" s="132" t="str">
        <f t="array" ref="C35">_xlfn.XLOOKUP(B35,DATAPremium!A:A,DATAPremium!C:C,"")</f>
        <v/>
      </c>
      <c r="D35" s="143" t="str">
        <f t="array" ref="D35">_xlfn.XLOOKUP(B35,Stock1!F:F,Stock1!E:E,"")</f>
        <v/>
      </c>
      <c r="E35" s="132" t="str">
        <f t="array" ref="E35">_xlfn.XLOOKUP(B35,Stock1!F:F,Stock1!J:J,"")</f>
        <v/>
      </c>
      <c r="F35" s="132"/>
      <c r="G35" s="289"/>
      <c r="H35" s="289"/>
      <c r="I35" s="289"/>
      <c r="J35" s="289"/>
      <c r="K35" s="289"/>
      <c r="L35" s="289"/>
      <c r="M35" s="289"/>
      <c r="N35" s="152">
        <f t="shared" si="2"/>
        <v>0</v>
      </c>
      <c r="X35" s="88" t="str">
        <f t="array" ref="X35">_xlfn.XLOOKUP("Other",Stock1!A35,Stock1!I35,"")</f>
        <v/>
      </c>
      <c r="Y35" s="95" t="str">
        <f t="array" ref="Y35">_xlfn.XLOOKUP(X35,Stock1!I35,Stock1!F35,"")</f>
        <v/>
      </c>
      <c r="Z35" s="95" t="str">
        <f t="array" ref="Z35">_xlfn.XLOOKUP(X35,Stock1!I35,Stock1!J35,"")</f>
        <v/>
      </c>
      <c r="AA35" s="102" t="str">
        <f t="array" ref="AA35">_xlfn.XLOOKUP(Y35,DATAPremium!A:A,DATAPremium!C:C,"")</f>
        <v/>
      </c>
    </row>
    <row r="36">
      <c r="A36" s="132"/>
      <c r="B36" s="132"/>
      <c r="C36" s="132" t="str">
        <f t="array" ref="C36">_xlfn.XLOOKUP(B36,DATAPremium!A:A,DATAPremium!C:C,"")</f>
        <v/>
      </c>
      <c r="D36" s="143" t="str">
        <f t="array" ref="D36">_xlfn.XLOOKUP(B36,Stock1!F:F,Stock1!E:E,"")</f>
        <v/>
      </c>
      <c r="E36" s="132" t="str">
        <f t="array" ref="E36">_xlfn.XLOOKUP(B36,Stock1!F:F,Stock1!J:J,"")</f>
        <v/>
      </c>
      <c r="F36" s="132"/>
      <c r="G36" s="289"/>
      <c r="H36" s="289"/>
      <c r="I36" s="289"/>
      <c r="J36" s="289"/>
      <c r="K36" s="289"/>
      <c r="L36" s="289"/>
      <c r="M36" s="289"/>
      <c r="N36" s="152">
        <f t="shared" si="2"/>
        <v>0</v>
      </c>
      <c r="X36" s="88" t="str">
        <f t="array" ref="X36">_xlfn.XLOOKUP("Other",Stock1!A36,Stock1!I36,"")</f>
        <v/>
      </c>
      <c r="Y36" s="95" t="str">
        <f t="array" ref="Y36">_xlfn.XLOOKUP(X36,Stock1!I36,Stock1!F36,"")</f>
        <v/>
      </c>
      <c r="Z36" s="95" t="str">
        <f t="array" ref="Z36">_xlfn.XLOOKUP(X36,Stock1!I36,Stock1!J36,"")</f>
        <v/>
      </c>
      <c r="AA36" s="102" t="str">
        <f t="array" ref="AA36">_xlfn.XLOOKUP(Y36,DATAPremium!A:A,DATAPremium!C:C,"")</f>
        <v/>
      </c>
    </row>
    <row r="37">
      <c r="A37" s="132"/>
      <c r="B37" s="132"/>
      <c r="C37" s="132" t="str">
        <f t="array" ref="C37">_xlfn.XLOOKUP(B37,DATAPremium!A:A,DATAPremium!C:C,"")</f>
        <v/>
      </c>
      <c r="D37" s="143" t="str">
        <f t="array" ref="D37">_xlfn.XLOOKUP(B37,Stock1!F:F,Stock1!E:E,"")</f>
        <v/>
      </c>
      <c r="E37" s="132" t="str">
        <f t="array" ref="E37">_xlfn.XLOOKUP(B37,Stock1!F:F,Stock1!J:J,"")</f>
        <v/>
      </c>
      <c r="F37" s="132"/>
      <c r="G37" s="289"/>
      <c r="H37" s="289"/>
      <c r="I37" s="289"/>
      <c r="J37" s="289"/>
      <c r="K37" s="289"/>
      <c r="L37" s="289"/>
      <c r="M37" s="289"/>
      <c r="N37" s="152">
        <f t="shared" si="2"/>
        <v>0</v>
      </c>
      <c r="X37" s="88" t="str">
        <f t="array" ref="X37">_xlfn.XLOOKUP("Other",Stock1!A37,Stock1!I37,"")</f>
        <v/>
      </c>
      <c r="Y37" s="95" t="str">
        <f t="array" ref="Y37">_xlfn.XLOOKUP(X37,Stock1!I37,Stock1!F37,"")</f>
        <v/>
      </c>
      <c r="Z37" s="95" t="str">
        <f t="array" ref="Z37">_xlfn.XLOOKUP(X37,Stock1!I37,Stock1!J37,"")</f>
        <v/>
      </c>
      <c r="AA37" s="102" t="str">
        <f t="array" ref="AA37">_xlfn.XLOOKUP(Y37,DATAPremium!A:A,DATAPremium!C:C,"")</f>
        <v/>
      </c>
    </row>
    <row r="38">
      <c r="A38" s="132"/>
      <c r="B38" s="132"/>
      <c r="C38" s="132" t="str">
        <f t="array" ref="C38">_xlfn.XLOOKUP(B38,DATAPremium!A:A,DATAPremium!C:C,"")</f>
        <v/>
      </c>
      <c r="D38" s="143" t="str">
        <f t="array" ref="D38">_xlfn.XLOOKUP(B38,Stock1!F:F,Stock1!E:E,"")</f>
        <v/>
      </c>
      <c r="E38" s="132" t="str">
        <f t="array" ref="E38">_xlfn.XLOOKUP(B38,Stock1!F:F,Stock1!J:J,"")</f>
        <v/>
      </c>
      <c r="F38" s="132"/>
      <c r="G38" s="289"/>
      <c r="H38" s="289"/>
      <c r="I38" s="289"/>
      <c r="J38" s="289"/>
      <c r="K38" s="289"/>
      <c r="L38" s="289"/>
      <c r="M38" s="289"/>
      <c r="N38" s="152">
        <f t="shared" si="2"/>
        <v>0</v>
      </c>
      <c r="X38" s="88" t="str">
        <f t="array" ref="X38">_xlfn.XLOOKUP("Other",Stock1!A38,Stock1!I38,"")</f>
        <v/>
      </c>
      <c r="Y38" s="95" t="str">
        <f t="array" ref="Y38">_xlfn.XLOOKUP(X38,Stock1!I38,Stock1!F38,"")</f>
        <v/>
      </c>
      <c r="Z38" s="95" t="str">
        <f t="array" ref="Z38">_xlfn.XLOOKUP(X38,Stock1!I38,Stock1!J38,"")</f>
        <v/>
      </c>
      <c r="AA38" s="102" t="str">
        <f t="array" ref="AA38">_xlfn.XLOOKUP(Y38,DATAPremium!A:A,DATAPremium!C:C,"")</f>
        <v/>
      </c>
    </row>
    <row r="39">
      <c r="A39" s="132"/>
      <c r="B39" s="132"/>
      <c r="C39" s="132" t="str">
        <f t="array" ref="C39">_xlfn.XLOOKUP(B39,DATAPremium!A:A,DATAPremium!C:C,"")</f>
        <v/>
      </c>
      <c r="D39" s="143" t="str">
        <f t="array" ref="D39">_xlfn.XLOOKUP(B39,Stock1!F:F,Stock1!E:E,"")</f>
        <v/>
      </c>
      <c r="E39" s="132" t="str">
        <f t="shared" ref="E39:E47" si="3">_xlfn.XLOOKUP(A39,X:X,Z:Z,"")</f>
        <v/>
      </c>
      <c r="F39" s="132"/>
      <c r="G39" s="289"/>
      <c r="H39" s="289"/>
      <c r="I39" s="289"/>
      <c r="J39" s="289"/>
      <c r="K39" s="289"/>
      <c r="L39" s="289"/>
      <c r="M39" s="289"/>
      <c r="N39" s="152">
        <f t="shared" si="2"/>
        <v>0</v>
      </c>
      <c r="X39" s="88" t="str">
        <f t="array" ref="X39">_xlfn.XLOOKUP("Other",Stock1!A39,Stock1!I39,"")</f>
        <v/>
      </c>
      <c r="Y39" s="95" t="str">
        <f t="array" ref="Y39">_xlfn.XLOOKUP(X39,Stock1!I39,Stock1!F39,"")</f>
        <v/>
      </c>
      <c r="Z39" s="95" t="str">
        <f t="array" ref="Z39">_xlfn.XLOOKUP(X39,Stock1!I39,Stock1!J39,"")</f>
        <v/>
      </c>
      <c r="AA39" s="102" t="str">
        <f t="array" ref="AA39">_xlfn.XLOOKUP(Y39,DATAPremium!A:A,DATAPremium!C:C,"")</f>
        <v/>
      </c>
    </row>
    <row r="40">
      <c r="A40" s="132"/>
      <c r="B40" s="132"/>
      <c r="C40" s="132" t="str">
        <f t="array" ref="C40">_xlfn.XLOOKUP(B40,DATAPremium!A:A,DATAPremium!C:C,"")</f>
        <v/>
      </c>
      <c r="D40" s="143" t="str">
        <f t="array" ref="D40">_xlfn.XLOOKUP(B40,Stock1!F:F,Stock1!E:E,"")</f>
        <v/>
      </c>
      <c r="E40" s="132" t="str">
        <f t="shared" si="3"/>
        <v/>
      </c>
      <c r="F40" s="132"/>
      <c r="G40" s="289"/>
      <c r="H40" s="289"/>
      <c r="I40" s="289"/>
      <c r="J40" s="289"/>
      <c r="K40" s="289"/>
      <c r="L40" s="289"/>
      <c r="M40" s="289"/>
      <c r="N40" s="152">
        <f t="shared" si="2"/>
        <v>0</v>
      </c>
      <c r="X40" s="88" t="str">
        <f t="array" ref="X40">_xlfn.XLOOKUP("Other",Stock1!A40,Stock1!I40,"")</f>
        <v/>
      </c>
      <c r="Y40" s="95" t="str">
        <f t="array" ref="Y40">_xlfn.XLOOKUP(X40,Stock1!I40,Stock1!F40,"")</f>
        <v/>
      </c>
      <c r="Z40" s="95" t="str">
        <f t="array" ref="Z40">_xlfn.XLOOKUP(X40,Stock1!I40,Stock1!J40,"")</f>
        <v/>
      </c>
      <c r="AA40" s="102" t="str">
        <f t="array" ref="AA40">_xlfn.XLOOKUP(Y40,DATAPremium!A:A,DATAPremium!C:C,"")</f>
        <v/>
      </c>
    </row>
    <row r="41">
      <c r="A41" s="132"/>
      <c r="B41" s="132"/>
      <c r="C41" s="132" t="str">
        <f t="array" ref="C41">_xlfn.XLOOKUP(B41,DATAPremium!A:A,DATAPremium!C:C,"")</f>
        <v/>
      </c>
      <c r="D41" s="132"/>
      <c r="E41" s="132" t="str">
        <f t="shared" si="3"/>
        <v/>
      </c>
      <c r="F41" s="132"/>
      <c r="G41" s="289"/>
      <c r="H41" s="289"/>
      <c r="I41" s="289"/>
      <c r="J41" s="289"/>
      <c r="K41" s="289"/>
      <c r="L41" s="289"/>
      <c r="M41" s="289"/>
      <c r="N41" s="152">
        <f t="shared" si="2"/>
        <v>0</v>
      </c>
      <c r="X41" s="88" t="str">
        <f t="array" ref="X41">_xlfn.XLOOKUP("Other",Stock1!A41,Stock1!I41,"")</f>
        <v/>
      </c>
      <c r="Y41" s="95" t="str">
        <f t="array" ref="Y41">_xlfn.XLOOKUP(X41,Stock1!I41,Stock1!F41,"")</f>
        <v/>
      </c>
      <c r="Z41" s="95" t="str">
        <f t="array" ref="Z41">_xlfn.XLOOKUP(X41,Stock1!I41,Stock1!J41,"")</f>
        <v/>
      </c>
      <c r="AA41" s="102" t="str">
        <f t="array" ref="AA41">_xlfn.XLOOKUP(Y41,DATAPremium!A:A,DATAPremium!C:C,"")</f>
        <v/>
      </c>
    </row>
    <row r="42">
      <c r="A42" s="132"/>
      <c r="B42" s="132"/>
      <c r="C42" s="132" t="str">
        <f t="array" ref="C42">_xlfn.XLOOKUP(B42,DATAPremium!A:A,DATAPremium!C:C,"")</f>
        <v/>
      </c>
      <c r="D42" s="132"/>
      <c r="E42" s="132" t="str">
        <f t="shared" si="3"/>
        <v/>
      </c>
      <c r="F42" s="132"/>
      <c r="G42" s="289"/>
      <c r="H42" s="289"/>
      <c r="I42" s="289"/>
      <c r="J42" s="289"/>
      <c r="K42" s="289"/>
      <c r="L42" s="289"/>
      <c r="M42" s="289"/>
      <c r="N42" s="152">
        <f t="shared" si="2"/>
        <v>0</v>
      </c>
      <c r="X42" s="88" t="str">
        <f t="array" ref="X42">_xlfn.XLOOKUP("Other",Stock1!A42,Stock1!I42,"")</f>
        <v/>
      </c>
      <c r="Y42" s="95" t="str">
        <f t="array" ref="Y42">_xlfn.XLOOKUP(X42,Stock1!I42,Stock1!F42,"")</f>
        <v/>
      </c>
      <c r="Z42" s="95" t="str">
        <f t="array" ref="Z42">_xlfn.XLOOKUP(X42,Stock1!I42,Stock1!J42,"")</f>
        <v/>
      </c>
      <c r="AA42" s="102" t="str">
        <f t="array" ref="AA42">_xlfn.XLOOKUP(Y42,DATAPremium!A:A,DATAPremium!C:C,"")</f>
        <v/>
      </c>
    </row>
    <row r="43">
      <c r="A43" s="150" t="s">
        <v>310</v>
      </c>
      <c r="B43" s="132"/>
      <c r="C43" s="132" t="str">
        <f t="array" ref="C43">_xlfn.XLOOKUP(B43,DATAPremium!A:A,DATAPremium!C:C,"")</f>
        <v/>
      </c>
      <c r="D43" s="132"/>
      <c r="E43" s="132" t="str">
        <f t="shared" si="3"/>
        <v/>
      </c>
      <c r="F43" s="132"/>
      <c r="G43" s="289"/>
      <c r="H43" s="289"/>
      <c r="I43" s="289"/>
      <c r="J43" s="289"/>
      <c r="K43" s="289"/>
      <c r="L43" s="289"/>
      <c r="M43" s="289"/>
      <c r="N43" s="152">
        <f t="shared" si="2"/>
        <v>0</v>
      </c>
      <c r="X43" s="88" t="str">
        <f t="array" ref="X43">_xlfn.XLOOKUP("Other",Stock1!A43,Stock1!I43,"")</f>
        <v/>
      </c>
      <c r="Y43" s="95" t="str">
        <f t="array" ref="Y43">_xlfn.XLOOKUP(X43,Stock1!I43,Stock1!F43,"")</f>
        <v/>
      </c>
      <c r="Z43" s="95" t="str">
        <f t="array" ref="Z43">_xlfn.XLOOKUP(X43,Stock1!I43,Stock1!J43,"")</f>
        <v/>
      </c>
      <c r="AA43" s="102" t="str">
        <f t="array" ref="AA43">_xlfn.XLOOKUP(Y43,DATAPremium!A:A,DATAPremium!C:C,"")</f>
        <v/>
      </c>
    </row>
    <row r="44">
      <c r="A44" s="132"/>
      <c r="B44" s="132"/>
      <c r="C44" s="132" t="str">
        <f t="array" ref="C44">_xlfn.XLOOKUP(B44,DATAPremium!A:A,DATAPremium!C:C,"")</f>
        <v/>
      </c>
      <c r="D44" s="132"/>
      <c r="E44" s="132" t="str">
        <f t="shared" si="3"/>
        <v/>
      </c>
      <c r="F44" s="132"/>
      <c r="G44" s="289"/>
      <c r="H44" s="289"/>
      <c r="I44" s="289"/>
      <c r="J44" s="289"/>
      <c r="K44" s="289"/>
      <c r="L44" s="289"/>
      <c r="M44" s="289"/>
      <c r="N44" s="152">
        <f t="shared" si="2"/>
        <v>0</v>
      </c>
      <c r="X44" s="88" t="str">
        <f t="array" ref="X44">_xlfn.XLOOKUP("Other",Stock1!A44,Stock1!I44,"")</f>
        <v/>
      </c>
      <c r="Y44" s="95" t="str">
        <f t="array" ref="Y44">_xlfn.XLOOKUP(X44,Stock1!I44,Stock1!F44,"")</f>
        <v/>
      </c>
      <c r="Z44" s="95" t="str">
        <f t="array" ref="Z44">_xlfn.XLOOKUP(X44,Stock1!I44,Stock1!J44,"")</f>
        <v/>
      </c>
      <c r="AA44" s="102" t="str">
        <f t="array" ref="AA44">_xlfn.XLOOKUP(Y44,DATAPremium!A:A,DATAPremium!C:C,"")</f>
        <v/>
      </c>
    </row>
    <row r="45">
      <c r="A45" s="132"/>
      <c r="B45" s="132"/>
      <c r="C45" s="132" t="str">
        <f t="array" ref="C45">_xlfn.XLOOKUP(B45,DATAPremium!A:A,DATAPremium!C:C,"")</f>
        <v/>
      </c>
      <c r="D45" s="132"/>
      <c r="E45" s="132" t="str">
        <f t="shared" si="3"/>
        <v/>
      </c>
      <c r="F45" s="132"/>
      <c r="G45" s="289"/>
      <c r="H45" s="289"/>
      <c r="I45" s="289"/>
      <c r="J45" s="289"/>
      <c r="K45" s="289"/>
      <c r="L45" s="289"/>
      <c r="M45" s="289"/>
      <c r="N45" s="152">
        <f t="shared" si="2"/>
        <v>0</v>
      </c>
      <c r="X45" s="88" t="str">
        <f t="array" ref="X45">_xlfn.XLOOKUP("Other",Stock1!A45,Stock1!I45,"")</f>
        <v/>
      </c>
      <c r="Y45" s="95" t="str">
        <f t="array" ref="Y45">_xlfn.XLOOKUP(X45,Stock1!I45,Stock1!F45,"")</f>
        <v/>
      </c>
      <c r="Z45" s="95" t="str">
        <f t="array" ref="Z45">_xlfn.XLOOKUP(X45,Stock1!I45,Stock1!J45,"")</f>
        <v/>
      </c>
      <c r="AA45" s="102" t="str">
        <f t="array" ref="AA45">_xlfn.XLOOKUP(Y45,DATAPremium!A:A,DATAPremium!C:C,"")</f>
        <v/>
      </c>
    </row>
    <row r="46">
      <c r="A46" s="132"/>
      <c r="B46" s="132"/>
      <c r="C46" s="132" t="str">
        <f t="array" ref="C46">_xlfn.XLOOKUP(B46,DATAPremium!A:A,DATAPremium!C:C,"")</f>
        <v/>
      </c>
      <c r="D46" s="132"/>
      <c r="E46" s="132" t="str">
        <f t="shared" si="3"/>
        <v/>
      </c>
      <c r="F46" s="132"/>
      <c r="G46" s="289"/>
      <c r="H46" s="289"/>
      <c r="I46" s="289"/>
      <c r="J46" s="289"/>
      <c r="K46" s="289"/>
      <c r="L46" s="289"/>
      <c r="M46" s="289"/>
      <c r="N46" s="152">
        <f t="shared" si="2"/>
        <v>0</v>
      </c>
      <c r="X46" s="88" t="str">
        <f t="array" ref="X46">_xlfn.XLOOKUP("Other",Stock1!A46,Stock1!I46,"")</f>
        <v/>
      </c>
      <c r="Y46" s="95" t="str">
        <f t="array" ref="Y46">_xlfn.XLOOKUP(X46,Stock1!I46,Stock1!F46,"")</f>
        <v/>
      </c>
      <c r="Z46" s="95" t="str">
        <f t="array" ref="Z46">_xlfn.XLOOKUP(X46,Stock1!I46,Stock1!J46,"")</f>
        <v/>
      </c>
      <c r="AA46" s="102" t="str">
        <f t="array" ref="AA46">_xlfn.XLOOKUP(Y46,DATAPremium!A:A,DATAPremium!C:C,"")</f>
        <v/>
      </c>
    </row>
    <row r="47">
      <c r="A47" s="132"/>
      <c r="B47" s="132"/>
      <c r="C47" s="132" t="str">
        <f t="array" ref="C47">_xlfn.XLOOKUP(B47,DATAPremium!A:A,DATAPremium!C:C,"")</f>
        <v/>
      </c>
      <c r="D47" s="132"/>
      <c r="E47" s="132" t="str">
        <f t="shared" si="3"/>
        <v/>
      </c>
      <c r="F47" s="132"/>
      <c r="G47" s="289"/>
      <c r="H47" s="289"/>
      <c r="I47" s="289"/>
      <c r="J47" s="289"/>
      <c r="K47" s="289"/>
      <c r="L47" s="289"/>
      <c r="M47" s="289"/>
      <c r="N47" s="152">
        <f t="shared" si="2"/>
        <v>0</v>
      </c>
      <c r="X47" s="88" t="str">
        <f t="array" ref="X47">_xlfn.XLOOKUP("Other",Stock1!A47,Stock1!I47,"")</f>
        <v/>
      </c>
      <c r="Y47" s="95" t="str">
        <f t="array" ref="Y47">_xlfn.XLOOKUP(X47,Stock1!I47,Stock1!F47,"")</f>
        <v/>
      </c>
      <c r="Z47" s="95" t="str">
        <f t="array" ref="Z47">_xlfn.XLOOKUP(X47,Stock1!I47,Stock1!J47,"")</f>
        <v/>
      </c>
      <c r="AA47" s="102" t="str">
        <f t="array" ref="AA47">_xlfn.XLOOKUP(Y47,DATAPremium!A:A,DATAPremium!C:C,"")</f>
        <v/>
      </c>
    </row>
    <row r="48">
      <c r="X48" s="88" t="str">
        <f t="array" ref="X48">_xlfn.XLOOKUP("Other",Stock1!A48,Stock1!I48,"")</f>
        <v/>
      </c>
      <c r="Y48" s="95" t="str">
        <f t="array" ref="Y48">_xlfn.XLOOKUP(X48,Stock1!I48,Stock1!F48,"")</f>
        <v/>
      </c>
      <c r="Z48" s="95" t="str">
        <f t="array" ref="Z48">_xlfn.XLOOKUP(X48,Stock1!I48,Stock1!J48,"")</f>
        <v/>
      </c>
      <c r="AA48" s="102" t="str">
        <f t="array" ref="AA48">_xlfn.XLOOKUP(Y48,DATAPremium!A:A,DATAPremium!C:C,"")</f>
        <v/>
      </c>
    </row>
    <row r="49">
      <c r="X49" s="88" t="str">
        <f t="array" ref="X49">_xlfn.XLOOKUP("Other",Stock1!A49,Stock1!I49,"")</f>
        <v/>
      </c>
      <c r="Y49" s="95" t="str">
        <f t="array" ref="Y49">_xlfn.XLOOKUP(X49,Stock1!I49,Stock1!F49,"")</f>
        <v/>
      </c>
      <c r="Z49" s="95" t="str">
        <f t="array" ref="Z49">_xlfn.XLOOKUP(X49,Stock1!I49,Stock1!J49,"")</f>
        <v/>
      </c>
      <c r="AA49" s="102" t="str">
        <f t="array" ref="AA49">_xlfn.XLOOKUP(Y49,DATAPremium!A:A,DATAPremium!C:C,"")</f>
        <v/>
      </c>
    </row>
    <row r="50">
      <c r="X50" s="88" t="str">
        <f t="array" ref="X50">_xlfn.XLOOKUP("Other",Stock1!A50,Stock1!I50,"")</f>
        <v/>
      </c>
      <c r="Y50" s="95" t="str">
        <f t="array" ref="Y50">_xlfn.XLOOKUP(X50,Stock1!I50,Stock1!F50,"")</f>
        <v/>
      </c>
      <c r="Z50" s="95" t="str">
        <f t="array" ref="Z50">_xlfn.XLOOKUP(X50,Stock1!I50,Stock1!J50,"")</f>
        <v/>
      </c>
      <c r="AA50" s="102" t="str">
        <f t="array" ref="AA50">_xlfn.XLOOKUP(Y50,DATAPremium!A:A,DATAPremium!C:C,"")</f>
        <v/>
      </c>
    </row>
    <row r="51">
      <c r="X51" s="88" t="str">
        <f t="array" ref="X51">_xlfn.XLOOKUP("Other",Stock1!A51,Stock1!I51,"")</f>
        <v/>
      </c>
      <c r="Y51" s="95" t="str">
        <f t="array" ref="Y51">_xlfn.XLOOKUP(X51,Stock1!I51,Stock1!F51,"")</f>
        <v/>
      </c>
      <c r="Z51" s="95" t="str">
        <f t="array" ref="Z51">_xlfn.XLOOKUP(X51,Stock1!I51,Stock1!J51,"")</f>
        <v/>
      </c>
      <c r="AA51" s="102" t="str">
        <f t="array" ref="AA51">_xlfn.XLOOKUP(Y51,DATAPremium!A:A,DATAPremium!C:C,"")</f>
        <v/>
      </c>
    </row>
    <row r="52">
      <c r="X52" s="88" t="str">
        <f t="array" ref="X52">_xlfn.XLOOKUP("Other",Stock1!A52,Stock1!I52,"")</f>
        <v/>
      </c>
      <c r="Y52" s="95" t="str">
        <f t="array" ref="Y52">_xlfn.XLOOKUP(X52,Stock1!I52,Stock1!F52,"")</f>
        <v/>
      </c>
      <c r="Z52" s="95" t="str">
        <f t="array" ref="Z52">_xlfn.XLOOKUP(X52,Stock1!I52,Stock1!J52,"")</f>
        <v/>
      </c>
      <c r="AA52" s="102" t="str">
        <f t="array" ref="AA52">_xlfn.XLOOKUP(Y52,DATAPremium!A:A,DATAPremium!C:C,"")</f>
        <v/>
      </c>
    </row>
    <row r="53">
      <c r="X53" s="88" t="str">
        <f t="array" ref="X53">_xlfn.XLOOKUP("Other",Stock1!A53,Stock1!I53,"")</f>
        <v/>
      </c>
      <c r="Y53" s="95" t="str">
        <f t="array" ref="Y53">_xlfn.XLOOKUP(X53,Stock1!I53,Stock1!F53,"")</f>
        <v/>
      </c>
      <c r="Z53" s="95" t="str">
        <f t="array" ref="Z53">_xlfn.XLOOKUP(X53,Stock1!I53,Stock1!J53,"")</f>
        <v/>
      </c>
      <c r="AA53" s="102" t="str">
        <f t="array" ref="AA53">_xlfn.XLOOKUP(Y53,DATAPremium!A:A,DATAPremium!C:C,"")</f>
        <v/>
      </c>
    </row>
    <row r="54">
      <c r="X54" s="88" t="str">
        <f t="array" ref="X54">_xlfn.XLOOKUP("Other",Stock1!A54,Stock1!I54,"")</f>
        <v/>
      </c>
      <c r="Y54" s="95" t="str">
        <f t="array" ref="Y54">_xlfn.XLOOKUP(X54,Stock1!I54,Stock1!F54,"")</f>
        <v/>
      </c>
      <c r="Z54" s="95" t="str">
        <f t="array" ref="Z54">_xlfn.XLOOKUP(X54,Stock1!I54,Stock1!J54,"")</f>
        <v/>
      </c>
      <c r="AA54" s="102" t="str">
        <f t="array" ref="AA54">_xlfn.XLOOKUP(Y54,DATAPremium!A:A,DATAPremium!C:C,"")</f>
        <v/>
      </c>
    </row>
    <row r="55">
      <c r="X55" s="88" t="str">
        <f t="array" ref="X55">_xlfn.XLOOKUP("Other",Stock1!A55,Stock1!I55,"")</f>
        <v/>
      </c>
      <c r="Y55" s="95" t="str">
        <f t="array" ref="Y55">_xlfn.XLOOKUP(X55,Stock1!I55,Stock1!F55,"")</f>
        <v/>
      </c>
      <c r="Z55" s="95" t="str">
        <f t="array" ref="Z55">_xlfn.XLOOKUP(X55,Stock1!I55,Stock1!J55,"")</f>
        <v/>
      </c>
      <c r="AA55" s="102" t="str">
        <f t="array" ref="AA55">_xlfn.XLOOKUP(Y55,DATAPremium!A:A,DATAPremium!C:C,"")</f>
        <v/>
      </c>
    </row>
    <row r="56">
      <c r="X56" s="88" t="str">
        <f t="array" ref="X56">_xlfn.XLOOKUP("Other",Stock1!A56,Stock1!I56,"")</f>
        <v/>
      </c>
      <c r="Y56" s="95" t="str">
        <f t="array" ref="Y56">_xlfn.XLOOKUP(X56,Stock1!I56,Stock1!F56,"")</f>
        <v/>
      </c>
      <c r="Z56" s="95" t="str">
        <f t="array" ref="Z56">_xlfn.XLOOKUP(X56,Stock1!I56,Stock1!J56,"")</f>
        <v/>
      </c>
      <c r="AA56" s="102" t="str">
        <f t="array" ref="AA56">_xlfn.XLOOKUP(Y56,DATAPremium!A:A,DATAPremium!C:C,"")</f>
        <v/>
      </c>
    </row>
    <row r="57">
      <c r="X57" s="88" t="str">
        <f t="array" ref="X57">_xlfn.XLOOKUP("Other",Stock1!A57,Stock1!I57,"")</f>
        <v/>
      </c>
      <c r="Y57" s="95" t="str">
        <f t="array" ref="Y57">_xlfn.XLOOKUP(X57,Stock1!I57,Stock1!F57,"")</f>
        <v/>
      </c>
      <c r="Z57" s="95" t="str">
        <f t="array" ref="Z57">_xlfn.XLOOKUP(X57,Stock1!I57,Stock1!J57,"")</f>
        <v/>
      </c>
      <c r="AA57" s="102" t="str">
        <f t="array" ref="AA57">_xlfn.XLOOKUP(Y57,DATAPremium!A:A,DATAPremium!C:C,"")</f>
        <v/>
      </c>
    </row>
    <row r="58">
      <c r="X58" s="88" t="str">
        <f t="array" ref="X58">_xlfn.XLOOKUP("Other",Stock1!A58,Stock1!I58,"")</f>
        <v/>
      </c>
      <c r="Y58" s="95" t="str">
        <f t="array" ref="Y58">_xlfn.XLOOKUP(X58,Stock1!I58,Stock1!F58,"")</f>
        <v/>
      </c>
      <c r="Z58" s="95" t="str">
        <f t="array" ref="Z58">_xlfn.XLOOKUP(X58,Stock1!I58,Stock1!J58,"")</f>
        <v/>
      </c>
      <c r="AA58" s="102" t="str">
        <f t="array" ref="AA58">_xlfn.XLOOKUP(Y58,DATAPremium!A:A,DATAPremium!C:C,"")</f>
        <v/>
      </c>
    </row>
    <row r="59">
      <c r="X59" s="88" t="str">
        <f t="array" ref="X59">_xlfn.XLOOKUP("Other",Stock1!A59,Stock1!I59,"")</f>
        <v/>
      </c>
      <c r="Y59" s="95" t="str">
        <f t="array" ref="Y59">_xlfn.XLOOKUP(X59,Stock1!I59,Stock1!F59,"")</f>
        <v/>
      </c>
      <c r="Z59" s="95" t="str">
        <f t="array" ref="Z59">_xlfn.XLOOKUP(X59,Stock1!I59,Stock1!J59,"")</f>
        <v/>
      </c>
      <c r="AA59" s="102" t="str">
        <f t="array" ref="AA59">_xlfn.XLOOKUP(Y59,DATAPremium!A:A,DATAPremium!C:C,"")</f>
        <v/>
      </c>
    </row>
    <row r="60">
      <c r="X60" s="88" t="str">
        <f t="array" ref="X60">_xlfn.XLOOKUP("Other",Stock1!A60,Stock1!I60,"")</f>
        <v/>
      </c>
      <c r="Y60" s="95" t="str">
        <f t="array" ref="Y60">_xlfn.XLOOKUP(X60,Stock1!I60,Stock1!F60,"")</f>
        <v/>
      </c>
      <c r="Z60" s="95" t="str">
        <f t="array" ref="Z60">_xlfn.XLOOKUP(X60,Stock1!I60,Stock1!J60,"")</f>
        <v/>
      </c>
      <c r="AA60" s="102" t="str">
        <f t="array" ref="AA60">_xlfn.XLOOKUP(Y60,DATAPremium!A:A,DATAPremium!C:C,"")</f>
        <v/>
      </c>
    </row>
    <row r="61">
      <c r="X61" s="88" t="str">
        <f t="array" ref="X61">_xlfn.XLOOKUP("Other",Stock1!A61,Stock1!I61,"")</f>
        <v/>
      </c>
      <c r="Y61" s="95" t="str">
        <f t="array" ref="Y61">_xlfn.XLOOKUP(X61,Stock1!I61,Stock1!F61,"")</f>
        <v/>
      </c>
      <c r="Z61" s="95" t="str">
        <f t="array" ref="Z61">_xlfn.XLOOKUP(X61,Stock1!I61,Stock1!J61,"")</f>
        <v/>
      </c>
      <c r="AA61" s="102" t="str">
        <f t="array" ref="AA61">_xlfn.XLOOKUP(Y61,DATAPremium!A:A,DATAPremium!C:C,"")</f>
        <v/>
      </c>
    </row>
    <row r="62">
      <c r="X62" s="88" t="str">
        <f t="array" ref="X62">_xlfn.XLOOKUP("Other",Stock1!A62,Stock1!I62,"")</f>
        <v/>
      </c>
      <c r="Y62" s="95" t="str">
        <f t="array" ref="Y62">_xlfn.XLOOKUP(X62,Stock1!I62,Stock1!F62,"")</f>
        <v/>
      </c>
      <c r="Z62" s="95" t="str">
        <f t="array" ref="Z62">_xlfn.XLOOKUP(X62,Stock1!I62,Stock1!J62,"")</f>
        <v/>
      </c>
      <c r="AA62" s="102" t="str">
        <f t="array" ref="AA62">_xlfn.XLOOKUP(Y62,DATAPremium!A:A,DATAPremium!C:C,"")</f>
        <v/>
      </c>
    </row>
    <row r="63">
      <c r="X63" s="88" t="str">
        <f t="array" ref="X63">_xlfn.XLOOKUP("Other",Stock1!A63,Stock1!I63,"")</f>
        <v/>
      </c>
      <c r="Y63" s="95" t="str">
        <f t="array" ref="Y63">_xlfn.XLOOKUP(X63,Stock1!I63,Stock1!F63,"")</f>
        <v/>
      </c>
      <c r="Z63" s="95" t="str">
        <f t="array" ref="Z63">_xlfn.XLOOKUP(X63,Stock1!I63,Stock1!J63,"")</f>
        <v/>
      </c>
      <c r="AA63" s="102" t="str">
        <f t="array" ref="AA63">_xlfn.XLOOKUP(Y63,DATAPremium!A:A,DATAPremium!C:C,"")</f>
        <v/>
      </c>
    </row>
    <row r="64">
      <c r="X64" s="88" t="str">
        <f t="array" ref="X64">_xlfn.XLOOKUP("Other",Stock1!A64,Stock1!I64,"")</f>
        <v/>
      </c>
      <c r="Y64" s="95" t="str">
        <f t="array" ref="Y64">_xlfn.XLOOKUP(X64,Stock1!I64,Stock1!F64,"")</f>
        <v/>
      </c>
      <c r="Z64" s="95" t="str">
        <f t="array" ref="Z64">_xlfn.XLOOKUP(X64,Stock1!I64,Stock1!J64,"")</f>
        <v/>
      </c>
      <c r="AA64" s="102" t="str">
        <f t="array" ref="AA64">_xlfn.XLOOKUP(Y64,DATAPremium!A:A,DATAPremium!C:C,"")</f>
        <v/>
      </c>
    </row>
    <row r="65">
      <c r="X65" s="88" t="str">
        <f t="array" ref="X65">_xlfn.XLOOKUP("Other",Stock1!A65,Stock1!I65,"")</f>
        <v/>
      </c>
      <c r="Y65" s="95" t="str">
        <f t="array" ref="Y65">_xlfn.XLOOKUP(X65,Stock1!I65,Stock1!F65,"")</f>
        <v/>
      </c>
      <c r="Z65" s="95" t="str">
        <f t="array" ref="Z65">_xlfn.XLOOKUP(X65,Stock1!I65,Stock1!J65,"")</f>
        <v/>
      </c>
      <c r="AA65" s="102" t="str">
        <f t="array" ref="AA65">_xlfn.XLOOKUP(Y65,DATAPremium!A:A,DATAPremium!C:C,"")</f>
        <v/>
      </c>
    </row>
    <row r="66">
      <c r="X66" s="88" t="str">
        <f t="array" ref="X66">_xlfn.XLOOKUP("Other",Stock1!A66,Stock1!I66,"")</f>
        <v/>
      </c>
      <c r="Y66" s="95" t="str">
        <f t="array" ref="Y66">_xlfn.XLOOKUP(X66,Stock1!I66,Stock1!F66,"")</f>
        <v/>
      </c>
      <c r="Z66" s="95" t="str">
        <f t="array" ref="Z66">_xlfn.XLOOKUP(X66,Stock1!I66,Stock1!J66,"")</f>
        <v/>
      </c>
      <c r="AA66" s="102" t="str">
        <f t="array" ref="AA66">_xlfn.XLOOKUP(Y66,DATAPremium!A:A,DATAPremium!C:C,"")</f>
        <v/>
      </c>
    </row>
    <row r="67">
      <c r="X67" s="88" t="str">
        <f t="array" ref="X67">_xlfn.XLOOKUP("Other",Stock1!A67,Stock1!I67,"")</f>
        <v/>
      </c>
      <c r="Y67" s="95" t="str">
        <f t="array" ref="Y67">_xlfn.XLOOKUP(X67,Stock1!I67,Stock1!F67,"")</f>
        <v/>
      </c>
      <c r="Z67" s="95" t="str">
        <f t="array" ref="Z67">_xlfn.XLOOKUP(X67,Stock1!I67,Stock1!J67,"")</f>
        <v/>
      </c>
      <c r="AA67" s="102" t="str">
        <f t="array" ref="AA67">_xlfn.XLOOKUP(Y67,DATAPremium!A:A,DATAPremium!C:C,"")</f>
        <v/>
      </c>
    </row>
    <row r="68">
      <c r="X68" s="88" t="str">
        <f t="array" ref="X68">_xlfn.XLOOKUP("Other",Stock1!A68,Stock1!I68,"")</f>
        <v/>
      </c>
      <c r="Y68" s="95" t="str">
        <f t="array" ref="Y68">_xlfn.XLOOKUP(X68,Stock1!I68,Stock1!F68,"")</f>
        <v/>
      </c>
      <c r="Z68" s="95" t="str">
        <f t="array" ref="Z68">_xlfn.XLOOKUP(X68,Stock1!I68,Stock1!J68,"")</f>
        <v/>
      </c>
      <c r="AA68" s="102" t="str">
        <f t="array" ref="AA68">_xlfn.XLOOKUP(Y68,DATAPremium!A:A,DATAPremium!C:C,"")</f>
        <v/>
      </c>
    </row>
    <row r="69">
      <c r="X69" s="88" t="str">
        <f t="array" ref="X69">_xlfn.XLOOKUP("Other",Stock1!A69,Stock1!I69,"")</f>
        <v/>
      </c>
      <c r="Y69" s="95" t="str">
        <f t="array" ref="Y69">_xlfn.XLOOKUP(X69,Stock1!I69,Stock1!F69,"")</f>
        <v/>
      </c>
      <c r="Z69" s="95" t="str">
        <f t="array" ref="Z69">_xlfn.XLOOKUP(X69,Stock1!I69,Stock1!J69,"")</f>
        <v/>
      </c>
      <c r="AA69" s="102" t="str">
        <f t="array" ref="AA69">_xlfn.XLOOKUP(Y69,DATAPremium!A:A,DATAPremium!C:C,"")</f>
        <v/>
      </c>
    </row>
    <row r="70">
      <c r="X70" s="88" t="str">
        <f t="array" ref="X70">_xlfn.XLOOKUP("Other",Stock1!A70,Stock1!I70,"")</f>
        <v/>
      </c>
      <c r="Y70" s="95" t="str">
        <f t="array" ref="Y70">_xlfn.XLOOKUP(X70,Stock1!I70,Stock1!F70,"")</f>
        <v/>
      </c>
      <c r="Z70" s="95" t="str">
        <f t="array" ref="Z70">_xlfn.XLOOKUP(X70,Stock1!I70,Stock1!J70,"")</f>
        <v/>
      </c>
      <c r="AA70" s="102" t="str">
        <f t="array" ref="AA70">_xlfn.XLOOKUP(Y70,DATAPremium!A:A,DATAPremium!C:C,"")</f>
        <v/>
      </c>
    </row>
    <row r="71">
      <c r="X71" s="88" t="str">
        <f t="array" ref="X71">_xlfn.XLOOKUP("Other",Stock1!A71,Stock1!I71,"")</f>
        <v/>
      </c>
      <c r="Y71" s="95" t="str">
        <f t="array" ref="Y71">_xlfn.XLOOKUP(X71,Stock1!I71,Stock1!F71,"")</f>
        <v/>
      </c>
      <c r="Z71" s="95" t="str">
        <f t="array" ref="Z71">_xlfn.XLOOKUP(X71,Stock1!I71,Stock1!J71,"")</f>
        <v/>
      </c>
      <c r="AA71" s="102" t="str">
        <f t="array" ref="AA71">_xlfn.XLOOKUP(Y71,DATAPremium!A:A,DATAPremium!C:C,"")</f>
        <v/>
      </c>
    </row>
    <row r="72">
      <c r="X72" s="88" t="str">
        <f t="array" ref="X72">_xlfn.XLOOKUP("Other",Stock1!A72,Stock1!I72,"")</f>
        <v/>
      </c>
      <c r="Y72" s="95" t="str">
        <f t="array" ref="Y72">_xlfn.XLOOKUP(X72,Stock1!I72,Stock1!F72,"")</f>
        <v/>
      </c>
      <c r="Z72" s="95" t="str">
        <f t="array" ref="Z72">_xlfn.XLOOKUP(X72,Stock1!I72,Stock1!J72,"")</f>
        <v/>
      </c>
      <c r="AA72" s="102" t="str">
        <f t="array" ref="AA72">_xlfn.XLOOKUP(Y72,DATAPremium!A:A,DATAPremium!C:C,"")</f>
        <v/>
      </c>
    </row>
    <row r="73">
      <c r="X73" s="88" t="str">
        <f t="array" ref="X73">_xlfn.XLOOKUP("Other",Stock1!A73,Stock1!I73,"")</f>
        <v/>
      </c>
      <c r="Y73" s="95" t="str">
        <f t="array" ref="Y73">_xlfn.XLOOKUP(X73,Stock1!I73,Stock1!F73,"")</f>
        <v/>
      </c>
      <c r="Z73" s="95" t="str">
        <f t="array" ref="Z73">_xlfn.XLOOKUP(X73,Stock1!I73,Stock1!J73,"")</f>
        <v/>
      </c>
      <c r="AA73" s="102" t="str">
        <f t="array" ref="AA73">_xlfn.XLOOKUP(Y73,DATAPremium!A:A,DATAPremium!C:C,"")</f>
        <v/>
      </c>
    </row>
    <row r="74">
      <c r="X74" s="88" t="str">
        <f t="array" ref="X74">_xlfn.XLOOKUP("Other",Stock1!A74,Stock1!I74,"")</f>
        <v/>
      </c>
      <c r="Y74" s="95" t="str">
        <f t="array" ref="Y74">_xlfn.XLOOKUP(X74,Stock1!I74,Stock1!F74,"")</f>
        <v/>
      </c>
      <c r="Z74" s="95" t="str">
        <f t="array" ref="Z74">_xlfn.XLOOKUP(X74,Stock1!I74,Stock1!J74,"")</f>
        <v/>
      </c>
      <c r="AA74" s="102" t="str">
        <f t="array" ref="AA74">_xlfn.XLOOKUP(Y74,DATAPremium!A:A,DATAPremium!C:C,"")</f>
        <v/>
      </c>
    </row>
    <row r="75">
      <c r="X75" s="88" t="str">
        <f t="array" ref="X75">_xlfn.XLOOKUP("Other",Stock1!A75,Stock1!I75,"")</f>
        <v/>
      </c>
      <c r="Y75" s="95" t="str">
        <f t="array" ref="Y75">_xlfn.XLOOKUP(X75,Stock1!I75,Stock1!F75,"")</f>
        <v/>
      </c>
      <c r="Z75" s="95" t="str">
        <f t="array" ref="Z75">_xlfn.XLOOKUP(X75,Stock1!I75,Stock1!J75,"")</f>
        <v/>
      </c>
      <c r="AA75" s="102" t="str">
        <f t="array" ref="AA75">_xlfn.XLOOKUP(Y75,DATAPremium!A:A,DATAPremium!C:C,"")</f>
        <v/>
      </c>
    </row>
    <row r="76">
      <c r="X76" s="88" t="str">
        <f t="array" ref="X76">_xlfn.XLOOKUP("Other",Stock1!A76,Stock1!I76,"")</f>
        <v/>
      </c>
      <c r="Y76" s="95" t="str">
        <f t="array" ref="Y76">_xlfn.XLOOKUP(X76,Stock1!I76,Stock1!F76,"")</f>
        <v/>
      </c>
      <c r="Z76" s="95" t="str">
        <f t="array" ref="Z76">_xlfn.XLOOKUP(X76,Stock1!I76,Stock1!J76,"")</f>
        <v/>
      </c>
      <c r="AA76" s="102" t="str">
        <f t="array" ref="AA76">_xlfn.XLOOKUP(Y76,DATAPremium!A:A,DATAPremium!C:C,"")</f>
        <v/>
      </c>
    </row>
    <row r="77">
      <c r="X77" s="88" t="str">
        <f t="array" ref="X77">_xlfn.XLOOKUP("Other",Stock1!A77,Stock1!I77,"")</f>
        <v/>
      </c>
      <c r="Y77" s="95" t="str">
        <f t="array" ref="Y77">_xlfn.XLOOKUP(X77,Stock1!I77,Stock1!F77,"")</f>
        <v/>
      </c>
      <c r="Z77" s="95" t="str">
        <f t="array" ref="Z77">_xlfn.XLOOKUP(X77,Stock1!I77,Stock1!J77,"")</f>
        <v/>
      </c>
      <c r="AA77" s="102" t="str">
        <f t="array" ref="AA77">_xlfn.XLOOKUP(Y77,DATAPremium!A:A,DATAPremium!C:C,"")</f>
        <v/>
      </c>
    </row>
    <row r="78">
      <c r="X78" s="88" t="str">
        <f t="array" ref="X78">_xlfn.XLOOKUP("Other",Stock1!A78,Stock1!I78,"")</f>
        <v/>
      </c>
      <c r="Y78" s="95" t="str">
        <f t="array" ref="Y78">_xlfn.XLOOKUP(X78,Stock1!I78,Stock1!F78,"")</f>
        <v/>
      </c>
      <c r="Z78" s="95" t="str">
        <f t="array" ref="Z78">_xlfn.XLOOKUP(X78,Stock1!I78,Stock1!J78,"")</f>
        <v/>
      </c>
      <c r="AA78" s="102" t="str">
        <f t="array" ref="AA78">_xlfn.XLOOKUP(Y78,DATAPremium!A:A,DATAPremium!C:C,"")</f>
        <v/>
      </c>
    </row>
    <row r="79">
      <c r="X79" s="88" t="str">
        <f t="array" ref="X79">_xlfn.XLOOKUP("Other",Stock1!A79,Stock1!I79,"")</f>
        <v/>
      </c>
      <c r="Y79" s="95" t="str">
        <f t="array" ref="Y79">_xlfn.XLOOKUP(X79,Stock1!I79,Stock1!F79,"")</f>
        <v/>
      </c>
      <c r="Z79" s="95" t="str">
        <f t="array" ref="Z79">_xlfn.XLOOKUP(X79,Stock1!I79,Stock1!J79,"")</f>
        <v/>
      </c>
      <c r="AA79" s="102" t="str">
        <f t="array" ref="AA79">_xlfn.XLOOKUP(Y79,DATAPremium!A:A,DATAPremium!C:C,"")</f>
        <v/>
      </c>
    </row>
    <row r="80">
      <c r="X80" s="88" t="str">
        <f t="array" ref="X80">_xlfn.XLOOKUP("Other",Stock1!A80,Stock1!I80,"")</f>
        <v/>
      </c>
      <c r="Y80" s="95" t="str">
        <f t="array" ref="Y80">_xlfn.XLOOKUP(X80,Stock1!I80,Stock1!F80,"")</f>
        <v/>
      </c>
      <c r="Z80" s="95" t="str">
        <f t="array" ref="Z80">_xlfn.XLOOKUP(X80,Stock1!I80,Stock1!J80,"")</f>
        <v/>
      </c>
      <c r="AA80" s="102" t="str">
        <f t="array" ref="AA80">_xlfn.XLOOKUP(Y80,DATAPremium!A:A,DATAPremium!C:C,"")</f>
        <v/>
      </c>
    </row>
    <row r="81">
      <c r="X81" s="88" t="str">
        <f t="array" ref="X81">_xlfn.XLOOKUP("Other",Stock1!A81,Stock1!I81,"")</f>
        <v/>
      </c>
      <c r="Y81" s="95" t="str">
        <f t="array" ref="Y81">_xlfn.XLOOKUP(X81,Stock1!I81,Stock1!F81,"")</f>
        <v/>
      </c>
      <c r="Z81" s="95" t="str">
        <f t="array" ref="Z81">_xlfn.XLOOKUP(X81,Stock1!I81,Stock1!J81,"")</f>
        <v/>
      </c>
      <c r="AA81" s="102" t="str">
        <f t="array" ref="AA81">_xlfn.XLOOKUP(Y81,DATAPremium!A:A,DATAPremium!C:C,"")</f>
        <v/>
      </c>
    </row>
    <row r="82">
      <c r="X82" s="88" t="str">
        <f t="array" ref="X82">_xlfn.XLOOKUP("Other",Stock1!A82,Stock1!I82,"")</f>
        <v/>
      </c>
      <c r="Y82" s="95" t="str">
        <f t="array" ref="Y82">_xlfn.XLOOKUP(X82,Stock1!I82,Stock1!F82,"")</f>
        <v/>
      </c>
      <c r="Z82" s="95" t="str">
        <f t="array" ref="Z82">_xlfn.XLOOKUP(X82,Stock1!I82,Stock1!J82,"")</f>
        <v/>
      </c>
      <c r="AA82" s="102" t="str">
        <f t="array" ref="AA82">_xlfn.XLOOKUP(Y82,DATAPremium!A:A,DATAPremium!C:C,"")</f>
        <v/>
      </c>
    </row>
    <row r="83">
      <c r="X83" s="88" t="str">
        <f t="array" ref="X83">_xlfn.XLOOKUP("Other",Stock1!A83,Stock1!I83,"")</f>
        <v/>
      </c>
      <c r="Y83" s="95" t="str">
        <f t="array" ref="Y83">_xlfn.XLOOKUP(X83,Stock1!I83,Stock1!F83,"")</f>
        <v/>
      </c>
      <c r="Z83" s="95" t="str">
        <f t="array" ref="Z83">_xlfn.XLOOKUP(X83,Stock1!I83,Stock1!J83,"")</f>
        <v/>
      </c>
      <c r="AA83" s="102" t="str">
        <f t="array" ref="AA83">_xlfn.XLOOKUP(Y83,DATAPremium!A:A,DATAPremium!C:C,"")</f>
        <v/>
      </c>
    </row>
    <row r="84">
      <c r="X84" s="88" t="str">
        <f t="array" ref="X84">_xlfn.XLOOKUP("Other",Stock1!A84,Stock1!I84,"")</f>
        <v/>
      </c>
      <c r="Y84" s="95" t="str">
        <f t="array" ref="Y84">_xlfn.XLOOKUP(X84,Stock1!I84,Stock1!F84,"")</f>
        <v/>
      </c>
      <c r="Z84" s="95" t="str">
        <f t="array" ref="Z84">_xlfn.XLOOKUP(X84,Stock1!I84,Stock1!J84,"")</f>
        <v/>
      </c>
      <c r="AA84" s="102" t="str">
        <f t="array" ref="AA84">_xlfn.XLOOKUP(Y84,DATAPremium!A:A,DATAPremium!C:C,"")</f>
        <v/>
      </c>
    </row>
    <row r="85">
      <c r="X85" s="88" t="str">
        <f t="array" ref="X85">_xlfn.XLOOKUP("Other",Stock1!A85,Stock1!I85,"")</f>
        <v/>
      </c>
      <c r="Y85" s="95" t="str">
        <f t="array" ref="Y85">_xlfn.XLOOKUP(X85,Stock1!I85,Stock1!F85,"")</f>
        <v/>
      </c>
      <c r="Z85" s="95" t="str">
        <f t="array" ref="Z85">_xlfn.XLOOKUP(X85,Stock1!I85,Stock1!J85,"")</f>
        <v/>
      </c>
      <c r="AA85" s="102" t="str">
        <f t="array" ref="AA85">_xlfn.XLOOKUP(Y85,DATAPremium!A:A,DATAPremium!C:C,"")</f>
        <v/>
      </c>
    </row>
    <row r="86">
      <c r="X86" s="88" t="str">
        <f t="array" ref="X86">_xlfn.XLOOKUP("Other",Stock1!A86,Stock1!I86,"")</f>
        <v/>
      </c>
      <c r="Y86" s="95" t="str">
        <f t="array" ref="Y86">_xlfn.XLOOKUP(X86,Stock1!I86,Stock1!F86,"")</f>
        <v/>
      </c>
      <c r="Z86" s="95" t="str">
        <f t="array" ref="Z86">_xlfn.XLOOKUP(X86,Stock1!I86,Stock1!J86,"")</f>
        <v/>
      </c>
      <c r="AA86" s="102" t="str">
        <f t="array" ref="AA86">_xlfn.XLOOKUP(Y86,DATAPremium!A:A,DATAPremium!C:C,"")</f>
        <v/>
      </c>
    </row>
    <row r="87">
      <c r="X87" s="88" t="str">
        <f t="array" ref="X87">_xlfn.XLOOKUP("Other",Stock1!A87,Stock1!I87,"")</f>
        <v/>
      </c>
      <c r="Y87" s="95" t="str">
        <f t="array" ref="Y87">_xlfn.XLOOKUP(X87,Stock1!I87,Stock1!F87,"")</f>
        <v/>
      </c>
      <c r="Z87" s="95" t="str">
        <f t="array" ref="Z87">_xlfn.XLOOKUP(X87,Stock1!I87,Stock1!J87,"")</f>
        <v/>
      </c>
      <c r="AA87" s="102" t="str">
        <f t="array" ref="AA87">_xlfn.XLOOKUP(Y87,DATAPremium!A:A,DATAPremium!C:C,"")</f>
        <v/>
      </c>
    </row>
    <row r="88">
      <c r="X88" s="88" t="str">
        <f t="array" ref="X88">_xlfn.XLOOKUP("Other",Stock1!A88,Stock1!I88,"")</f>
        <v/>
      </c>
      <c r="Y88" s="95" t="str">
        <f t="array" ref="Y88">_xlfn.XLOOKUP(X88,Stock1!I88,Stock1!F88,"")</f>
        <v/>
      </c>
      <c r="Z88" s="95" t="str">
        <f t="array" ref="Z88">_xlfn.XLOOKUP(X88,Stock1!I88,Stock1!J88,"")</f>
        <v/>
      </c>
      <c r="AA88" s="102" t="str">
        <f t="array" ref="AA88">_xlfn.XLOOKUP(Y88,DATAPremium!A:A,DATAPremium!C:C,"")</f>
        <v/>
      </c>
    </row>
    <row r="89">
      <c r="X89" s="88" t="str">
        <f t="array" ref="X89">_xlfn.XLOOKUP("Other",Stock1!A89,Stock1!I89,"")</f>
        <v/>
      </c>
      <c r="Y89" s="95" t="str">
        <f t="array" ref="Y89">_xlfn.XLOOKUP(X89,Stock1!I89,Stock1!F89,"")</f>
        <v/>
      </c>
      <c r="Z89" s="95" t="str">
        <f t="array" ref="Z89">_xlfn.XLOOKUP(X89,Stock1!I89,Stock1!J89,"")</f>
        <v/>
      </c>
      <c r="AA89" s="102" t="str">
        <f t="array" ref="AA89">_xlfn.XLOOKUP(Y89,DATAPremium!A:A,DATAPremium!C:C,"")</f>
        <v/>
      </c>
    </row>
    <row r="90">
      <c r="X90" s="88" t="str">
        <f t="array" ref="X90">_xlfn.XLOOKUP("Other",Stock1!A90,Stock1!I90,"")</f>
        <v/>
      </c>
      <c r="Y90" s="95" t="str">
        <f t="array" ref="Y90">_xlfn.XLOOKUP(X90,Stock1!I90,Stock1!F90,"")</f>
        <v/>
      </c>
      <c r="Z90" s="95" t="str">
        <f t="array" ref="Z90">_xlfn.XLOOKUP(X90,Stock1!I90,Stock1!J90,"")</f>
        <v/>
      </c>
      <c r="AA90" s="102" t="str">
        <f t="array" ref="AA90">_xlfn.XLOOKUP(Y90,DATAPremium!A:A,DATAPremium!C:C,"")</f>
        <v/>
      </c>
    </row>
    <row r="91">
      <c r="X91" s="88" t="str">
        <f t="array" ref="X91">_xlfn.XLOOKUP("Other",Stock1!A91,Stock1!I91,"")</f>
        <v/>
      </c>
      <c r="Y91" s="95" t="str">
        <f t="array" ref="Y91">_xlfn.XLOOKUP(X91,Stock1!I91,Stock1!F91,"")</f>
        <v/>
      </c>
      <c r="Z91" s="95" t="str">
        <f t="array" ref="Z91">_xlfn.XLOOKUP(X91,Stock1!I91,Stock1!J91,"")</f>
        <v/>
      </c>
      <c r="AA91" s="102" t="str">
        <f t="array" ref="AA91">_xlfn.XLOOKUP(Y91,DATAPremium!A:A,DATAPremium!C:C,"")</f>
        <v/>
      </c>
    </row>
    <row r="92">
      <c r="X92" s="88" t="str">
        <f t="array" ref="X92">_xlfn.XLOOKUP("Other",Stock1!A92,Stock1!I92,"")</f>
        <v/>
      </c>
      <c r="Y92" s="95" t="str">
        <f t="array" ref="Y92">_xlfn.XLOOKUP(X92,Stock1!I92,Stock1!F92,"")</f>
        <v/>
      </c>
      <c r="Z92" s="95" t="str">
        <f t="array" ref="Z92">_xlfn.XLOOKUP(X92,Stock1!I92,Stock1!J92,"")</f>
        <v/>
      </c>
      <c r="AA92" s="102" t="str">
        <f t="array" ref="AA92">_xlfn.XLOOKUP(Y92,DATAPremium!A:A,DATAPremium!C:C,"")</f>
        <v/>
      </c>
    </row>
    <row r="93">
      <c r="X93" s="88" t="str">
        <f t="array" ref="X93">_xlfn.XLOOKUP("Other",Stock1!A93,Stock1!I93,"")</f>
        <v/>
      </c>
      <c r="Y93" s="95" t="str">
        <f t="array" ref="Y93">_xlfn.XLOOKUP(X93,Stock1!I93,Stock1!F93,"")</f>
        <v/>
      </c>
      <c r="Z93" s="95" t="str">
        <f t="array" ref="Z93">_xlfn.XLOOKUP(X93,Stock1!I93,Stock1!J93,"")</f>
        <v/>
      </c>
      <c r="AA93" s="102" t="str">
        <f t="array" ref="AA93">_xlfn.XLOOKUP(Y93,DATAPremium!A:A,DATAPremium!C:C,"")</f>
        <v/>
      </c>
    </row>
    <row r="94">
      <c r="X94" s="88" t="str">
        <f t="array" ref="X94">_xlfn.XLOOKUP("Other",Stock1!A94,Stock1!I94,"")</f>
        <v/>
      </c>
      <c r="Y94" s="95" t="str">
        <f t="array" ref="Y94">_xlfn.XLOOKUP(X94,Stock1!I94,Stock1!F94,"")</f>
        <v/>
      </c>
      <c r="Z94" s="95" t="str">
        <f t="array" ref="Z94">_xlfn.XLOOKUP(X94,Stock1!I94,Stock1!J94,"")</f>
        <v/>
      </c>
      <c r="AA94" s="102" t="str">
        <f t="array" ref="AA94">_xlfn.XLOOKUP(Y94,DATAPremium!A:A,DATAPremium!C:C,"")</f>
        <v/>
      </c>
    </row>
    <row r="95">
      <c r="X95" s="88" t="str">
        <f t="array" ref="X95">_xlfn.XLOOKUP("Other",Stock1!A95,Stock1!I95,"")</f>
        <v/>
      </c>
      <c r="Y95" s="95" t="str">
        <f t="array" ref="Y95">_xlfn.XLOOKUP(X95,Stock1!I95,Stock1!F95,"")</f>
        <v/>
      </c>
      <c r="Z95" s="95" t="str">
        <f t="array" ref="Z95">_xlfn.XLOOKUP(X95,Stock1!I95,Stock1!J95,"")</f>
        <v/>
      </c>
      <c r="AA95" s="102" t="str">
        <f t="array" ref="AA95">_xlfn.XLOOKUP(Y95,DATAPremium!A:A,DATAPremium!C:C,"")</f>
        <v/>
      </c>
    </row>
    <row r="96">
      <c r="X96" s="88" t="str">
        <f t="array" ref="X96">_xlfn.XLOOKUP("Other",Stock1!A96,Stock1!I96,"")</f>
        <v/>
      </c>
      <c r="Y96" s="95" t="str">
        <f t="array" ref="Y96">_xlfn.XLOOKUP(X96,Stock1!I96,Stock1!F96,"")</f>
        <v/>
      </c>
      <c r="Z96" s="95" t="str">
        <f t="array" ref="Z96">_xlfn.XLOOKUP(X96,Stock1!I96,Stock1!J96,"")</f>
        <v/>
      </c>
      <c r="AA96" s="102" t="str">
        <f t="array" ref="AA96">_xlfn.XLOOKUP(Y96,DATAPremium!A:A,DATAPremium!C:C,"")</f>
        <v/>
      </c>
    </row>
    <row r="97">
      <c r="X97" s="88" t="str">
        <f t="array" ref="X97">_xlfn.XLOOKUP("Other",Stock1!A97,Stock1!I97,"")</f>
        <v/>
      </c>
      <c r="Y97" s="95" t="str">
        <f t="array" ref="Y97">_xlfn.XLOOKUP(X97,Stock1!I97,Stock1!F97,"")</f>
        <v/>
      </c>
      <c r="Z97" s="95" t="str">
        <f t="array" ref="Z97">_xlfn.XLOOKUP(X97,Stock1!I97,Stock1!J97,"")</f>
        <v/>
      </c>
      <c r="AA97" s="102" t="str">
        <f t="array" ref="AA97">_xlfn.XLOOKUP(Y97,DATAPremium!A:A,DATAPremium!C:C,"")</f>
        <v/>
      </c>
    </row>
    <row r="98">
      <c r="X98" s="88" t="str">
        <f t="array" ref="X98">_xlfn.XLOOKUP("Other",Stock1!A98,Stock1!I98,"")</f>
        <v/>
      </c>
      <c r="Y98" s="95" t="str">
        <f t="array" ref="Y98">_xlfn.XLOOKUP(X98,Stock1!I98,Stock1!F98,"")</f>
        <v/>
      </c>
      <c r="Z98" s="95" t="str">
        <f t="array" ref="Z98">_xlfn.XLOOKUP(X98,Stock1!I98,Stock1!J98,"")</f>
        <v/>
      </c>
      <c r="AA98" s="102" t="str">
        <f t="array" ref="AA98">_xlfn.XLOOKUP(Y98,DATAPremium!A:A,DATAPremium!C:C,"")</f>
        <v/>
      </c>
    </row>
    <row r="99">
      <c r="X99" s="88" t="str">
        <f t="array" ref="X99">_xlfn.XLOOKUP("Other",Stock1!A99,Stock1!I99,"")</f>
        <v/>
      </c>
      <c r="Y99" s="95" t="str">
        <f t="array" ref="Y99">_xlfn.XLOOKUP(X99,Stock1!I99,Stock1!F99,"")</f>
        <v/>
      </c>
      <c r="Z99" s="95" t="str">
        <f t="array" ref="Z99">_xlfn.XLOOKUP(X99,Stock1!I99,Stock1!J99,"")</f>
        <v/>
      </c>
      <c r="AA99" s="102" t="str">
        <f t="array" ref="AA99">_xlfn.XLOOKUP(Y99,DATAPremium!A:A,DATAPremium!C:C,"")</f>
        <v/>
      </c>
    </row>
    <row r="100">
      <c r="X100" s="88" t="str">
        <f t="array" ref="X100">_xlfn.XLOOKUP("Other",Stock1!A100,Stock1!I100,"")</f>
        <v/>
      </c>
      <c r="Y100" s="95" t="str">
        <f t="array" ref="Y100">_xlfn.XLOOKUP(X100,Stock1!I100,Stock1!F100,"")</f>
        <v/>
      </c>
      <c r="Z100" s="95" t="str">
        <f t="array" ref="Z100">_xlfn.XLOOKUP(X100,Stock1!I100,Stock1!J100,"")</f>
        <v/>
      </c>
      <c r="AA100" s="102" t="str">
        <f t="array" ref="AA100">_xlfn.XLOOKUP(Y100,DATAPremium!A:A,DATAPremium!C:C,"")</f>
        <v/>
      </c>
    </row>
    <row r="101">
      <c r="X101" s="88" t="str">
        <f t="array" ref="X101">_xlfn.XLOOKUP("Other",Stock1!A101,Stock1!I101,"")</f>
        <v/>
      </c>
      <c r="Y101" s="95" t="str">
        <f t="array" ref="Y101">_xlfn.XLOOKUP(X101,Stock1!I101,Stock1!F101,"")</f>
        <v/>
      </c>
      <c r="Z101" s="95" t="str">
        <f t="array" ref="Z101">_xlfn.XLOOKUP(X101,Stock1!I101,Stock1!J101,"")</f>
        <v/>
      </c>
      <c r="AA101" s="102" t="str">
        <f t="array" ref="AA101">_xlfn.XLOOKUP(Y101,DATAPremium!A:A,DATAPremium!C:C,"")</f>
        <v/>
      </c>
    </row>
    <row r="102">
      <c r="X102" s="88" t="str">
        <f t="array" ref="X102">_xlfn.XLOOKUP("Other",Stock1!A102,Stock1!I102,"")</f>
        <v/>
      </c>
      <c r="Y102" s="95" t="str">
        <f t="array" ref="Y102">_xlfn.XLOOKUP(X102,Stock1!I102,Stock1!F102,"")</f>
        <v/>
      </c>
      <c r="Z102" s="95" t="str">
        <f t="array" ref="Z102">_xlfn.XLOOKUP(X102,Stock1!I102,Stock1!J102,"")</f>
        <v/>
      </c>
      <c r="AA102" s="102" t="str">
        <f t="array" ref="AA102">_xlfn.XLOOKUP(Y102,DATAPremium!A:A,DATAPremium!C:C,"")</f>
        <v/>
      </c>
    </row>
    <row r="103">
      <c r="X103" s="88" t="str">
        <f t="array" ref="X103">_xlfn.XLOOKUP("Other",Stock1!A103,Stock1!I103,"")</f>
        <v/>
      </c>
      <c r="Y103" s="95" t="str">
        <f t="array" ref="Y103">_xlfn.XLOOKUP(X103,Stock1!I103,Stock1!F103,"")</f>
        <v/>
      </c>
      <c r="Z103" s="95" t="str">
        <f t="array" ref="Z103">_xlfn.XLOOKUP(X103,Stock1!I103,Stock1!J103,"")</f>
        <v/>
      </c>
      <c r="AA103" s="102" t="str">
        <f t="array" ref="AA103">_xlfn.XLOOKUP(Y103,DATAPremium!A:A,DATAPremium!C:C,"")</f>
        <v/>
      </c>
    </row>
    <row r="104">
      <c r="X104" s="88" t="str">
        <f t="array" ref="X104">_xlfn.XLOOKUP("Other",Stock1!A104,Stock1!I104,"")</f>
        <v/>
      </c>
      <c r="Y104" s="95" t="str">
        <f t="array" ref="Y104">_xlfn.XLOOKUP(X104,Stock1!I104,Stock1!F104,"")</f>
        <v/>
      </c>
      <c r="Z104" s="95" t="str">
        <f t="array" ref="Z104">_xlfn.XLOOKUP(X104,Stock1!I104,Stock1!J104,"")</f>
        <v/>
      </c>
      <c r="AA104" s="102" t="str">
        <f t="array" ref="AA104">_xlfn.XLOOKUP(Y104,DATAPremium!A:A,DATAPremium!C:C,"")</f>
        <v/>
      </c>
    </row>
    <row r="105">
      <c r="X105" s="88" t="str">
        <f t="array" ref="X105">_xlfn.XLOOKUP("Other",Stock1!A105,Stock1!I105,"")</f>
        <v/>
      </c>
      <c r="Y105" s="95" t="str">
        <f t="array" ref="Y105">_xlfn.XLOOKUP(X105,Stock1!I105,Stock1!F105,"")</f>
        <v/>
      </c>
      <c r="Z105" s="95" t="str">
        <f t="array" ref="Z105">_xlfn.XLOOKUP(X105,Stock1!I105,Stock1!J105,"")</f>
        <v/>
      </c>
      <c r="AA105" s="102" t="str">
        <f t="array" ref="AA105">_xlfn.XLOOKUP(Y105,DATAPremium!A:A,DATAPremium!C:C,"")</f>
        <v/>
      </c>
    </row>
    <row r="106">
      <c r="X106" s="88" t="str">
        <f t="array" ref="X106">_xlfn.XLOOKUP("Other",Stock1!A106,Stock1!I106,"")</f>
        <v/>
      </c>
      <c r="Y106" s="95" t="str">
        <f t="array" ref="Y106">_xlfn.XLOOKUP(X106,Stock1!I106,Stock1!F106,"")</f>
        <v/>
      </c>
      <c r="Z106" s="95" t="str">
        <f t="array" ref="Z106">_xlfn.XLOOKUP(X106,Stock1!I106,Stock1!J106,"")</f>
        <v/>
      </c>
      <c r="AA106" s="102" t="str">
        <f t="array" ref="AA106">_xlfn.XLOOKUP(Y106,DATAPremium!A:A,DATAPremium!C:C,"")</f>
        <v/>
      </c>
    </row>
    <row r="107">
      <c r="X107" s="88" t="str">
        <f t="array" ref="X107">_xlfn.XLOOKUP("Other",Stock1!A107,Stock1!I107,"")</f>
        <v/>
      </c>
      <c r="Y107" s="95" t="str">
        <f t="array" ref="Y107">_xlfn.XLOOKUP(X107,Stock1!I107,Stock1!F107,"")</f>
        <v/>
      </c>
      <c r="Z107" s="95" t="str">
        <f t="array" ref="Z107">_xlfn.XLOOKUP(X107,Stock1!I107,Stock1!J107,"")</f>
        <v/>
      </c>
      <c r="AA107" s="102" t="str">
        <f t="array" ref="AA107">_xlfn.XLOOKUP(Y107,DATAPremium!A:A,DATAPremium!C:C,"")</f>
        <v/>
      </c>
    </row>
    <row r="108">
      <c r="X108" s="88" t="str">
        <f t="array" ref="X108">_xlfn.XLOOKUP("Other",Stock1!A108,Stock1!I108,"")</f>
        <v/>
      </c>
      <c r="Y108" s="95" t="str">
        <f t="array" ref="Y108">_xlfn.XLOOKUP(X108,Stock1!I108,Stock1!F108,"")</f>
        <v/>
      </c>
      <c r="Z108" s="95" t="str">
        <f t="array" ref="Z108">_xlfn.XLOOKUP(X108,Stock1!I108,Stock1!J108,"")</f>
        <v/>
      </c>
      <c r="AA108" s="102" t="str">
        <f t="array" ref="AA108">_xlfn.XLOOKUP(Y108,DATAPremium!A:A,DATAPremium!C:C,"")</f>
        <v/>
      </c>
    </row>
    <row r="109">
      <c r="X109" s="88" t="str">
        <f t="array" ref="X109">_xlfn.XLOOKUP("Other",Stock1!A109,Stock1!I109,"")</f>
        <v/>
      </c>
      <c r="Y109" s="95" t="str">
        <f t="array" ref="Y109">_xlfn.XLOOKUP(X109,Stock1!I109,Stock1!F109,"")</f>
        <v/>
      </c>
      <c r="Z109" s="95" t="str">
        <f t="array" ref="Z109">_xlfn.XLOOKUP(X109,Stock1!I109,Stock1!J109,"")</f>
        <v/>
      </c>
      <c r="AA109" s="102" t="str">
        <f t="array" ref="AA109">_xlfn.XLOOKUP(Y109,DATAPremium!A:A,DATAPremium!C:C,"")</f>
        <v/>
      </c>
    </row>
    <row r="110">
      <c r="X110" s="88" t="str">
        <f t="array" ref="X110">_xlfn.XLOOKUP("Other",Stock1!A110,Stock1!I110,"")</f>
        <v/>
      </c>
      <c r="Y110" s="95" t="str">
        <f t="array" ref="Y110">_xlfn.XLOOKUP(X110,Stock1!I110,Stock1!F110,"")</f>
        <v/>
      </c>
      <c r="Z110" s="95" t="str">
        <f t="array" ref="Z110">_xlfn.XLOOKUP(X110,Stock1!I110,Stock1!J110,"")</f>
        <v/>
      </c>
      <c r="AA110" s="102" t="str">
        <f t="array" ref="AA110">_xlfn.XLOOKUP(Y110,DATAPremium!A:A,DATAPremium!C:C,"")</f>
        <v/>
      </c>
    </row>
    <row r="111">
      <c r="X111" s="88" t="str">
        <f t="array" ref="X111">_xlfn.XLOOKUP("Other",Stock1!A111,Stock1!I111,"")</f>
        <v/>
      </c>
      <c r="Y111" s="95" t="str">
        <f t="array" ref="Y111">_xlfn.XLOOKUP(X111,Stock1!I111,Stock1!F111,"")</f>
        <v/>
      </c>
      <c r="Z111" s="95" t="str">
        <f t="array" ref="Z111">_xlfn.XLOOKUP(X111,Stock1!I111,Stock1!J111,"")</f>
        <v/>
      </c>
      <c r="AA111" s="102" t="str">
        <f t="array" ref="AA111">_xlfn.XLOOKUP(Y111,DATAPremium!A:A,DATAPremium!C:C,"")</f>
        <v/>
      </c>
    </row>
    <row r="112">
      <c r="X112" s="88" t="str">
        <f t="array" ref="X112">_xlfn.XLOOKUP("Other",Stock1!A112,Stock1!I112,"")</f>
        <v/>
      </c>
      <c r="Y112" s="95" t="str">
        <f t="array" ref="Y112">_xlfn.XLOOKUP(X112,Stock1!I112,Stock1!F112,"")</f>
        <v/>
      </c>
      <c r="Z112" s="95" t="str">
        <f t="array" ref="Z112">_xlfn.XLOOKUP(X112,Stock1!I112,Stock1!J112,"")</f>
        <v/>
      </c>
      <c r="AA112" s="102" t="str">
        <f t="array" ref="AA112">_xlfn.XLOOKUP(Y112,DATAPremium!A:A,DATAPremium!C:C,"")</f>
        <v/>
      </c>
    </row>
    <row r="113">
      <c r="X113" s="88" t="str">
        <f t="array" ref="X113">_xlfn.XLOOKUP("Other",Stock1!A113,Stock1!I113,"")</f>
        <v/>
      </c>
      <c r="Y113" s="95" t="str">
        <f t="array" ref="Y113">_xlfn.XLOOKUP(X113,Stock1!I113,Stock1!F113,"")</f>
        <v/>
      </c>
      <c r="Z113" s="95" t="str">
        <f t="array" ref="Z113">_xlfn.XLOOKUP(X113,Stock1!I113,Stock1!J113,"")</f>
        <v/>
      </c>
      <c r="AA113" s="102" t="str">
        <f t="array" ref="AA113">_xlfn.XLOOKUP(Y113,DATAPremium!A:A,DATAPremium!C:C,"")</f>
        <v/>
      </c>
    </row>
    <row r="114">
      <c r="X114" s="88" t="str">
        <f t="array" ref="X114">_xlfn.XLOOKUP("Other",Stock1!A114,Stock1!I114,"")</f>
        <v/>
      </c>
      <c r="Y114" s="95" t="str">
        <f t="array" ref="Y114">_xlfn.XLOOKUP(X114,Stock1!I114,Stock1!F114,"")</f>
        <v/>
      </c>
      <c r="Z114" s="95" t="str">
        <f t="array" ref="Z114">_xlfn.XLOOKUP(X114,Stock1!I114,Stock1!J114,"")</f>
        <v/>
      </c>
      <c r="AA114" s="102" t="str">
        <f t="array" ref="AA114">_xlfn.XLOOKUP(Y114,DATAPremium!A:A,DATAPremium!C:C,"")</f>
        <v/>
      </c>
    </row>
    <row r="115">
      <c r="X115" s="88" t="str">
        <f t="array" ref="X115">_xlfn.XLOOKUP("Other",Stock1!A115,Stock1!I115,"")</f>
        <v/>
      </c>
      <c r="Y115" s="95" t="str">
        <f t="array" ref="Y115">_xlfn.XLOOKUP(X115,Stock1!I115,Stock1!F115,"")</f>
        <v/>
      </c>
      <c r="Z115" s="95" t="str">
        <f t="array" ref="Z115">_xlfn.XLOOKUP(X115,Stock1!I115,Stock1!J115,"")</f>
        <v/>
      </c>
      <c r="AA115" s="102" t="str">
        <f t="array" ref="AA115">_xlfn.XLOOKUP(Y115,DATAPremium!A:A,DATAPremium!C:C,"")</f>
        <v/>
      </c>
    </row>
    <row r="116">
      <c r="X116" s="88" t="str">
        <f t="array" ref="X116">_xlfn.XLOOKUP("Other",Stock1!A116,Stock1!I116,"")</f>
        <v/>
      </c>
      <c r="Y116" s="95" t="str">
        <f t="array" ref="Y116">_xlfn.XLOOKUP(X116,Stock1!I116,Stock1!F116,"")</f>
        <v/>
      </c>
      <c r="Z116" s="95" t="str">
        <f t="array" ref="Z116">_xlfn.XLOOKUP(X116,Stock1!I116,Stock1!J116,"")</f>
        <v/>
      </c>
      <c r="AA116" s="102" t="str">
        <f t="array" ref="AA116">_xlfn.XLOOKUP(Y116,DATAPremium!A:A,DATAPremium!C:C,"")</f>
        <v/>
      </c>
    </row>
    <row r="117">
      <c r="X117" s="88" t="str">
        <f t="array" ref="X117">_xlfn.XLOOKUP("Other",Stock1!A117,Stock1!I117,"")</f>
        <v/>
      </c>
      <c r="Y117" s="95" t="str">
        <f t="array" ref="Y117">_xlfn.XLOOKUP(X117,Stock1!I117,Stock1!F117,"")</f>
        <v/>
      </c>
      <c r="Z117" s="95" t="str">
        <f t="array" ref="Z117">_xlfn.XLOOKUP(X117,Stock1!I117,Stock1!J117,"")</f>
        <v/>
      </c>
      <c r="AA117" s="102" t="str">
        <f t="array" ref="AA117">_xlfn.XLOOKUP(Y117,DATAPremium!A:A,DATAPremium!C:C,"")</f>
        <v/>
      </c>
    </row>
    <row r="118">
      <c r="X118" s="88" t="str">
        <f t="array" ref="X118">_xlfn.XLOOKUP("Other",Stock1!A118,Stock1!I118,"")</f>
        <v/>
      </c>
      <c r="Y118" s="95" t="str">
        <f t="array" ref="Y118">_xlfn.XLOOKUP(X118,Stock1!I118,Stock1!F118,"")</f>
        <v/>
      </c>
      <c r="Z118" s="95" t="str">
        <f t="array" ref="Z118">_xlfn.XLOOKUP(X118,Stock1!I118,Stock1!J118,"")</f>
        <v/>
      </c>
      <c r="AA118" s="102" t="str">
        <f t="array" ref="AA118">_xlfn.XLOOKUP(Y118,DATAPremium!A:A,DATAPremium!C:C,"")</f>
        <v/>
      </c>
    </row>
    <row r="119">
      <c r="X119" s="88" t="str">
        <f t="array" ref="X119">_xlfn.XLOOKUP("Other",Stock1!A119,Stock1!I119,"")</f>
        <v/>
      </c>
      <c r="Y119" s="95" t="str">
        <f t="array" ref="Y119">_xlfn.XLOOKUP(X119,Stock1!I119,Stock1!F119,"")</f>
        <v/>
      </c>
      <c r="Z119" s="95" t="str">
        <f t="array" ref="Z119">_xlfn.XLOOKUP(X119,Stock1!I119,Stock1!J119,"")</f>
        <v/>
      </c>
      <c r="AA119" s="102" t="str">
        <f t="array" ref="AA119">_xlfn.XLOOKUP(Y119,DATAPremium!A:A,DATAPremium!C:C,"")</f>
        <v/>
      </c>
    </row>
    <row r="120">
      <c r="X120" s="88" t="str">
        <f t="array" ref="X120">_xlfn.XLOOKUP("Other",Stock1!A120,Stock1!I120,"")</f>
        <v/>
      </c>
      <c r="Y120" s="95" t="str">
        <f t="array" ref="Y120">_xlfn.XLOOKUP(X120,Stock1!I120,Stock1!F120,"")</f>
        <v/>
      </c>
      <c r="Z120" s="95" t="str">
        <f t="array" ref="Z120">_xlfn.XLOOKUP(X120,Stock1!I120,Stock1!J120,"")</f>
        <v/>
      </c>
      <c r="AA120" s="102" t="str">
        <f t="array" ref="AA120">_xlfn.XLOOKUP(Y120,DATAPremium!A:A,DATAPremium!C:C,"")</f>
        <v/>
      </c>
    </row>
    <row r="121">
      <c r="X121" s="88" t="str">
        <f t="array" ref="X121">_xlfn.XLOOKUP("Other",Stock1!A121,Stock1!I121,"")</f>
        <v/>
      </c>
      <c r="Y121" s="95" t="str">
        <f t="array" ref="Y121">_xlfn.XLOOKUP(X121,Stock1!I121,Stock1!F121,"")</f>
        <v/>
      </c>
      <c r="Z121" s="95" t="str">
        <f t="array" ref="Z121">_xlfn.XLOOKUP(X121,Stock1!I121,Stock1!J121,"")</f>
        <v/>
      </c>
      <c r="AA121" s="102" t="str">
        <f t="array" ref="AA121">_xlfn.XLOOKUP(Y121,DATAPremium!A:A,DATAPremium!C:C,"")</f>
        <v/>
      </c>
    </row>
    <row r="122">
      <c r="X122" s="88" t="str">
        <f t="array" ref="X122">_xlfn.XLOOKUP("Other",Stock1!A122,Stock1!I122,"")</f>
        <v/>
      </c>
      <c r="Y122" s="95" t="str">
        <f t="array" ref="Y122">_xlfn.XLOOKUP(X122,Stock1!I122,Stock1!F122,"")</f>
        <v/>
      </c>
      <c r="Z122" s="95" t="str">
        <f t="array" ref="Z122">_xlfn.XLOOKUP(X122,Stock1!I122,Stock1!J122,"")</f>
        <v/>
      </c>
      <c r="AA122" s="102" t="str">
        <f t="array" ref="AA122">_xlfn.XLOOKUP(Y122,DATAPremium!A:A,DATAPremium!C:C,"")</f>
        <v/>
      </c>
    </row>
    <row r="123">
      <c r="X123" s="88" t="str">
        <f t="array" ref="X123">_xlfn.XLOOKUP("Other",Stock1!A123,Stock1!I123,"")</f>
        <v/>
      </c>
      <c r="Y123" s="95" t="str">
        <f t="array" ref="Y123">_xlfn.XLOOKUP(X123,Stock1!I123,Stock1!F123,"")</f>
        <v/>
      </c>
      <c r="Z123" s="95" t="str">
        <f t="array" ref="Z123">_xlfn.XLOOKUP(X123,Stock1!I123,Stock1!J123,"")</f>
        <v/>
      </c>
      <c r="AA123" s="102" t="str">
        <f t="array" ref="AA123">_xlfn.XLOOKUP(Y123,DATAPremium!A:A,DATAPremium!C:C,"")</f>
        <v/>
      </c>
    </row>
    <row r="124">
      <c r="X124" s="88" t="str">
        <f t="array" ref="X124">_xlfn.XLOOKUP("Other",Stock1!A124,Stock1!I124,"")</f>
        <v/>
      </c>
      <c r="Y124" s="95" t="str">
        <f t="array" ref="Y124">_xlfn.XLOOKUP(X124,Stock1!I124,Stock1!F124,"")</f>
        <v/>
      </c>
      <c r="Z124" s="95" t="str">
        <f t="array" ref="Z124">_xlfn.XLOOKUP(X124,Stock1!I124,Stock1!J124,"")</f>
        <v/>
      </c>
      <c r="AA124" s="102" t="str">
        <f t="array" ref="AA124">_xlfn.XLOOKUP(Y124,DATAPremium!A:A,DATAPremium!C:C,"")</f>
        <v/>
      </c>
    </row>
    <row r="125">
      <c r="X125" s="88" t="str">
        <f t="array" ref="X125">_xlfn.XLOOKUP("Other",Stock1!A125,Stock1!I125,"")</f>
        <v/>
      </c>
      <c r="Y125" s="95" t="str">
        <f t="array" ref="Y125">_xlfn.XLOOKUP(X125,Stock1!I125,Stock1!F125,"")</f>
        <v/>
      </c>
      <c r="Z125" s="95" t="str">
        <f t="array" ref="Z125">_xlfn.XLOOKUP(X125,Stock1!I125,Stock1!J125,"")</f>
        <v/>
      </c>
      <c r="AA125" s="102" t="str">
        <f t="array" ref="AA125">_xlfn.XLOOKUP(Y125,DATAPremium!A:A,DATAPremium!C:C,"")</f>
        <v/>
      </c>
    </row>
    <row r="126">
      <c r="X126" s="88" t="str">
        <f t="array" ref="X126">_xlfn.XLOOKUP("Other",Stock1!A126,Stock1!I126,"")</f>
        <v/>
      </c>
      <c r="Y126" s="95" t="str">
        <f t="array" ref="Y126">_xlfn.XLOOKUP(X126,Stock1!I126,Stock1!F126,"")</f>
        <v/>
      </c>
      <c r="Z126" s="95" t="str">
        <f t="array" ref="Z126">_xlfn.XLOOKUP(X126,Stock1!I126,Stock1!J126,"")</f>
        <v/>
      </c>
      <c r="AA126" s="102" t="str">
        <f t="array" ref="AA126">_xlfn.XLOOKUP(Y126,DATAPremium!A:A,DATAPremium!C:C,"")</f>
        <v/>
      </c>
    </row>
    <row r="127">
      <c r="X127" s="88" t="str">
        <f t="array" ref="X127">_xlfn.XLOOKUP("Other",Stock1!A127,Stock1!I127,"")</f>
        <v/>
      </c>
      <c r="Y127" s="95" t="str">
        <f t="array" ref="Y127">_xlfn.XLOOKUP(X127,Stock1!I127,Stock1!F127,"")</f>
        <v/>
      </c>
      <c r="Z127" s="95" t="str">
        <f t="array" ref="Z127">_xlfn.XLOOKUP(X127,Stock1!I127,Stock1!J127,"")</f>
        <v/>
      </c>
      <c r="AA127" s="102" t="str">
        <f t="array" ref="AA127">_xlfn.XLOOKUP(Y127,DATAPremium!A:A,DATAPremium!C:C,"")</f>
        <v/>
      </c>
    </row>
    <row r="128">
      <c r="X128" s="88" t="str">
        <f t="array" ref="X128">_xlfn.XLOOKUP("Other",Stock1!A128,Stock1!I128,"")</f>
        <v/>
      </c>
      <c r="Y128" s="95" t="str">
        <f t="array" ref="Y128">_xlfn.XLOOKUP(X128,Stock1!I128,Stock1!F128,"")</f>
        <v/>
      </c>
      <c r="Z128" s="95" t="str">
        <f t="array" ref="Z128">_xlfn.XLOOKUP(X128,Stock1!I128,Stock1!J128,"")</f>
        <v/>
      </c>
      <c r="AA128" s="102" t="str">
        <f t="array" ref="AA128">_xlfn.XLOOKUP(Y128,DATAPremium!A:A,DATAPremium!C:C,"")</f>
        <v/>
      </c>
    </row>
    <row r="129">
      <c r="X129" s="88" t="str">
        <f t="array" ref="X129">_xlfn.XLOOKUP("Other",Stock1!A129,Stock1!I129,"")</f>
        <v/>
      </c>
      <c r="Y129" s="95" t="str">
        <f t="array" ref="Y129">_xlfn.XLOOKUP(X129,Stock1!I129,Stock1!F129,"")</f>
        <v/>
      </c>
      <c r="Z129" s="95" t="str">
        <f t="array" ref="Z129">_xlfn.XLOOKUP(X129,Stock1!I129,Stock1!J129,"")</f>
        <v/>
      </c>
      <c r="AA129" s="102" t="str">
        <f t="array" ref="AA129">_xlfn.XLOOKUP(Y129,DATAPremium!A:A,DATAPremium!C:C,"")</f>
        <v/>
      </c>
    </row>
    <row r="130">
      <c r="X130" s="88" t="str">
        <f t="array" ref="X130">_xlfn.XLOOKUP("Other",Stock1!A130,Stock1!I130,"")</f>
        <v/>
      </c>
      <c r="Y130" s="95" t="str">
        <f t="array" ref="Y130">_xlfn.XLOOKUP(X130,Stock1!I130,Stock1!F130,"")</f>
        <v/>
      </c>
      <c r="Z130" s="95" t="str">
        <f t="array" ref="Z130">_xlfn.XLOOKUP(X130,Stock1!I130,Stock1!J130,"")</f>
        <v/>
      </c>
      <c r="AA130" s="102" t="str">
        <f t="array" ref="AA130">_xlfn.XLOOKUP(Y130,DATAPremium!A:A,DATAPremium!C:C,"")</f>
        <v/>
      </c>
    </row>
    <row r="131">
      <c r="X131" s="88" t="str">
        <f t="array" ref="X131">_xlfn.XLOOKUP("Other",Stock1!A131,Stock1!I131,"")</f>
        <v/>
      </c>
      <c r="Y131" s="95" t="str">
        <f t="array" ref="Y131">_xlfn.XLOOKUP(X131,Stock1!I131,Stock1!F131,"")</f>
        <v/>
      </c>
      <c r="Z131" s="95" t="str">
        <f t="array" ref="Z131">_xlfn.XLOOKUP(X131,Stock1!I131,Stock1!J131,"")</f>
        <v/>
      </c>
      <c r="AA131" s="102" t="str">
        <f t="array" ref="AA131">_xlfn.XLOOKUP(Y131,DATAPremium!A:A,DATAPremium!C:C,"")</f>
        <v/>
      </c>
    </row>
    <row r="132">
      <c r="X132" s="88" t="str">
        <f t="array" ref="X132">_xlfn.XLOOKUP("Other",Stock1!A132,Stock1!I132,"")</f>
        <v/>
      </c>
      <c r="Y132" s="95" t="str">
        <f t="array" ref="Y132">_xlfn.XLOOKUP(X132,Stock1!I132,Stock1!F132,"")</f>
        <v/>
      </c>
      <c r="Z132" s="95" t="str">
        <f t="array" ref="Z132">_xlfn.XLOOKUP(X132,Stock1!I132,Stock1!J132,"")</f>
        <v/>
      </c>
      <c r="AA132" s="102" t="str">
        <f t="array" ref="AA132">_xlfn.XLOOKUP(Y132,DATAPremium!A:A,DATAPremium!C:C,"")</f>
        <v/>
      </c>
    </row>
    <row r="133">
      <c r="X133" s="88" t="str">
        <f t="array" ref="X133">_xlfn.XLOOKUP("Other",Stock1!A133,Stock1!I133,"")</f>
        <v/>
      </c>
      <c r="Y133" s="95" t="str">
        <f t="array" ref="Y133">_xlfn.XLOOKUP(X133,Stock1!I133,Stock1!F133,"")</f>
        <v/>
      </c>
      <c r="Z133" s="95" t="str">
        <f t="array" ref="Z133">_xlfn.XLOOKUP(X133,Stock1!I133,Stock1!J133,"")</f>
        <v/>
      </c>
      <c r="AA133" s="102" t="str">
        <f t="array" ref="AA133">_xlfn.XLOOKUP(Y133,DATAPremium!A:A,DATAPremium!C:C,"")</f>
        <v/>
      </c>
    </row>
    <row r="134">
      <c r="X134" s="88" t="str">
        <f t="array" ref="X134">_xlfn.XLOOKUP("Other",Stock1!A134,Stock1!I134,"")</f>
        <v/>
      </c>
      <c r="Y134" s="95" t="str">
        <f t="array" ref="Y134">_xlfn.XLOOKUP(X134,Stock1!I134,Stock1!F134,"")</f>
        <v/>
      </c>
      <c r="Z134" s="95" t="str">
        <f t="array" ref="Z134">_xlfn.XLOOKUP(X134,Stock1!I134,Stock1!J134,"")</f>
        <v/>
      </c>
      <c r="AA134" s="102" t="str">
        <f t="array" ref="AA134">_xlfn.XLOOKUP(Y134,DATAPremium!A:A,DATAPremium!C:C,"")</f>
        <v/>
      </c>
    </row>
    <row r="135">
      <c r="X135" s="88" t="str">
        <f t="array" ref="X135">_xlfn.XLOOKUP("Other",Stock1!A135,Stock1!I135,"")</f>
        <v/>
      </c>
      <c r="Y135" s="95" t="str">
        <f t="array" ref="Y135">_xlfn.XLOOKUP(X135,Stock1!I135,Stock1!F135,"")</f>
        <v/>
      </c>
      <c r="Z135" s="95" t="str">
        <f t="array" ref="Z135">_xlfn.XLOOKUP(X135,Stock1!I135,Stock1!J135,"")</f>
        <v/>
      </c>
      <c r="AA135" s="102" t="str">
        <f t="array" ref="AA135">_xlfn.XLOOKUP(Y135,DATAPremium!A:A,DATAPremium!C:C,"")</f>
        <v/>
      </c>
    </row>
    <row r="136">
      <c r="X136" s="88" t="str">
        <f t="array" ref="X136">_xlfn.XLOOKUP("Other",Stock1!A136,Stock1!I136,"")</f>
        <v/>
      </c>
      <c r="Y136" s="95" t="str">
        <f t="array" ref="Y136">_xlfn.XLOOKUP(X136,Stock1!I136,Stock1!F136,"")</f>
        <v/>
      </c>
      <c r="Z136" s="95" t="str">
        <f t="array" ref="Z136">_xlfn.XLOOKUP(X136,Stock1!I136,Stock1!J136,"")</f>
        <v/>
      </c>
      <c r="AA136" s="102" t="str">
        <f t="array" ref="AA136">_xlfn.XLOOKUP(Y136,DATAPremium!A:A,DATAPremium!C:C,"")</f>
        <v/>
      </c>
    </row>
    <row r="137">
      <c r="X137" s="88" t="str">
        <f t="array" ref="X137">_xlfn.XLOOKUP("Other",Stock1!A137,Stock1!I137,"")</f>
        <v/>
      </c>
      <c r="Y137" s="95" t="str">
        <f t="array" ref="Y137">_xlfn.XLOOKUP(X137,Stock1!I137,Stock1!F137,"")</f>
        <v/>
      </c>
      <c r="Z137" s="95" t="str">
        <f t="array" ref="Z137">_xlfn.XLOOKUP(X137,Stock1!I137,Stock1!J137,"")</f>
        <v/>
      </c>
      <c r="AA137" s="102" t="str">
        <f t="array" ref="AA137">_xlfn.XLOOKUP(Y137,DATAPremium!A:A,DATAPremium!C:C,"")</f>
        <v/>
      </c>
    </row>
    <row r="138">
      <c r="X138" s="88" t="str">
        <f t="array" ref="X138">_xlfn.XLOOKUP("Other",Stock1!A138,Stock1!I138,"")</f>
        <v/>
      </c>
      <c r="Y138" s="95" t="str">
        <f t="array" ref="Y138">_xlfn.XLOOKUP(X138,Stock1!I138,Stock1!F138,"")</f>
        <v/>
      </c>
      <c r="Z138" s="95" t="str">
        <f t="array" ref="Z138">_xlfn.XLOOKUP(X138,Stock1!I138,Stock1!J138,"")</f>
        <v/>
      </c>
      <c r="AA138" s="102" t="str">
        <f t="array" ref="AA138">_xlfn.XLOOKUP(Y138,DATAPremium!A:A,DATAPremium!C:C,"")</f>
        <v/>
      </c>
    </row>
    <row r="139">
      <c r="X139" s="88" t="str">
        <f t="array" ref="X139">_xlfn.XLOOKUP("Other",Stock1!A139,Stock1!I139,"")</f>
        <v/>
      </c>
      <c r="Y139" s="95" t="str">
        <f t="array" ref="Y139">_xlfn.XLOOKUP(X139,Stock1!I139,Stock1!F139,"")</f>
        <v/>
      </c>
      <c r="Z139" s="95" t="str">
        <f t="array" ref="Z139">_xlfn.XLOOKUP(X139,Stock1!I139,Stock1!J139,"")</f>
        <v/>
      </c>
      <c r="AA139" s="102" t="str">
        <f t="array" ref="AA139">_xlfn.XLOOKUP(Y139,DATAPremium!A:A,DATAPremium!C:C,"")</f>
        <v/>
      </c>
    </row>
    <row r="140">
      <c r="X140" s="88" t="str">
        <f t="array" ref="X140">_xlfn.XLOOKUP("Other",Stock1!A140,Stock1!I140,"")</f>
        <v/>
      </c>
      <c r="Y140" s="95" t="str">
        <f t="array" ref="Y140">_xlfn.XLOOKUP(X140,Stock1!I140,Stock1!F140,"")</f>
        <v/>
      </c>
      <c r="Z140" s="95" t="str">
        <f t="array" ref="Z140">_xlfn.XLOOKUP(X140,Stock1!I140,Stock1!J140,"")</f>
        <v/>
      </c>
      <c r="AA140" s="102" t="str">
        <f t="array" ref="AA140">_xlfn.XLOOKUP(Y140,DATAPremium!A:A,DATAPremium!C:C,"")</f>
        <v/>
      </c>
    </row>
    <row r="141">
      <c r="X141" s="88" t="str">
        <f t="array" ref="X141">_xlfn.XLOOKUP("Other",Stock1!A141,Stock1!I141,"")</f>
        <v/>
      </c>
      <c r="Y141" s="95" t="str">
        <f t="array" ref="Y141">_xlfn.XLOOKUP(X141,Stock1!I141,Stock1!F141,"")</f>
        <v/>
      </c>
      <c r="Z141" s="95" t="str">
        <f t="array" ref="Z141">_xlfn.XLOOKUP(X141,Stock1!I141,Stock1!J141,"")</f>
        <v/>
      </c>
      <c r="AA141" s="102" t="str">
        <f t="array" ref="AA141">_xlfn.XLOOKUP(Y141,DATAPremium!A:A,DATAPremium!C:C,"")</f>
        <v/>
      </c>
    </row>
    <row r="142">
      <c r="X142" s="88" t="str">
        <f t="array" ref="X142">_xlfn.XLOOKUP("Other",Stock1!A142,Stock1!I142,"")</f>
        <v/>
      </c>
      <c r="Y142" s="95" t="str">
        <f t="array" ref="Y142">_xlfn.XLOOKUP(X142,Stock1!I142,Stock1!F142,"")</f>
        <v/>
      </c>
      <c r="Z142" s="95" t="str">
        <f t="array" ref="Z142">_xlfn.XLOOKUP(X142,Stock1!I142,Stock1!J142,"")</f>
        <v/>
      </c>
      <c r="AA142" s="102" t="str">
        <f t="array" ref="AA142">_xlfn.XLOOKUP(Y142,DATAPremium!A:A,DATAPremium!C:C,"")</f>
        <v/>
      </c>
    </row>
    <row r="143">
      <c r="X143" s="88" t="str">
        <f t="array" ref="X143">_xlfn.XLOOKUP("Other",Stock1!A143,Stock1!I143,"")</f>
        <v/>
      </c>
      <c r="Y143" s="95" t="str">
        <f t="array" ref="Y143">_xlfn.XLOOKUP(X143,Stock1!I143,Stock1!F143,"")</f>
        <v/>
      </c>
      <c r="Z143" s="95" t="str">
        <f t="array" ref="Z143">_xlfn.XLOOKUP(X143,Stock1!I143,Stock1!J143,"")</f>
        <v/>
      </c>
      <c r="AA143" s="102" t="str">
        <f t="array" ref="AA143">_xlfn.XLOOKUP(Y143,DATAPremium!A:A,DATAPremium!C:C,"")</f>
        <v/>
      </c>
    </row>
    <row r="144">
      <c r="X144" s="88" t="str">
        <f t="array" ref="X144">_xlfn.XLOOKUP("Other",Stock1!A144,Stock1!I144,"")</f>
        <v/>
      </c>
      <c r="Y144" s="95" t="str">
        <f t="array" ref="Y144">_xlfn.XLOOKUP(X144,Stock1!I144,Stock1!F144,"")</f>
        <v/>
      </c>
      <c r="Z144" s="95" t="str">
        <f t="array" ref="Z144">_xlfn.XLOOKUP(X144,Stock1!I144,Stock1!J144,"")</f>
        <v/>
      </c>
      <c r="AA144" s="102" t="str">
        <f t="array" ref="AA144">_xlfn.XLOOKUP(Y144,DATAPremium!A:A,DATAPremium!C:C,"")</f>
        <v/>
      </c>
    </row>
    <row r="145">
      <c r="X145" s="88" t="str">
        <f t="array" ref="X145">_xlfn.XLOOKUP("Other",Stock1!A145,Stock1!I145,"")</f>
        <v/>
      </c>
      <c r="Y145" s="95" t="str">
        <f t="array" ref="Y145">_xlfn.XLOOKUP(X145,Stock1!I145,Stock1!F145,"")</f>
        <v/>
      </c>
      <c r="Z145" s="95" t="str">
        <f t="array" ref="Z145">_xlfn.XLOOKUP(X145,Stock1!I145,Stock1!J145,"")</f>
        <v/>
      </c>
      <c r="AA145" s="102" t="str">
        <f t="array" ref="AA145">_xlfn.XLOOKUP(Y145,DATAPremium!A:A,DATAPremium!C:C,"")</f>
        <v/>
      </c>
    </row>
    <row r="146">
      <c r="X146" s="88" t="str">
        <f t="array" ref="X146">_xlfn.XLOOKUP("Other",Stock1!A146,Stock1!I146,"")</f>
        <v/>
      </c>
      <c r="Y146" s="95" t="str">
        <f t="array" ref="Y146">_xlfn.XLOOKUP(X146,Stock1!I146,Stock1!F146,"")</f>
        <v/>
      </c>
      <c r="Z146" s="95" t="str">
        <f t="array" ref="Z146">_xlfn.XLOOKUP(X146,Stock1!I146,Stock1!J146,"")</f>
        <v/>
      </c>
      <c r="AA146" s="102" t="str">
        <f t="array" ref="AA146">_xlfn.XLOOKUP(Y146,DATAPremium!A:A,DATAPremium!C:C,"")</f>
        <v/>
      </c>
    </row>
    <row r="147">
      <c r="X147" s="88" t="str">
        <f t="array" ref="X147">_xlfn.XLOOKUP("Other",Stock1!A147,Stock1!I147,"")</f>
        <v/>
      </c>
      <c r="Y147" s="95" t="str">
        <f t="array" ref="Y147">_xlfn.XLOOKUP(X147,Stock1!I147,Stock1!F147,"")</f>
        <v/>
      </c>
      <c r="Z147" s="95" t="str">
        <f t="array" ref="Z147">_xlfn.XLOOKUP(X147,Stock1!I147,Stock1!J147,"")</f>
        <v/>
      </c>
      <c r="AA147" s="102" t="str">
        <f t="array" ref="AA147">_xlfn.XLOOKUP(Y147,DATAPremium!A:A,DATAPremium!C:C,"")</f>
        <v/>
      </c>
    </row>
    <row r="148">
      <c r="X148" s="88" t="str">
        <f t="array" ref="X148">_xlfn.XLOOKUP("Other",Stock1!A148,Stock1!I148,"")</f>
        <v/>
      </c>
      <c r="Y148" s="95" t="str">
        <f t="array" ref="Y148">_xlfn.XLOOKUP(X148,Stock1!I148,Stock1!F148,"")</f>
        <v/>
      </c>
      <c r="Z148" s="95" t="str">
        <f t="array" ref="Z148">_xlfn.XLOOKUP(X148,Stock1!I148,Stock1!J148,"")</f>
        <v/>
      </c>
      <c r="AA148" s="102" t="str">
        <f t="array" ref="AA148">_xlfn.XLOOKUP(Y148,DATAPremium!A:A,DATAPremium!C:C,"")</f>
        <v/>
      </c>
    </row>
    <row r="149">
      <c r="X149" s="88" t="str">
        <f t="array" ref="X149">_xlfn.XLOOKUP("Other",Stock1!A149,Stock1!I149,"")</f>
        <v/>
      </c>
      <c r="Y149" s="95" t="str">
        <f t="array" ref="Y149">_xlfn.XLOOKUP(X149,Stock1!I149,Stock1!F149,"")</f>
        <v/>
      </c>
      <c r="Z149" s="95" t="str">
        <f t="array" ref="Z149">_xlfn.XLOOKUP(X149,Stock1!I149,Stock1!J149,"")</f>
        <v/>
      </c>
      <c r="AA149" s="102" t="str">
        <f t="array" ref="AA149">_xlfn.XLOOKUP(Y149,DATAPremium!A:A,DATAPremium!C:C,"")</f>
        <v/>
      </c>
    </row>
    <row r="150">
      <c r="X150" s="88" t="str">
        <f t="array" ref="X150">_xlfn.XLOOKUP("Other",Stock1!A150,Stock1!I150,"")</f>
        <v/>
      </c>
      <c r="Y150" s="95" t="str">
        <f t="array" ref="Y150">_xlfn.XLOOKUP(X150,Stock1!I150,Stock1!F150,"")</f>
        <v/>
      </c>
      <c r="Z150" s="95" t="str">
        <f t="array" ref="Z150">_xlfn.XLOOKUP(X150,Stock1!I150,Stock1!J150,"")</f>
        <v/>
      </c>
      <c r="AA150" s="102" t="str">
        <f t="array" ref="AA150">_xlfn.XLOOKUP(Y150,DATAPremium!A:A,DATAPremium!C:C,"")</f>
        <v/>
      </c>
    </row>
    <row r="151">
      <c r="X151" s="88" t="str">
        <f t="array" ref="X151">_xlfn.XLOOKUP("Other",Stock1!A151,Stock1!I151,"")</f>
        <v/>
      </c>
      <c r="Y151" s="95" t="str">
        <f t="array" ref="Y151">_xlfn.XLOOKUP(X151,Stock1!I151,Stock1!F151,"")</f>
        <v/>
      </c>
      <c r="Z151" s="95" t="str">
        <f t="array" ref="Z151">_xlfn.XLOOKUP(X151,Stock1!I151,Stock1!J151,"")</f>
        <v/>
      </c>
      <c r="AA151" s="102" t="str">
        <f t="array" ref="AA151">_xlfn.XLOOKUP(Y151,DATAPremium!A:A,DATAPremium!C:C,"")</f>
        <v/>
      </c>
    </row>
    <row r="152">
      <c r="X152" s="88" t="str">
        <f t="array" ref="X152">_xlfn.XLOOKUP("Other",Stock1!A152,Stock1!I152,"")</f>
        <v/>
      </c>
      <c r="Y152" s="95" t="str">
        <f t="array" ref="Y152">_xlfn.XLOOKUP(X152,Stock1!I152,Stock1!F152,"")</f>
        <v/>
      </c>
      <c r="Z152" s="95" t="str">
        <f t="array" ref="Z152">_xlfn.XLOOKUP(X152,Stock1!I152,Stock1!J152,"")</f>
        <v/>
      </c>
      <c r="AA152" s="102" t="str">
        <f t="array" ref="AA152">_xlfn.XLOOKUP(Y152,DATAPremium!A:A,DATAPremium!C:C,"")</f>
        <v/>
      </c>
    </row>
    <row r="153">
      <c r="X153" s="88" t="str">
        <f t="array" ref="X153">_xlfn.XLOOKUP("Other",Stock1!A153,Stock1!I153,"")</f>
        <v/>
      </c>
      <c r="Y153" s="95" t="str">
        <f t="array" ref="Y153">_xlfn.XLOOKUP(X153,Stock1!I153,Stock1!F153,"")</f>
        <v/>
      </c>
      <c r="Z153" s="95" t="str">
        <f t="array" ref="Z153">_xlfn.XLOOKUP(X153,Stock1!I153,Stock1!J153,"")</f>
        <v/>
      </c>
      <c r="AA153" s="102" t="str">
        <f t="array" ref="AA153">_xlfn.XLOOKUP(Y153,DATAPremium!A:A,DATAPremium!C:C,"")</f>
        <v/>
      </c>
    </row>
    <row r="154">
      <c r="X154" s="88" t="str">
        <f t="array" ref="X154">_xlfn.XLOOKUP("Other",Stock1!A154,Stock1!I154,"")</f>
        <v/>
      </c>
      <c r="Y154" s="95" t="str">
        <f t="array" ref="Y154">_xlfn.XLOOKUP(X154,Stock1!I154,Stock1!F154,"")</f>
        <v/>
      </c>
      <c r="Z154" s="95" t="str">
        <f t="array" ref="Z154">_xlfn.XLOOKUP(X154,Stock1!I154,Stock1!J154,"")</f>
        <v/>
      </c>
      <c r="AA154" s="102" t="str">
        <f t="array" ref="AA154">_xlfn.XLOOKUP(Y154,DATAPremium!A:A,DATAPremium!C:C,"")</f>
        <v/>
      </c>
    </row>
    <row r="155">
      <c r="X155" s="88" t="str">
        <f t="array" ref="X155">_xlfn.XLOOKUP("Other",Stock1!A155,Stock1!I155,"")</f>
        <v/>
      </c>
      <c r="Y155" s="95" t="str">
        <f t="array" ref="Y155">_xlfn.XLOOKUP(X155,Stock1!I155,Stock1!F155,"")</f>
        <v/>
      </c>
      <c r="Z155" s="95" t="str">
        <f t="array" ref="Z155">_xlfn.XLOOKUP(X155,Stock1!I155,Stock1!J155,"")</f>
        <v/>
      </c>
      <c r="AA155" s="102" t="str">
        <f t="array" ref="AA155">_xlfn.XLOOKUP(Y155,DATAPremium!A:A,DATAPremium!C:C,"")</f>
        <v/>
      </c>
    </row>
    <row r="156">
      <c r="X156" s="88" t="str">
        <f t="array" ref="X156">_xlfn.XLOOKUP("Other",Stock1!A156,Stock1!I156,"")</f>
        <v/>
      </c>
      <c r="Y156" s="95" t="str">
        <f t="array" ref="Y156">_xlfn.XLOOKUP(X156,Stock1!I156,Stock1!F156,"")</f>
        <v/>
      </c>
      <c r="Z156" s="95" t="str">
        <f t="array" ref="Z156">_xlfn.XLOOKUP(X156,Stock1!I156,Stock1!J156,"")</f>
        <v/>
      </c>
      <c r="AA156" s="102" t="str">
        <f t="array" ref="AA156">_xlfn.XLOOKUP(Y156,DATAPremium!A:A,DATAPremium!C:C,"")</f>
        <v/>
      </c>
    </row>
    <row r="157">
      <c r="X157" s="88" t="str">
        <f t="array" ref="X157">_xlfn.XLOOKUP("Other",Stock1!A157,Stock1!I157,"")</f>
        <v/>
      </c>
      <c r="Y157" s="95" t="str">
        <f t="array" ref="Y157">_xlfn.XLOOKUP(X157,Stock1!I157,Stock1!F157,"")</f>
        <v/>
      </c>
      <c r="Z157" s="95" t="str">
        <f t="array" ref="Z157">_xlfn.XLOOKUP(X157,Stock1!I157,Stock1!J157,"")</f>
        <v/>
      </c>
      <c r="AA157" s="102" t="str">
        <f t="array" ref="AA157">_xlfn.XLOOKUP(Y157,DATAPremium!A:A,DATAPremium!C:C,"")</f>
        <v/>
      </c>
    </row>
    <row r="158">
      <c r="X158" s="88" t="str">
        <f t="array" ref="X158">_xlfn.XLOOKUP("Other",Stock1!A158,Stock1!I158,"")</f>
        <v/>
      </c>
      <c r="Y158" s="95" t="str">
        <f t="array" ref="Y158">_xlfn.XLOOKUP(X158,Stock1!I158,Stock1!F158,"")</f>
        <v/>
      </c>
      <c r="Z158" s="95" t="str">
        <f t="array" ref="Z158">_xlfn.XLOOKUP(X158,Stock1!I158,Stock1!J158,"")</f>
        <v/>
      </c>
      <c r="AA158" s="102" t="str">
        <f t="array" ref="AA158">_xlfn.XLOOKUP(Y158,DATAPremium!A:A,DATAPremium!C:C,"")</f>
        <v/>
      </c>
    </row>
    <row r="159">
      <c r="X159" s="88" t="str">
        <f t="array" ref="X159">_xlfn.XLOOKUP("Other",Stock1!A159,Stock1!I159,"")</f>
        <v/>
      </c>
      <c r="Y159" s="95" t="str">
        <f t="array" ref="Y159">_xlfn.XLOOKUP(X159,Stock1!I159,Stock1!F159,"")</f>
        <v/>
      </c>
      <c r="Z159" s="95" t="str">
        <f t="array" ref="Z159">_xlfn.XLOOKUP(X159,Stock1!I159,Stock1!J159,"")</f>
        <v/>
      </c>
      <c r="AA159" s="102" t="str">
        <f t="array" ref="AA159">_xlfn.XLOOKUP(Y159,DATAPremium!A:A,DATAPremium!C:C,"")</f>
        <v/>
      </c>
    </row>
    <row r="160">
      <c r="X160" s="88" t="str">
        <f t="array" ref="X160">_xlfn.XLOOKUP("Other",Stock1!A160,Stock1!I160,"")</f>
        <v/>
      </c>
      <c r="Y160" s="95" t="str">
        <f t="array" ref="Y160">_xlfn.XLOOKUP(X160,Stock1!I160,Stock1!F160,"")</f>
        <v/>
      </c>
      <c r="Z160" s="95" t="str">
        <f t="array" ref="Z160">_xlfn.XLOOKUP(X160,Stock1!I160,Stock1!J160,"")</f>
        <v/>
      </c>
      <c r="AA160" s="102" t="str">
        <f t="array" ref="AA160">_xlfn.XLOOKUP(Y160,DATAPremium!A:A,DATAPremium!C:C,"")</f>
        <v/>
      </c>
    </row>
    <row r="161">
      <c r="X161" s="88" t="str">
        <f t="array" ref="X161">_xlfn.XLOOKUP("Other",Stock1!A161,Stock1!I161,"")</f>
        <v/>
      </c>
      <c r="Y161" s="95" t="str">
        <f t="array" ref="Y161">_xlfn.XLOOKUP(X161,Stock1!I161,Stock1!F161,"")</f>
        <v/>
      </c>
      <c r="Z161" s="95" t="str">
        <f t="array" ref="Z161">_xlfn.XLOOKUP(X161,Stock1!I161,Stock1!J161,"")</f>
        <v/>
      </c>
      <c r="AA161" s="102" t="str">
        <f t="array" ref="AA161">_xlfn.XLOOKUP(Y161,DATAPremium!A:A,DATAPremium!C:C,"")</f>
        <v/>
      </c>
    </row>
    <row r="162">
      <c r="X162" s="88" t="str">
        <f t="array" ref="X162">_xlfn.XLOOKUP("Other",Stock1!A162,Stock1!I162,"")</f>
        <v/>
      </c>
      <c r="Y162" s="95" t="str">
        <f t="array" ref="Y162">_xlfn.XLOOKUP(X162,Stock1!I162,Stock1!F162,"")</f>
        <v/>
      </c>
      <c r="Z162" s="95" t="str">
        <f t="array" ref="Z162">_xlfn.XLOOKUP(X162,Stock1!I162,Stock1!J162,"")</f>
        <v/>
      </c>
      <c r="AA162" s="102" t="str">
        <f t="array" ref="AA162">_xlfn.XLOOKUP(Y162,DATAPremium!A:A,DATAPremium!C:C,"")</f>
        <v/>
      </c>
    </row>
    <row r="163">
      <c r="X163" s="88" t="str">
        <f t="array" ref="X163">_xlfn.XLOOKUP("Other",Stock1!A163,Stock1!I163,"")</f>
        <v/>
      </c>
      <c r="Y163" s="95" t="str">
        <f t="array" ref="Y163">_xlfn.XLOOKUP(X163,Stock1!I163,Stock1!F163,"")</f>
        <v/>
      </c>
      <c r="Z163" s="95" t="str">
        <f t="array" ref="Z163">_xlfn.XLOOKUP(X163,Stock1!I163,Stock1!J163,"")</f>
        <v/>
      </c>
      <c r="AA163" s="102" t="str">
        <f t="array" ref="AA163">_xlfn.XLOOKUP(Y163,DATAPremium!A:A,DATAPremium!C:C,"")</f>
        <v/>
      </c>
    </row>
    <row r="164">
      <c r="X164" s="88" t="str">
        <f t="array" ref="X164">_xlfn.XLOOKUP("Other",Stock1!A164,Stock1!I164,"")</f>
        <v/>
      </c>
      <c r="Y164" s="95" t="str">
        <f t="array" ref="Y164">_xlfn.XLOOKUP(X164,Stock1!I164,Stock1!F164,"")</f>
        <v/>
      </c>
      <c r="Z164" s="95" t="str">
        <f t="array" ref="Z164">_xlfn.XLOOKUP(X164,Stock1!I164,Stock1!J164,"")</f>
        <v/>
      </c>
      <c r="AA164" s="102" t="str">
        <f t="array" ref="AA164">_xlfn.XLOOKUP(Y164,DATAPremium!A:A,DATAPremium!C:C,"")</f>
        <v/>
      </c>
    </row>
    <row r="165">
      <c r="X165" s="88" t="str">
        <f t="array" ref="X165">_xlfn.XLOOKUP("Other",Stock1!A165,Stock1!I165,"")</f>
        <v/>
      </c>
      <c r="Y165" s="95" t="str">
        <f t="array" ref="Y165">_xlfn.XLOOKUP(X165,Stock1!I165,Stock1!F165,"")</f>
        <v/>
      </c>
      <c r="Z165" s="95" t="str">
        <f t="array" ref="Z165">_xlfn.XLOOKUP(X165,Stock1!I165,Stock1!J165,"")</f>
        <v/>
      </c>
      <c r="AA165" s="102" t="str">
        <f t="array" ref="AA165">_xlfn.XLOOKUP(Y165,DATAPremium!A:A,DATAPremium!C:C,"")</f>
        <v/>
      </c>
    </row>
    <row r="166">
      <c r="X166" s="88" t="str">
        <f t="array" ref="X166">_xlfn.XLOOKUP("Other",Stock1!A166,Stock1!I166,"")</f>
        <v/>
      </c>
      <c r="Y166" s="95" t="str">
        <f t="array" ref="Y166">_xlfn.XLOOKUP(X166,Stock1!I166,Stock1!F166,"")</f>
        <v/>
      </c>
      <c r="Z166" s="95" t="str">
        <f t="array" ref="Z166">_xlfn.XLOOKUP(X166,Stock1!I166,Stock1!J166,"")</f>
        <v/>
      </c>
      <c r="AA166" s="102" t="str">
        <f t="array" ref="AA166">_xlfn.XLOOKUP(Y166,DATAPremium!A:A,DATAPremium!C:C,"")</f>
        <v/>
      </c>
    </row>
    <row r="167">
      <c r="X167" s="88" t="str">
        <f t="array" ref="X167">_xlfn.XLOOKUP("Other",Stock1!A167,Stock1!I167,"")</f>
        <v/>
      </c>
      <c r="Y167" s="95" t="str">
        <f t="array" ref="Y167">_xlfn.XLOOKUP(X167,Stock1!I167,Stock1!F167,"")</f>
        <v/>
      </c>
      <c r="Z167" s="95" t="str">
        <f t="array" ref="Z167">_xlfn.XLOOKUP(X167,Stock1!I167,Stock1!J167,"")</f>
        <v/>
      </c>
      <c r="AA167" s="102" t="str">
        <f t="array" ref="AA167">_xlfn.XLOOKUP(Y167,DATAPremium!A:A,DATAPremium!C:C,"")</f>
        <v/>
      </c>
    </row>
    <row r="168">
      <c r="X168" s="88" t="str">
        <f t="array" ref="X168">_xlfn.XLOOKUP("Other",Stock1!A168,Stock1!I168,"")</f>
        <v/>
      </c>
      <c r="Y168" s="95" t="str">
        <f t="array" ref="Y168">_xlfn.XLOOKUP(X168,Stock1!I168,Stock1!F168,"")</f>
        <v/>
      </c>
      <c r="Z168" s="95" t="str">
        <f t="array" ref="Z168">_xlfn.XLOOKUP(X168,Stock1!I168,Stock1!J168,"")</f>
        <v/>
      </c>
      <c r="AA168" s="102" t="str">
        <f t="array" ref="AA168">_xlfn.XLOOKUP(Y168,DATAPremium!A:A,DATAPremium!C:C,"")</f>
        <v/>
      </c>
    </row>
    <row r="169">
      <c r="X169" s="88" t="str">
        <f t="array" ref="X169">_xlfn.XLOOKUP("Other",Stock1!A169,Stock1!I169,"")</f>
        <v/>
      </c>
      <c r="Y169" s="95" t="str">
        <f t="array" ref="Y169">_xlfn.XLOOKUP(X169,Stock1!I169,Stock1!F169,"")</f>
        <v/>
      </c>
      <c r="Z169" s="95" t="str">
        <f t="array" ref="Z169">_xlfn.XLOOKUP(X169,Stock1!I169,Stock1!J169,"")</f>
        <v/>
      </c>
      <c r="AA169" s="102" t="str">
        <f t="array" ref="AA169">_xlfn.XLOOKUP(Y169,DATAPremium!A:A,DATAPremium!C:C,"")</f>
        <v/>
      </c>
    </row>
    <row r="170">
      <c r="X170" s="88" t="str">
        <f t="array" ref="X170">_xlfn.XLOOKUP("Other",Stock1!A170,Stock1!I170,"")</f>
        <v/>
      </c>
      <c r="Y170" s="95" t="str">
        <f t="array" ref="Y170">_xlfn.XLOOKUP(X170,Stock1!I170,Stock1!F170,"")</f>
        <v/>
      </c>
      <c r="Z170" s="95" t="str">
        <f t="array" ref="Z170">_xlfn.XLOOKUP(X170,Stock1!I170,Stock1!J170,"")</f>
        <v/>
      </c>
      <c r="AA170" s="102" t="str">
        <f t="array" ref="AA170">_xlfn.XLOOKUP(Y170,DATAPremium!A:A,DATAPremium!C:C,"")</f>
        <v/>
      </c>
    </row>
    <row r="171">
      <c r="X171" s="88" t="str">
        <f t="array" ref="X171">_xlfn.XLOOKUP("Other",Stock1!A171,Stock1!I171,"")</f>
        <v/>
      </c>
      <c r="Y171" s="95" t="str">
        <f t="array" ref="Y171">_xlfn.XLOOKUP(X171,Stock1!I171,Stock1!F171,"")</f>
        <v/>
      </c>
      <c r="Z171" s="95" t="str">
        <f t="array" ref="Z171">_xlfn.XLOOKUP(X171,Stock1!I171,Stock1!J171,"")</f>
        <v/>
      </c>
      <c r="AA171" s="102" t="str">
        <f t="array" ref="AA171">_xlfn.XLOOKUP(Y171,DATAPremium!A:A,DATAPremium!C:C,"")</f>
        <v/>
      </c>
    </row>
    <row r="172">
      <c r="X172" s="88" t="str">
        <f t="array" ref="X172">_xlfn.XLOOKUP("Other",Stock1!A172,Stock1!I172,"")</f>
        <v/>
      </c>
      <c r="Y172" s="95" t="str">
        <f t="array" ref="Y172">_xlfn.XLOOKUP(X172,Stock1!I172,Stock1!F172,"")</f>
        <v/>
      </c>
      <c r="Z172" s="95" t="str">
        <f t="array" ref="Z172">_xlfn.XLOOKUP(X172,Stock1!I172,Stock1!J172,"")</f>
        <v/>
      </c>
      <c r="AA172" s="102" t="str">
        <f t="array" ref="AA172">_xlfn.XLOOKUP(Y172,DATAPremium!A:A,DATAPremium!C:C,"")</f>
        <v/>
      </c>
    </row>
    <row r="173">
      <c r="X173" s="88" t="str">
        <f t="array" ref="X173">_xlfn.XLOOKUP("Other",Stock1!A173,Stock1!I173,"")</f>
        <v/>
      </c>
      <c r="Y173" s="95" t="str">
        <f t="array" ref="Y173">_xlfn.XLOOKUP(X173,Stock1!I173,Stock1!F173,"")</f>
        <v/>
      </c>
      <c r="Z173" s="95" t="str">
        <f t="array" ref="Z173">_xlfn.XLOOKUP(X173,Stock1!I173,Stock1!J173,"")</f>
        <v/>
      </c>
      <c r="AA173" s="102" t="str">
        <f t="array" ref="AA173">_xlfn.XLOOKUP(Y173,DATAPremium!A:A,DATAPremium!C:C,"")</f>
        <v/>
      </c>
    </row>
    <row r="174">
      <c r="X174" s="88" t="str">
        <f t="array" ref="X174">_xlfn.XLOOKUP("Other",Stock1!A174,Stock1!I174,"")</f>
        <v/>
      </c>
      <c r="Y174" s="95" t="str">
        <f t="array" ref="Y174">_xlfn.XLOOKUP(X174,Stock1!I174,Stock1!F174,"")</f>
        <v/>
      </c>
      <c r="Z174" s="95" t="str">
        <f t="array" ref="Z174">_xlfn.XLOOKUP(X174,Stock1!I174,Stock1!J174,"")</f>
        <v/>
      </c>
      <c r="AA174" s="102" t="str">
        <f t="array" ref="AA174">_xlfn.XLOOKUP(Y174,DATAPremium!A:A,DATAPremium!C:C,"")</f>
        <v/>
      </c>
    </row>
    <row r="175">
      <c r="X175" s="88" t="str">
        <f t="array" ref="X175">_xlfn.XLOOKUP("Other",Stock1!A175,Stock1!I175,"")</f>
        <v/>
      </c>
      <c r="Y175" s="95" t="str">
        <f t="array" ref="Y175">_xlfn.XLOOKUP(X175,Stock1!I175,Stock1!F175,"")</f>
        <v/>
      </c>
      <c r="Z175" s="95" t="str">
        <f t="array" ref="Z175">_xlfn.XLOOKUP(X175,Stock1!I175,Stock1!J175,"")</f>
        <v/>
      </c>
      <c r="AA175" s="102" t="str">
        <f t="array" ref="AA175">_xlfn.XLOOKUP(Y175,DATAPremium!A:A,DATAPremium!C:C,"")</f>
        <v/>
      </c>
    </row>
    <row r="176">
      <c r="X176" s="88" t="str">
        <f t="array" ref="X176">_xlfn.XLOOKUP("Other",Stock1!A176,Stock1!I176,"")</f>
        <v/>
      </c>
      <c r="Y176" s="95" t="str">
        <f t="array" ref="Y176">_xlfn.XLOOKUP(X176,Stock1!I176,Stock1!F176,"")</f>
        <v/>
      </c>
      <c r="Z176" s="95" t="str">
        <f t="array" ref="Z176">_xlfn.XLOOKUP(X176,Stock1!I176,Stock1!J176,"")</f>
        <v/>
      </c>
      <c r="AA176" s="102" t="str">
        <f t="array" ref="AA176">_xlfn.XLOOKUP(Y176,DATAPremium!A:A,DATAPremium!C:C,"")</f>
        <v/>
      </c>
    </row>
    <row r="177">
      <c r="X177" s="88" t="str">
        <f t="array" ref="X177">_xlfn.XLOOKUP("Other",Stock1!A177,Stock1!I177,"")</f>
        <v/>
      </c>
      <c r="Y177" s="95" t="str">
        <f t="array" ref="Y177">_xlfn.XLOOKUP(X177,Stock1!I177,Stock1!F177,"")</f>
        <v/>
      </c>
      <c r="Z177" s="95" t="str">
        <f t="array" ref="Z177">_xlfn.XLOOKUP(X177,Stock1!I177,Stock1!J177,"")</f>
        <v/>
      </c>
      <c r="AA177" s="102" t="str">
        <f t="array" ref="AA177">_xlfn.XLOOKUP(Y177,DATAPremium!A:A,DATAPremium!C:C,"")</f>
        <v/>
      </c>
    </row>
    <row r="178">
      <c r="X178" s="88" t="str">
        <f t="array" ref="X178">_xlfn.XLOOKUP("Other",Stock1!A178,Stock1!I178,"")</f>
        <v/>
      </c>
      <c r="Y178" s="95" t="str">
        <f t="array" ref="Y178">_xlfn.XLOOKUP(X178,Stock1!I178,Stock1!F178,"")</f>
        <v/>
      </c>
      <c r="Z178" s="95" t="str">
        <f t="array" ref="Z178">_xlfn.XLOOKUP(X178,Stock1!I178,Stock1!J178,"")</f>
        <v/>
      </c>
      <c r="AA178" s="102" t="str">
        <f t="array" ref="AA178">_xlfn.XLOOKUP(Y178,DATAPremium!A:A,DATAPremium!C:C,"")</f>
        <v/>
      </c>
    </row>
    <row r="179">
      <c r="X179" s="88" t="str">
        <f t="array" ref="X179">_xlfn.XLOOKUP("Other",Stock1!A179,Stock1!I179,"")</f>
        <v/>
      </c>
      <c r="Y179" s="95" t="str">
        <f t="array" ref="Y179">_xlfn.XLOOKUP(X179,Stock1!I179,Stock1!F179,"")</f>
        <v/>
      </c>
      <c r="Z179" s="95" t="str">
        <f t="array" ref="Z179">_xlfn.XLOOKUP(X179,Stock1!I179,Stock1!J179,"")</f>
        <v/>
      </c>
      <c r="AA179" s="102" t="str">
        <f t="array" ref="AA179">_xlfn.XLOOKUP(Y179,DATAPremium!A:A,DATAPremium!C:C,"")</f>
        <v/>
      </c>
    </row>
    <row r="180">
      <c r="X180" s="88" t="str">
        <f t="array" ref="X180">_xlfn.XLOOKUP("Other",Stock1!A180,Stock1!I180,"")</f>
        <v/>
      </c>
      <c r="Y180" s="95" t="str">
        <f t="array" ref="Y180">_xlfn.XLOOKUP(X180,Stock1!I180,Stock1!F180,"")</f>
        <v/>
      </c>
      <c r="Z180" s="95" t="str">
        <f t="array" ref="Z180">_xlfn.XLOOKUP(X180,Stock1!I180,Stock1!J180,"")</f>
        <v/>
      </c>
      <c r="AA180" s="102" t="str">
        <f t="array" ref="AA180">_xlfn.XLOOKUP(Y180,DATAPremium!A:A,DATAPremium!C:C,"")</f>
        <v/>
      </c>
    </row>
    <row r="181">
      <c r="X181" s="88" t="str">
        <f t="array" ref="X181">_xlfn.XLOOKUP("Other",Stock1!A181,Stock1!I181,"")</f>
        <v/>
      </c>
      <c r="Y181" s="95" t="str">
        <f t="array" ref="Y181">_xlfn.XLOOKUP(X181,Stock1!I181,Stock1!F181,"")</f>
        <v/>
      </c>
      <c r="Z181" s="95" t="str">
        <f t="array" ref="Z181">_xlfn.XLOOKUP(X181,Stock1!I181,Stock1!J181,"")</f>
        <v/>
      </c>
      <c r="AA181" s="102" t="str">
        <f t="array" ref="AA181">_xlfn.XLOOKUP(Y181,DATAPremium!A:A,DATAPremium!C:C,"")</f>
        <v/>
      </c>
    </row>
    <row r="182">
      <c r="X182" s="88" t="str">
        <f t="array" ref="X182">_xlfn.XLOOKUP("Other",Stock1!A182,Stock1!I182,"")</f>
        <v/>
      </c>
      <c r="Y182" s="95" t="str">
        <f t="array" ref="Y182">_xlfn.XLOOKUP(X182,Stock1!I182,Stock1!F182,"")</f>
        <v/>
      </c>
      <c r="Z182" s="95" t="str">
        <f t="array" ref="Z182">_xlfn.XLOOKUP(X182,Stock1!I182,Stock1!J182,"")</f>
        <v/>
      </c>
      <c r="AA182" s="102" t="str">
        <f t="array" ref="AA182">_xlfn.XLOOKUP(Y182,DATAPremium!A:A,DATAPremium!C:C,"")</f>
        <v/>
      </c>
    </row>
    <row r="183">
      <c r="X183" s="88" t="str">
        <f t="array" ref="X183">_xlfn.XLOOKUP("Other",Stock1!A183,Stock1!I183,"")</f>
        <v/>
      </c>
      <c r="Y183" s="95" t="str">
        <f t="array" ref="Y183">_xlfn.XLOOKUP(X183,Stock1!I183,Stock1!F183,"")</f>
        <v/>
      </c>
      <c r="Z183" s="95" t="str">
        <f t="array" ref="Z183">_xlfn.XLOOKUP(X183,Stock1!I183,Stock1!J183,"")</f>
        <v/>
      </c>
      <c r="AA183" s="102" t="str">
        <f t="array" ref="AA183">_xlfn.XLOOKUP(Y183,DATAPremium!A:A,DATAPremium!C:C,"")</f>
        <v/>
      </c>
    </row>
    <row r="184">
      <c r="X184" s="88" t="str">
        <f t="array" ref="X184">_xlfn.XLOOKUP("Other",Stock1!A184,Stock1!I184,"")</f>
        <v/>
      </c>
      <c r="Y184" s="95" t="str">
        <f t="array" ref="Y184">_xlfn.XLOOKUP(X184,Stock1!I184,Stock1!F184,"")</f>
        <v/>
      </c>
      <c r="Z184" s="95" t="str">
        <f t="array" ref="Z184">_xlfn.XLOOKUP(X184,Stock1!I184,Stock1!J184,"")</f>
        <v/>
      </c>
      <c r="AA184" s="102" t="str">
        <f t="array" ref="AA184">_xlfn.XLOOKUP(Y184,DATAPremium!A:A,DATAPremium!C:C,"")</f>
        <v/>
      </c>
    </row>
    <row r="185">
      <c r="X185" s="88" t="str">
        <f t="array" ref="X185">_xlfn.XLOOKUP("Other",Stock1!A185,Stock1!I185,"")</f>
        <v/>
      </c>
      <c r="Y185" s="95" t="str">
        <f t="array" ref="Y185">_xlfn.XLOOKUP(X185,Stock1!I185,Stock1!F185,"")</f>
        <v/>
      </c>
      <c r="Z185" s="95" t="str">
        <f t="array" ref="Z185">_xlfn.XLOOKUP(X185,Stock1!I185,Stock1!J185,"")</f>
        <v/>
      </c>
      <c r="AA185" s="102" t="str">
        <f t="array" ref="AA185">_xlfn.XLOOKUP(Y185,DATAPremium!A:A,DATAPremium!C:C,"")</f>
        <v/>
      </c>
    </row>
    <row r="186">
      <c r="X186" s="88" t="str">
        <f t="array" ref="X186">_xlfn.XLOOKUP("Other",Stock1!A186,Stock1!I186,"")</f>
        <v/>
      </c>
      <c r="Y186" s="95" t="str">
        <f t="array" ref="Y186">_xlfn.XLOOKUP(X186,Stock1!I186,Stock1!F186,"")</f>
        <v/>
      </c>
      <c r="Z186" s="95" t="str">
        <f t="array" ref="Z186">_xlfn.XLOOKUP(X186,Stock1!I186,Stock1!J186,"")</f>
        <v/>
      </c>
      <c r="AA186" s="102" t="str">
        <f t="array" ref="AA186">_xlfn.XLOOKUP(Y186,DATAPremium!A:A,DATAPremium!C:C,"")</f>
        <v/>
      </c>
    </row>
    <row r="187">
      <c r="X187" s="88" t="str">
        <f t="array" ref="X187">_xlfn.XLOOKUP("Other",Stock1!A187,Stock1!I187,"")</f>
        <v/>
      </c>
      <c r="Y187" s="95" t="str">
        <f t="array" ref="Y187">_xlfn.XLOOKUP(X187,Stock1!I187,Stock1!F187,"")</f>
        <v/>
      </c>
      <c r="Z187" s="95" t="str">
        <f t="array" ref="Z187">_xlfn.XLOOKUP(X187,Stock1!I187,Stock1!J187,"")</f>
        <v/>
      </c>
      <c r="AA187" s="102" t="str">
        <f t="array" ref="AA187">_xlfn.XLOOKUP(Y187,DATAPremium!A:A,DATAPremium!C:C,"")</f>
        <v/>
      </c>
    </row>
    <row r="188">
      <c r="X188" s="88" t="str">
        <f t="array" ref="X188">_xlfn.XLOOKUP("Other",Stock1!A188,Stock1!I188,"")</f>
        <v/>
      </c>
      <c r="Y188" s="95" t="str">
        <f t="array" ref="Y188">_xlfn.XLOOKUP(X188,Stock1!I188,Stock1!F188,"")</f>
        <v/>
      </c>
      <c r="Z188" s="95" t="str">
        <f t="array" ref="Z188">_xlfn.XLOOKUP(X188,Stock1!I188,Stock1!J188,"")</f>
        <v/>
      </c>
      <c r="AA188" s="102" t="str">
        <f t="array" ref="AA188">_xlfn.XLOOKUP(Y188,DATAPremium!A:A,DATAPremium!C:C,"")</f>
        <v/>
      </c>
    </row>
    <row r="189">
      <c r="X189" s="88" t="str">
        <f t="array" ref="X189">_xlfn.XLOOKUP("Other",Stock1!A189,Stock1!I189,"")</f>
        <v/>
      </c>
      <c r="Y189" s="95" t="str">
        <f t="array" ref="Y189">_xlfn.XLOOKUP(X189,Stock1!I189,Stock1!F189,"")</f>
        <v/>
      </c>
      <c r="Z189" s="95" t="str">
        <f t="array" ref="Z189">_xlfn.XLOOKUP(X189,Stock1!I189,Stock1!J189,"")</f>
        <v/>
      </c>
      <c r="AA189" s="102" t="str">
        <f t="array" ref="AA189">_xlfn.XLOOKUP(Y189,DATAPremium!A:A,DATAPremium!C:C,"")</f>
        <v/>
      </c>
    </row>
    <row r="190">
      <c r="X190" s="88" t="str">
        <f t="array" ref="X190">_xlfn.XLOOKUP("Other",Stock1!A190,Stock1!I190,"")</f>
        <v/>
      </c>
      <c r="Y190" s="95" t="str">
        <f t="array" ref="Y190">_xlfn.XLOOKUP(X190,Stock1!I190,Stock1!F190,"")</f>
        <v/>
      </c>
      <c r="Z190" s="95" t="str">
        <f t="array" ref="Z190">_xlfn.XLOOKUP(X190,Stock1!I190,Stock1!J190,"")</f>
        <v/>
      </c>
      <c r="AA190" s="102" t="str">
        <f t="array" ref="AA190">_xlfn.XLOOKUP(Y190,DATAPremium!A:A,DATAPremium!C:C,"")</f>
        <v/>
      </c>
    </row>
    <row r="191">
      <c r="X191" s="88" t="str">
        <f t="array" ref="X191">_xlfn.XLOOKUP("Other",Stock1!A191,Stock1!I191,"")</f>
        <v/>
      </c>
      <c r="Y191" s="95" t="str">
        <f t="array" ref="Y191">_xlfn.XLOOKUP(X191,Stock1!I191,Stock1!F191,"")</f>
        <v/>
      </c>
      <c r="Z191" s="95" t="str">
        <f t="array" ref="Z191">_xlfn.XLOOKUP(X191,Stock1!I191,Stock1!J191,"")</f>
        <v/>
      </c>
      <c r="AA191" s="102" t="str">
        <f t="array" ref="AA191">_xlfn.XLOOKUP(Y191,DATAPremium!A:A,DATAPremium!C:C,"")</f>
        <v/>
      </c>
    </row>
    <row r="192">
      <c r="X192" s="88" t="str">
        <f t="array" ref="X192">_xlfn.XLOOKUP("Other",Stock1!A192,Stock1!I192,"")</f>
        <v/>
      </c>
      <c r="Y192" s="95" t="str">
        <f t="array" ref="Y192">_xlfn.XLOOKUP(X192,Stock1!I192,Stock1!F192,"")</f>
        <v/>
      </c>
      <c r="Z192" s="95" t="str">
        <f t="array" ref="Z192">_xlfn.XLOOKUP(X192,Stock1!I192,Stock1!J192,"")</f>
        <v/>
      </c>
      <c r="AA192" s="102" t="str">
        <f t="array" ref="AA192">_xlfn.XLOOKUP(Y192,DATAPremium!A:A,DATAPremium!C:C,"")</f>
        <v/>
      </c>
    </row>
    <row r="193">
      <c r="X193" s="88" t="str">
        <f t="array" ref="X193">_xlfn.XLOOKUP("Other",Stock1!A193,Stock1!I193,"")</f>
        <v/>
      </c>
      <c r="Y193" s="95" t="str">
        <f t="array" ref="Y193">_xlfn.XLOOKUP(X193,Stock1!I193,Stock1!F193,"")</f>
        <v/>
      </c>
      <c r="Z193" s="95" t="str">
        <f t="array" ref="Z193">_xlfn.XLOOKUP(X193,Stock1!I193,Stock1!J193,"")</f>
        <v/>
      </c>
      <c r="AA193" s="102" t="str">
        <f t="array" ref="AA193">_xlfn.XLOOKUP(Y193,DATAPremium!A:A,DATAPremium!C:C,"")</f>
        <v/>
      </c>
    </row>
    <row r="194">
      <c r="X194" s="88" t="str">
        <f t="array" ref="X194">_xlfn.XLOOKUP("Other",Stock1!A194,Stock1!I194,"")</f>
        <v/>
      </c>
      <c r="Y194" s="95" t="str">
        <f t="array" ref="Y194">_xlfn.XLOOKUP(X194,Stock1!I194,Stock1!F194,"")</f>
        <v/>
      </c>
      <c r="Z194" s="95" t="str">
        <f t="array" ref="Z194">_xlfn.XLOOKUP(X194,Stock1!I194,Stock1!J194,"")</f>
        <v/>
      </c>
      <c r="AA194" s="102" t="str">
        <f t="array" ref="AA194">_xlfn.XLOOKUP(Y194,DATAPremium!A:A,DATAPremium!C:C,"")</f>
        <v/>
      </c>
    </row>
    <row r="195">
      <c r="X195" s="88" t="str">
        <f t="array" ref="X195">_xlfn.XLOOKUP("Other",Stock1!A195,Stock1!I195,"")</f>
        <v/>
      </c>
      <c r="Y195" s="95" t="str">
        <f t="array" ref="Y195">_xlfn.XLOOKUP(X195,Stock1!I195,Stock1!F195,"")</f>
        <v/>
      </c>
      <c r="Z195" s="95" t="str">
        <f t="array" ref="Z195">_xlfn.XLOOKUP(X195,Stock1!I195,Stock1!J195,"")</f>
        <v/>
      </c>
      <c r="AA195" s="102" t="str">
        <f t="array" ref="AA195">_xlfn.XLOOKUP(Y195,DATAPremium!A:A,DATAPremium!C:C,"")</f>
        <v/>
      </c>
    </row>
    <row r="196">
      <c r="X196" s="88" t="str">
        <f t="array" ref="X196">_xlfn.XLOOKUP("Other",Stock1!A196,Stock1!I196,"")</f>
        <v/>
      </c>
      <c r="Y196" s="95" t="str">
        <f t="array" ref="Y196">_xlfn.XLOOKUP(X196,Stock1!I196,Stock1!F196,"")</f>
        <v/>
      </c>
      <c r="Z196" s="95" t="str">
        <f t="array" ref="Z196">_xlfn.XLOOKUP(X196,Stock1!I196,Stock1!J196,"")</f>
        <v/>
      </c>
      <c r="AA196" s="102" t="str">
        <f t="array" ref="AA196">_xlfn.XLOOKUP(Y196,DATAPremium!A:A,DATAPremium!C:C,"")</f>
        <v/>
      </c>
    </row>
    <row r="197">
      <c r="X197" s="88" t="str">
        <f t="array" ref="X197">_xlfn.XLOOKUP("Other",Stock1!A197,Stock1!I197,"")</f>
        <v/>
      </c>
      <c r="Y197" s="95" t="str">
        <f t="array" ref="Y197">_xlfn.XLOOKUP(X197,Stock1!I197,Stock1!F197,"")</f>
        <v/>
      </c>
      <c r="Z197" s="95" t="str">
        <f t="array" ref="Z197">_xlfn.XLOOKUP(X197,Stock1!I197,Stock1!J197,"")</f>
        <v/>
      </c>
      <c r="AA197" s="102" t="str">
        <f t="array" ref="AA197">_xlfn.XLOOKUP(Y197,DATAPremium!A:A,DATAPremium!C:C,"")</f>
        <v/>
      </c>
    </row>
    <row r="198">
      <c r="X198" s="88" t="str">
        <f t="array" ref="X198">_xlfn.XLOOKUP("Other",Stock1!A198,Stock1!I198,"")</f>
        <v/>
      </c>
      <c r="Y198" s="95" t="str">
        <f t="array" ref="Y198">_xlfn.XLOOKUP(X198,Stock1!I198,Stock1!F198,"")</f>
        <v/>
      </c>
      <c r="Z198" s="95" t="str">
        <f t="array" ref="Z198">_xlfn.XLOOKUP(X198,Stock1!I198,Stock1!J198,"")</f>
        <v/>
      </c>
      <c r="AA198" s="102" t="str">
        <f t="array" ref="AA198">_xlfn.XLOOKUP(Y198,DATAPremium!A:A,DATAPremium!C:C,"")</f>
        <v/>
      </c>
    </row>
    <row r="199">
      <c r="X199" s="88" t="str">
        <f t="array" ref="X199">_xlfn.XLOOKUP("Other",Stock1!A199,Stock1!I199,"")</f>
        <v/>
      </c>
      <c r="Y199" s="95" t="str">
        <f t="array" ref="Y199">_xlfn.XLOOKUP(X199,Stock1!I199,Stock1!F199,"")</f>
        <v/>
      </c>
      <c r="Z199" s="95" t="str">
        <f t="array" ref="Z199">_xlfn.XLOOKUP(X199,Stock1!I199,Stock1!J199,"")</f>
        <v/>
      </c>
      <c r="AA199" s="102" t="str">
        <f t="array" ref="AA199">_xlfn.XLOOKUP(Y199,DATAPremium!A:A,DATAPremium!C:C,"")</f>
        <v/>
      </c>
    </row>
    <row r="200">
      <c r="X200" s="88" t="str">
        <f t="array" ref="X200">_xlfn.XLOOKUP("Other",Stock1!A200,Stock1!I200,"")</f>
        <v/>
      </c>
      <c r="Y200" s="95" t="str">
        <f t="array" ref="Y200">_xlfn.XLOOKUP(X200,Stock1!I200,Stock1!F200,"")</f>
        <v/>
      </c>
      <c r="Z200" s="95" t="str">
        <f t="array" ref="Z200">_xlfn.XLOOKUP(X200,Stock1!I200,Stock1!J200,"")</f>
        <v/>
      </c>
      <c r="AA200" s="102" t="str">
        <f t="array" ref="AA200">_xlfn.XLOOKUP(Y200,DATAPremium!A:A,DATAPremium!C:C,"")</f>
        <v/>
      </c>
    </row>
    <row r="201">
      <c r="X201" s="88" t="str">
        <f t="array" ref="X201">_xlfn.XLOOKUP("Other",Stock1!A201,Stock1!I201,"")</f>
        <v/>
      </c>
      <c r="Y201" s="95" t="str">
        <f t="array" ref="Y201">_xlfn.XLOOKUP(X201,Stock1!I201,Stock1!F201,"")</f>
        <v/>
      </c>
      <c r="Z201" s="95" t="str">
        <f t="array" ref="Z201">_xlfn.XLOOKUP(X201,Stock1!I201,Stock1!J201,"")</f>
        <v/>
      </c>
      <c r="AA201" s="102" t="str">
        <f t="array" ref="AA201">_xlfn.XLOOKUP(Y201,DATAPremium!A:A,DATAPremium!C:C,"")</f>
        <v/>
      </c>
    </row>
    <row r="202">
      <c r="X202" s="88" t="str">
        <f t="array" ref="X202">_xlfn.XLOOKUP("Other",Stock1!A202,Stock1!I202,"")</f>
        <v/>
      </c>
      <c r="Y202" s="95" t="str">
        <f t="array" ref="Y202">_xlfn.XLOOKUP(X202,Stock1!I202,Stock1!F202,"")</f>
        <v/>
      </c>
      <c r="Z202" s="95" t="str">
        <f t="array" ref="Z202">_xlfn.XLOOKUP(X202,Stock1!I202,Stock1!J202,"")</f>
        <v/>
      </c>
      <c r="AA202" s="102" t="str">
        <f t="array" ref="AA202">_xlfn.XLOOKUP(Y202,DATAPremium!A:A,DATAPremium!C:C,"")</f>
        <v/>
      </c>
    </row>
    <row r="203">
      <c r="X203" s="88" t="str">
        <f t="array" ref="X203">_xlfn.XLOOKUP("Other",Stock1!A203,Stock1!I203,"")</f>
        <v/>
      </c>
      <c r="Y203" s="95" t="str">
        <f t="array" ref="Y203">_xlfn.XLOOKUP(X203,Stock1!I203,Stock1!F203,"")</f>
        <v/>
      </c>
      <c r="Z203" s="95" t="str">
        <f t="array" ref="Z203">_xlfn.XLOOKUP(X203,Stock1!I203,Stock1!J203,"")</f>
        <v/>
      </c>
      <c r="AA203" s="102" t="str">
        <f t="array" ref="AA203">_xlfn.XLOOKUP(Y203,DATAPremium!A:A,DATAPremium!C:C,"")</f>
        <v/>
      </c>
    </row>
    <row r="204">
      <c r="X204" s="88" t="str">
        <f t="array" ref="X204">_xlfn.XLOOKUP("Other",Stock1!A204,Stock1!I204,"")</f>
        <v/>
      </c>
      <c r="Y204" s="95" t="str">
        <f t="array" ref="Y204">_xlfn.XLOOKUP(X204,Stock1!I204,Stock1!F204,"")</f>
        <v/>
      </c>
      <c r="Z204" s="95" t="str">
        <f t="array" ref="Z204">_xlfn.XLOOKUP(X204,Stock1!I204,Stock1!J204,"")</f>
        <v/>
      </c>
      <c r="AA204" s="102" t="str">
        <f t="array" ref="AA204">_xlfn.XLOOKUP(Y204,DATAPremium!A:A,DATAPremium!C:C,"")</f>
        <v/>
      </c>
    </row>
    <row r="205">
      <c r="X205" s="88" t="str">
        <f t="array" ref="X205">_xlfn.XLOOKUP("Other",Stock1!A205,Stock1!I205,"")</f>
        <v/>
      </c>
      <c r="Y205" s="95" t="str">
        <f t="array" ref="Y205">_xlfn.XLOOKUP(X205,Stock1!I205,Stock1!F205,"")</f>
        <v/>
      </c>
      <c r="Z205" s="95" t="str">
        <f t="array" ref="Z205">_xlfn.XLOOKUP(X205,Stock1!I205,Stock1!J205,"")</f>
        <v/>
      </c>
      <c r="AA205" s="102" t="str">
        <f t="array" ref="AA205">_xlfn.XLOOKUP(Y205,DATAPremium!A:A,DATAPremium!C:C,"")</f>
        <v/>
      </c>
    </row>
    <row r="206">
      <c r="X206" s="88" t="str">
        <f t="array" ref="X206">_xlfn.XLOOKUP("Other",Stock1!A206,Stock1!I206,"")</f>
        <v/>
      </c>
      <c r="Y206" s="95" t="str">
        <f t="array" ref="Y206">_xlfn.XLOOKUP(X206,Stock1!I206,Stock1!F206,"")</f>
        <v/>
      </c>
      <c r="Z206" s="95" t="str">
        <f t="array" ref="Z206">_xlfn.XLOOKUP(X206,Stock1!I206,Stock1!J206,"")</f>
        <v/>
      </c>
      <c r="AA206" s="102" t="str">
        <f t="array" ref="AA206">_xlfn.XLOOKUP(Y206,DATAPremium!A:A,DATAPremium!C:C,"")</f>
        <v/>
      </c>
    </row>
    <row r="207">
      <c r="X207" s="88" t="str">
        <f t="array" ref="X207">_xlfn.XLOOKUP("Other",Stock1!A207,Stock1!I207,"")</f>
        <v/>
      </c>
      <c r="Y207" s="95" t="str">
        <f t="array" ref="Y207">_xlfn.XLOOKUP(X207,Stock1!I207,Stock1!F207,"")</f>
        <v/>
      </c>
      <c r="Z207" s="95" t="str">
        <f t="array" ref="Z207">_xlfn.XLOOKUP(X207,Stock1!I207,Stock1!J207,"")</f>
        <v/>
      </c>
      <c r="AA207" s="102" t="str">
        <f t="array" ref="AA207">_xlfn.XLOOKUP(Y207,DATAPremium!A:A,DATAPremium!C:C,"")</f>
        <v/>
      </c>
    </row>
    <row r="208">
      <c r="X208" s="88" t="str">
        <f t="array" ref="X208">_xlfn.XLOOKUP("Other",Stock1!A208,Stock1!I208,"")</f>
        <v/>
      </c>
      <c r="Y208" s="95" t="str">
        <f t="array" ref="Y208">_xlfn.XLOOKUP(X208,Stock1!I208,Stock1!F208,"")</f>
        <v/>
      </c>
      <c r="Z208" s="95" t="str">
        <f t="array" ref="Z208">_xlfn.XLOOKUP(X208,Stock1!I208,Stock1!J208,"")</f>
        <v/>
      </c>
      <c r="AA208" s="102" t="str">
        <f t="array" ref="AA208">_xlfn.XLOOKUP(Y208,DATAPremium!A:A,DATAPremium!C:C,"")</f>
        <v/>
      </c>
    </row>
    <row r="209">
      <c r="X209" s="88" t="str">
        <f t="array" ref="X209">_xlfn.XLOOKUP("Other",Stock1!A209,Stock1!I209,"")</f>
        <v/>
      </c>
      <c r="Y209" s="95" t="str">
        <f t="array" ref="Y209">_xlfn.XLOOKUP(X209,Stock1!I209,Stock1!F209,"")</f>
        <v/>
      </c>
      <c r="Z209" s="95" t="str">
        <f t="array" ref="Z209">_xlfn.XLOOKUP(X209,Stock1!I209,Stock1!J209,"")</f>
        <v/>
      </c>
      <c r="AA209" s="102" t="str">
        <f t="array" ref="AA209">_xlfn.XLOOKUP(Y209,DATAPremium!A:A,DATAPremium!C:C,"")</f>
        <v/>
      </c>
    </row>
    <row r="210">
      <c r="X210" s="88" t="str">
        <f t="array" ref="X210">_xlfn.XLOOKUP("Other",Stock1!A210,Stock1!I210,"")</f>
        <v/>
      </c>
      <c r="Y210" s="95" t="str">
        <f t="array" ref="Y210">_xlfn.XLOOKUP(X210,Stock1!I210,Stock1!F210,"")</f>
        <v/>
      </c>
      <c r="Z210" s="95" t="str">
        <f t="array" ref="Z210">_xlfn.XLOOKUP(X210,Stock1!I210,Stock1!J210,"")</f>
        <v/>
      </c>
      <c r="AA210" s="102" t="str">
        <f t="array" ref="AA210">_xlfn.XLOOKUP(Y210,DATAPremium!A:A,DATAPremium!C:C,"")</f>
        <v/>
      </c>
    </row>
    <row r="211">
      <c r="X211" s="88" t="str">
        <f t="array" ref="X211">_xlfn.XLOOKUP("Other",Stock1!A211,Stock1!I211,"")</f>
        <v/>
      </c>
      <c r="Y211" s="95" t="str">
        <f t="array" ref="Y211">_xlfn.XLOOKUP(X211,Stock1!I211,Stock1!F211,"")</f>
        <v/>
      </c>
      <c r="Z211" s="95" t="str">
        <f t="array" ref="Z211">_xlfn.XLOOKUP(X211,Stock1!I211,Stock1!J211,"")</f>
        <v/>
      </c>
      <c r="AA211" s="102" t="str">
        <f t="array" ref="AA211">_xlfn.XLOOKUP(Y211,DATAPremium!A:A,DATAPremium!C:C,"")</f>
        <v/>
      </c>
    </row>
    <row r="212">
      <c r="X212" s="88" t="str">
        <f t="array" ref="X212">_xlfn.XLOOKUP("Other",Stock1!A212,Stock1!I212,"")</f>
        <v/>
      </c>
      <c r="Y212" s="95" t="str">
        <f t="array" ref="Y212">_xlfn.XLOOKUP(X212,Stock1!I212,Stock1!F212,"")</f>
        <v/>
      </c>
      <c r="Z212" s="95" t="str">
        <f t="array" ref="Z212">_xlfn.XLOOKUP(X212,Stock1!I212,Stock1!J212,"")</f>
        <v/>
      </c>
      <c r="AA212" s="102" t="str">
        <f t="array" ref="AA212">_xlfn.XLOOKUP(Y212,DATAPremium!A:A,DATAPremium!C:C,"")</f>
        <v/>
      </c>
    </row>
    <row r="213">
      <c r="X213" s="88" t="str">
        <f t="array" ref="X213">_xlfn.XLOOKUP("Other",Stock1!A213,Stock1!I213,"")</f>
        <v/>
      </c>
      <c r="Y213" s="95" t="str">
        <f t="array" ref="Y213">_xlfn.XLOOKUP(X213,Stock1!I213,Stock1!F213,"")</f>
        <v/>
      </c>
      <c r="Z213" s="95" t="str">
        <f t="array" ref="Z213">_xlfn.XLOOKUP(X213,Stock1!I213,Stock1!J213,"")</f>
        <v/>
      </c>
      <c r="AA213" s="102" t="str">
        <f t="array" ref="AA213">_xlfn.XLOOKUP(Y213,DATAPremium!A:A,DATAPremium!C:C,"")</f>
        <v/>
      </c>
    </row>
    <row r="214">
      <c r="X214" s="88" t="str">
        <f t="array" ref="X214">_xlfn.XLOOKUP("Other",Stock1!A214,Stock1!I214,"")</f>
        <v/>
      </c>
      <c r="Y214" s="95" t="str">
        <f t="array" ref="Y214">_xlfn.XLOOKUP(X214,Stock1!I214,Stock1!F214,"")</f>
        <v/>
      </c>
      <c r="Z214" s="95" t="str">
        <f t="array" ref="Z214">_xlfn.XLOOKUP(X214,Stock1!I214,Stock1!J214,"")</f>
        <v/>
      </c>
      <c r="AA214" s="102" t="str">
        <f t="array" ref="AA214">_xlfn.XLOOKUP(Y214,DATAPremium!A:A,DATAPremium!C:C,"")</f>
        <v/>
      </c>
    </row>
    <row r="215">
      <c r="X215" s="88" t="str">
        <f t="array" ref="X215">_xlfn.XLOOKUP("Other",Stock1!A215,Stock1!I215,"")</f>
        <v/>
      </c>
      <c r="Y215" s="95" t="str">
        <f t="array" ref="Y215">_xlfn.XLOOKUP(X215,Stock1!I215,Stock1!F215,"")</f>
        <v/>
      </c>
      <c r="Z215" s="95" t="str">
        <f t="array" ref="Z215">_xlfn.XLOOKUP(X215,Stock1!I215,Stock1!J215,"")</f>
        <v/>
      </c>
      <c r="AA215" s="102" t="str">
        <f t="array" ref="AA215">_xlfn.XLOOKUP(Y215,DATAPremium!A:A,DATAPremium!C:C,"")</f>
        <v/>
      </c>
    </row>
    <row r="216">
      <c r="X216" s="88" t="str">
        <f t="array" ref="X216">_xlfn.XLOOKUP("Other",Stock1!A216,Stock1!I216,"")</f>
        <v/>
      </c>
      <c r="Y216" s="95" t="str">
        <f t="array" ref="Y216">_xlfn.XLOOKUP(X216,Stock1!I216,Stock1!F216,"")</f>
        <v/>
      </c>
      <c r="Z216" s="95" t="str">
        <f t="array" ref="Z216">_xlfn.XLOOKUP(X216,Stock1!I216,Stock1!J216,"")</f>
        <v/>
      </c>
      <c r="AA216" s="102" t="str">
        <f t="array" ref="AA216">_xlfn.XLOOKUP(Y216,DATAPremium!A:A,DATAPremium!C:C,"")</f>
        <v/>
      </c>
    </row>
    <row r="217">
      <c r="X217" s="88" t="str">
        <f t="array" ref="X217">_xlfn.XLOOKUP("Other",Stock1!A217,Stock1!I217,"")</f>
        <v/>
      </c>
      <c r="Y217" s="95" t="str">
        <f t="array" ref="Y217">_xlfn.XLOOKUP(X217,Stock1!I217,Stock1!F217,"")</f>
        <v/>
      </c>
      <c r="Z217" s="95" t="str">
        <f t="array" ref="Z217">_xlfn.XLOOKUP(X217,Stock1!I217,Stock1!J217,"")</f>
        <v/>
      </c>
      <c r="AA217" s="102" t="str">
        <f t="array" ref="AA217">_xlfn.XLOOKUP(Y217,DATAPremium!A:A,DATAPremium!C:C,"")</f>
        <v/>
      </c>
    </row>
    <row r="218">
      <c r="X218" s="88" t="str">
        <f t="array" ref="X218">_xlfn.XLOOKUP("Other",Stock1!A218,Stock1!I218,"")</f>
        <v/>
      </c>
      <c r="Y218" s="95" t="str">
        <f t="array" ref="Y218">_xlfn.XLOOKUP(X218,Stock1!I218,Stock1!F218,"")</f>
        <v/>
      </c>
      <c r="Z218" s="95" t="str">
        <f t="array" ref="Z218">_xlfn.XLOOKUP(X218,Stock1!I218,Stock1!J218,"")</f>
        <v/>
      </c>
      <c r="AA218" s="102" t="str">
        <f t="array" ref="AA218">_xlfn.XLOOKUP(Y218,DATAPremium!A:A,DATAPremium!C:C,"")</f>
        <v/>
      </c>
    </row>
    <row r="219">
      <c r="X219" s="88" t="str">
        <f t="array" ref="X219">_xlfn.XLOOKUP("Other",Stock1!A219,Stock1!I219,"")</f>
        <v/>
      </c>
      <c r="Y219" s="95" t="str">
        <f t="array" ref="Y219">_xlfn.XLOOKUP(X219,Stock1!I219,Stock1!F219,"")</f>
        <v/>
      </c>
      <c r="Z219" s="95" t="str">
        <f t="array" ref="Z219">_xlfn.XLOOKUP(X219,Stock1!I219,Stock1!J219,"")</f>
        <v/>
      </c>
      <c r="AA219" s="102" t="str">
        <f t="array" ref="AA219">_xlfn.XLOOKUP(Y219,DATAPremium!A:A,DATAPremium!C:C,"")</f>
        <v/>
      </c>
    </row>
    <row r="220">
      <c r="X220" s="88" t="str">
        <f t="array" ref="X220">_xlfn.XLOOKUP("Other",Stock1!A220,Stock1!I220,"")</f>
        <v/>
      </c>
      <c r="Y220" s="95" t="str">
        <f t="array" ref="Y220">_xlfn.XLOOKUP(X220,Stock1!I220,Stock1!F220,"")</f>
        <v/>
      </c>
      <c r="Z220" s="95" t="str">
        <f t="array" ref="Z220">_xlfn.XLOOKUP(X220,Stock1!I220,Stock1!J220,"")</f>
        <v/>
      </c>
      <c r="AA220" s="102" t="str">
        <f t="array" ref="AA220">_xlfn.XLOOKUP(Y220,DATAPremium!A:A,DATAPremium!C:C,"")</f>
        <v/>
      </c>
    </row>
    <row r="221">
      <c r="X221" s="88" t="str">
        <f t="array" ref="X221">_xlfn.XLOOKUP("Other",Stock1!A221,Stock1!I221,"")</f>
        <v/>
      </c>
      <c r="Y221" s="95" t="str">
        <f t="array" ref="Y221">_xlfn.XLOOKUP(X221,Stock1!I221,Stock1!F221,"")</f>
        <v/>
      </c>
      <c r="Z221" s="95" t="str">
        <f t="array" ref="Z221">_xlfn.XLOOKUP(X221,Stock1!I221,Stock1!J221,"")</f>
        <v/>
      </c>
      <c r="AA221" s="102" t="str">
        <f t="array" ref="AA221">_xlfn.XLOOKUP(Y221,DATAPremium!A:A,DATAPremium!C:C,"")</f>
        <v/>
      </c>
    </row>
    <row r="222">
      <c r="X222" s="88" t="str">
        <f t="array" ref="X222">_xlfn.XLOOKUP("Other",Stock1!A222,Stock1!I222,"")</f>
        <v/>
      </c>
      <c r="Y222" s="95" t="str">
        <f t="array" ref="Y222">_xlfn.XLOOKUP(X222,Stock1!I222,Stock1!F222,"")</f>
        <v/>
      </c>
      <c r="Z222" s="95" t="str">
        <f t="array" ref="Z222">_xlfn.XLOOKUP(X222,Stock1!I222,Stock1!J222,"")</f>
        <v/>
      </c>
      <c r="AA222" s="102" t="str">
        <f t="array" ref="AA222">_xlfn.XLOOKUP(Y222,DATAPremium!A:A,DATAPremium!C:C,"")</f>
        <v/>
      </c>
    </row>
    <row r="223">
      <c r="X223" s="88" t="str">
        <f t="array" ref="X223">_xlfn.XLOOKUP("Other",Stock1!A223,Stock1!I223,"")</f>
        <v/>
      </c>
      <c r="Y223" s="95" t="str">
        <f t="array" ref="Y223">_xlfn.XLOOKUP(X223,Stock1!I223,Stock1!F223,"")</f>
        <v/>
      </c>
      <c r="Z223" s="95" t="str">
        <f t="array" ref="Z223">_xlfn.XLOOKUP(X223,Stock1!I223,Stock1!J223,"")</f>
        <v/>
      </c>
      <c r="AA223" s="102" t="str">
        <f t="array" ref="AA223">_xlfn.XLOOKUP(Y223,DATAPremium!A:A,DATAPremium!C:C,"")</f>
        <v/>
      </c>
    </row>
    <row r="224">
      <c r="X224" s="88" t="str">
        <f t="array" ref="X224">_xlfn.XLOOKUP("Other",Stock1!A224,Stock1!I224,"")</f>
        <v/>
      </c>
      <c r="Y224" s="95" t="str">
        <f t="array" ref="Y224">_xlfn.XLOOKUP(X224,Stock1!I224,Stock1!F224,"")</f>
        <v/>
      </c>
      <c r="Z224" s="95" t="str">
        <f t="array" ref="Z224">_xlfn.XLOOKUP(X224,Stock1!I224,Stock1!J224,"")</f>
        <v/>
      </c>
      <c r="AA224" s="102" t="str">
        <f t="array" ref="AA224">_xlfn.XLOOKUP(Y224,DATAPremium!A:A,DATAPremium!C:C,"")</f>
        <v/>
      </c>
    </row>
    <row r="225">
      <c r="X225" s="88" t="str">
        <f t="array" ref="X225">_xlfn.XLOOKUP("Other",Stock1!A225,Stock1!I225,"")</f>
        <v/>
      </c>
      <c r="Y225" s="95" t="str">
        <f t="array" ref="Y225">_xlfn.XLOOKUP(X225,Stock1!I225,Stock1!F225,"")</f>
        <v/>
      </c>
      <c r="Z225" s="95" t="str">
        <f t="array" ref="Z225">_xlfn.XLOOKUP(X225,Stock1!I225,Stock1!J225,"")</f>
        <v/>
      </c>
      <c r="AA225" s="102" t="str">
        <f t="array" ref="AA225">_xlfn.XLOOKUP(Y225,DATAPremium!A:A,DATAPremium!C:C,"")</f>
        <v/>
      </c>
    </row>
    <row r="226">
      <c r="X226" s="88" t="str">
        <f t="array" ref="X226">_xlfn.XLOOKUP("Other",Stock1!A226,Stock1!I226,"")</f>
        <v/>
      </c>
      <c r="Y226" s="95" t="str">
        <f t="array" ref="Y226">_xlfn.XLOOKUP(X226,Stock1!I226,Stock1!F226,"")</f>
        <v/>
      </c>
      <c r="Z226" s="95" t="str">
        <f t="array" ref="Z226">_xlfn.XLOOKUP(X226,Stock1!I226,Stock1!J226,"")</f>
        <v/>
      </c>
      <c r="AA226" s="102" t="str">
        <f t="array" ref="AA226">_xlfn.XLOOKUP(Y226,DATAPremium!A:A,DATAPremium!C:C,"")</f>
        <v/>
      </c>
    </row>
    <row r="227">
      <c r="X227" s="88" t="str">
        <f t="array" ref="X227">_xlfn.XLOOKUP("Other",Stock1!A227,Stock1!I227,"")</f>
        <v/>
      </c>
      <c r="Y227" s="95" t="str">
        <f t="array" ref="Y227">_xlfn.XLOOKUP(X227,Stock1!I227,Stock1!F227,"")</f>
        <v/>
      </c>
      <c r="Z227" s="95" t="str">
        <f t="array" ref="Z227">_xlfn.XLOOKUP(X227,Stock1!I227,Stock1!J227,"")</f>
        <v/>
      </c>
      <c r="AA227" s="102" t="str">
        <f t="array" ref="AA227">_xlfn.XLOOKUP(Y227,DATAPremium!A:A,DATAPremium!C:C,"")</f>
        <v/>
      </c>
    </row>
    <row r="228">
      <c r="X228" s="88" t="str">
        <f t="array" ref="X228">_xlfn.XLOOKUP("Other",Stock1!A228,Stock1!I228,"")</f>
        <v/>
      </c>
      <c r="Y228" s="95" t="str">
        <f t="array" ref="Y228">_xlfn.XLOOKUP(X228,Stock1!I228,Stock1!F228,"")</f>
        <v/>
      </c>
      <c r="Z228" s="95" t="str">
        <f t="array" ref="Z228">_xlfn.XLOOKUP(X228,Stock1!I228,Stock1!J228,"")</f>
        <v/>
      </c>
      <c r="AA228" s="102" t="str">
        <f t="array" ref="AA228">_xlfn.XLOOKUP(Y228,DATAPremium!A:A,DATAPremium!C:C,"")</f>
        <v/>
      </c>
    </row>
    <row r="229">
      <c r="X229" s="88" t="str">
        <f t="array" ref="X229">_xlfn.XLOOKUP("Other",Stock1!A229,Stock1!I229,"")</f>
        <v/>
      </c>
      <c r="Y229" s="95" t="str">
        <f t="array" ref="Y229">_xlfn.XLOOKUP(X229,Stock1!I229,Stock1!F229,"")</f>
        <v/>
      </c>
      <c r="Z229" s="95" t="str">
        <f t="array" ref="Z229">_xlfn.XLOOKUP(X229,Stock1!I229,Stock1!J229,"")</f>
        <v/>
      </c>
      <c r="AA229" s="102" t="str">
        <f t="array" ref="AA229">_xlfn.XLOOKUP(Y229,DATAPremium!A:A,DATAPremium!C:C,"")</f>
        <v/>
      </c>
    </row>
    <row r="230">
      <c r="X230" s="88" t="str">
        <f t="array" ref="X230">_xlfn.XLOOKUP("Other",Stock1!A230,Stock1!I230,"")</f>
        <v>[PM] Double Wall Stainless Steel 600ml</v>
      </c>
      <c r="Y230" s="468" t="str">
        <f t="array" ref="Y230">_xlfn.XLOOKUP(X230,Stock1!I230,Stock1!F230,"")</f>
        <v>6931481215710</v>
      </c>
      <c r="Z230" s="95">
        <f t="array" ref="Z230">_xlfn.XLOOKUP(X230,Stock1!I230,Stock1!J230,"")</f>
        <v>16</v>
      </c>
      <c r="AA230" s="102" t="str">
        <f t="array" ref="AA230">_xlfn.XLOOKUP(Y230,DATAPremium!A:A,DATAPremium!C:C,"")</f>
        <v>Tablet</v>
      </c>
    </row>
    <row r="231">
      <c r="X231" s="88" t="str">
        <f t="array" ref="X231">_xlfn.XLOOKUP("Other",Stock1!A231,Stock1!I231,"")</f>
        <v>Premium D-Power M22 Speaker Bluetooth</v>
      </c>
      <c r="Y231" s="468" t="str">
        <f t="array" ref="Y231">_xlfn.XLOOKUP(X231,Stock1!I231,Stock1!F231,"")</f>
        <v>8859289657762</v>
      </c>
      <c r="Z231" s="95">
        <f t="array" ref="Z231">_xlfn.XLOOKUP(X231,Stock1!I231,Stock1!J231,"")</f>
        <v>19</v>
      </c>
      <c r="AA231" s="102" t="str">
        <f t="array" ref="AA231">_xlfn.XLOOKUP(Y231,DATAPremium!A:A,DATAPremium!C:C,"")</f>
        <v>Smartphone 10,000 up</v>
      </c>
    </row>
    <row r="232">
      <c r="X232" s="88" t="str">
        <f t="array" ref="X232">_xlfn.XLOOKUP("Other",Stock1!A232,Stock1!I232,"")</f>
        <v>Premium SAMSUNG TC-04 (Type-C)</v>
      </c>
      <c r="Y232" s="468" t="str">
        <f t="array" ref="Y232">_xlfn.XLOOKUP(X232,Stock1!I232,Stock1!F232,"")</f>
        <v>8859289665477</v>
      </c>
      <c r="Z232" s="95">
        <f t="array" ref="Z232">_xlfn.XLOOKUP(X232,Stock1!I232,Stock1!J232,"")</f>
        <v>18</v>
      </c>
      <c r="AA232" s="102" t="str">
        <f t="array" ref="AA232">_xlfn.XLOOKUP(Y232,DATAPremium!A:A,DATAPremium!C:C,"")</f>
        <v>Smartphone</v>
      </c>
    </row>
    <row r="233">
      <c r="X233" s="88" t="str">
        <f t="array" ref="X233">_xlfn.XLOOKUP("Other",Stock1!A233,Stock1!I233,"")</f>
        <v>[PM] Phone Stand First class NO V168 Phoenix</v>
      </c>
      <c r="Y233" s="468" t="str">
        <f t="array" ref="Y233">_xlfn.XLOOKUP(X233,Stock1!I233,Stock1!F233,"")</f>
        <v>8859763200989</v>
      </c>
      <c r="Z233" s="95">
        <f t="array" ref="Z233">_xlfn.XLOOKUP(X233,Stock1!I233,Stock1!J233,"")</f>
        <v>20</v>
      </c>
      <c r="AA233" s="102" t="str">
        <f t="array" ref="AA233">_xlfn.XLOOKUP(Y233,DATAPremium!A:A,DATAPremium!C:C,"")</f>
        <v>Tablet</v>
      </c>
    </row>
    <row r="234">
      <c r="X234" s="88" t="str">
        <f t="array" ref="X234">_xlfn.XLOOKUP("Other",Stock1!A234,Stock1!I234,"")</f>
        <v>[Premium] Gaabor weighing scale GWS-M01A - Black</v>
      </c>
      <c r="Y234" s="468" t="str">
        <f t="array" ref="Y234">_xlfn.XLOOKUP(X234,Stock1!I234,Stock1!F234,"")</f>
        <v>PM4897121002558</v>
      </c>
      <c r="Z234" s="95">
        <f t="array" ref="Z234">_xlfn.XLOOKUP(X234,Stock1!I234,Stock1!J234,"")</f>
        <v>3</v>
      </c>
      <c r="AA234" s="102" t="str">
        <f t="array" ref="AA234">_xlfn.XLOOKUP(Y234,DATAPremium!A:A,DATAPremium!C:C,"")</f>
        <v/>
      </c>
    </row>
    <row r="235">
      <c r="X235" s="88" t="str">
        <f t="array" ref="X235">_xlfn.XLOOKUP("Other",Stock1!A235,Stock1!I235,"")</f>
        <v>[Premium] Gaabor Air Fryer 4L AF-40M01A</v>
      </c>
      <c r="Y235" s="468" t="str">
        <f t="array" ref="Y235">_xlfn.XLOOKUP(X235,Stock1!I235,Stock1!F235,"")</f>
        <v>PM4897121009793</v>
      </c>
      <c r="Z235" s="95">
        <f t="array" ref="Z235">_xlfn.XLOOKUP(X235,Stock1!I235,Stock1!J235,"")</f>
        <v>27</v>
      </c>
      <c r="AA235" s="102" t="str">
        <f t="array" ref="AA235">_xlfn.XLOOKUP(Y235,DATAPremium!A:A,DATAPremium!C:C,"")</f>
        <v>Smartphone 20,000 up</v>
      </c>
    </row>
    <row r="236">
      <c r="X236" s="88" t="str">
        <f t="array" ref="X236">_xlfn.XLOOKUP("Other",Stock1!A236,Stock1!I236,"")</f>
        <v>Premiun ����Ѻ�� Mini YOUMI-SAMSUNG</v>
      </c>
      <c r="Y236" s="468" t="str">
        <f t="array" ref="Y236">_xlfn.XLOOKUP(X236,Stock1!I236,Stock1!F236,"")</f>
        <v>PM6931481215697</v>
      </c>
      <c r="Z236" s="95">
        <f t="array" ref="Z236">_xlfn.XLOOKUP(X236,Stock1!I236,Stock1!J236,"")</f>
        <v>51</v>
      </c>
      <c r="AA236" s="102" t="str">
        <f t="array" ref="AA236">_xlfn.XLOOKUP(Y236,DATAPremium!A:A,DATAPremium!C:C,"")</f>
        <v>Smartphone 10,000 up</v>
      </c>
    </row>
    <row r="237">
      <c r="X237" s="88" t="str">
        <f t="array" ref="X237">_xlfn.XLOOKUP("Other",Stock1!A237,Stock1!I237,"")</f>
        <v>Premium Robot Portable handheld fan RT-HF01 - White</v>
      </c>
      <c r="Y237" s="468" t="str">
        <f t="array" ref="Y237">_xlfn.XLOOKUP(X237,Stock1!I237,Stock1!F237,"")</f>
        <v>PM6936678491526</v>
      </c>
      <c r="Z237" s="95">
        <f t="array" ref="Z237">_xlfn.XLOOKUP(X237,Stock1!I237,Stock1!J237,"")</f>
        <v>6</v>
      </c>
      <c r="AA237" s="102" t="str">
        <f t="array" ref="AA237">_xlfn.XLOOKUP(Y237,DATAPremium!A:A,DATAPremium!C:C,"")</f>
        <v>Smartphone 5,000 up</v>
      </c>
    </row>
    <row r="238">
      <c r="X238" s="88" t="str">
        <f t="array" ref="X238">_xlfn.XLOOKUP("Other",Stock1!A238,Stock1!I238,"")</f>
        <v>Premium D-Power Blackpack-SAMSUNG</v>
      </c>
      <c r="Y238" s="468" t="str">
        <f t="array" ref="Y238">_xlfn.XLOOKUP(X238,Stock1!I238,Stock1!F238,"")</f>
        <v>PM8859289684768</v>
      </c>
      <c r="Z238" s="95">
        <f t="array" ref="Z238">_xlfn.XLOOKUP(X238,Stock1!I238,Stock1!J238,"")</f>
        <v>2</v>
      </c>
      <c r="AA238" s="102" t="str">
        <f t="array" ref="AA238">_xlfn.XLOOKUP(Y238,DATAPremium!A:A,DATAPremium!C:C,"")</f>
        <v>Smartphone 8,000 up</v>
      </c>
    </row>
    <row r="239">
      <c r="X239" s="88" t="str">
        <f t="array" ref="X239">_xlfn.XLOOKUP("Other",Stock1!A239,Stock1!I239,"")</f>
        <v>[PM] Backpack Fashion Phoenix</v>
      </c>
      <c r="Y239" s="468" t="str">
        <f t="array" ref="Y239">_xlfn.XLOOKUP(X239,Stock1!I239,Stock1!F239,"")</f>
        <v>PREMIUM0017044</v>
      </c>
      <c r="Z239" s="95">
        <f t="array" ref="Z239">_xlfn.XLOOKUP(X239,Stock1!I239,Stock1!J239,"")</f>
        <v>27</v>
      </c>
      <c r="AA239" s="102" t="str">
        <f t="array" ref="AA239">_xlfn.XLOOKUP(Y239,DATAPremium!A:A,DATAPremium!C:C,"")</f>
        <v>Tablet</v>
      </c>
    </row>
    <row r="240">
      <c r="X240" s="88" t="str">
        <f t="array" ref="X240">_xlfn.XLOOKUP("Other",Stock1!A240,Stock1!I240,"")</f>
        <v>[PM] Sling Bag Phoenix</v>
      </c>
      <c r="Y240" s="468" t="str">
        <f t="array" ref="Y240">_xlfn.XLOOKUP(X240,Stock1!I240,Stock1!F240,"")</f>
        <v>PREMIUM0017046</v>
      </c>
      <c r="Z240" s="95">
        <f t="array" ref="Z240">_xlfn.XLOOKUP(X240,Stock1!I240,Stock1!J240,"")</f>
        <v>20</v>
      </c>
      <c r="AA240" s="102" t="str">
        <f t="array" ref="AA240">_xlfn.XLOOKUP(Y240,DATAPremium!A:A,DATAPremium!C:C,"")</f>
        <v/>
      </c>
    </row>
    <row r="241">
      <c r="X241" s="88" t="str">
        <f t="array" ref="X241">_xlfn.XLOOKUP("Other",Stock1!A241,Stock1!I241,"")</f>
        <v>[PM] Small Talk TC-04 TypeC Tablet</v>
      </c>
      <c r="Y241" s="468" t="str">
        <f t="array" ref="Y241">_xlfn.XLOOKUP(X241,Stock1!I241,Stock1!F241,"")</f>
        <v>PREMIUM-665477</v>
      </c>
      <c r="Z241" s="95">
        <f t="array" ref="Z241">_xlfn.XLOOKUP(X241,Stock1!I241,Stock1!J241,"")</f>
        <v>27</v>
      </c>
      <c r="AA241" s="102" t="str">
        <f t="array" ref="AA241">_xlfn.XLOOKUP(Y241,DATAPremium!A:A,DATAPremium!C:C,"")</f>
        <v>Tablet</v>
      </c>
    </row>
    <row r="242">
      <c r="X242" s="88" t="str">
        <f t="array" ref="X242">_xlfn.XLOOKUP("Other",Stock1!A242,Stock1!I242,"")</f>
        <v>[PM] Tablet ring stand</v>
      </c>
      <c r="Y242" s="468" t="str">
        <f t="array" ref="Y242">_xlfn.XLOOKUP(X242,Stock1!I242,Stock1!F242,"")</f>
        <v>PREMIUM-665478</v>
      </c>
      <c r="Z242" s="95">
        <f t="array" ref="Z242">_xlfn.XLOOKUP(X242,Stock1!I242,Stock1!J242,"")</f>
        <v>17</v>
      </c>
      <c r="AA242" s="102" t="str">
        <f t="array" ref="AA242">_xlfn.XLOOKUP(Y242,DATAPremium!A:A,DATAPremium!C:C,"")</f>
        <v>Tablet</v>
      </c>
    </row>
    <row r="243">
      <c r="X243" s="88" t="str">
        <f t="array" ref="X243">_xlfn.XLOOKUP("Other",Stock1!A243,Stock1!I243,"")</f>
        <v>[PM] Tablet Laptop Sleeve 13 inch</v>
      </c>
      <c r="Y243" s="468" t="str">
        <f t="array" ref="Y243">_xlfn.XLOOKUP(X243,Stock1!I243,Stock1!F243,"")</f>
        <v>PREMIUM-665479</v>
      </c>
      <c r="Z243" s="95">
        <f t="array" ref="Z243">_xlfn.XLOOKUP(X243,Stock1!I243,Stock1!J243,"")</f>
        <v>15</v>
      </c>
      <c r="AA243" s="102" t="str">
        <f t="array" ref="AA243">_xlfn.XLOOKUP(Y243,DATAPremium!A:A,DATAPremium!C:C,"")</f>
        <v>Tablet</v>
      </c>
    </row>
    <row r="244">
      <c r="X244" s="88" t="str">
        <f t="array" ref="X244">_xlfn.XLOOKUP("Other",Stock1!A244,Stock1!I244,"")</f>
        <v>[PM]Divoom MiniToo - White</v>
      </c>
      <c r="Y244" s="468" t="str">
        <f t="array" ref="Y244">_xlfn.XLOOKUP(X244,Stock1!I244,Stock1!F244,"")</f>
        <v>PM6958444604725</v>
      </c>
      <c r="Z244" s="95">
        <f t="array" ref="Z244">_xlfn.XLOOKUP(X244,Stock1!I244,Stock1!J244,"")</f>
        <v>5</v>
      </c>
      <c r="AA244" s="102" t="str">
        <f t="array" ref="AA244">_xlfn.XLOOKUP(Y244,DATAPremium!A:A,DATAPremium!C:C,"")</f>
        <v>Smartphone 30,000 up</v>
      </c>
    </row>
    <row r="245">
      <c r="X245" s="88" t="str">
        <f t="array" ref="X245">_xlfn.XLOOKUP("Other",Stock1!A245,Stock1!I245,"")</f>
        <v>Premium SAMSUNG T-series soundbar HW-T420 2.1ch with Subwoofer</v>
      </c>
      <c r="Y245" s="468" t="str">
        <f t="array" ref="Y245">_xlfn.XLOOKUP(X245,Stock1!I245,Stock1!F245,"")</f>
        <v>PM-8806090284687</v>
      </c>
      <c r="Z245" s="95">
        <f t="array" ref="Z245">_xlfn.XLOOKUP(X245,Stock1!I245,Stock1!J245,"")</f>
        <v>17</v>
      </c>
      <c r="AA245" s="102" t="str">
        <f t="array" ref="AA245">_xlfn.XLOOKUP(Y245,DATAPremium!A:A,DATAPremium!C:C,"")</f>
        <v>Smartphone S26 Ultra CRM</v>
      </c>
    </row>
    <row r="246">
      <c r="X246" s="88" t="str">
        <f t="array" ref="X246">_xlfn.XLOOKUP("Other",Stock1!A246,Stock1!I246,"")</f>
        <v>Premium SAMSUNG B-series Souundbar HW-B400F 2.0ch Sub woofer</v>
      </c>
      <c r="Y246" s="468" t="str">
        <f t="array" ref="Y246">_xlfn.XLOOKUP(X246,Stock1!I246,Stock1!F246,"")</f>
        <v>PM-8806097071891</v>
      </c>
      <c r="Z246" s="95">
        <f t="array" ref="Z246">_xlfn.XLOOKUP(X246,Stock1!I246,Stock1!J246,"")</f>
        <v>8</v>
      </c>
      <c r="AA246" s="102" t="str">
        <f t="array" ref="AA246">_xlfn.XLOOKUP(Y246,DATAPremium!A:A,DATAPremium!C:C,"")</f>
        <v>Smartphone S26 Series</v>
      </c>
    </row>
    <row r="247">
      <c r="X247" s="88" t="str">
        <f t="array" ref="X247">_xlfn.XLOOKUP("Other",Stock1!A247,Stock1!I247,"")</f>
        <v>Premium SAMSUNG Microwave oven SRT-20 liter</v>
      </c>
      <c r="Y247" s="468" t="str">
        <f t="array" ref="Y247">_xlfn.XLOOKUP(X247,Stock1!I247,Stock1!F247,"")</f>
        <v>PM-MS20A3010AL/ST</v>
      </c>
      <c r="Z247" s="95">
        <f t="array" ref="Z247">_xlfn.XLOOKUP(X247,Stock1!I247,Stock1!J247,"")</f>
        <v>7</v>
      </c>
      <c r="AA247" s="102" t="str">
        <f t="array" ref="AA247">_xlfn.XLOOKUP(Y247,DATAPremium!A:A,DATAPremium!C:C,"")</f>
        <v>Smartphone S26 Series</v>
      </c>
    </row>
    <row r="248">
      <c r="X248" s="88" t="str">
        <f t="array" ref="X248">_xlfn.XLOOKUP("Other",Stock1!A248,Stock1!I248,"")</f>
        <v>[PM]Samsung The Freestyle Case - Green</v>
      </c>
      <c r="Y248" s="468" t="str">
        <f t="array" ref="Y248">_xlfn.XLOOKUP(X248,Stock1!I248,Stock1!F248,"")</f>
        <v>PM8806094095647</v>
      </c>
      <c r="Z248" s="95">
        <f t="array" ref="Z248">_xlfn.XLOOKUP(X248,Stock1!I248,Stock1!J248,"")</f>
        <v>1</v>
      </c>
      <c r="AA248" s="102" t="str">
        <f t="array" ref="AA248">_xlfn.XLOOKUP(Y248,DATAPremium!A:A,DATAPremium!C:C,"")</f>
        <v>Projector</v>
      </c>
    </row>
    <row r="249">
      <c r="X249" s="88" t="str">
        <f t="array" ref="X249">_xlfn.XLOOKUP("Other",Stock1!A249,Stock1!I249,"")</f>
        <v>[PM]Samsung The Freestyle Skin - Green</v>
      </c>
      <c r="Y249" s="468" t="str">
        <f t="array" ref="Y249">_xlfn.XLOOKUP(X249,Stock1!I249,Stock1!F249,"")</f>
        <v>PM8806094297584</v>
      </c>
      <c r="Z249" s="95">
        <f t="array" ref="Z249">_xlfn.XLOOKUP(X249,Stock1!I249,Stock1!J249,"")</f>
        <v>1</v>
      </c>
      <c r="AA249" s="102" t="str">
        <f t="array" ref="AA249">_xlfn.XLOOKUP(Y249,DATAPremium!A:A,DATAPremium!C:C,"")</f>
        <v>Projector</v>
      </c>
    </row>
    <row r="250">
      <c r="X250" s="88" t="str">
        <f t="array" ref="X250">_xlfn.XLOOKUP("Other",Stock1!A250,Stock1!I250,"")</f>
        <v>[CS]Focus Premium Bag For Samsung S25 Series - Black</v>
      </c>
      <c r="Y250" s="468" t="str">
        <f t="array" ref="Y250">_xlfn.XLOOKUP(X250,Stock1!I250,Stock1!F250,"")</f>
        <v>8859703434269</v>
      </c>
      <c r="Z250" s="95">
        <f t="array" ref="Z250">_xlfn.XLOOKUP(X250,Stock1!I250,Stock1!J250,"")</f>
        <v>1</v>
      </c>
      <c r="AA250" s="102" t="str">
        <f t="array" ref="AA250">_xlfn.XLOOKUP(Y250,DATAPremium!A:A,DATAPremium!C:C,"")</f>
        <v>Focus</v>
      </c>
    </row>
    <row r="251">
      <c r="X251" s="88" t="str">
        <f t="array" ref="X251">_xlfn.XLOOKUP("Other",Stock1!A251,Stock1!I251,"")</f>
        <v>Premium SAMSUNG Adapter 45W without cable - Black</v>
      </c>
      <c r="Y251" s="468" t="str">
        <f t="array" ref="Y251">_xlfn.XLOOKUP(X251,Stock1!I251,Stock1!F251,"")</f>
        <v>Z-ADAPTER45QHB</v>
      </c>
      <c r="Z251" s="95">
        <f t="array" ref="Z251">_xlfn.XLOOKUP(X251,Stock1!I251,Stock1!J251,"")</f>
        <v>7</v>
      </c>
      <c r="AA251" s="102" t="str">
        <f t="array" ref="AA251">_xlfn.XLOOKUP(Y251,DATAPremium!A:A,DATAPremium!C:C,"")</f>
        <v/>
      </c>
    </row>
    <row r="252">
      <c r="X252" s="88" t="str">
        <f t="array" ref="X252">_xlfn.XLOOKUP("Other",Stock1!A252,Stock1!I252,"")</f>
        <v>Premium SAMSUNG Flip6 Silicone Case Black</v>
      </c>
      <c r="Y252" s="468" t="str">
        <f t="array" ref="Y252">_xlfn.XLOOKUP(X252,Stock1!I252,Stock1!F252,"")</f>
        <v>Z-FLIP7FECASE1</v>
      </c>
      <c r="Z252" s="95">
        <f t="array" ref="Z252">_xlfn.XLOOKUP(X252,Stock1!I252,Stock1!J252,"")</f>
        <v>1</v>
      </c>
      <c r="AA252" s="102" t="str">
        <f t="array" ref="AA252">_xlfn.XLOOKUP(Y252,DATAPremium!A:A,DATAPremium!C:C,"")</f>
        <v>Smartphone Flip7FE</v>
      </c>
    </row>
    <row r="253">
      <c r="X253" s="88" t="str">
        <f t="array" ref="X253">_xlfn.XLOOKUP("Other",Stock1!A253,Stock1!I253,"")</f>
        <v>Premium SAMSUNG Flip6 Clear Case Clear Case</v>
      </c>
      <c r="Y253" s="468" t="str">
        <f t="array" ref="Y253">_xlfn.XLOOKUP(X253,Stock1!I253,Stock1!F253,"")</f>
        <v>Z-FLIP7FECASE3</v>
      </c>
      <c r="Z253" s="95">
        <f t="array" ref="Z253">_xlfn.XLOOKUP(X253,Stock1!I253,Stock1!J253,"")</f>
        <v>1</v>
      </c>
      <c r="AA253" s="102" t="str">
        <f t="array" ref="AA253">_xlfn.XLOOKUP(Y253,DATAPremium!A:A,DATAPremium!C:C,"")</f>
        <v>Smartphone Flip7FE</v>
      </c>
    </row>
    <row r="254">
      <c r="X254" s="88" t="str">
        <f t="array" ref="X254">_xlfn.XLOOKUP("Other",Stock1!A254,Stock1!I254,"")</f>
        <v>Premium SAMSUNG Flip6 Anti-reflecting Film Film</v>
      </c>
      <c r="Y254" s="468" t="str">
        <f t="array" ref="Y254">_xlfn.XLOOKUP(X254,Stock1!I254,Stock1!F254,"")</f>
        <v>Z-FLIP7FECASE4</v>
      </c>
      <c r="Z254" s="95">
        <f t="array" ref="Z254">_xlfn.XLOOKUP(X254,Stock1!I254,Stock1!J254,"")</f>
        <v>1</v>
      </c>
      <c r="AA254" s="102" t="str">
        <f t="array" ref="AA254">_xlfn.XLOOKUP(Y254,DATAPremium!A:A,DATAPremium!C:C,"")</f>
        <v>Smartphone Flip7FE</v>
      </c>
    </row>
    <row r="255">
      <c r="X255" s="88" t="str">
        <f t="array" ref="X255">_xlfn.XLOOKUP("Other",Stock1!A255,Stock1!I255,"")</f>
        <v>Premium Samsung SmartTag2 - S26 Series</v>
      </c>
      <c r="Y255" s="468" t="str">
        <f t="array" ref="Y255">_xlfn.XLOOKUP(X255,Stock1!I255,Stock1!F255,"")</f>
        <v>Z-SMARTTAG2WMR</v>
      </c>
      <c r="Z255" s="95">
        <f t="array" ref="Z255">_xlfn.XLOOKUP(X255,Stock1!I255,Stock1!J255,"")</f>
        <v>7</v>
      </c>
      <c r="AA255" s="102" t="str">
        <f t="array" ref="AA255">_xlfn.XLOOKUP(Y255,DATAPremium!A:A,DATAPremium!C:C,"")</f>
        <v>Smartphone S26 Ultra</v>
      </c>
    </row>
    <row r="256">
      <c r="X256" s="88" t="str">
        <f t="array" ref="X256">_xlfn.XLOOKUP("Other",Stock1!A256,Stock1!I256,"")</f>
        <v/>
      </c>
      <c r="Y256" s="95" t="str">
        <f t="array" ref="Y256">_xlfn.XLOOKUP(X256,Stock1!I256,Stock1!F256,"")</f>
        <v/>
      </c>
      <c r="Z256" s="95" t="str">
        <f t="array" ref="Z256">_xlfn.XLOOKUP(X256,Stock1!I256,Stock1!J256,"")</f>
        <v/>
      </c>
      <c r="AA256" s="102" t="str">
        <f t="array" ref="AA256">_xlfn.XLOOKUP(Y256,DATAPremium!A:A,DATAPremium!C:C,"")</f>
        <v/>
      </c>
    </row>
    <row r="257">
      <c r="X257" s="88" t="str">
        <f t="array" ref="X257">_xlfn.XLOOKUP("Other",Stock1!A257,Stock1!I257,"")</f>
        <v/>
      </c>
      <c r="Y257" s="95" t="str">
        <f t="array" ref="Y257">_xlfn.XLOOKUP(X257,Stock1!I257,Stock1!F257,"")</f>
        <v/>
      </c>
      <c r="Z257" s="95" t="str">
        <f t="array" ref="Z257">_xlfn.XLOOKUP(X257,Stock1!I257,Stock1!J257,"")</f>
        <v/>
      </c>
      <c r="AA257" s="102" t="str">
        <f t="array" ref="AA257">_xlfn.XLOOKUP(Y257,DATAPremium!A:A,DATAPremium!C:C,"")</f>
        <v/>
      </c>
    </row>
    <row r="258">
      <c r="X258" s="88" t="str">
        <f t="array" ref="X258">_xlfn.XLOOKUP("Other",Stock1!A258,Stock1!I258,"")</f>
        <v/>
      </c>
      <c r="Y258" s="95" t="str">
        <f t="array" ref="Y258">_xlfn.XLOOKUP(X258,Stock1!I258,Stock1!F258,"")</f>
        <v/>
      </c>
      <c r="Z258" s="95" t="str">
        <f t="array" ref="Z258">_xlfn.XLOOKUP(X258,Stock1!I258,Stock1!J258,"")</f>
        <v/>
      </c>
      <c r="AA258" s="102" t="str">
        <f t="array" ref="AA258">_xlfn.XLOOKUP(Y258,DATAPremium!A:A,DATAPremium!C:C,"")</f>
        <v/>
      </c>
    </row>
    <row r="259">
      <c r="X259" s="88" t="str">
        <f t="array" ref="X259">_xlfn.XLOOKUP("Other",Stock1!A259,Stock1!I259,"")</f>
        <v/>
      </c>
      <c r="Y259" s="95" t="str">
        <f t="array" ref="Y259">_xlfn.XLOOKUP(X259,Stock1!I259,Stock1!F259,"")</f>
        <v/>
      </c>
      <c r="Z259" s="95" t="str">
        <f t="array" ref="Z259">_xlfn.XLOOKUP(X259,Stock1!I259,Stock1!J259,"")</f>
        <v/>
      </c>
      <c r="AA259" s="102" t="str">
        <f t="array" ref="AA259">_xlfn.XLOOKUP(Y259,DATAPremium!A:A,DATAPremium!C:C,"")</f>
        <v/>
      </c>
    </row>
    <row r="260">
      <c r="X260" s="88" t="str">
        <f t="array" ref="X260">_xlfn.XLOOKUP("Other",Stock1!A260,Stock1!I260,"")</f>
        <v/>
      </c>
      <c r="Y260" s="95" t="str">
        <f t="array" ref="Y260">_xlfn.XLOOKUP(X260,Stock1!I260,Stock1!F260,"")</f>
        <v/>
      </c>
      <c r="Z260" s="95" t="str">
        <f t="array" ref="Z260">_xlfn.XLOOKUP(X260,Stock1!I260,Stock1!J260,"")</f>
        <v/>
      </c>
      <c r="AA260" s="102" t="str">
        <f t="array" ref="AA260">_xlfn.XLOOKUP(Y260,DATAPremium!A:A,DATAPremium!C:C,"")</f>
        <v/>
      </c>
    </row>
    <row r="261">
      <c r="X261" s="88" t="str">
        <f t="array" ref="X261">_xlfn.XLOOKUP("Other",Stock1!A261,Stock1!I261,"")</f>
        <v/>
      </c>
      <c r="Y261" s="95" t="str">
        <f t="array" ref="Y261">_xlfn.XLOOKUP(X261,Stock1!I261,Stock1!F261,"")</f>
        <v/>
      </c>
      <c r="Z261" s="95" t="str">
        <f t="array" ref="Z261">_xlfn.XLOOKUP(X261,Stock1!I261,Stock1!J261,"")</f>
        <v/>
      </c>
      <c r="AA261" s="102" t="str">
        <f t="array" ref="AA261">_xlfn.XLOOKUP(Y261,DATAPremium!A:A,DATAPremium!C:C,"")</f>
        <v/>
      </c>
    </row>
    <row r="262">
      <c r="X262" s="88" t="str">
        <f t="array" ref="X262">_xlfn.XLOOKUP("Other",Stock1!A262,Stock1!I262,"")</f>
        <v/>
      </c>
      <c r="Y262" s="95" t="str">
        <f t="array" ref="Y262">_xlfn.XLOOKUP(X262,Stock1!I262,Stock1!F262,"")</f>
        <v/>
      </c>
      <c r="Z262" s="95" t="str">
        <f t="array" ref="Z262">_xlfn.XLOOKUP(X262,Stock1!I262,Stock1!J262,"")</f>
        <v/>
      </c>
      <c r="AA262" s="102" t="str">
        <f t="array" ref="AA262">_xlfn.XLOOKUP(Y262,DATAPremium!A:A,DATAPremium!C:C,"")</f>
        <v/>
      </c>
    </row>
    <row r="263">
      <c r="X263" s="88" t="str">
        <f t="array" ref="X263">_xlfn.XLOOKUP("Other",Stock1!A263,Stock1!I263,"")</f>
        <v/>
      </c>
      <c r="Y263" s="95" t="str">
        <f t="array" ref="Y263">_xlfn.XLOOKUP(X263,Stock1!I263,Stock1!F263,"")</f>
        <v/>
      </c>
      <c r="Z263" s="95" t="str">
        <f t="array" ref="Z263">_xlfn.XLOOKUP(X263,Stock1!I263,Stock1!J263,"")</f>
        <v/>
      </c>
      <c r="AA263" s="102" t="str">
        <f t="array" ref="AA263">_xlfn.XLOOKUP(Y263,DATAPremium!A:A,DATAPremium!C:C,"")</f>
        <v/>
      </c>
    </row>
    <row r="264">
      <c r="X264" s="88" t="str">
        <f t="array" ref="X264">_xlfn.XLOOKUP("Other",Stock1!A264,Stock1!I264,"")</f>
        <v/>
      </c>
      <c r="Y264" s="95" t="str">
        <f t="array" ref="Y264">_xlfn.XLOOKUP(X264,Stock1!I264,Stock1!F264,"")</f>
        <v/>
      </c>
      <c r="Z264" s="95" t="str">
        <f t="array" ref="Z264">_xlfn.XLOOKUP(X264,Stock1!I264,Stock1!J264,"")</f>
        <v/>
      </c>
      <c r="AA264" s="102" t="str">
        <f t="array" ref="AA264">_xlfn.XLOOKUP(Y264,DATAPremium!A:A,DATAPremium!C:C,"")</f>
        <v/>
      </c>
    </row>
    <row r="265">
      <c r="X265" s="88" t="str">
        <f t="array" ref="X265">_xlfn.XLOOKUP("Other",Stock1!A265,Stock1!I265,"")</f>
        <v/>
      </c>
      <c r="Y265" s="95" t="str">
        <f t="array" ref="Y265">_xlfn.XLOOKUP(X265,Stock1!I265,Stock1!F265,"")</f>
        <v/>
      </c>
      <c r="Z265" s="95" t="str">
        <f t="array" ref="Z265">_xlfn.XLOOKUP(X265,Stock1!I265,Stock1!J265,"")</f>
        <v/>
      </c>
      <c r="AA265" s="102" t="str">
        <f t="array" ref="AA265">_xlfn.XLOOKUP(Y265,DATAPremium!A:A,DATAPremium!C:C,"")</f>
        <v/>
      </c>
    </row>
    <row r="266">
      <c r="X266" s="88" t="str">
        <f t="array" ref="X266">_xlfn.XLOOKUP("Other",Stock1!A266,Stock1!I266,"")</f>
        <v/>
      </c>
      <c r="Y266" s="95" t="str">
        <f t="array" ref="Y266">_xlfn.XLOOKUP(X266,Stock1!I266,Stock1!F266,"")</f>
        <v/>
      </c>
      <c r="Z266" s="95" t="str">
        <f t="array" ref="Z266">_xlfn.XLOOKUP(X266,Stock1!I266,Stock1!J266,"")</f>
        <v/>
      </c>
      <c r="AA266" s="102" t="str">
        <f t="array" ref="AA266">_xlfn.XLOOKUP(Y266,DATAPremium!A:A,DATAPremium!C:C,"")</f>
        <v/>
      </c>
    </row>
    <row r="267">
      <c r="X267" s="88" t="str">
        <f t="array" ref="X267">_xlfn.XLOOKUP("Other",Stock1!A267,Stock1!I267,"")</f>
        <v/>
      </c>
      <c r="Y267" s="95" t="str">
        <f t="array" ref="Y267">_xlfn.XLOOKUP(X267,Stock1!I267,Stock1!F267,"")</f>
        <v/>
      </c>
      <c r="Z267" s="95" t="str">
        <f t="array" ref="Z267">_xlfn.XLOOKUP(X267,Stock1!I267,Stock1!J267,"")</f>
        <v/>
      </c>
      <c r="AA267" s="102" t="str">
        <f t="array" ref="AA267">_xlfn.XLOOKUP(Y267,DATAPremium!A:A,DATAPremium!C:C,"")</f>
        <v/>
      </c>
    </row>
    <row r="268">
      <c r="X268" s="88" t="str">
        <f t="array" ref="X268">_xlfn.XLOOKUP("Other",Stock1!A268,Stock1!I268,"")</f>
        <v/>
      </c>
      <c r="Y268" s="95" t="str">
        <f t="array" ref="Y268">_xlfn.XLOOKUP(X268,Stock1!I268,Stock1!F268,"")</f>
        <v/>
      </c>
      <c r="Z268" s="95" t="str">
        <f t="array" ref="Z268">_xlfn.XLOOKUP(X268,Stock1!I268,Stock1!J268,"")</f>
        <v/>
      </c>
      <c r="AA268" s="102" t="str">
        <f t="array" ref="AA268">_xlfn.XLOOKUP(Y268,DATAPremium!A:A,DATAPremium!C:C,"")</f>
        <v/>
      </c>
    </row>
    <row r="269">
      <c r="X269" s="88" t="str">
        <f t="array" ref="X269">_xlfn.XLOOKUP("Other",Stock1!A269,Stock1!I269,"")</f>
        <v/>
      </c>
      <c r="Y269" s="95" t="str">
        <f t="array" ref="Y269">_xlfn.XLOOKUP(X269,Stock1!I269,Stock1!F269,"")</f>
        <v/>
      </c>
      <c r="Z269" s="95" t="str">
        <f t="array" ref="Z269">_xlfn.XLOOKUP(X269,Stock1!I269,Stock1!J269,"")</f>
        <v/>
      </c>
      <c r="AA269" s="102" t="str">
        <f t="array" ref="AA269">_xlfn.XLOOKUP(Y269,DATAPremium!A:A,DATAPremium!C:C,"")</f>
        <v/>
      </c>
    </row>
    <row r="270">
      <c r="X270" s="88" t="str">
        <f t="array" ref="X270">_xlfn.XLOOKUP("Other",Stock1!A270,Stock1!I270,"")</f>
        <v/>
      </c>
      <c r="Y270" s="95" t="str">
        <f t="array" ref="Y270">_xlfn.XLOOKUP(X270,Stock1!I270,Stock1!F270,"")</f>
        <v/>
      </c>
      <c r="Z270" s="95" t="str">
        <f t="array" ref="Z270">_xlfn.XLOOKUP(X270,Stock1!I270,Stock1!J270,"")</f>
        <v/>
      </c>
      <c r="AA270" s="102" t="str">
        <f t="array" ref="AA270">_xlfn.XLOOKUP(Y270,DATAPremium!A:A,DATAPremium!C:C,"")</f>
        <v/>
      </c>
    </row>
    <row r="271">
      <c r="X271" s="88" t="str">
        <f t="array" ref="X271">_xlfn.XLOOKUP("Other",Stock1!A271,Stock1!I271,"")</f>
        <v/>
      </c>
      <c r="Y271" s="95" t="str">
        <f t="array" ref="Y271">_xlfn.XLOOKUP(X271,Stock1!I271,Stock1!F271,"")</f>
        <v/>
      </c>
      <c r="Z271" s="95" t="str">
        <f t="array" ref="Z271">_xlfn.XLOOKUP(X271,Stock1!I271,Stock1!J271,"")</f>
        <v/>
      </c>
      <c r="AA271" s="102" t="str">
        <f t="array" ref="AA271">_xlfn.XLOOKUP(Y271,DATAPremium!A:A,DATAPremium!C:C,"")</f>
        <v/>
      </c>
    </row>
    <row r="272">
      <c r="X272" s="88" t="str">
        <f t="array" ref="X272">_xlfn.XLOOKUP("Other",Stock1!A272,Stock1!I272,"")</f>
        <v/>
      </c>
      <c r="Y272" s="95" t="str">
        <f t="array" ref="Y272">_xlfn.XLOOKUP(X272,Stock1!I272,Stock1!F272,"")</f>
        <v/>
      </c>
      <c r="Z272" s="95" t="str">
        <f t="array" ref="Z272">_xlfn.XLOOKUP(X272,Stock1!I272,Stock1!J272,"")</f>
        <v/>
      </c>
      <c r="AA272" s="102" t="str">
        <f t="array" ref="AA272">_xlfn.XLOOKUP(Y272,DATAPremium!A:A,DATAPremium!C:C,"")</f>
        <v/>
      </c>
    </row>
    <row r="273">
      <c r="X273" s="88" t="str">
        <f t="array" ref="X273">_xlfn.XLOOKUP("Other",Stock1!A273,Stock1!I273,"")</f>
        <v/>
      </c>
      <c r="Y273" s="95" t="str">
        <f t="array" ref="Y273">_xlfn.XLOOKUP(X273,Stock1!I273,Stock1!F273,"")</f>
        <v/>
      </c>
      <c r="Z273" s="95" t="str">
        <f t="array" ref="Z273">_xlfn.XLOOKUP(X273,Stock1!I273,Stock1!J273,"")</f>
        <v/>
      </c>
      <c r="AA273" s="102" t="str">
        <f t="array" ref="AA273">_xlfn.XLOOKUP(Y273,DATAPremium!A:A,DATAPremium!C:C,"")</f>
        <v/>
      </c>
    </row>
    <row r="274">
      <c r="X274" s="88" t="str">
        <f t="array" ref="X274">_xlfn.XLOOKUP("Other",Stock1!A274,Stock1!I274,"")</f>
        <v/>
      </c>
      <c r="Y274" s="95" t="str">
        <f t="array" ref="Y274">_xlfn.XLOOKUP(X274,Stock1!I274,Stock1!F274,"")</f>
        <v/>
      </c>
      <c r="Z274" s="95" t="str">
        <f t="array" ref="Z274">_xlfn.XLOOKUP(X274,Stock1!I274,Stock1!J274,"")</f>
        <v/>
      </c>
      <c r="AA274" s="102" t="str">
        <f t="array" ref="AA274">_xlfn.XLOOKUP(Y274,DATAPremium!A:A,DATAPremium!C:C,"")</f>
        <v/>
      </c>
    </row>
    <row r="275">
      <c r="X275" s="88" t="str">
        <f t="array" ref="X275">_xlfn.XLOOKUP("Other",Stock1!A275,Stock1!I275,"")</f>
        <v/>
      </c>
      <c r="Y275" s="95" t="str">
        <f t="array" ref="Y275">_xlfn.XLOOKUP(X275,Stock1!I275,Stock1!F275,"")</f>
        <v/>
      </c>
      <c r="Z275" s="95" t="str">
        <f t="array" ref="Z275">_xlfn.XLOOKUP(X275,Stock1!I275,Stock1!J275,"")</f>
        <v/>
      </c>
      <c r="AA275" s="102" t="str">
        <f t="array" ref="AA275">_xlfn.XLOOKUP(Y275,DATAPremium!A:A,DATAPremium!C:C,"")</f>
        <v/>
      </c>
    </row>
    <row r="276">
      <c r="X276" s="88" t="str">
        <f t="array" ref="X276">_xlfn.XLOOKUP("Other",Stock1!A276,Stock1!I276,"")</f>
        <v/>
      </c>
      <c r="Y276" s="95" t="str">
        <f t="array" ref="Y276">_xlfn.XLOOKUP(X276,Stock1!I276,Stock1!F276,"")</f>
        <v/>
      </c>
      <c r="Z276" s="95" t="str">
        <f t="array" ref="Z276">_xlfn.XLOOKUP(X276,Stock1!I276,Stock1!J276,"")</f>
        <v/>
      </c>
      <c r="AA276" s="102" t="str">
        <f t="array" ref="AA276">_xlfn.XLOOKUP(Y276,DATAPremium!A:A,DATAPremium!C:C,"")</f>
        <v/>
      </c>
    </row>
    <row r="277">
      <c r="X277" s="88" t="str">
        <f t="array" ref="X277">_xlfn.XLOOKUP("Other",Stock1!A277,Stock1!I277,"")</f>
        <v/>
      </c>
      <c r="Y277" s="95" t="str">
        <f t="array" ref="Y277">_xlfn.XLOOKUP(X277,Stock1!I277,Stock1!F277,"")</f>
        <v/>
      </c>
      <c r="Z277" s="95" t="str">
        <f t="array" ref="Z277">_xlfn.XLOOKUP(X277,Stock1!I277,Stock1!J277,"")</f>
        <v/>
      </c>
      <c r="AA277" s="102" t="str">
        <f t="array" ref="AA277">_xlfn.XLOOKUP(Y277,DATAPremium!A:A,DATAPremium!C:C,"")</f>
        <v/>
      </c>
    </row>
    <row r="278">
      <c r="X278" s="88" t="str">
        <f t="array" ref="X278">_xlfn.XLOOKUP("Other",Stock1!A278,Stock1!I278,"")</f>
        <v/>
      </c>
      <c r="Y278" s="95" t="str">
        <f t="array" ref="Y278">_xlfn.XLOOKUP(X278,Stock1!I278,Stock1!F278,"")</f>
        <v/>
      </c>
      <c r="Z278" s="95" t="str">
        <f t="array" ref="Z278">_xlfn.XLOOKUP(X278,Stock1!I278,Stock1!J278,"")</f>
        <v/>
      </c>
      <c r="AA278" s="102" t="str">
        <f t="array" ref="AA278">_xlfn.XLOOKUP(Y278,DATAPremium!A:A,DATAPremium!C:C,"")</f>
        <v/>
      </c>
    </row>
    <row r="279">
      <c r="X279" s="88" t="str">
        <f t="array" ref="X279">_xlfn.XLOOKUP("Other",Stock1!A279,Stock1!I279,"")</f>
        <v/>
      </c>
      <c r="Y279" s="95" t="str">
        <f t="array" ref="Y279">_xlfn.XLOOKUP(X279,Stock1!I279,Stock1!F279,"")</f>
        <v/>
      </c>
      <c r="Z279" s="95" t="str">
        <f t="array" ref="Z279">_xlfn.XLOOKUP(X279,Stock1!I279,Stock1!J279,"")</f>
        <v/>
      </c>
      <c r="AA279" s="102" t="str">
        <f t="array" ref="AA279">_xlfn.XLOOKUP(Y279,DATAPremium!A:A,DATAPremium!C:C,"")</f>
        <v/>
      </c>
    </row>
    <row r="280">
      <c r="X280" s="88" t="str">
        <f t="array" ref="X280">_xlfn.XLOOKUP("Other",Stock1!A280,Stock1!I280,"")</f>
        <v/>
      </c>
      <c r="Y280" s="95" t="str">
        <f t="array" ref="Y280">_xlfn.XLOOKUP(X280,Stock1!I280,Stock1!F280,"")</f>
        <v/>
      </c>
      <c r="Z280" s="95" t="str">
        <f t="array" ref="Z280">_xlfn.XLOOKUP(X280,Stock1!I280,Stock1!J280,"")</f>
        <v/>
      </c>
      <c r="AA280" s="102" t="str">
        <f t="array" ref="AA280">_xlfn.XLOOKUP(Y280,DATAPremium!A:A,DATAPremium!C:C,"")</f>
        <v/>
      </c>
    </row>
    <row r="281">
      <c r="X281" s="88" t="str">
        <f t="array" ref="X281">_xlfn.XLOOKUP("Other",Stock1!A281,Stock1!I281,"")</f>
        <v/>
      </c>
      <c r="Y281" s="95" t="str">
        <f t="array" ref="Y281">_xlfn.XLOOKUP(X281,Stock1!I281,Stock1!F281,"")</f>
        <v/>
      </c>
      <c r="Z281" s="95" t="str">
        <f t="array" ref="Z281">_xlfn.XLOOKUP(X281,Stock1!I281,Stock1!J281,"")</f>
        <v/>
      </c>
      <c r="AA281" s="102" t="str">
        <f t="array" ref="AA281">_xlfn.XLOOKUP(Y281,DATAPremium!A:A,DATAPremium!C:C,"")</f>
        <v/>
      </c>
    </row>
    <row r="282">
      <c r="X282" s="88" t="str">
        <f t="array" ref="X282">_xlfn.XLOOKUP("Other",Stock1!A282,Stock1!I282,"")</f>
        <v/>
      </c>
      <c r="Y282" s="95" t="str">
        <f t="array" ref="Y282">_xlfn.XLOOKUP(X282,Stock1!I282,Stock1!F282,"")</f>
        <v/>
      </c>
      <c r="Z282" s="95" t="str">
        <f t="array" ref="Z282">_xlfn.XLOOKUP(X282,Stock1!I282,Stock1!J282,"")</f>
        <v/>
      </c>
      <c r="AA282" s="102" t="str">
        <f t="array" ref="AA282">_xlfn.XLOOKUP(Y282,DATAPremium!A:A,DATAPremium!C:C,"")</f>
        <v/>
      </c>
    </row>
    <row r="283">
      <c r="X283" s="88" t="str">
        <f t="array" ref="X283">_xlfn.XLOOKUP("Other",Stock1!A283,Stock1!I283,"")</f>
        <v/>
      </c>
      <c r="Y283" s="95" t="str">
        <f t="array" ref="Y283">_xlfn.XLOOKUP(X283,Stock1!I283,Stock1!F283,"")</f>
        <v/>
      </c>
      <c r="Z283" s="95" t="str">
        <f t="array" ref="Z283">_xlfn.XLOOKUP(X283,Stock1!I283,Stock1!J283,"")</f>
        <v/>
      </c>
      <c r="AA283" s="102" t="str">
        <f t="array" ref="AA283">_xlfn.XLOOKUP(Y283,DATAPremium!A:A,DATAPremium!C:C,"")</f>
        <v/>
      </c>
    </row>
    <row r="284">
      <c r="X284" s="88" t="str">
        <f t="array" ref="X284">_xlfn.XLOOKUP("Other",Stock1!A284,Stock1!I284,"")</f>
        <v/>
      </c>
      <c r="Y284" s="95" t="str">
        <f t="array" ref="Y284">_xlfn.XLOOKUP(X284,Stock1!I284,Stock1!F284,"")</f>
        <v/>
      </c>
      <c r="Z284" s="95" t="str">
        <f t="array" ref="Z284">_xlfn.XLOOKUP(X284,Stock1!I284,Stock1!J284,"")</f>
        <v/>
      </c>
      <c r="AA284" s="102" t="str">
        <f t="array" ref="AA284">_xlfn.XLOOKUP(Y284,DATAPremium!A:A,DATAPremium!C:C,"")</f>
        <v/>
      </c>
    </row>
    <row r="285">
      <c r="X285" s="88" t="str">
        <f t="array" ref="X285">_xlfn.XLOOKUP("Other",Stock1!A285,Stock1!I285,"")</f>
        <v/>
      </c>
      <c r="Y285" s="95" t="str">
        <f t="array" ref="Y285">_xlfn.XLOOKUP(X285,Stock1!I285,Stock1!F285,"")</f>
        <v/>
      </c>
      <c r="Z285" s="95" t="str">
        <f t="array" ref="Z285">_xlfn.XLOOKUP(X285,Stock1!I285,Stock1!J285,"")</f>
        <v/>
      </c>
      <c r="AA285" s="102" t="str">
        <f t="array" ref="AA285">_xlfn.XLOOKUP(Y285,DATAPremium!A:A,DATAPremium!C:C,"")</f>
        <v/>
      </c>
    </row>
    <row r="286">
      <c r="X286" s="88" t="str">
        <f t="array" ref="X286">_xlfn.XLOOKUP("Other",Stock1!A286,Stock1!I286,"")</f>
        <v/>
      </c>
      <c r="Y286" s="95" t="str">
        <f t="array" ref="Y286">_xlfn.XLOOKUP(X286,Stock1!I286,Stock1!F286,"")</f>
        <v/>
      </c>
      <c r="Z286" s="95" t="str">
        <f t="array" ref="Z286">_xlfn.XLOOKUP(X286,Stock1!I286,Stock1!J286,"")</f>
        <v/>
      </c>
      <c r="AA286" s="102" t="str">
        <f t="array" ref="AA286">_xlfn.XLOOKUP(Y286,DATAPremium!A:A,DATAPremium!C:C,"")</f>
        <v/>
      </c>
    </row>
    <row r="287">
      <c r="X287" s="88" t="str">
        <f t="array" ref="X287">_xlfn.XLOOKUP("Other",Stock1!A287,Stock1!I287,"")</f>
        <v/>
      </c>
      <c r="Y287" s="95" t="str">
        <f t="array" ref="Y287">_xlfn.XLOOKUP(X287,Stock1!I287,Stock1!F287,"")</f>
        <v/>
      </c>
      <c r="Z287" s="95" t="str">
        <f t="array" ref="Z287">_xlfn.XLOOKUP(X287,Stock1!I287,Stock1!J287,"")</f>
        <v/>
      </c>
      <c r="AA287" s="102" t="str">
        <f t="array" ref="AA287">_xlfn.XLOOKUP(Y287,DATAPremium!A:A,DATAPremium!C:C,"")</f>
        <v/>
      </c>
    </row>
    <row r="288">
      <c r="X288" s="88" t="str">
        <f t="array" ref="X288">_xlfn.XLOOKUP("Other",Stock1!A288,Stock1!I288,"")</f>
        <v/>
      </c>
      <c r="Y288" s="95" t="str">
        <f t="array" ref="Y288">_xlfn.XLOOKUP(X288,Stock1!I288,Stock1!F288,"")</f>
        <v/>
      </c>
      <c r="Z288" s="95" t="str">
        <f t="array" ref="Z288">_xlfn.XLOOKUP(X288,Stock1!I288,Stock1!J288,"")</f>
        <v/>
      </c>
      <c r="AA288" s="102" t="str">
        <f t="array" ref="AA288">_xlfn.XLOOKUP(Y288,DATAPremium!A:A,DATAPremium!C:C,"")</f>
        <v/>
      </c>
    </row>
    <row r="289">
      <c r="X289" s="88" t="str">
        <f t="array" ref="X289">_xlfn.XLOOKUP("Other",Stock1!A289,Stock1!I289,"")</f>
        <v/>
      </c>
      <c r="Y289" s="95" t="str">
        <f t="array" ref="Y289">_xlfn.XLOOKUP(X289,Stock1!I289,Stock1!F289,"")</f>
        <v/>
      </c>
      <c r="Z289" s="95" t="str">
        <f t="array" ref="Z289">_xlfn.XLOOKUP(X289,Stock1!I289,Stock1!J289,"")</f>
        <v/>
      </c>
      <c r="AA289" s="102" t="str">
        <f t="array" ref="AA289">_xlfn.XLOOKUP(Y289,DATAPremium!A:A,DATAPremium!C:C,"")</f>
        <v/>
      </c>
    </row>
    <row r="290">
      <c r="X290" s="88" t="str">
        <f t="array" ref="X290">_xlfn.XLOOKUP("Other",Stock1!A290,Stock1!I290,"")</f>
        <v/>
      </c>
      <c r="Y290" s="95" t="str">
        <f t="array" ref="Y290">_xlfn.XLOOKUP(X290,Stock1!I290,Stock1!F290,"")</f>
        <v/>
      </c>
      <c r="Z290" s="95" t="str">
        <f t="array" ref="Z290">_xlfn.XLOOKUP(X290,Stock1!I290,Stock1!J290,"")</f>
        <v/>
      </c>
      <c r="AA290" s="102" t="str">
        <f t="array" ref="AA290">_xlfn.XLOOKUP(Y290,DATAPremium!A:A,DATAPremium!C:C,"")</f>
        <v/>
      </c>
    </row>
    <row r="291">
      <c r="X291" s="88" t="str">
        <f t="array" ref="X291">_xlfn.XLOOKUP("Other",Stock1!A291,Stock1!I291,"")</f>
        <v/>
      </c>
      <c r="Y291" s="95" t="str">
        <f t="array" ref="Y291">_xlfn.XLOOKUP(X291,Stock1!I291,Stock1!F291,"")</f>
        <v/>
      </c>
      <c r="Z291" s="95" t="str">
        <f t="array" ref="Z291">_xlfn.XLOOKUP(X291,Stock1!I291,Stock1!J291,"")</f>
        <v/>
      </c>
      <c r="AA291" s="102" t="str">
        <f t="array" ref="AA291">_xlfn.XLOOKUP(Y291,DATAPremium!A:A,DATAPremium!C:C,"")</f>
        <v/>
      </c>
    </row>
    <row r="292">
      <c r="X292" s="88" t="str">
        <f t="array" ref="X292">_xlfn.XLOOKUP("Other",Stock1!A292,Stock1!I292,"")</f>
        <v/>
      </c>
      <c r="Y292" s="95" t="str">
        <f t="array" ref="Y292">_xlfn.XLOOKUP(X292,Stock1!I292,Stock1!F292,"")</f>
        <v/>
      </c>
      <c r="Z292" s="95" t="str">
        <f t="array" ref="Z292">_xlfn.XLOOKUP(X292,Stock1!I292,Stock1!J292,"")</f>
        <v/>
      </c>
      <c r="AA292" s="102" t="str">
        <f t="array" ref="AA292">_xlfn.XLOOKUP(Y292,DATAPremium!A:A,DATAPremium!C:C,"")</f>
        <v/>
      </c>
    </row>
    <row r="293">
      <c r="X293" s="88" t="str">
        <f t="array" ref="X293">_xlfn.XLOOKUP("Other",Stock1!A293,Stock1!I293,"")</f>
        <v/>
      </c>
      <c r="Y293" s="95" t="str">
        <f t="array" ref="Y293">_xlfn.XLOOKUP(X293,Stock1!I293,Stock1!F293,"")</f>
        <v/>
      </c>
      <c r="Z293" s="95" t="str">
        <f t="array" ref="Z293">_xlfn.XLOOKUP(X293,Stock1!I293,Stock1!J293,"")</f>
        <v/>
      </c>
      <c r="AA293" s="102" t="str">
        <f t="array" ref="AA293">_xlfn.XLOOKUP(Y293,DATAPremium!A:A,DATAPremium!C:C,"")</f>
        <v/>
      </c>
    </row>
    <row r="294">
      <c r="X294" s="88" t="str">
        <f t="array" ref="X294">_xlfn.XLOOKUP("Other",Stock1!A294,Stock1!I294,"")</f>
        <v/>
      </c>
      <c r="Y294" s="95" t="str">
        <f t="array" ref="Y294">_xlfn.XLOOKUP(X294,Stock1!I294,Stock1!F294,"")</f>
        <v/>
      </c>
      <c r="Z294" s="95" t="str">
        <f t="array" ref="Z294">_xlfn.XLOOKUP(X294,Stock1!I294,Stock1!J294,"")</f>
        <v/>
      </c>
      <c r="AA294" s="102" t="str">
        <f t="array" ref="AA294">_xlfn.XLOOKUP(Y294,DATAPremium!A:A,DATAPremium!C:C,"")</f>
        <v/>
      </c>
    </row>
    <row r="295">
      <c r="X295" s="88" t="str">
        <f t="array" ref="X295">_xlfn.XLOOKUP("Other",Stock1!A295,Stock1!I295,"")</f>
        <v/>
      </c>
      <c r="Y295" s="95" t="str">
        <f t="array" ref="Y295">_xlfn.XLOOKUP(X295,Stock1!I295,Stock1!F295,"")</f>
        <v/>
      </c>
      <c r="Z295" s="95" t="str">
        <f t="array" ref="Z295">_xlfn.XLOOKUP(X295,Stock1!I295,Stock1!J295,"")</f>
        <v/>
      </c>
      <c r="AA295" s="102" t="str">
        <f t="array" ref="AA295">_xlfn.XLOOKUP(Y295,DATAPremium!A:A,DATAPremium!C:C,"")</f>
        <v/>
      </c>
    </row>
    <row r="296">
      <c r="X296" s="88" t="str">
        <f t="array" ref="X296">_xlfn.XLOOKUP("Other",Stock1!A296,Stock1!I296,"")</f>
        <v/>
      </c>
      <c r="Y296" s="95" t="str">
        <f t="array" ref="Y296">_xlfn.XLOOKUP(X296,Stock1!I296,Stock1!F296,"")</f>
        <v/>
      </c>
      <c r="Z296" s="95" t="str">
        <f t="array" ref="Z296">_xlfn.XLOOKUP(X296,Stock1!I296,Stock1!J296,"")</f>
        <v/>
      </c>
      <c r="AA296" s="102" t="str">
        <f t="array" ref="AA296">_xlfn.XLOOKUP(Y296,DATAPremium!A:A,DATAPremium!C:C,"")</f>
        <v/>
      </c>
    </row>
    <row r="297">
      <c r="X297" s="88" t="str">
        <f t="array" ref="X297">_xlfn.XLOOKUP("Other",Stock1!A297,Stock1!I297,"")</f>
        <v/>
      </c>
      <c r="Y297" s="95" t="str">
        <f t="array" ref="Y297">_xlfn.XLOOKUP(X297,Stock1!I297,Stock1!F297,"")</f>
        <v/>
      </c>
      <c r="Z297" s="95" t="str">
        <f t="array" ref="Z297">_xlfn.XLOOKUP(X297,Stock1!I297,Stock1!J297,"")</f>
        <v/>
      </c>
      <c r="AA297" s="102" t="str">
        <f t="array" ref="AA297">_xlfn.XLOOKUP(Y297,DATAPremium!A:A,DATAPremium!C:C,"")</f>
        <v/>
      </c>
    </row>
    <row r="298">
      <c r="X298" s="88" t="str">
        <f t="array" ref="X298">_xlfn.XLOOKUP("Other",Stock1!A298,Stock1!I298,"")</f>
        <v/>
      </c>
      <c r="Y298" s="95" t="str">
        <f t="array" ref="Y298">_xlfn.XLOOKUP(X298,Stock1!I298,Stock1!F298,"")</f>
        <v/>
      </c>
      <c r="Z298" s="95" t="str">
        <f t="array" ref="Z298">_xlfn.XLOOKUP(X298,Stock1!I298,Stock1!J298,"")</f>
        <v/>
      </c>
      <c r="AA298" s="102" t="str">
        <f t="array" ref="AA298">_xlfn.XLOOKUP(Y298,DATAPremium!A:A,DATAPremium!C:C,"")</f>
        <v/>
      </c>
    </row>
    <row r="299">
      <c r="X299" s="88" t="str">
        <f t="array" ref="X299">_xlfn.XLOOKUP("Other",Stock1!A299,Stock1!I299,"")</f>
        <v/>
      </c>
      <c r="Y299" s="95" t="str">
        <f t="array" ref="Y299">_xlfn.XLOOKUP(X299,Stock1!I299,Stock1!F299,"")</f>
        <v/>
      </c>
      <c r="Z299" s="95" t="str">
        <f t="array" ref="Z299">_xlfn.XLOOKUP(X299,Stock1!I299,Stock1!J299,"")</f>
        <v/>
      </c>
      <c r="AA299" s="102" t="str">
        <f t="array" ref="AA299">_xlfn.XLOOKUP(Y299,DATAPremium!A:A,DATAPremium!C:C,"")</f>
        <v/>
      </c>
    </row>
    <row r="300">
      <c r="X300" s="88" t="str">
        <f t="array" ref="X300">_xlfn.XLOOKUP("Other",Stock1!A300,Stock1!I300,"")</f>
        <v/>
      </c>
      <c r="Y300" s="95" t="str">
        <f t="array" ref="Y300">_xlfn.XLOOKUP(X300,Stock1!I300,Stock1!F300,"")</f>
        <v/>
      </c>
      <c r="Z300" s="95" t="str">
        <f t="array" ref="Z300">_xlfn.XLOOKUP(X300,Stock1!I300,Stock1!J300,"")</f>
        <v/>
      </c>
      <c r="AA300" s="102" t="str">
        <f t="array" ref="AA300">_xlfn.XLOOKUP(Y300,DATAPremium!A:A,DATAPremium!C:C,"")</f>
        <v/>
      </c>
    </row>
    <row r="301">
      <c r="X301" s="88" t="str">
        <f t="array" ref="X301">_xlfn.XLOOKUP("Other",Stock1!A301,Stock1!I301,"")</f>
        <v/>
      </c>
      <c r="Y301" s="95" t="str">
        <f t="array" ref="Y301">_xlfn.XLOOKUP(X301,Stock1!I301,Stock1!F301,"")</f>
        <v/>
      </c>
      <c r="Z301" s="95" t="str">
        <f t="array" ref="Z301">_xlfn.XLOOKUP(X301,Stock1!I301,Stock1!J301,"")</f>
        <v/>
      </c>
      <c r="AA301" s="102" t="str">
        <f t="array" ref="AA301">_xlfn.XLOOKUP(Y301,DATAPremium!A:A,DATAPremium!C:C,"")</f>
        <v/>
      </c>
    </row>
    <row r="302">
      <c r="X302" s="88" t="str">
        <f t="array" ref="X302">_xlfn.XLOOKUP("Other",Stock1!A302,Stock1!I302,"")</f>
        <v/>
      </c>
      <c r="Y302" s="95" t="str">
        <f t="array" ref="Y302">_xlfn.XLOOKUP(X302,Stock1!I302,Stock1!F302,"")</f>
        <v/>
      </c>
      <c r="Z302" s="95" t="str">
        <f t="array" ref="Z302">_xlfn.XLOOKUP(X302,Stock1!I302,Stock1!J302,"")</f>
        <v/>
      </c>
      <c r="AA302" s="102" t="str">
        <f t="array" ref="AA302">_xlfn.XLOOKUP(Y302,DATAPremium!A:A,DATAPremium!C:C,"")</f>
        <v/>
      </c>
    </row>
    <row r="303">
      <c r="X303" s="88" t="str">
        <f t="array" ref="X303">_xlfn.XLOOKUP("Other",Stock1!A303,Stock1!I303,"")</f>
        <v/>
      </c>
      <c r="Y303" s="95" t="str">
        <f t="array" ref="Y303">_xlfn.XLOOKUP(X303,Stock1!I303,Stock1!F303,"")</f>
        <v/>
      </c>
      <c r="Z303" s="95" t="str">
        <f t="array" ref="Z303">_xlfn.XLOOKUP(X303,Stock1!I303,Stock1!J303,"")</f>
        <v/>
      </c>
      <c r="AA303" s="102" t="str">
        <f t="array" ref="AA303">_xlfn.XLOOKUP(Y303,DATAPremium!A:A,DATAPremium!C:C,"")</f>
        <v/>
      </c>
    </row>
    <row r="304">
      <c r="X304" s="88" t="str">
        <f t="array" ref="X304">_xlfn.XLOOKUP("Other",Stock1!A304,Stock1!I304,"")</f>
        <v/>
      </c>
      <c r="Y304" s="95" t="str">
        <f t="array" ref="Y304">_xlfn.XLOOKUP(X304,Stock1!I304,Stock1!F304,"")</f>
        <v/>
      </c>
      <c r="Z304" s="95" t="str">
        <f t="array" ref="Z304">_xlfn.XLOOKUP(X304,Stock1!I304,Stock1!J304,"")</f>
        <v/>
      </c>
      <c r="AA304" s="102" t="str">
        <f t="array" ref="AA304">_xlfn.XLOOKUP(Y304,DATAPremium!A:A,DATAPremium!C:C,"")</f>
        <v/>
      </c>
    </row>
    <row r="305">
      <c r="X305" s="88" t="str">
        <f t="array" ref="X305">_xlfn.XLOOKUP("Other",Stock1!A305,Stock1!I305,"")</f>
        <v/>
      </c>
      <c r="Y305" s="95" t="str">
        <f t="array" ref="Y305">_xlfn.XLOOKUP(X305,Stock1!I305,Stock1!F305,"")</f>
        <v/>
      </c>
      <c r="Z305" s="95" t="str">
        <f t="array" ref="Z305">_xlfn.XLOOKUP(X305,Stock1!I305,Stock1!J305,"")</f>
        <v/>
      </c>
      <c r="AA305" s="102" t="str">
        <f t="array" ref="AA305">_xlfn.XLOOKUP(Y305,DATAPremium!A:A,DATAPremium!C:C,"")</f>
        <v/>
      </c>
    </row>
    <row r="306">
      <c r="X306" s="88" t="str">
        <f t="array" ref="X306">_xlfn.XLOOKUP("Other",Stock1!A306,Stock1!I306,"")</f>
        <v/>
      </c>
      <c r="Y306" s="95" t="str">
        <f t="array" ref="Y306">_xlfn.XLOOKUP(X306,Stock1!I306,Stock1!F306,"")</f>
        <v/>
      </c>
      <c r="Z306" s="95" t="str">
        <f t="array" ref="Z306">_xlfn.XLOOKUP(X306,Stock1!I306,Stock1!J306,"")</f>
        <v/>
      </c>
      <c r="AA306" s="102" t="str">
        <f t="array" ref="AA306">_xlfn.XLOOKUP(Y306,DATAPremium!A:A,DATAPremium!C:C,"")</f>
        <v/>
      </c>
    </row>
    <row r="307">
      <c r="X307" s="88" t="str">
        <f t="array" ref="X307">_xlfn.XLOOKUP("Other",Stock1!A307,Stock1!I307,"")</f>
        <v/>
      </c>
      <c r="Y307" s="95" t="str">
        <f t="array" ref="Y307">_xlfn.XLOOKUP(X307,Stock1!I307,Stock1!F307,"")</f>
        <v/>
      </c>
      <c r="Z307" s="95" t="str">
        <f t="array" ref="Z307">_xlfn.XLOOKUP(X307,Stock1!I307,Stock1!J307,"")</f>
        <v/>
      </c>
      <c r="AA307" s="102" t="str">
        <f t="array" ref="AA307">_xlfn.XLOOKUP(Y307,DATAPremium!A:A,DATAPremium!C:C,"")</f>
        <v/>
      </c>
    </row>
    <row r="308">
      <c r="X308" s="88" t="str">
        <f t="array" ref="X308">_xlfn.XLOOKUP("Other",Stock1!A308,Stock1!I308,"")</f>
        <v/>
      </c>
      <c r="Y308" s="95" t="str">
        <f t="array" ref="Y308">_xlfn.XLOOKUP(X308,Stock1!I308,Stock1!F308,"")</f>
        <v/>
      </c>
      <c r="Z308" s="95" t="str">
        <f t="array" ref="Z308">_xlfn.XLOOKUP(X308,Stock1!I308,Stock1!J308,"")</f>
        <v/>
      </c>
      <c r="AA308" s="102" t="str">
        <f t="array" ref="AA308">_xlfn.XLOOKUP(Y308,DATAPremium!A:A,DATAPremium!C:C,"")</f>
        <v/>
      </c>
    </row>
    <row r="309">
      <c r="X309" s="88" t="str">
        <f t="array" ref="X309">_xlfn.XLOOKUP("Other",Stock1!A309,Stock1!I309,"")</f>
        <v/>
      </c>
      <c r="Y309" s="95" t="str">
        <f t="array" ref="Y309">_xlfn.XLOOKUP(X309,Stock1!I309,Stock1!F309,"")</f>
        <v/>
      </c>
      <c r="Z309" s="95" t="str">
        <f t="array" ref="Z309">_xlfn.XLOOKUP(X309,Stock1!I309,Stock1!J309,"")</f>
        <v/>
      </c>
      <c r="AA309" s="102" t="str">
        <f t="array" ref="AA309">_xlfn.XLOOKUP(Y309,DATAPremium!A:A,DATAPremium!C:C,"")</f>
        <v/>
      </c>
    </row>
    <row r="310">
      <c r="X310" s="88" t="str">
        <f t="array" ref="X310">_xlfn.XLOOKUP("Other",Stock1!A310,Stock1!I310,"")</f>
        <v/>
      </c>
      <c r="Y310" s="95" t="str">
        <f t="array" ref="Y310">_xlfn.XLOOKUP(X310,Stock1!I310,Stock1!F310,"")</f>
        <v/>
      </c>
      <c r="Z310" s="95" t="str">
        <f t="array" ref="Z310">_xlfn.XLOOKUP(X310,Stock1!I310,Stock1!J310,"")</f>
        <v/>
      </c>
      <c r="AA310" s="102" t="str">
        <f t="array" ref="AA310">_xlfn.XLOOKUP(Y310,DATAPremium!A:A,DATAPremium!C:C,"")</f>
        <v/>
      </c>
    </row>
    <row r="311">
      <c r="X311" s="88" t="str">
        <f t="array" ref="X311">_xlfn.XLOOKUP("Other",Stock1!A311,Stock1!I311,"")</f>
        <v/>
      </c>
      <c r="Y311" s="95" t="str">
        <f t="array" ref="Y311">_xlfn.XLOOKUP(X311,Stock1!I311,Stock1!F311,"")</f>
        <v/>
      </c>
      <c r="Z311" s="95" t="str">
        <f t="array" ref="Z311">_xlfn.XLOOKUP(X311,Stock1!I311,Stock1!J311,"")</f>
        <v/>
      </c>
      <c r="AA311" s="102" t="str">
        <f t="array" ref="AA311">_xlfn.XLOOKUP(Y311,DATAPremium!A:A,DATAPremium!C:C,"")</f>
        <v/>
      </c>
    </row>
    <row r="312">
      <c r="X312" s="88" t="str">
        <f t="array" ref="X312">_xlfn.XLOOKUP("Other",Stock1!A312,Stock1!I312,"")</f>
        <v/>
      </c>
      <c r="Y312" s="95" t="str">
        <f t="array" ref="Y312">_xlfn.XLOOKUP(X312,Stock1!I312,Stock1!F312,"")</f>
        <v/>
      </c>
      <c r="Z312" s="95" t="str">
        <f t="array" ref="Z312">_xlfn.XLOOKUP(X312,Stock1!I312,Stock1!J312,"")</f>
        <v/>
      </c>
      <c r="AA312" s="102" t="str">
        <f t="array" ref="AA312">_xlfn.XLOOKUP(Y312,DATAPremium!A:A,DATAPremium!C:C,"")</f>
        <v/>
      </c>
    </row>
    <row r="313">
      <c r="X313" s="88" t="str">
        <f t="array" ref="X313">_xlfn.XLOOKUP("Other",Stock1!A313,Stock1!I313,"")</f>
        <v/>
      </c>
      <c r="Y313" s="95" t="str">
        <f t="array" ref="Y313">_xlfn.XLOOKUP(X313,Stock1!I313,Stock1!F313,"")</f>
        <v/>
      </c>
      <c r="Z313" s="95" t="str">
        <f t="array" ref="Z313">_xlfn.XLOOKUP(X313,Stock1!I313,Stock1!J313,"")</f>
        <v/>
      </c>
      <c r="AA313" s="102" t="str">
        <f t="array" ref="AA313">_xlfn.XLOOKUP(Y313,DATAPremium!A:A,DATAPremium!C:C,"")</f>
        <v/>
      </c>
    </row>
    <row r="314">
      <c r="X314" s="88" t="str">
        <f t="array" ref="X314">_xlfn.XLOOKUP("Other",Stock1!A314,Stock1!I314,"")</f>
        <v/>
      </c>
      <c r="Y314" s="95" t="str">
        <f t="array" ref="Y314">_xlfn.XLOOKUP(X314,Stock1!I314,Stock1!F314,"")</f>
        <v/>
      </c>
      <c r="Z314" s="95" t="str">
        <f t="array" ref="Z314">_xlfn.XLOOKUP(X314,Stock1!I314,Stock1!J314,"")</f>
        <v/>
      </c>
      <c r="AA314" s="102" t="str">
        <f t="array" ref="AA314">_xlfn.XLOOKUP(Y314,DATAPremium!A:A,DATAPremium!C:C,"")</f>
        <v/>
      </c>
    </row>
    <row r="315">
      <c r="X315" s="88" t="str">
        <f t="array" ref="X315">_xlfn.XLOOKUP("Other",Stock1!A315,Stock1!I315,"")</f>
        <v/>
      </c>
      <c r="Y315" s="95" t="str">
        <f t="array" ref="Y315">_xlfn.XLOOKUP(X315,Stock1!I315,Stock1!F315,"")</f>
        <v/>
      </c>
      <c r="Z315" s="95" t="str">
        <f t="array" ref="Z315">_xlfn.XLOOKUP(X315,Stock1!I315,Stock1!J315,"")</f>
        <v/>
      </c>
      <c r="AA315" s="102" t="str">
        <f t="array" ref="AA315">_xlfn.XLOOKUP(Y315,DATAPremium!A:A,DATAPremium!C:C,"")</f>
        <v/>
      </c>
    </row>
    <row r="316">
      <c r="X316" s="88" t="str">
        <f t="array" ref="X316">_xlfn.XLOOKUP("Other",Stock1!A316,Stock1!I316,"")</f>
        <v/>
      </c>
      <c r="Y316" s="95" t="str">
        <f t="array" ref="Y316">_xlfn.XLOOKUP(X316,Stock1!I316,Stock1!F316,"")</f>
        <v/>
      </c>
      <c r="Z316" s="95" t="str">
        <f t="array" ref="Z316">_xlfn.XLOOKUP(X316,Stock1!I316,Stock1!J316,"")</f>
        <v/>
      </c>
      <c r="AA316" s="102" t="str">
        <f t="array" ref="AA316">_xlfn.XLOOKUP(Y316,DATAPremium!A:A,DATAPremium!C:C,"")</f>
        <v/>
      </c>
    </row>
    <row r="317">
      <c r="X317" s="88" t="str">
        <f t="array" ref="X317">_xlfn.XLOOKUP("Other",Stock1!A317,Stock1!I317,"")</f>
        <v/>
      </c>
      <c r="Y317" s="95" t="str">
        <f t="array" ref="Y317">_xlfn.XLOOKUP(X317,Stock1!I317,Stock1!F317,"")</f>
        <v/>
      </c>
      <c r="Z317" s="95" t="str">
        <f t="array" ref="Z317">_xlfn.XLOOKUP(X317,Stock1!I317,Stock1!J317,"")</f>
        <v/>
      </c>
      <c r="AA317" s="102" t="str">
        <f t="array" ref="AA317">_xlfn.XLOOKUP(Y317,DATAPremium!A:A,DATAPremium!C:C,"")</f>
        <v/>
      </c>
    </row>
    <row r="318">
      <c r="X318" s="88" t="str">
        <f t="array" ref="X318">_xlfn.XLOOKUP("Other",Stock1!A318,Stock1!I318,"")</f>
        <v/>
      </c>
      <c r="Y318" s="95" t="str">
        <f t="array" ref="Y318">_xlfn.XLOOKUP(X318,Stock1!I318,Stock1!F318,"")</f>
        <v/>
      </c>
      <c r="Z318" s="95" t="str">
        <f t="array" ref="Z318">_xlfn.XLOOKUP(X318,Stock1!I318,Stock1!J318,"")</f>
        <v/>
      </c>
      <c r="AA318" s="102" t="str">
        <f t="array" ref="AA318">_xlfn.XLOOKUP(Y318,DATAPremium!A:A,DATAPremium!C:C,"")</f>
        <v/>
      </c>
    </row>
    <row r="319">
      <c r="X319" s="88" t="str">
        <f t="array" ref="X319">_xlfn.XLOOKUP("Other",Stock1!A319,Stock1!I319,"")</f>
        <v/>
      </c>
      <c r="Y319" s="95" t="str">
        <f t="array" ref="Y319">_xlfn.XLOOKUP(X319,Stock1!I319,Stock1!F319,"")</f>
        <v/>
      </c>
      <c r="Z319" s="95" t="str">
        <f t="array" ref="Z319">_xlfn.XLOOKUP(X319,Stock1!I319,Stock1!J319,"")</f>
        <v/>
      </c>
      <c r="AA319" s="102" t="str">
        <f t="array" ref="AA319">_xlfn.XLOOKUP(Y319,DATAPremium!A:A,DATAPremium!C:C,"")</f>
        <v/>
      </c>
    </row>
    <row r="320">
      <c r="X320" s="88" t="str">
        <f t="array" ref="X320">_xlfn.XLOOKUP("Other",Stock1!A320,Stock1!I320,"")</f>
        <v/>
      </c>
      <c r="Y320" s="95" t="str">
        <f t="array" ref="Y320">_xlfn.XLOOKUP(X320,Stock1!I320,Stock1!F320,"")</f>
        <v/>
      </c>
      <c r="Z320" s="95" t="str">
        <f t="array" ref="Z320">_xlfn.XLOOKUP(X320,Stock1!I320,Stock1!J320,"")</f>
        <v/>
      </c>
      <c r="AA320" s="102" t="str">
        <f t="array" ref="AA320">_xlfn.XLOOKUP(Y320,DATAPremium!A:A,DATAPremium!C:C,"")</f>
        <v/>
      </c>
    </row>
    <row r="321">
      <c r="X321" s="88" t="str">
        <f t="array" ref="X321">_xlfn.XLOOKUP("Other",Stock1!A321,Stock1!I321,"")</f>
        <v/>
      </c>
      <c r="Y321" s="95" t="str">
        <f t="array" ref="Y321">_xlfn.XLOOKUP(X321,Stock1!I321,Stock1!F321,"")</f>
        <v/>
      </c>
      <c r="Z321" s="95" t="str">
        <f t="array" ref="Z321">_xlfn.XLOOKUP(X321,Stock1!I321,Stock1!J321,"")</f>
        <v/>
      </c>
      <c r="AA321" s="102" t="str">
        <f t="array" ref="AA321">_xlfn.XLOOKUP(Y321,DATAPremium!A:A,DATAPremium!C:C,"")</f>
        <v/>
      </c>
    </row>
    <row r="322">
      <c r="X322" s="88" t="str">
        <f t="array" ref="X322">_xlfn.XLOOKUP("Other",Stock1!A322,Stock1!I322,"")</f>
        <v/>
      </c>
      <c r="Y322" s="95" t="str">
        <f t="array" ref="Y322">_xlfn.XLOOKUP(X322,Stock1!I322,Stock1!F322,"")</f>
        <v/>
      </c>
      <c r="Z322" s="95" t="str">
        <f t="array" ref="Z322">_xlfn.XLOOKUP(X322,Stock1!I322,Stock1!J322,"")</f>
        <v/>
      </c>
      <c r="AA322" s="102" t="str">
        <f t="array" ref="AA322">_xlfn.XLOOKUP(Y322,DATAPremium!A:A,DATAPremium!C:C,"")</f>
        <v/>
      </c>
    </row>
    <row r="323">
      <c r="X323" s="88" t="str">
        <f t="array" ref="X323">_xlfn.XLOOKUP("Other",Stock1!A323,Stock1!I323,"")</f>
        <v/>
      </c>
      <c r="Y323" s="95" t="str">
        <f t="array" ref="Y323">_xlfn.XLOOKUP(X323,Stock1!I323,Stock1!F323,"")</f>
        <v/>
      </c>
      <c r="Z323" s="95" t="str">
        <f t="array" ref="Z323">_xlfn.XLOOKUP(X323,Stock1!I323,Stock1!J323,"")</f>
        <v/>
      </c>
      <c r="AA323" s="102" t="str">
        <f t="array" ref="AA323">_xlfn.XLOOKUP(Y323,DATAPremium!A:A,DATAPremium!C:C,"")</f>
        <v/>
      </c>
    </row>
    <row r="324">
      <c r="X324" s="88" t="str">
        <f t="array" ref="X324">_xlfn.XLOOKUP("Other",Stock1!A324,Stock1!I324,"")</f>
        <v/>
      </c>
      <c r="Y324" s="95" t="str">
        <f t="array" ref="Y324">_xlfn.XLOOKUP(X324,Stock1!I324,Stock1!F324,"")</f>
        <v/>
      </c>
      <c r="Z324" s="95" t="str">
        <f t="array" ref="Z324">_xlfn.XLOOKUP(X324,Stock1!I324,Stock1!J324,"")</f>
        <v/>
      </c>
      <c r="AA324" s="102" t="str">
        <f t="array" ref="AA324">_xlfn.XLOOKUP(Y324,DATAPremium!A:A,DATAPremium!C:C,"")</f>
        <v/>
      </c>
    </row>
    <row r="325">
      <c r="X325" s="88" t="str">
        <f t="array" ref="X325">_xlfn.XLOOKUP("Other",Stock1!A325,Stock1!I325,"")</f>
        <v/>
      </c>
      <c r="Y325" s="95" t="str">
        <f t="array" ref="Y325">_xlfn.XLOOKUP(X325,Stock1!I325,Stock1!F325,"")</f>
        <v/>
      </c>
      <c r="Z325" s="95" t="str">
        <f t="array" ref="Z325">_xlfn.XLOOKUP(X325,Stock1!I325,Stock1!J325,"")</f>
        <v/>
      </c>
      <c r="AA325" s="102" t="str">
        <f t="array" ref="AA325">_xlfn.XLOOKUP(Y325,DATAPremium!A:A,DATAPremium!C:C,"")</f>
        <v/>
      </c>
    </row>
    <row r="326">
      <c r="X326" s="88" t="str">
        <f t="array" ref="X326">_xlfn.XLOOKUP("Other",Stock1!A326,Stock1!I326,"")</f>
        <v/>
      </c>
      <c r="Y326" s="95" t="str">
        <f t="array" ref="Y326">_xlfn.XLOOKUP(X326,Stock1!I326,Stock1!F326,"")</f>
        <v/>
      </c>
      <c r="Z326" s="95" t="str">
        <f t="array" ref="Z326">_xlfn.XLOOKUP(X326,Stock1!I326,Stock1!J326,"")</f>
        <v/>
      </c>
      <c r="AA326" s="102" t="str">
        <f t="array" ref="AA326">_xlfn.XLOOKUP(Y326,DATAPremium!A:A,DATAPremium!C:C,"")</f>
        <v/>
      </c>
    </row>
    <row r="327">
      <c r="X327" s="88" t="str">
        <f t="array" ref="X327">_xlfn.XLOOKUP("Other",Stock1!A327,Stock1!I327,"")</f>
        <v/>
      </c>
      <c r="Y327" s="95" t="str">
        <f t="array" ref="Y327">_xlfn.XLOOKUP(X327,Stock1!I327,Stock1!F327,"")</f>
        <v/>
      </c>
      <c r="Z327" s="95" t="str">
        <f t="array" ref="Z327">_xlfn.XLOOKUP(X327,Stock1!I327,Stock1!J327,"")</f>
        <v/>
      </c>
      <c r="AA327" s="102" t="str">
        <f t="array" ref="AA327">_xlfn.XLOOKUP(Y327,DATAPremium!A:A,DATAPremium!C:C,"")</f>
        <v/>
      </c>
    </row>
    <row r="328">
      <c r="X328" s="88" t="str">
        <f t="array" ref="X328">_xlfn.XLOOKUP("Other",Stock1!A328,Stock1!I328,"")</f>
        <v/>
      </c>
      <c r="Y328" s="95" t="str">
        <f t="array" ref="Y328">_xlfn.XLOOKUP(X328,Stock1!I328,Stock1!F328,"")</f>
        <v/>
      </c>
      <c r="Z328" s="95" t="str">
        <f t="array" ref="Z328">_xlfn.XLOOKUP(X328,Stock1!I328,Stock1!J328,"")</f>
        <v/>
      </c>
      <c r="AA328" s="102" t="str">
        <f t="array" ref="AA328">_xlfn.XLOOKUP(Y328,DATAPremium!A:A,DATAPremium!C:C,"")</f>
        <v/>
      </c>
    </row>
    <row r="329">
      <c r="X329" s="88" t="str">
        <f t="array" ref="X329">_xlfn.XLOOKUP("Other",Stock1!A329,Stock1!I329,"")</f>
        <v/>
      </c>
      <c r="Y329" s="95" t="str">
        <f t="array" ref="Y329">_xlfn.XLOOKUP(X329,Stock1!I329,Stock1!F329,"")</f>
        <v/>
      </c>
      <c r="Z329" s="95" t="str">
        <f t="array" ref="Z329">_xlfn.XLOOKUP(X329,Stock1!I329,Stock1!J329,"")</f>
        <v/>
      </c>
      <c r="AA329" s="102" t="str">
        <f t="array" ref="AA329">_xlfn.XLOOKUP(Y329,DATAPremium!A:A,DATAPremium!C:C,"")</f>
        <v/>
      </c>
    </row>
    <row r="330">
      <c r="X330" s="88" t="str">
        <f t="array" ref="X330">_xlfn.XLOOKUP("Other",Stock1!A330,Stock1!I330,"")</f>
        <v/>
      </c>
      <c r="Y330" s="95" t="str">
        <f t="array" ref="Y330">_xlfn.XLOOKUP(X330,Stock1!I330,Stock1!F330,"")</f>
        <v/>
      </c>
      <c r="Z330" s="95" t="str">
        <f t="array" ref="Z330">_xlfn.XLOOKUP(X330,Stock1!I330,Stock1!J330,"")</f>
        <v/>
      </c>
      <c r="AA330" s="102" t="str">
        <f t="array" ref="AA330">_xlfn.XLOOKUP(Y330,DATAPremium!A:A,DATAPremium!C:C,"")</f>
        <v/>
      </c>
    </row>
    <row r="331">
      <c r="X331" s="88" t="str">
        <f t="array" ref="X331">_xlfn.XLOOKUP("Other",Stock1!A331,Stock1!I331,"")</f>
        <v/>
      </c>
      <c r="Y331" s="95" t="str">
        <f t="array" ref="Y331">_xlfn.XLOOKUP(X331,Stock1!I331,Stock1!F331,"")</f>
        <v/>
      </c>
      <c r="Z331" s="95" t="str">
        <f t="array" ref="Z331">_xlfn.XLOOKUP(X331,Stock1!I331,Stock1!J331,"")</f>
        <v/>
      </c>
      <c r="AA331" s="102" t="str">
        <f t="array" ref="AA331">_xlfn.XLOOKUP(Y331,DATAPremium!A:A,DATAPremium!C:C,"")</f>
        <v/>
      </c>
    </row>
    <row r="332">
      <c r="X332" s="88" t="str">
        <f t="array" ref="X332">_xlfn.XLOOKUP("Other",Stock1!A332,Stock1!I332,"")</f>
        <v/>
      </c>
      <c r="Y332" s="95" t="str">
        <f t="array" ref="Y332">_xlfn.XLOOKUP(X332,Stock1!I332,Stock1!F332,"")</f>
        <v/>
      </c>
      <c r="Z332" s="95" t="str">
        <f t="array" ref="Z332">_xlfn.XLOOKUP(X332,Stock1!I332,Stock1!J332,"")</f>
        <v/>
      </c>
      <c r="AA332" s="102" t="str">
        <f t="array" ref="AA332">_xlfn.XLOOKUP(Y332,DATAPremium!A:A,DATAPremium!C:C,"")</f>
        <v/>
      </c>
    </row>
    <row r="333">
      <c r="X333" s="88" t="str">
        <f t="array" ref="X333">_xlfn.XLOOKUP("Other",Stock1!A333,Stock1!I333,"")</f>
        <v/>
      </c>
      <c r="Y333" s="95" t="str">
        <f t="array" ref="Y333">_xlfn.XLOOKUP(X333,Stock1!I333,Stock1!F333,"")</f>
        <v/>
      </c>
      <c r="Z333" s="95" t="str">
        <f t="array" ref="Z333">_xlfn.XLOOKUP(X333,Stock1!I333,Stock1!J333,"")</f>
        <v/>
      </c>
      <c r="AA333" s="102" t="str">
        <f t="array" ref="AA333">_xlfn.XLOOKUP(Y333,DATAPremium!A:A,DATAPremium!C:C,"")</f>
        <v/>
      </c>
    </row>
    <row r="334">
      <c r="X334" s="88" t="str">
        <f t="array" ref="X334">_xlfn.XLOOKUP("Other",Stock1!A334,Stock1!I334,"")</f>
        <v/>
      </c>
      <c r="Y334" s="95" t="str">
        <f t="array" ref="Y334">_xlfn.XLOOKUP(X334,Stock1!I334,Stock1!F334,"")</f>
        <v/>
      </c>
      <c r="Z334" s="95" t="str">
        <f t="array" ref="Z334">_xlfn.XLOOKUP(X334,Stock1!I334,Stock1!J334,"")</f>
        <v/>
      </c>
      <c r="AA334" s="102" t="str">
        <f t="array" ref="AA334">_xlfn.XLOOKUP(Y334,DATAPremium!A:A,DATAPremium!C:C,"")</f>
        <v/>
      </c>
    </row>
    <row r="335">
      <c r="X335" s="88" t="str">
        <f t="array" ref="X335">_xlfn.XLOOKUP("Other",Stock1!A335,Stock1!I335,"")</f>
        <v/>
      </c>
      <c r="Y335" s="95" t="str">
        <f t="array" ref="Y335">_xlfn.XLOOKUP(X335,Stock1!I335,Stock1!F335,"")</f>
        <v/>
      </c>
      <c r="Z335" s="95" t="str">
        <f t="array" ref="Z335">_xlfn.XLOOKUP(X335,Stock1!I335,Stock1!J335,"")</f>
        <v/>
      </c>
      <c r="AA335" s="102" t="str">
        <f t="array" ref="AA335">_xlfn.XLOOKUP(Y335,DATAPremium!A:A,DATAPremium!C:C,"")</f>
        <v/>
      </c>
    </row>
    <row r="336">
      <c r="X336" s="88" t="str">
        <f t="array" ref="X336">_xlfn.XLOOKUP("Other",Stock1!A336,Stock1!I336,"")</f>
        <v/>
      </c>
      <c r="Y336" s="95" t="str">
        <f t="array" ref="Y336">_xlfn.XLOOKUP(X336,Stock1!I336,Stock1!F336,"")</f>
        <v/>
      </c>
      <c r="Z336" s="95" t="str">
        <f t="array" ref="Z336">_xlfn.XLOOKUP(X336,Stock1!I336,Stock1!J336,"")</f>
        <v/>
      </c>
      <c r="AA336" s="102" t="str">
        <f t="array" ref="AA336">_xlfn.XLOOKUP(Y336,DATAPremium!A:A,DATAPremium!C:C,"")</f>
        <v/>
      </c>
    </row>
    <row r="337">
      <c r="X337" s="88" t="str">
        <f t="array" ref="X337">_xlfn.XLOOKUP("Other",Stock1!A337,Stock1!I337,"")</f>
        <v/>
      </c>
      <c r="Y337" s="95" t="str">
        <f t="array" ref="Y337">_xlfn.XLOOKUP(X337,Stock1!I337,Stock1!F337,"")</f>
        <v/>
      </c>
      <c r="Z337" s="95" t="str">
        <f t="array" ref="Z337">_xlfn.XLOOKUP(X337,Stock1!I337,Stock1!J337,"")</f>
        <v/>
      </c>
      <c r="AA337" s="102" t="str">
        <f t="array" ref="AA337">_xlfn.XLOOKUP(Y337,DATAPremium!A:A,DATAPremium!C:C,"")</f>
        <v/>
      </c>
    </row>
    <row r="338">
      <c r="X338" s="88" t="str">
        <f t="array" ref="X338">_xlfn.XLOOKUP("Other",Stock1!A338,Stock1!I338,"")</f>
        <v/>
      </c>
      <c r="Y338" s="95" t="str">
        <f t="array" ref="Y338">_xlfn.XLOOKUP(X338,Stock1!I338,Stock1!F338,"")</f>
        <v/>
      </c>
      <c r="Z338" s="95" t="str">
        <f t="array" ref="Z338">_xlfn.XLOOKUP(X338,Stock1!I338,Stock1!J338,"")</f>
        <v/>
      </c>
      <c r="AA338" s="102" t="str">
        <f t="array" ref="AA338">_xlfn.XLOOKUP(Y338,DATAPremium!A:A,DATAPremium!C:C,"")</f>
        <v/>
      </c>
    </row>
    <row r="339">
      <c r="X339" s="88" t="str">
        <f t="array" ref="X339">_xlfn.XLOOKUP("Other",Stock1!A339,Stock1!I339,"")</f>
        <v/>
      </c>
      <c r="Y339" s="95" t="str">
        <f t="array" ref="Y339">_xlfn.XLOOKUP(X339,Stock1!I339,Stock1!F339,"")</f>
        <v/>
      </c>
      <c r="Z339" s="95" t="str">
        <f t="array" ref="Z339">_xlfn.XLOOKUP(X339,Stock1!I339,Stock1!J339,"")</f>
        <v/>
      </c>
      <c r="AA339" s="102" t="str">
        <f t="array" ref="AA339">_xlfn.XLOOKUP(Y339,DATAPremium!A:A,DATAPremium!C:C,"")</f>
        <v/>
      </c>
    </row>
    <row r="340">
      <c r="X340" s="88" t="str">
        <f t="array" ref="X340">_xlfn.XLOOKUP("Other",Stock1!A340,Stock1!I340,"")</f>
        <v/>
      </c>
      <c r="Y340" s="95" t="str">
        <f t="array" ref="Y340">_xlfn.XLOOKUP(X340,Stock1!I340,Stock1!F340,"")</f>
        <v/>
      </c>
      <c r="Z340" s="95" t="str">
        <f t="array" ref="Z340">_xlfn.XLOOKUP(X340,Stock1!I340,Stock1!J340,"")</f>
        <v/>
      </c>
      <c r="AA340" s="102" t="str">
        <f t="array" ref="AA340">_xlfn.XLOOKUP(Y340,DATAPremium!A:A,DATAPremium!C:C,"")</f>
        <v/>
      </c>
    </row>
    <row r="341">
      <c r="X341" s="88" t="str">
        <f t="array" ref="X341">_xlfn.XLOOKUP("Other",Stock1!A341,Stock1!I341,"")</f>
        <v/>
      </c>
      <c r="Y341" s="95" t="str">
        <f t="array" ref="Y341">_xlfn.XLOOKUP(X341,Stock1!I341,Stock1!F341,"")</f>
        <v/>
      </c>
      <c r="Z341" s="95" t="str">
        <f t="array" ref="Z341">_xlfn.XLOOKUP(X341,Stock1!I341,Stock1!J341,"")</f>
        <v/>
      </c>
      <c r="AA341" s="102" t="str">
        <f t="array" ref="AA341">_xlfn.XLOOKUP(Y341,DATAPremium!A:A,DATAPremium!C:C,"")</f>
        <v/>
      </c>
    </row>
    <row r="342">
      <c r="X342" s="88" t="str">
        <f t="array" ref="X342">_xlfn.XLOOKUP("Other",Stock1!A342,Stock1!I342,"")</f>
        <v/>
      </c>
      <c r="Y342" s="95" t="str">
        <f t="array" ref="Y342">_xlfn.XLOOKUP(X342,Stock1!I342,Stock1!F342,"")</f>
        <v/>
      </c>
      <c r="Z342" s="95" t="str">
        <f t="array" ref="Z342">_xlfn.XLOOKUP(X342,Stock1!I342,Stock1!J342,"")</f>
        <v/>
      </c>
      <c r="AA342" s="102" t="str">
        <f t="array" ref="AA342">_xlfn.XLOOKUP(Y342,DATAPremium!A:A,DATAPremium!C:C,"")</f>
        <v/>
      </c>
    </row>
    <row r="343">
      <c r="X343" s="88" t="str">
        <f t="array" ref="X343">_xlfn.XLOOKUP("Other",Stock1!A343,Stock1!I343,"")</f>
        <v/>
      </c>
      <c r="Y343" s="95" t="str">
        <f t="array" ref="Y343">_xlfn.XLOOKUP(X343,Stock1!I343,Stock1!F343,"")</f>
        <v/>
      </c>
      <c r="Z343" s="95" t="str">
        <f t="array" ref="Z343">_xlfn.XLOOKUP(X343,Stock1!I343,Stock1!J343,"")</f>
        <v/>
      </c>
      <c r="AA343" s="102" t="str">
        <f t="array" ref="AA343">_xlfn.XLOOKUP(Y343,DATAPremium!A:A,DATAPremium!C:C,"")</f>
        <v/>
      </c>
    </row>
    <row r="344">
      <c r="X344" s="88" t="str">
        <f t="array" ref="X344">_xlfn.XLOOKUP("Other",Stock1!A344,Stock1!I344,"")</f>
        <v/>
      </c>
      <c r="Y344" s="95" t="str">
        <f t="array" ref="Y344">_xlfn.XLOOKUP(X344,Stock1!I344,Stock1!F344,"")</f>
        <v/>
      </c>
      <c r="Z344" s="95" t="str">
        <f t="array" ref="Z344">_xlfn.XLOOKUP(X344,Stock1!I344,Stock1!J344,"")</f>
        <v/>
      </c>
      <c r="AA344" s="102" t="str">
        <f t="array" ref="AA344">_xlfn.XLOOKUP(Y344,DATAPremium!A:A,DATAPremium!C:C,"")</f>
        <v/>
      </c>
    </row>
    <row r="345">
      <c r="X345" s="88" t="str">
        <f t="array" ref="X345">_xlfn.XLOOKUP("Other",Stock1!A345,Stock1!I345,"")</f>
        <v/>
      </c>
      <c r="Y345" s="95" t="str">
        <f t="array" ref="Y345">_xlfn.XLOOKUP(X345,Stock1!I345,Stock1!F345,"")</f>
        <v/>
      </c>
      <c r="Z345" s="95" t="str">
        <f t="array" ref="Z345">_xlfn.XLOOKUP(X345,Stock1!I345,Stock1!J345,"")</f>
        <v/>
      </c>
      <c r="AA345" s="102" t="str">
        <f t="array" ref="AA345">_xlfn.XLOOKUP(Y345,DATAPremium!A:A,DATAPremium!C:C,"")</f>
        <v/>
      </c>
    </row>
    <row r="346">
      <c r="X346" s="88" t="str">
        <f t="array" ref="X346">_xlfn.XLOOKUP("Other",Stock1!A346,Stock1!I346,"")</f>
        <v/>
      </c>
      <c r="Y346" s="95" t="str">
        <f t="array" ref="Y346">_xlfn.XLOOKUP(X346,Stock1!I346,Stock1!F346,"")</f>
        <v/>
      </c>
      <c r="Z346" s="95" t="str">
        <f t="array" ref="Z346">_xlfn.XLOOKUP(X346,Stock1!I346,Stock1!J346,"")</f>
        <v/>
      </c>
      <c r="AA346" s="102" t="str">
        <f t="array" ref="AA346">_xlfn.XLOOKUP(Y346,DATAPremium!A:A,DATAPremium!C:C,"")</f>
        <v/>
      </c>
    </row>
    <row r="347">
      <c r="X347" s="88" t="str">
        <f t="array" ref="X347">_xlfn.XLOOKUP("Other",Stock1!A347,Stock1!I347,"")</f>
        <v/>
      </c>
      <c r="Y347" s="95" t="str">
        <f t="array" ref="Y347">_xlfn.XLOOKUP(X347,Stock1!I347,Stock1!F347,"")</f>
        <v/>
      </c>
      <c r="Z347" s="95" t="str">
        <f t="array" ref="Z347">_xlfn.XLOOKUP(X347,Stock1!I347,Stock1!J347,"")</f>
        <v/>
      </c>
      <c r="AA347" s="102" t="str">
        <f t="array" ref="AA347">_xlfn.XLOOKUP(Y347,DATAPremium!A:A,DATAPremium!C:C,"")</f>
        <v/>
      </c>
    </row>
    <row r="348">
      <c r="X348" s="88" t="str">
        <f t="array" ref="X348">_xlfn.XLOOKUP("Other",Stock1!A348,Stock1!I348,"")</f>
        <v/>
      </c>
      <c r="Y348" s="95" t="str">
        <f t="array" ref="Y348">_xlfn.XLOOKUP(X348,Stock1!I348,Stock1!F348,"")</f>
        <v/>
      </c>
      <c r="Z348" s="95" t="str">
        <f t="array" ref="Z348">_xlfn.XLOOKUP(X348,Stock1!I348,Stock1!J348,"")</f>
        <v/>
      </c>
      <c r="AA348" s="102" t="str">
        <f t="array" ref="AA348">_xlfn.XLOOKUP(Y348,DATAPremium!A:A,DATAPremium!C:C,"")</f>
        <v/>
      </c>
    </row>
    <row r="349">
      <c r="X349" s="88" t="str">
        <f t="array" ref="X349">_xlfn.XLOOKUP("Other",Stock1!A349,Stock1!I349,"")</f>
        <v/>
      </c>
      <c r="Y349" s="95" t="str">
        <f t="array" ref="Y349">_xlfn.XLOOKUP(X349,Stock1!I349,Stock1!F349,"")</f>
        <v/>
      </c>
      <c r="Z349" s="95" t="str">
        <f t="array" ref="Z349">_xlfn.XLOOKUP(X349,Stock1!I349,Stock1!J349,"")</f>
        <v/>
      </c>
      <c r="AA349" s="102" t="str">
        <f t="array" ref="AA349">_xlfn.XLOOKUP(Y349,DATAPremium!A:A,DATAPremium!C:C,"")</f>
        <v/>
      </c>
    </row>
    <row r="350">
      <c r="X350" s="88" t="str">
        <f t="array" ref="X350">_xlfn.XLOOKUP("Other",Stock1!A350,Stock1!I350,"")</f>
        <v/>
      </c>
      <c r="Y350" s="95" t="str">
        <f t="array" ref="Y350">_xlfn.XLOOKUP(X350,Stock1!I350,Stock1!F350,"")</f>
        <v/>
      </c>
      <c r="Z350" s="95" t="str">
        <f t="array" ref="Z350">_xlfn.XLOOKUP(X350,Stock1!I350,Stock1!J350,"")</f>
        <v/>
      </c>
      <c r="AA350" s="102" t="str">
        <f t="array" ref="AA350">_xlfn.XLOOKUP(Y350,DATAPremium!A:A,DATAPremium!C:C,"")</f>
        <v/>
      </c>
    </row>
    <row r="351">
      <c r="X351" s="88" t="str">
        <f t="array" ref="X351">_xlfn.XLOOKUP("Other",Stock1!A351,Stock1!I351,"")</f>
        <v/>
      </c>
      <c r="Y351" s="95" t="str">
        <f t="array" ref="Y351">_xlfn.XLOOKUP(X351,Stock1!I351,Stock1!F351,"")</f>
        <v/>
      </c>
      <c r="Z351" s="95" t="str">
        <f t="array" ref="Z351">_xlfn.XLOOKUP(X351,Stock1!I351,Stock1!J351,"")</f>
        <v/>
      </c>
      <c r="AA351" s="102" t="str">
        <f t="array" ref="AA351">_xlfn.XLOOKUP(Y351,DATAPremium!A:A,DATAPremium!C:C,"")</f>
        <v/>
      </c>
    </row>
    <row r="352">
      <c r="X352" s="88" t="str">
        <f t="array" ref="X352">_xlfn.XLOOKUP("Other",Stock1!A352,Stock1!I352,"")</f>
        <v/>
      </c>
      <c r="Y352" s="95" t="str">
        <f t="array" ref="Y352">_xlfn.XLOOKUP(X352,Stock1!I352,Stock1!F352,"")</f>
        <v/>
      </c>
      <c r="Z352" s="95" t="str">
        <f t="array" ref="Z352">_xlfn.XLOOKUP(X352,Stock1!I352,Stock1!J352,"")</f>
        <v/>
      </c>
      <c r="AA352" s="102" t="str">
        <f t="array" ref="AA352">_xlfn.XLOOKUP(Y352,DATAPremium!A:A,DATAPremium!C:C,"")</f>
        <v/>
      </c>
    </row>
    <row r="353">
      <c r="X353" s="88" t="str">
        <f t="array" ref="X353">_xlfn.XLOOKUP("Other",Stock1!A353,Stock1!I353,"")</f>
        <v/>
      </c>
      <c r="Y353" s="95" t="str">
        <f t="array" ref="Y353">_xlfn.XLOOKUP(X353,Stock1!I353,Stock1!F353,"")</f>
        <v/>
      </c>
      <c r="Z353" s="95" t="str">
        <f t="array" ref="Z353">_xlfn.XLOOKUP(X353,Stock1!I353,Stock1!J353,"")</f>
        <v/>
      </c>
      <c r="AA353" s="102" t="str">
        <f t="array" ref="AA353">_xlfn.XLOOKUP(Y353,DATAPremium!A:A,DATAPremium!C:C,"")</f>
        <v/>
      </c>
    </row>
    <row r="354">
      <c r="X354" s="88" t="str">
        <f t="array" ref="X354">_xlfn.XLOOKUP("Other",Stock1!A354,Stock1!I354,"")</f>
        <v/>
      </c>
      <c r="Y354" s="95" t="str">
        <f t="array" ref="Y354">_xlfn.XLOOKUP(X354,Stock1!I354,Stock1!F354,"")</f>
        <v/>
      </c>
      <c r="Z354" s="95" t="str">
        <f t="array" ref="Z354">_xlfn.XLOOKUP(X354,Stock1!I354,Stock1!J354,"")</f>
        <v/>
      </c>
      <c r="AA354" s="102" t="str">
        <f t="array" ref="AA354">_xlfn.XLOOKUP(Y354,DATAPremium!A:A,DATAPremium!C:C,"")</f>
        <v/>
      </c>
    </row>
    <row r="355">
      <c r="X355" s="88" t="str">
        <f t="array" ref="X355">_xlfn.XLOOKUP("Other",Stock1!A355,Stock1!I355,"")</f>
        <v/>
      </c>
      <c r="Y355" s="95" t="str">
        <f t="array" ref="Y355">_xlfn.XLOOKUP(X355,Stock1!I355,Stock1!F355,"")</f>
        <v/>
      </c>
      <c r="Z355" s="95" t="str">
        <f t="array" ref="Z355">_xlfn.XLOOKUP(X355,Stock1!I355,Stock1!J355,"")</f>
        <v/>
      </c>
      <c r="AA355" s="102" t="str">
        <f t="array" ref="AA355">_xlfn.XLOOKUP(Y355,DATAPremium!A:A,DATAPremium!C:C,"")</f>
        <v/>
      </c>
    </row>
    <row r="356">
      <c r="X356" s="88" t="str">
        <f t="array" ref="X356">_xlfn.XLOOKUP("Other",Stock1!A356,Stock1!I356,"")</f>
        <v/>
      </c>
      <c r="Y356" s="95" t="str">
        <f t="array" ref="Y356">_xlfn.XLOOKUP(X356,Stock1!I356,Stock1!F356,"")</f>
        <v/>
      </c>
      <c r="Z356" s="95" t="str">
        <f t="array" ref="Z356">_xlfn.XLOOKUP(X356,Stock1!I356,Stock1!J356,"")</f>
        <v/>
      </c>
      <c r="AA356" s="102" t="str">
        <f t="array" ref="AA356">_xlfn.XLOOKUP(Y356,DATAPremium!A:A,DATAPremium!C:C,"")</f>
        <v/>
      </c>
    </row>
    <row r="357">
      <c r="X357" s="88" t="str">
        <f t="array" ref="X357">_xlfn.XLOOKUP("Other",Stock1!A357,Stock1!I357,"")</f>
        <v/>
      </c>
      <c r="Y357" s="95" t="str">
        <f t="array" ref="Y357">_xlfn.XLOOKUP(X357,Stock1!I357,Stock1!F357,"")</f>
        <v/>
      </c>
      <c r="Z357" s="95" t="str">
        <f t="array" ref="Z357">_xlfn.XLOOKUP(X357,Stock1!I357,Stock1!J357,"")</f>
        <v/>
      </c>
      <c r="AA357" s="102" t="str">
        <f t="array" ref="AA357">_xlfn.XLOOKUP(Y357,DATAPremium!A:A,DATAPremium!C:C,"")</f>
        <v/>
      </c>
    </row>
    <row r="358">
      <c r="X358" s="88" t="str">
        <f t="array" ref="X358">_xlfn.XLOOKUP("Other",Stock1!A358,Stock1!I358,"")</f>
        <v/>
      </c>
      <c r="Y358" s="95" t="str">
        <f t="array" ref="Y358">_xlfn.XLOOKUP(X358,Stock1!I358,Stock1!F358,"")</f>
        <v/>
      </c>
      <c r="Z358" s="95" t="str">
        <f t="array" ref="Z358">_xlfn.XLOOKUP(X358,Stock1!I358,Stock1!J358,"")</f>
        <v/>
      </c>
      <c r="AA358" s="102" t="str">
        <f t="array" ref="AA358">_xlfn.XLOOKUP(Y358,DATAPremium!A:A,DATAPremium!C:C,"")</f>
        <v/>
      </c>
    </row>
    <row r="359">
      <c r="X359" s="88" t="str">
        <f t="array" ref="X359">_xlfn.XLOOKUP("Other",Stock1!A359,Stock1!I359,"")</f>
        <v/>
      </c>
      <c r="Y359" s="95" t="str">
        <f t="array" ref="Y359">_xlfn.XLOOKUP(X359,Stock1!I359,Stock1!F359,"")</f>
        <v/>
      </c>
      <c r="Z359" s="95" t="str">
        <f t="array" ref="Z359">_xlfn.XLOOKUP(X359,Stock1!I359,Stock1!J359,"")</f>
        <v/>
      </c>
      <c r="AA359" s="102" t="str">
        <f t="array" ref="AA359">_xlfn.XLOOKUP(Y359,DATAPremium!A:A,DATAPremium!C:C,"")</f>
        <v/>
      </c>
    </row>
    <row r="360">
      <c r="X360" s="88" t="str">
        <f t="array" ref="X360">_xlfn.XLOOKUP("Other",Stock1!A360,Stock1!I360,"")</f>
        <v/>
      </c>
      <c r="Y360" s="95" t="str">
        <f t="array" ref="Y360">_xlfn.XLOOKUP(X360,Stock1!I360,Stock1!F360,"")</f>
        <v/>
      </c>
      <c r="Z360" s="95" t="str">
        <f t="array" ref="Z360">_xlfn.XLOOKUP(X360,Stock1!I360,Stock1!J360,"")</f>
        <v/>
      </c>
      <c r="AA360" s="102" t="str">
        <f t="array" ref="AA360">_xlfn.XLOOKUP(Y360,DATAPremium!A:A,DATAPremium!C:C,"")</f>
        <v/>
      </c>
    </row>
    <row r="361">
      <c r="X361" s="88" t="str">
        <f t="array" ref="X361">_xlfn.XLOOKUP("Other",Stock1!A361,Stock1!I361,"")</f>
        <v/>
      </c>
      <c r="Y361" s="95" t="str">
        <f t="array" ref="Y361">_xlfn.XLOOKUP(X361,Stock1!I361,Stock1!F361,"")</f>
        <v/>
      </c>
      <c r="Z361" s="95" t="str">
        <f t="array" ref="Z361">_xlfn.XLOOKUP(X361,Stock1!I361,Stock1!J361,"")</f>
        <v/>
      </c>
      <c r="AA361" s="102" t="str">
        <f t="array" ref="AA361">_xlfn.XLOOKUP(Y361,DATAPremium!A:A,DATAPremium!C:C,"")</f>
        <v/>
      </c>
    </row>
    <row r="362">
      <c r="X362" s="88" t="str">
        <f t="array" ref="X362">_xlfn.XLOOKUP("Other",Stock1!A362,Stock1!I362,"")</f>
        <v/>
      </c>
      <c r="Y362" s="95" t="str">
        <f t="array" ref="Y362">_xlfn.XLOOKUP(X362,Stock1!I362,Stock1!F362,"")</f>
        <v/>
      </c>
      <c r="Z362" s="95" t="str">
        <f t="array" ref="Z362">_xlfn.XLOOKUP(X362,Stock1!I362,Stock1!J362,"")</f>
        <v/>
      </c>
      <c r="AA362" s="102" t="str">
        <f t="array" ref="AA362">_xlfn.XLOOKUP(Y362,DATAPremium!A:A,DATAPremium!C:C,"")</f>
        <v/>
      </c>
    </row>
    <row r="363">
      <c r="X363" s="88" t="str">
        <f t="array" ref="X363">_xlfn.XLOOKUP("Other",Stock1!A363,Stock1!I363,"")</f>
        <v/>
      </c>
      <c r="Y363" s="95" t="str">
        <f t="array" ref="Y363">_xlfn.XLOOKUP(X363,Stock1!I363,Stock1!F363,"")</f>
        <v/>
      </c>
      <c r="Z363" s="95" t="str">
        <f t="array" ref="Z363">_xlfn.XLOOKUP(X363,Stock1!I363,Stock1!J363,"")</f>
        <v/>
      </c>
      <c r="AA363" s="102" t="str">
        <f t="array" ref="AA363">_xlfn.XLOOKUP(Y363,DATAPremium!A:A,DATAPremium!C:C,"")</f>
        <v/>
      </c>
    </row>
    <row r="364">
      <c r="X364" s="88" t="str">
        <f t="array" ref="X364">_xlfn.XLOOKUP("Other",Stock1!A364,Stock1!I364,"")</f>
        <v/>
      </c>
      <c r="Y364" s="95" t="str">
        <f t="array" ref="Y364">_xlfn.XLOOKUP(X364,Stock1!I364,Stock1!F364,"")</f>
        <v/>
      </c>
      <c r="Z364" s="95" t="str">
        <f t="array" ref="Z364">_xlfn.XLOOKUP(X364,Stock1!I364,Stock1!J364,"")</f>
        <v/>
      </c>
      <c r="AA364" s="102" t="str">
        <f t="array" ref="AA364">_xlfn.XLOOKUP(Y364,DATAPremium!A:A,DATAPremium!C:C,"")</f>
        <v/>
      </c>
    </row>
    <row r="365">
      <c r="X365" s="88" t="str">
        <f t="array" ref="X365">_xlfn.XLOOKUP("Other",Stock1!A365,Stock1!I365,"")</f>
        <v/>
      </c>
      <c r="Y365" s="95" t="str">
        <f t="array" ref="Y365">_xlfn.XLOOKUP(X365,Stock1!I365,Stock1!F365,"")</f>
        <v/>
      </c>
      <c r="Z365" s="95" t="str">
        <f t="array" ref="Z365">_xlfn.XLOOKUP(X365,Stock1!I365,Stock1!J365,"")</f>
        <v/>
      </c>
      <c r="AA365" s="102" t="str">
        <f t="array" ref="AA365">_xlfn.XLOOKUP(Y365,DATAPremium!A:A,DATAPremium!C:C,"")</f>
        <v/>
      </c>
    </row>
    <row r="366">
      <c r="X366" s="88" t="str">
        <f t="array" ref="X366">_xlfn.XLOOKUP("Other",Stock1!A366,Stock1!I366,"")</f>
        <v/>
      </c>
      <c r="Y366" s="95" t="str">
        <f t="array" ref="Y366">_xlfn.XLOOKUP(X366,Stock1!I366,Stock1!F366,"")</f>
        <v/>
      </c>
      <c r="Z366" s="95" t="str">
        <f t="array" ref="Z366">_xlfn.XLOOKUP(X366,Stock1!I366,Stock1!J366,"")</f>
        <v/>
      </c>
      <c r="AA366" s="102" t="str">
        <f t="array" ref="AA366">_xlfn.XLOOKUP(Y366,DATAPremium!A:A,DATAPremium!C:C,"")</f>
        <v/>
      </c>
    </row>
    <row r="367">
      <c r="X367" s="88" t="str">
        <f t="array" ref="X367">_xlfn.XLOOKUP("Other",Stock1!A367,Stock1!I367,"")</f>
        <v/>
      </c>
      <c r="Y367" s="95" t="str">
        <f t="array" ref="Y367">_xlfn.XLOOKUP(X367,Stock1!I367,Stock1!F367,"")</f>
        <v/>
      </c>
      <c r="Z367" s="95" t="str">
        <f t="array" ref="Z367">_xlfn.XLOOKUP(X367,Stock1!I367,Stock1!J367,"")</f>
        <v/>
      </c>
      <c r="AA367" s="102" t="str">
        <f t="array" ref="AA367">_xlfn.XLOOKUP(Y367,DATAPremium!A:A,DATAPremium!C:C,"")</f>
        <v/>
      </c>
    </row>
    <row r="368">
      <c r="X368" s="88" t="str">
        <f t="array" ref="X368">_xlfn.XLOOKUP("Other",Stock1!A368,Stock1!I368,"")</f>
        <v/>
      </c>
      <c r="Y368" s="95" t="str">
        <f t="array" ref="Y368">_xlfn.XLOOKUP(X368,Stock1!I368,Stock1!F368,"")</f>
        <v/>
      </c>
      <c r="Z368" s="95" t="str">
        <f t="array" ref="Z368">_xlfn.XLOOKUP(X368,Stock1!I368,Stock1!J368,"")</f>
        <v/>
      </c>
      <c r="AA368" s="102" t="str">
        <f t="array" ref="AA368">_xlfn.XLOOKUP(Y368,DATAPremium!A:A,DATAPremium!C:C,"")</f>
        <v/>
      </c>
    </row>
    <row r="369">
      <c r="X369" s="88" t="str">
        <f t="array" ref="X369">_xlfn.XLOOKUP("Other",Stock1!A369,Stock1!I369,"")</f>
        <v/>
      </c>
      <c r="Y369" s="95" t="str">
        <f t="array" ref="Y369">_xlfn.XLOOKUP(X369,Stock1!I369,Stock1!F369,"")</f>
        <v/>
      </c>
      <c r="Z369" s="95" t="str">
        <f t="array" ref="Z369">_xlfn.XLOOKUP(X369,Stock1!I369,Stock1!J369,"")</f>
        <v/>
      </c>
      <c r="AA369" s="102" t="str">
        <f t="array" ref="AA369">_xlfn.XLOOKUP(Y369,DATAPremium!A:A,DATAPremium!C:C,"")</f>
        <v/>
      </c>
    </row>
    <row r="370">
      <c r="X370" s="88" t="str">
        <f t="array" ref="X370">_xlfn.XLOOKUP("Other",Stock1!A370,Stock1!I370,"")</f>
        <v/>
      </c>
      <c r="Y370" s="95" t="str">
        <f t="array" ref="Y370">_xlfn.XLOOKUP(X370,Stock1!I370,Stock1!F370,"")</f>
        <v/>
      </c>
      <c r="Z370" s="95" t="str">
        <f t="array" ref="Z370">_xlfn.XLOOKUP(X370,Stock1!I370,Stock1!J370,"")</f>
        <v/>
      </c>
      <c r="AA370" s="102" t="str">
        <f t="array" ref="AA370">_xlfn.XLOOKUP(Y370,DATAPremium!A:A,DATAPremium!C:C,"")</f>
        <v/>
      </c>
    </row>
    <row r="371">
      <c r="X371" s="88" t="str">
        <f t="array" ref="X371">_xlfn.XLOOKUP("Other",Stock1!A371,Stock1!I371,"")</f>
        <v/>
      </c>
      <c r="Y371" s="95" t="str">
        <f t="array" ref="Y371">_xlfn.XLOOKUP(X371,Stock1!I371,Stock1!F371,"")</f>
        <v/>
      </c>
      <c r="Z371" s="95" t="str">
        <f t="array" ref="Z371">_xlfn.XLOOKUP(X371,Stock1!I371,Stock1!J371,"")</f>
        <v/>
      </c>
      <c r="AA371" s="102" t="str">
        <f t="array" ref="AA371">_xlfn.XLOOKUP(Y371,DATAPremium!A:A,DATAPremium!C:C,"")</f>
        <v/>
      </c>
    </row>
    <row r="372">
      <c r="X372" s="88" t="str">
        <f t="array" ref="X372">_xlfn.XLOOKUP("Other",Stock1!A372,Stock1!I372,"")</f>
        <v/>
      </c>
      <c r="Y372" s="95" t="str">
        <f t="array" ref="Y372">_xlfn.XLOOKUP(X372,Stock1!I372,Stock1!F372,"")</f>
        <v/>
      </c>
      <c r="Z372" s="95" t="str">
        <f t="array" ref="Z372">_xlfn.XLOOKUP(X372,Stock1!I372,Stock1!J372,"")</f>
        <v/>
      </c>
      <c r="AA372" s="102" t="str">
        <f t="array" ref="AA372">_xlfn.XLOOKUP(Y372,DATAPremium!A:A,DATAPremium!C:C,"")</f>
        <v/>
      </c>
    </row>
    <row r="373">
      <c r="X373" s="88" t="str">
        <f t="array" ref="X373">_xlfn.XLOOKUP("Other",Stock1!A373,Stock1!I373,"")</f>
        <v/>
      </c>
      <c r="Y373" s="95" t="str">
        <f t="array" ref="Y373">_xlfn.XLOOKUP(X373,Stock1!I373,Stock1!F373,"")</f>
        <v/>
      </c>
      <c r="Z373" s="95" t="str">
        <f t="array" ref="Z373">_xlfn.XLOOKUP(X373,Stock1!I373,Stock1!J373,"")</f>
        <v/>
      </c>
      <c r="AA373" s="102" t="str">
        <f t="array" ref="AA373">_xlfn.XLOOKUP(Y373,DATAPremium!A:A,DATAPremium!C:C,"")</f>
        <v/>
      </c>
    </row>
    <row r="374">
      <c r="X374" s="88" t="str">
        <f t="array" ref="X374">_xlfn.XLOOKUP("Other",Stock1!A374,Stock1!I374,"")</f>
        <v/>
      </c>
      <c r="Y374" s="95" t="str">
        <f t="array" ref="Y374">_xlfn.XLOOKUP(X374,Stock1!I374,Stock1!F374,"")</f>
        <v/>
      </c>
      <c r="Z374" s="95" t="str">
        <f t="array" ref="Z374">_xlfn.XLOOKUP(X374,Stock1!I374,Stock1!J374,"")</f>
        <v/>
      </c>
      <c r="AA374" s="102" t="str">
        <f t="array" ref="AA374">_xlfn.XLOOKUP(Y374,DATAPremium!A:A,DATAPremium!C:C,"")</f>
        <v/>
      </c>
    </row>
    <row r="375">
      <c r="X375" s="88" t="str">
        <f t="array" ref="X375">_xlfn.XLOOKUP("Other",Stock1!A375,Stock1!I375,"")</f>
        <v/>
      </c>
      <c r="Y375" s="95" t="str">
        <f t="array" ref="Y375">_xlfn.XLOOKUP(X375,Stock1!I375,Stock1!F375,"")</f>
        <v/>
      </c>
      <c r="Z375" s="95" t="str">
        <f t="array" ref="Z375">_xlfn.XLOOKUP(X375,Stock1!I375,Stock1!J375,"")</f>
        <v/>
      </c>
      <c r="AA375" s="102" t="str">
        <f t="array" ref="AA375">_xlfn.XLOOKUP(Y375,DATAPremium!A:A,DATAPremium!C:C,"")</f>
        <v/>
      </c>
    </row>
    <row r="376">
      <c r="X376" s="88" t="str">
        <f t="array" ref="X376">_xlfn.XLOOKUP("Other",Stock1!A376,Stock1!I376,"")</f>
        <v/>
      </c>
      <c r="Y376" s="95" t="str">
        <f t="array" ref="Y376">_xlfn.XLOOKUP(X376,Stock1!I376,Stock1!F376,"")</f>
        <v/>
      </c>
      <c r="Z376" s="95" t="str">
        <f t="array" ref="Z376">_xlfn.XLOOKUP(X376,Stock1!I376,Stock1!J376,"")</f>
        <v/>
      </c>
      <c r="AA376" s="102" t="str">
        <f t="array" ref="AA376">_xlfn.XLOOKUP(Y376,DATAPremium!A:A,DATAPremium!C:C,"")</f>
        <v/>
      </c>
    </row>
    <row r="377">
      <c r="X377" s="88" t="str">
        <f t="array" ref="X377">_xlfn.XLOOKUP("Other",Stock1!A377,Stock1!I377,"")</f>
        <v/>
      </c>
      <c r="Y377" s="95" t="str">
        <f t="array" ref="Y377">_xlfn.XLOOKUP(X377,Stock1!I377,Stock1!F377,"")</f>
        <v/>
      </c>
      <c r="Z377" s="95" t="str">
        <f t="array" ref="Z377">_xlfn.XLOOKUP(X377,Stock1!I377,Stock1!J377,"")</f>
        <v/>
      </c>
      <c r="AA377" s="102" t="str">
        <f t="array" ref="AA377">_xlfn.XLOOKUP(Y377,DATAPremium!A:A,DATAPremium!C:C,"")</f>
        <v/>
      </c>
    </row>
    <row r="378">
      <c r="X378" s="88" t="str">
        <f t="array" ref="X378">_xlfn.XLOOKUP("Other",Stock1!A378,Stock1!I378,"")</f>
        <v/>
      </c>
      <c r="Y378" s="95" t="str">
        <f t="array" ref="Y378">_xlfn.XLOOKUP(X378,Stock1!I378,Stock1!F378,"")</f>
        <v/>
      </c>
      <c r="Z378" s="95" t="str">
        <f t="array" ref="Z378">_xlfn.XLOOKUP(X378,Stock1!I378,Stock1!J378,"")</f>
        <v/>
      </c>
      <c r="AA378" s="102" t="str">
        <f t="array" ref="AA378">_xlfn.XLOOKUP(Y378,DATAPremium!A:A,DATAPremium!C:C,"")</f>
        <v/>
      </c>
    </row>
    <row r="379">
      <c r="X379" s="88" t="str">
        <f t="array" ref="X379">_xlfn.XLOOKUP("Other",Stock1!A379,Stock1!I379,"")</f>
        <v/>
      </c>
      <c r="Y379" s="95" t="str">
        <f t="array" ref="Y379">_xlfn.XLOOKUP(X379,Stock1!I379,Stock1!F379,"")</f>
        <v/>
      </c>
      <c r="Z379" s="95" t="str">
        <f t="array" ref="Z379">_xlfn.XLOOKUP(X379,Stock1!I379,Stock1!J379,"")</f>
        <v/>
      </c>
      <c r="AA379" s="102" t="str">
        <f t="array" ref="AA379">_xlfn.XLOOKUP(Y379,DATAPremium!A:A,DATAPremium!C:C,"")</f>
        <v/>
      </c>
    </row>
    <row r="380">
      <c r="X380" s="88" t="str">
        <f t="array" ref="X380">_xlfn.XLOOKUP("Other",Stock1!A380,Stock1!I380,"")</f>
        <v/>
      </c>
      <c r="Y380" s="95" t="str">
        <f t="array" ref="Y380">_xlfn.XLOOKUP(X380,Stock1!I380,Stock1!F380,"")</f>
        <v/>
      </c>
      <c r="Z380" s="95" t="str">
        <f t="array" ref="Z380">_xlfn.XLOOKUP(X380,Stock1!I380,Stock1!J380,"")</f>
        <v/>
      </c>
      <c r="AA380" s="102" t="str">
        <f t="array" ref="AA380">_xlfn.XLOOKUP(Y380,DATAPremium!A:A,DATAPremium!C:C,"")</f>
        <v/>
      </c>
    </row>
    <row r="381">
      <c r="X381" s="88" t="str">
        <f t="array" ref="X381">_xlfn.XLOOKUP("Other",Stock1!A381,Stock1!I381,"")</f>
        <v/>
      </c>
      <c r="Y381" s="95" t="str">
        <f t="array" ref="Y381">_xlfn.XLOOKUP(X381,Stock1!I381,Stock1!F381,"")</f>
        <v/>
      </c>
      <c r="Z381" s="95" t="str">
        <f t="array" ref="Z381">_xlfn.XLOOKUP(X381,Stock1!I381,Stock1!J381,"")</f>
        <v/>
      </c>
      <c r="AA381" s="102" t="str">
        <f t="array" ref="AA381">_xlfn.XLOOKUP(Y381,DATAPremium!A:A,DATAPremium!C:C,"")</f>
        <v/>
      </c>
    </row>
    <row r="382">
      <c r="X382" s="88" t="str">
        <f t="array" ref="X382">_xlfn.XLOOKUP("Other",Stock1!A382,Stock1!I382,"")</f>
        <v/>
      </c>
      <c r="Y382" s="95" t="str">
        <f t="array" ref="Y382">_xlfn.XLOOKUP(X382,Stock1!I382,Stock1!F382,"")</f>
        <v/>
      </c>
      <c r="Z382" s="95" t="str">
        <f t="array" ref="Z382">_xlfn.XLOOKUP(X382,Stock1!I382,Stock1!J382,"")</f>
        <v/>
      </c>
      <c r="AA382" s="102" t="str">
        <f t="array" ref="AA382">_xlfn.XLOOKUP(Y382,DATAPremium!A:A,DATAPremium!C:C,"")</f>
        <v/>
      </c>
    </row>
    <row r="383">
      <c r="X383" s="88" t="str">
        <f t="array" ref="X383">_xlfn.XLOOKUP("Other",Stock1!A383,Stock1!I383,"")</f>
        <v/>
      </c>
      <c r="Y383" s="95" t="str">
        <f t="array" ref="Y383">_xlfn.XLOOKUP(X383,Stock1!I383,Stock1!F383,"")</f>
        <v/>
      </c>
      <c r="Z383" s="95" t="str">
        <f t="array" ref="Z383">_xlfn.XLOOKUP(X383,Stock1!I383,Stock1!J383,"")</f>
        <v/>
      </c>
      <c r="AA383" s="102" t="str">
        <f t="array" ref="AA383">_xlfn.XLOOKUP(Y383,DATAPremium!A:A,DATAPremium!C:C,"")</f>
        <v/>
      </c>
    </row>
    <row r="384">
      <c r="X384" s="88" t="str">
        <f t="array" ref="X384">_xlfn.XLOOKUP("Other",Stock1!A384,Stock1!I384,"")</f>
        <v/>
      </c>
      <c r="Y384" s="95" t="str">
        <f t="array" ref="Y384">_xlfn.XLOOKUP(X384,Stock1!I384,Stock1!F384,"")</f>
        <v/>
      </c>
      <c r="Z384" s="95" t="str">
        <f t="array" ref="Z384">_xlfn.XLOOKUP(X384,Stock1!I384,Stock1!J384,"")</f>
        <v/>
      </c>
      <c r="AA384" s="102" t="str">
        <f t="array" ref="AA384">_xlfn.XLOOKUP(Y384,DATAPremium!A:A,DATAPremium!C:C,"")</f>
        <v/>
      </c>
    </row>
    <row r="385">
      <c r="X385" s="88" t="str">
        <f t="array" ref="X385">_xlfn.XLOOKUP("Other",Stock1!A385,Stock1!I385,"")</f>
        <v/>
      </c>
      <c r="Y385" s="95" t="str">
        <f t="array" ref="Y385">_xlfn.XLOOKUP(X385,Stock1!I385,Stock1!F385,"")</f>
        <v/>
      </c>
      <c r="Z385" s="95" t="str">
        <f t="array" ref="Z385">_xlfn.XLOOKUP(X385,Stock1!I385,Stock1!J385,"")</f>
        <v/>
      </c>
      <c r="AA385" s="102" t="str">
        <f t="array" ref="AA385">_xlfn.XLOOKUP(Y385,DATAPremium!A:A,DATAPremium!C:C,"")</f>
        <v/>
      </c>
    </row>
    <row r="386">
      <c r="X386" s="88" t="str">
        <f t="array" ref="X386">_xlfn.XLOOKUP("Other",Stock1!A386,Stock1!I386,"")</f>
        <v/>
      </c>
      <c r="Y386" s="95" t="str">
        <f t="array" ref="Y386">_xlfn.XLOOKUP(X386,Stock1!I386,Stock1!F386,"")</f>
        <v/>
      </c>
      <c r="Z386" s="95" t="str">
        <f t="array" ref="Z386">_xlfn.XLOOKUP(X386,Stock1!I386,Stock1!J386,"")</f>
        <v/>
      </c>
      <c r="AA386" s="102" t="str">
        <f t="array" ref="AA386">_xlfn.XLOOKUP(Y386,DATAPremium!A:A,DATAPremium!C:C,"")</f>
        <v/>
      </c>
    </row>
    <row r="387">
      <c r="X387" s="88" t="str">
        <f t="array" ref="X387">_xlfn.XLOOKUP("Other",Stock1!A387,Stock1!I387,"")</f>
        <v/>
      </c>
      <c r="Y387" s="95" t="str">
        <f t="array" ref="Y387">_xlfn.XLOOKUP(X387,Stock1!I387,Stock1!F387,"")</f>
        <v/>
      </c>
      <c r="Z387" s="95" t="str">
        <f t="array" ref="Z387">_xlfn.XLOOKUP(X387,Stock1!I387,Stock1!J387,"")</f>
        <v/>
      </c>
      <c r="AA387" s="102" t="str">
        <f t="array" ref="AA387">_xlfn.XLOOKUP(Y387,DATAPremium!A:A,DATAPremium!C:C,"")</f>
        <v/>
      </c>
    </row>
    <row r="388">
      <c r="X388" s="88" t="str">
        <f t="array" ref="X388">_xlfn.XLOOKUP("Other",Stock1!A388,Stock1!I388,"")</f>
        <v/>
      </c>
      <c r="Y388" s="95" t="str">
        <f t="array" ref="Y388">_xlfn.XLOOKUP(X388,Stock1!I388,Stock1!F388,"")</f>
        <v/>
      </c>
      <c r="Z388" s="95" t="str">
        <f t="array" ref="Z388">_xlfn.XLOOKUP(X388,Stock1!I388,Stock1!J388,"")</f>
        <v/>
      </c>
      <c r="AA388" s="102" t="str">
        <f t="array" ref="AA388">_xlfn.XLOOKUP(Y388,DATAPremium!A:A,DATAPremium!C:C,"")</f>
        <v/>
      </c>
    </row>
    <row r="389">
      <c r="X389" s="88" t="str">
        <f t="array" ref="X389">_xlfn.XLOOKUP("Other",Stock1!A389,Stock1!I389,"")</f>
        <v/>
      </c>
      <c r="Y389" s="95" t="str">
        <f t="array" ref="Y389">_xlfn.XLOOKUP(X389,Stock1!I389,Stock1!F389,"")</f>
        <v/>
      </c>
      <c r="Z389" s="95" t="str">
        <f t="array" ref="Z389">_xlfn.XLOOKUP(X389,Stock1!I389,Stock1!J389,"")</f>
        <v/>
      </c>
      <c r="AA389" s="102" t="str">
        <f t="array" ref="AA389">_xlfn.XLOOKUP(Y389,DATAPremium!A:A,DATAPremium!C:C,"")</f>
        <v/>
      </c>
    </row>
    <row r="390">
      <c r="X390" s="88" t="str">
        <f t="array" ref="X390">_xlfn.XLOOKUP("Other",Stock1!A390,Stock1!I390,"")</f>
        <v/>
      </c>
      <c r="Y390" s="95" t="str">
        <f t="array" ref="Y390">_xlfn.XLOOKUP(X390,Stock1!I390,Stock1!F390,"")</f>
        <v/>
      </c>
      <c r="Z390" s="95" t="str">
        <f t="array" ref="Z390">_xlfn.XLOOKUP(X390,Stock1!I390,Stock1!J390,"")</f>
        <v/>
      </c>
      <c r="AA390" s="102" t="str">
        <f t="array" ref="AA390">_xlfn.XLOOKUP(Y390,DATAPremium!A:A,DATAPremium!C:C,"")</f>
        <v/>
      </c>
    </row>
    <row r="391">
      <c r="X391" s="88" t="str">
        <f t="array" ref="X391">_xlfn.XLOOKUP("Other",Stock1!A391,Stock1!I391,"")</f>
        <v/>
      </c>
      <c r="Y391" s="95" t="str">
        <f t="array" ref="Y391">_xlfn.XLOOKUP(X391,Stock1!I391,Stock1!F391,"")</f>
        <v/>
      </c>
      <c r="Z391" s="95" t="str">
        <f t="array" ref="Z391">_xlfn.XLOOKUP(X391,Stock1!I391,Stock1!J391,"")</f>
        <v/>
      </c>
      <c r="AA391" s="102" t="str">
        <f t="array" ref="AA391">_xlfn.XLOOKUP(Y391,DATAPremium!A:A,DATAPremium!C:C,"")</f>
        <v/>
      </c>
    </row>
    <row r="392">
      <c r="X392" s="88" t="str">
        <f t="array" ref="X392">_xlfn.XLOOKUP("Other",Stock1!A392,Stock1!I392,"")</f>
        <v/>
      </c>
      <c r="Y392" s="95" t="str">
        <f t="array" ref="Y392">_xlfn.XLOOKUP(X392,Stock1!I392,Stock1!F392,"")</f>
        <v/>
      </c>
      <c r="Z392" s="95" t="str">
        <f t="array" ref="Z392">_xlfn.XLOOKUP(X392,Stock1!I392,Stock1!J392,"")</f>
        <v/>
      </c>
      <c r="AA392" s="102" t="str">
        <f t="array" ref="AA392">_xlfn.XLOOKUP(Y392,DATAPremium!A:A,DATAPremium!C:C,"")</f>
        <v/>
      </c>
    </row>
    <row r="393">
      <c r="X393" s="88" t="str">
        <f t="array" ref="X393">_xlfn.XLOOKUP("Other",Stock1!A393,Stock1!I393,"")</f>
        <v/>
      </c>
      <c r="Y393" s="95" t="str">
        <f t="array" ref="Y393">_xlfn.XLOOKUP(X393,Stock1!I393,Stock1!F393,"")</f>
        <v/>
      </c>
      <c r="Z393" s="95" t="str">
        <f t="array" ref="Z393">_xlfn.XLOOKUP(X393,Stock1!I393,Stock1!J393,"")</f>
        <v/>
      </c>
      <c r="AA393" s="102" t="str">
        <f t="array" ref="AA393">_xlfn.XLOOKUP(Y393,DATAPremium!A:A,DATAPremium!C:C,"")</f>
        <v/>
      </c>
    </row>
    <row r="394">
      <c r="X394" s="88" t="str">
        <f t="array" ref="X394">_xlfn.XLOOKUP("Other",Stock1!A394,Stock1!I394,"")</f>
        <v/>
      </c>
      <c r="Y394" s="95" t="str">
        <f t="array" ref="Y394">_xlfn.XLOOKUP(X394,Stock1!I394,Stock1!F394,"")</f>
        <v/>
      </c>
      <c r="Z394" s="95" t="str">
        <f t="array" ref="Z394">_xlfn.XLOOKUP(X394,Stock1!I394,Stock1!J394,"")</f>
        <v/>
      </c>
      <c r="AA394" s="102" t="str">
        <f t="array" ref="AA394">_xlfn.XLOOKUP(Y394,DATAPremium!A:A,DATAPremium!C:C,"")</f>
        <v/>
      </c>
    </row>
    <row r="395">
      <c r="X395" s="88" t="str">
        <f t="array" ref="X395">_xlfn.XLOOKUP("Other",Stock1!A395,Stock1!I395,"")</f>
        <v/>
      </c>
      <c r="Y395" s="95" t="str">
        <f t="array" ref="Y395">_xlfn.XLOOKUP(X395,Stock1!I395,Stock1!F395,"")</f>
        <v/>
      </c>
      <c r="Z395" s="95" t="str">
        <f t="array" ref="Z395">_xlfn.XLOOKUP(X395,Stock1!I395,Stock1!J395,"")</f>
        <v/>
      </c>
      <c r="AA395" s="102" t="str">
        <f t="array" ref="AA395">_xlfn.XLOOKUP(Y395,DATAPremium!A:A,DATAPremium!C:C,"")</f>
        <v/>
      </c>
    </row>
    <row r="396">
      <c r="X396" s="88" t="str">
        <f t="array" ref="X396">_xlfn.XLOOKUP("Other",Stock1!A396,Stock1!I396,"")</f>
        <v/>
      </c>
      <c r="Y396" s="95" t="str">
        <f t="array" ref="Y396">_xlfn.XLOOKUP(X396,Stock1!I396,Stock1!F396,"")</f>
        <v/>
      </c>
      <c r="Z396" s="95" t="str">
        <f t="array" ref="Z396">_xlfn.XLOOKUP(X396,Stock1!I396,Stock1!J396,"")</f>
        <v/>
      </c>
      <c r="AA396" s="102" t="str">
        <f t="array" ref="AA396">_xlfn.XLOOKUP(Y396,DATAPremium!A:A,DATAPremium!C:C,"")</f>
        <v/>
      </c>
    </row>
    <row r="397">
      <c r="X397" s="88" t="str">
        <f t="array" ref="X397">_xlfn.XLOOKUP("Other",Stock1!A397,Stock1!I397,"")</f>
        <v/>
      </c>
      <c r="Y397" s="95" t="str">
        <f t="array" ref="Y397">_xlfn.XLOOKUP(X397,Stock1!I397,Stock1!F397,"")</f>
        <v/>
      </c>
      <c r="Z397" s="95" t="str">
        <f t="array" ref="Z397">_xlfn.XLOOKUP(X397,Stock1!I397,Stock1!J397,"")</f>
        <v/>
      </c>
      <c r="AA397" s="102" t="str">
        <f t="array" ref="AA397">_xlfn.XLOOKUP(Y397,DATAPremium!A:A,DATAPremium!C:C,"")</f>
        <v/>
      </c>
    </row>
    <row r="398">
      <c r="X398" s="88" t="str">
        <f t="array" ref="X398">_xlfn.XLOOKUP("Other",Stock1!A398,Stock1!I398,"")</f>
        <v/>
      </c>
      <c r="Y398" s="95" t="str">
        <f t="array" ref="Y398">_xlfn.XLOOKUP(X398,Stock1!I398,Stock1!F398,"")</f>
        <v/>
      </c>
      <c r="Z398" s="95" t="str">
        <f t="array" ref="Z398">_xlfn.XLOOKUP(X398,Stock1!I398,Stock1!J398,"")</f>
        <v/>
      </c>
      <c r="AA398" s="102" t="str">
        <f t="array" ref="AA398">_xlfn.XLOOKUP(Y398,DATAPremium!A:A,DATAPremium!C:C,"")</f>
        <v/>
      </c>
    </row>
    <row r="399">
      <c r="X399" s="88" t="str">
        <f t="array" ref="X399">_xlfn.XLOOKUP("Other",Stock1!A399,Stock1!I399,"")</f>
        <v/>
      </c>
      <c r="Y399" s="95" t="str">
        <f t="array" ref="Y399">_xlfn.XLOOKUP(X399,Stock1!I399,Stock1!F399,"")</f>
        <v/>
      </c>
      <c r="Z399" s="95" t="str">
        <f t="array" ref="Z399">_xlfn.XLOOKUP(X399,Stock1!I399,Stock1!J399,"")</f>
        <v/>
      </c>
      <c r="AA399" s="102" t="str">
        <f t="array" ref="AA399">_xlfn.XLOOKUP(Y399,DATAPremium!A:A,DATAPremium!C:C,"")</f>
        <v/>
      </c>
    </row>
    <row r="400">
      <c r="X400" s="88" t="str">
        <f t="array" ref="X400">_xlfn.XLOOKUP("Other",Stock1!A400,Stock1!I400,"")</f>
        <v/>
      </c>
      <c r="Y400" s="95" t="str">
        <f t="array" ref="Y400">_xlfn.XLOOKUP(X400,Stock1!I400,Stock1!F400,"")</f>
        <v/>
      </c>
      <c r="Z400" s="95" t="str">
        <f t="array" ref="Z400">_xlfn.XLOOKUP(X400,Stock1!I400,Stock1!J400,"")</f>
        <v/>
      </c>
      <c r="AA400" s="102" t="str">
        <f t="array" ref="AA400">_xlfn.XLOOKUP(Y400,DATAPremium!A:A,DATAPremium!C:C,"")</f>
        <v/>
      </c>
    </row>
    <row r="401">
      <c r="X401" s="88" t="str">
        <f t="array" ref="X401">_xlfn.XLOOKUP("Other",Stock1!A401,Stock1!I401,"")</f>
        <v/>
      </c>
      <c r="Y401" s="95" t="str">
        <f t="array" ref="Y401">_xlfn.XLOOKUP(X401,Stock1!I401,Stock1!F401,"")</f>
        <v/>
      </c>
      <c r="Z401" s="95" t="str">
        <f t="array" ref="Z401">_xlfn.XLOOKUP(X401,Stock1!I401,Stock1!J401,"")</f>
        <v/>
      </c>
      <c r="AA401" s="102" t="str">
        <f t="array" ref="AA401">_xlfn.XLOOKUP(Y401,DATAPremium!A:A,DATAPremium!C:C,"")</f>
        <v/>
      </c>
    </row>
    <row r="402">
      <c r="X402" s="88" t="str">
        <f t="array" ref="X402">_xlfn.XLOOKUP("Other",Stock1!A402,Stock1!I402,"")</f>
        <v/>
      </c>
      <c r="Y402" s="95" t="str">
        <f t="array" ref="Y402">_xlfn.XLOOKUP(X402,Stock1!I402,Stock1!F402,"")</f>
        <v/>
      </c>
      <c r="Z402" s="95" t="str">
        <f t="array" ref="Z402">_xlfn.XLOOKUP(X402,Stock1!I402,Stock1!J402,"")</f>
        <v/>
      </c>
      <c r="AA402" s="102" t="str">
        <f t="array" ref="AA402">_xlfn.XLOOKUP(Y402,DATAPremium!A:A,DATAPremium!C:C,"")</f>
        <v/>
      </c>
    </row>
    <row r="403">
      <c r="X403" s="88" t="str">
        <f t="array" ref="X403">_xlfn.XLOOKUP("Other",Stock1!A403,Stock1!I403,"")</f>
        <v/>
      </c>
      <c r="Y403" s="95" t="str">
        <f t="array" ref="Y403">_xlfn.XLOOKUP(X403,Stock1!I403,Stock1!F403,"")</f>
        <v/>
      </c>
      <c r="Z403" s="95" t="str">
        <f t="array" ref="Z403">_xlfn.XLOOKUP(X403,Stock1!I403,Stock1!J403,"")</f>
        <v/>
      </c>
      <c r="AA403" s="102" t="str">
        <f t="array" ref="AA403">_xlfn.XLOOKUP(Y403,DATAPremium!A:A,DATAPremium!C:C,"")</f>
        <v/>
      </c>
    </row>
    <row r="404">
      <c r="X404" s="88" t="str">
        <f t="array" ref="X404">_xlfn.XLOOKUP("Other",Stock1!A404,Stock1!I404,"")</f>
        <v/>
      </c>
      <c r="Y404" s="95" t="str">
        <f t="array" ref="Y404">_xlfn.XLOOKUP(X404,Stock1!I404,Stock1!F404,"")</f>
        <v/>
      </c>
      <c r="Z404" s="95" t="str">
        <f t="array" ref="Z404">_xlfn.XLOOKUP(X404,Stock1!I404,Stock1!J404,"")</f>
        <v/>
      </c>
      <c r="AA404" s="102" t="str">
        <f t="array" ref="AA404">_xlfn.XLOOKUP(Y404,DATAPremium!A:A,DATAPremium!C:C,"")</f>
        <v/>
      </c>
    </row>
    <row r="405">
      <c r="X405" s="88" t="str">
        <f t="array" ref="X405">_xlfn.XLOOKUP("Other",Stock1!A405,Stock1!I405,"")</f>
        <v/>
      </c>
      <c r="Y405" s="95" t="str">
        <f t="array" ref="Y405">_xlfn.XLOOKUP(X405,Stock1!I405,Stock1!F405,"")</f>
        <v/>
      </c>
      <c r="Z405" s="95" t="str">
        <f t="array" ref="Z405">_xlfn.XLOOKUP(X405,Stock1!I405,Stock1!J405,"")</f>
        <v/>
      </c>
      <c r="AA405" s="102" t="str">
        <f t="array" ref="AA405">_xlfn.XLOOKUP(Y405,DATAPremium!A:A,DATAPremium!C:C,"")</f>
        <v/>
      </c>
    </row>
    <row r="406">
      <c r="X406" s="88" t="str">
        <f t="array" ref="X406">_xlfn.XLOOKUP("Other",Stock1!A406,Stock1!I406,"")</f>
        <v/>
      </c>
      <c r="Y406" s="95" t="str">
        <f t="array" ref="Y406">_xlfn.XLOOKUP(X406,Stock1!I406,Stock1!F406,"")</f>
        <v/>
      </c>
      <c r="Z406" s="95" t="str">
        <f t="array" ref="Z406">_xlfn.XLOOKUP(X406,Stock1!I406,Stock1!J406,"")</f>
        <v/>
      </c>
      <c r="AA406" s="102" t="str">
        <f t="array" ref="AA406">_xlfn.XLOOKUP(Y406,DATAPremium!A:A,DATAPremium!C:C,"")</f>
        <v/>
      </c>
    </row>
    <row r="407">
      <c r="X407" s="88" t="str">
        <f t="array" ref="X407">_xlfn.XLOOKUP("Other",Stock1!A407,Stock1!I407,"")</f>
        <v/>
      </c>
      <c r="Y407" s="95" t="str">
        <f t="array" ref="Y407">_xlfn.XLOOKUP(X407,Stock1!I407,Stock1!F407,"")</f>
        <v/>
      </c>
      <c r="Z407" s="95" t="str">
        <f t="array" ref="Z407">_xlfn.XLOOKUP(X407,Stock1!I407,Stock1!J407,"")</f>
        <v/>
      </c>
      <c r="AA407" s="102" t="str">
        <f t="array" ref="AA407">_xlfn.XLOOKUP(Y407,DATAPremium!A:A,DATAPremium!C:C,"")</f>
        <v/>
      </c>
    </row>
    <row r="408">
      <c r="X408" s="88" t="str">
        <f t="array" ref="X408">_xlfn.XLOOKUP("Other",Stock1!A408,Stock1!I408,"")</f>
        <v/>
      </c>
      <c r="Y408" s="95" t="str">
        <f t="array" ref="Y408">_xlfn.XLOOKUP(X408,Stock1!I408,Stock1!F408,"")</f>
        <v/>
      </c>
      <c r="Z408" s="95" t="str">
        <f t="array" ref="Z408">_xlfn.XLOOKUP(X408,Stock1!I408,Stock1!J408,"")</f>
        <v/>
      </c>
      <c r="AA408" s="102" t="str">
        <f t="array" ref="AA408">_xlfn.XLOOKUP(Y408,DATAPremium!A:A,DATAPremium!C:C,"")</f>
        <v/>
      </c>
    </row>
    <row r="409">
      <c r="X409" s="88" t="str">
        <f t="array" ref="X409">_xlfn.XLOOKUP("Other",Stock1!A409,Stock1!I409,"")</f>
        <v/>
      </c>
      <c r="Y409" s="95" t="str">
        <f t="array" ref="Y409">_xlfn.XLOOKUP(X409,Stock1!I409,Stock1!F409,"")</f>
        <v/>
      </c>
      <c r="Z409" s="95" t="str">
        <f t="array" ref="Z409">_xlfn.XLOOKUP(X409,Stock1!I409,Stock1!J409,"")</f>
        <v/>
      </c>
      <c r="AA409" s="102" t="str">
        <f t="array" ref="AA409">_xlfn.XLOOKUP(Y409,DATAPremium!A:A,DATAPremium!C:C,"")</f>
        <v/>
      </c>
    </row>
    <row r="410">
      <c r="X410" s="88" t="str">
        <f t="array" ref="X410">_xlfn.XLOOKUP("Other",Stock1!A410,Stock1!I410,"")</f>
        <v/>
      </c>
      <c r="Y410" s="95" t="str">
        <f t="array" ref="Y410">_xlfn.XLOOKUP(X410,Stock1!I410,Stock1!F410,"")</f>
        <v/>
      </c>
      <c r="Z410" s="95" t="str">
        <f t="array" ref="Z410">_xlfn.XLOOKUP(X410,Stock1!I410,Stock1!J410,"")</f>
        <v/>
      </c>
      <c r="AA410" s="102" t="str">
        <f t="array" ref="AA410">_xlfn.XLOOKUP(Y410,DATAPremium!A:A,DATAPremium!C:C,"")</f>
        <v/>
      </c>
    </row>
    <row r="411">
      <c r="X411" s="88" t="str">
        <f t="array" ref="X411">_xlfn.XLOOKUP("Other",Stock1!A411,Stock1!I411,"")</f>
        <v/>
      </c>
      <c r="Y411" s="95" t="str">
        <f t="array" ref="Y411">_xlfn.XLOOKUP(X411,Stock1!I411,Stock1!F411,"")</f>
        <v/>
      </c>
      <c r="Z411" s="95" t="str">
        <f t="array" ref="Z411">_xlfn.XLOOKUP(X411,Stock1!I411,Stock1!J411,"")</f>
        <v/>
      </c>
      <c r="AA411" s="102" t="str">
        <f t="array" ref="AA411">_xlfn.XLOOKUP(Y411,DATAPremium!A:A,DATAPremium!C:C,"")</f>
        <v/>
      </c>
    </row>
    <row r="412">
      <c r="X412" s="88" t="str">
        <f t="array" ref="X412">_xlfn.XLOOKUP("Other",Stock1!A412,Stock1!I412,"")</f>
        <v/>
      </c>
      <c r="Y412" s="95" t="str">
        <f t="array" ref="Y412">_xlfn.XLOOKUP(X412,Stock1!I412,Stock1!F412,"")</f>
        <v/>
      </c>
      <c r="Z412" s="95" t="str">
        <f t="array" ref="Z412">_xlfn.XLOOKUP(X412,Stock1!I412,Stock1!J412,"")</f>
        <v/>
      </c>
      <c r="AA412" s="102" t="str">
        <f t="array" ref="AA412">_xlfn.XLOOKUP(Y412,DATAPremium!A:A,DATAPremium!C:C,"")</f>
        <v/>
      </c>
    </row>
    <row r="413">
      <c r="X413" s="88" t="str">
        <f t="array" ref="X413">_xlfn.XLOOKUP("Other",Stock1!A413,Stock1!I413,"")</f>
        <v/>
      </c>
      <c r="Y413" s="95" t="str">
        <f t="array" ref="Y413">_xlfn.XLOOKUP(X413,Stock1!I413,Stock1!F413,"")</f>
        <v/>
      </c>
      <c r="Z413" s="95" t="str">
        <f t="array" ref="Z413">_xlfn.XLOOKUP(X413,Stock1!I413,Stock1!J413,"")</f>
        <v/>
      </c>
      <c r="AA413" s="102" t="str">
        <f t="array" ref="AA413">_xlfn.XLOOKUP(Y413,DATAPremium!A:A,DATAPremium!C:C,"")</f>
        <v/>
      </c>
    </row>
    <row r="414">
      <c r="X414" s="88" t="str">
        <f t="array" ref="X414">_xlfn.XLOOKUP("Other",Stock1!A414,Stock1!I414,"")</f>
        <v/>
      </c>
      <c r="Y414" s="95" t="str">
        <f t="array" ref="Y414">_xlfn.XLOOKUP(X414,Stock1!I414,Stock1!F414,"")</f>
        <v/>
      </c>
      <c r="Z414" s="95" t="str">
        <f t="array" ref="Z414">_xlfn.XLOOKUP(X414,Stock1!I414,Stock1!J414,"")</f>
        <v/>
      </c>
      <c r="AA414" s="102" t="str">
        <f t="array" ref="AA414">_xlfn.XLOOKUP(Y414,DATAPremium!A:A,DATAPremium!C:C,"")</f>
        <v/>
      </c>
    </row>
    <row r="415">
      <c r="X415" s="88" t="str">
        <f t="array" ref="X415">_xlfn.XLOOKUP("Other",Stock1!A415,Stock1!I415,"")</f>
        <v/>
      </c>
      <c r="Y415" s="95" t="str">
        <f t="array" ref="Y415">_xlfn.XLOOKUP(X415,Stock1!I415,Stock1!F415,"")</f>
        <v/>
      </c>
      <c r="Z415" s="95" t="str">
        <f t="array" ref="Z415">_xlfn.XLOOKUP(X415,Stock1!I415,Stock1!J415,"")</f>
        <v/>
      </c>
      <c r="AA415" s="102" t="str">
        <f t="array" ref="AA415">_xlfn.XLOOKUP(Y415,DATAPremium!A:A,DATAPremium!C:C,"")</f>
        <v/>
      </c>
    </row>
    <row r="416">
      <c r="X416" s="88" t="str">
        <f t="array" ref="X416">_xlfn.XLOOKUP("Other",Stock1!A416,Stock1!I416,"")</f>
        <v/>
      </c>
      <c r="Y416" s="95" t="str">
        <f t="array" ref="Y416">_xlfn.XLOOKUP(X416,Stock1!I416,Stock1!F416,"")</f>
        <v/>
      </c>
      <c r="Z416" s="95" t="str">
        <f t="array" ref="Z416">_xlfn.XLOOKUP(X416,Stock1!I416,Stock1!J416,"")</f>
        <v/>
      </c>
      <c r="AA416" s="102" t="str">
        <f t="array" ref="AA416">_xlfn.XLOOKUP(Y416,DATAPremium!A:A,DATAPremium!C:C,"")</f>
        <v/>
      </c>
    </row>
    <row r="417">
      <c r="X417" s="88" t="str">
        <f t="array" ref="X417">_xlfn.XLOOKUP("Other",Stock1!A417,Stock1!I417,"")</f>
        <v/>
      </c>
      <c r="Y417" s="95" t="str">
        <f t="array" ref="Y417">_xlfn.XLOOKUP(X417,Stock1!I417,Stock1!F417,"")</f>
        <v/>
      </c>
      <c r="Z417" s="95" t="str">
        <f t="array" ref="Z417">_xlfn.XLOOKUP(X417,Stock1!I417,Stock1!J417,"")</f>
        <v/>
      </c>
      <c r="AA417" s="102" t="str">
        <f t="array" ref="AA417">_xlfn.XLOOKUP(Y417,DATAPremium!A:A,DATAPremium!C:C,"")</f>
        <v/>
      </c>
    </row>
    <row r="418">
      <c r="X418" s="88" t="str">
        <f t="array" ref="X418">_xlfn.XLOOKUP("Other",Stock1!A418,Stock1!I418,"")</f>
        <v/>
      </c>
      <c r="Y418" s="95" t="str">
        <f t="array" ref="Y418">_xlfn.XLOOKUP(X418,Stock1!I418,Stock1!F418,"")</f>
        <v/>
      </c>
      <c r="Z418" s="95" t="str">
        <f t="array" ref="Z418">_xlfn.XLOOKUP(X418,Stock1!I418,Stock1!J418,"")</f>
        <v/>
      </c>
      <c r="AA418" s="102" t="str">
        <f t="array" ref="AA418">_xlfn.XLOOKUP(Y418,DATAPremium!A:A,DATAPremium!C:C,"")</f>
        <v/>
      </c>
    </row>
    <row r="419">
      <c r="X419" s="88" t="str">
        <f t="array" ref="X419">_xlfn.XLOOKUP("Other",Stock1!A419,Stock1!I419,"")</f>
        <v/>
      </c>
      <c r="Y419" s="95" t="str">
        <f t="array" ref="Y419">_xlfn.XLOOKUP(X419,Stock1!I419,Stock1!F419,"")</f>
        <v/>
      </c>
      <c r="Z419" s="95" t="str">
        <f t="array" ref="Z419">_xlfn.XLOOKUP(X419,Stock1!I419,Stock1!J419,"")</f>
        <v/>
      </c>
      <c r="AA419" s="102" t="str">
        <f t="array" ref="AA419">_xlfn.XLOOKUP(Y419,DATAPremium!A:A,DATAPremium!C:C,"")</f>
        <v/>
      </c>
    </row>
    <row r="420">
      <c r="X420" s="88" t="str">
        <f t="array" ref="X420">_xlfn.XLOOKUP("Other",Stock1!A420,Stock1!I420,"")</f>
        <v/>
      </c>
      <c r="Y420" s="95" t="str">
        <f t="array" ref="Y420">_xlfn.XLOOKUP(X420,Stock1!I420,Stock1!F420,"")</f>
        <v/>
      </c>
      <c r="Z420" s="95" t="str">
        <f t="array" ref="Z420">_xlfn.XLOOKUP(X420,Stock1!I420,Stock1!J420,"")</f>
        <v/>
      </c>
      <c r="AA420" s="102" t="str">
        <f t="array" ref="AA420">_xlfn.XLOOKUP(Y420,DATAPremium!A:A,DATAPremium!C:C,"")</f>
        <v/>
      </c>
    </row>
    <row r="421">
      <c r="X421" s="88" t="str">
        <f t="array" ref="X421">_xlfn.XLOOKUP("Other",Stock1!A421,Stock1!I421,"")</f>
        <v/>
      </c>
      <c r="Y421" s="95" t="str">
        <f t="array" ref="Y421">_xlfn.XLOOKUP(X421,Stock1!I421,Stock1!F421,"")</f>
        <v/>
      </c>
      <c r="Z421" s="95" t="str">
        <f t="array" ref="Z421">_xlfn.XLOOKUP(X421,Stock1!I421,Stock1!J421,"")</f>
        <v/>
      </c>
      <c r="AA421" s="102" t="str">
        <f t="array" ref="AA421">_xlfn.XLOOKUP(Y421,DATAPremium!A:A,DATAPremium!C:C,"")</f>
        <v/>
      </c>
    </row>
    <row r="422">
      <c r="X422" s="88" t="str">
        <f t="array" ref="X422">_xlfn.XLOOKUP("Other",Stock1!A422,Stock1!I422,"")</f>
        <v/>
      </c>
      <c r="Y422" s="95" t="str">
        <f t="array" ref="Y422">_xlfn.XLOOKUP(X422,Stock1!I422,Stock1!F422,"")</f>
        <v/>
      </c>
      <c r="Z422" s="95" t="str">
        <f t="array" ref="Z422">_xlfn.XLOOKUP(X422,Stock1!I422,Stock1!J422,"")</f>
        <v/>
      </c>
      <c r="AA422" s="102" t="str">
        <f t="array" ref="AA422">_xlfn.XLOOKUP(Y422,DATAPremium!A:A,DATAPremium!C:C,"")</f>
        <v/>
      </c>
    </row>
    <row r="423">
      <c r="X423" s="88" t="str">
        <f t="array" ref="X423">_xlfn.XLOOKUP("Other",Stock1!A423,Stock1!I423,"")</f>
        <v/>
      </c>
      <c r="Y423" s="95" t="str">
        <f t="array" ref="Y423">_xlfn.XLOOKUP(X423,Stock1!I423,Stock1!F423,"")</f>
        <v/>
      </c>
      <c r="Z423" s="95" t="str">
        <f t="array" ref="Z423">_xlfn.XLOOKUP(X423,Stock1!I423,Stock1!J423,"")</f>
        <v/>
      </c>
      <c r="AA423" s="102" t="str">
        <f t="array" ref="AA423">_xlfn.XLOOKUP(Y423,DATAPremium!A:A,DATAPremium!C:C,"")</f>
        <v/>
      </c>
    </row>
    <row r="424">
      <c r="X424" s="88" t="str">
        <f t="array" ref="X424">_xlfn.XLOOKUP("Other",Stock1!A424,Stock1!I424,"")</f>
        <v/>
      </c>
      <c r="Y424" s="95" t="str">
        <f t="array" ref="Y424">_xlfn.XLOOKUP(X424,Stock1!I424,Stock1!F424,"")</f>
        <v/>
      </c>
      <c r="Z424" s="95" t="str">
        <f t="array" ref="Z424">_xlfn.XLOOKUP(X424,Stock1!I424,Stock1!J424,"")</f>
        <v/>
      </c>
      <c r="AA424" s="102" t="str">
        <f t="array" ref="AA424">_xlfn.XLOOKUP(Y424,DATAPremium!A:A,DATAPremium!C:C,"")</f>
        <v/>
      </c>
    </row>
    <row r="425">
      <c r="X425" s="88" t="str">
        <f t="array" ref="X425">_xlfn.XLOOKUP("Other",Stock1!A425,Stock1!I425,"")</f>
        <v/>
      </c>
      <c r="Y425" s="95" t="str">
        <f t="array" ref="Y425">_xlfn.XLOOKUP(X425,Stock1!I425,Stock1!F425,"")</f>
        <v/>
      </c>
      <c r="Z425" s="95" t="str">
        <f t="array" ref="Z425">_xlfn.XLOOKUP(X425,Stock1!I425,Stock1!J425,"")</f>
        <v/>
      </c>
      <c r="AA425" s="102" t="str">
        <f t="array" ref="AA425">_xlfn.XLOOKUP(Y425,DATAPremium!A:A,DATAPremium!C:C,"")</f>
        <v/>
      </c>
    </row>
    <row r="426">
      <c r="X426" s="88" t="str">
        <f t="array" ref="X426">_xlfn.XLOOKUP("Other",Stock1!A426,Stock1!I426,"")</f>
        <v/>
      </c>
      <c r="Y426" s="95" t="str">
        <f t="array" ref="Y426">_xlfn.XLOOKUP(X426,Stock1!I426,Stock1!F426,"")</f>
        <v/>
      </c>
      <c r="Z426" s="95" t="str">
        <f t="array" ref="Z426">_xlfn.XLOOKUP(X426,Stock1!I426,Stock1!J426,"")</f>
        <v/>
      </c>
      <c r="AA426" s="102" t="str">
        <f t="array" ref="AA426">_xlfn.XLOOKUP(Y426,DATAPremium!A:A,DATAPremium!C:C,"")</f>
        <v/>
      </c>
    </row>
    <row r="427">
      <c r="X427" s="88" t="str">
        <f t="array" ref="X427">_xlfn.XLOOKUP("Other",Stock1!A427,Stock1!I427,"")</f>
        <v/>
      </c>
      <c r="Y427" s="95" t="str">
        <f t="array" ref="Y427">_xlfn.XLOOKUP(X427,Stock1!I427,Stock1!F427,"")</f>
        <v/>
      </c>
      <c r="Z427" s="95" t="str">
        <f t="array" ref="Z427">_xlfn.XLOOKUP(X427,Stock1!I427,Stock1!J427,"")</f>
        <v/>
      </c>
      <c r="AA427" s="102" t="str">
        <f t="array" ref="AA427">_xlfn.XLOOKUP(Y427,DATAPremium!A:A,DATAPremium!C:C,"")</f>
        <v/>
      </c>
    </row>
    <row r="428">
      <c r="X428" s="88" t="str">
        <f t="array" ref="X428">_xlfn.XLOOKUP("Other",Stock1!A428,Stock1!I428,"")</f>
        <v/>
      </c>
      <c r="Y428" s="95" t="str">
        <f t="array" ref="Y428">_xlfn.XLOOKUP(X428,Stock1!I428,Stock1!F428,"")</f>
        <v/>
      </c>
      <c r="Z428" s="95" t="str">
        <f t="array" ref="Z428">_xlfn.XLOOKUP(X428,Stock1!I428,Stock1!J428,"")</f>
        <v/>
      </c>
      <c r="AA428" s="102" t="str">
        <f t="array" ref="AA428">_xlfn.XLOOKUP(Y428,DATAPremium!A:A,DATAPremium!C:C,"")</f>
        <v/>
      </c>
    </row>
    <row r="429">
      <c r="X429" s="88" t="str">
        <f t="array" ref="X429">_xlfn.XLOOKUP("Other",Stock1!A429,Stock1!I429,"")</f>
        <v/>
      </c>
      <c r="Y429" s="95" t="str">
        <f t="array" ref="Y429">_xlfn.XLOOKUP(X429,Stock1!I429,Stock1!F429,"")</f>
        <v/>
      </c>
      <c r="Z429" s="95" t="str">
        <f t="array" ref="Z429">_xlfn.XLOOKUP(X429,Stock1!I429,Stock1!J429,"")</f>
        <v/>
      </c>
      <c r="AA429" s="102" t="str">
        <f t="array" ref="AA429">_xlfn.XLOOKUP(Y429,DATAPremium!A:A,DATAPremium!C:C,"")</f>
        <v/>
      </c>
    </row>
    <row r="430">
      <c r="X430" s="88" t="str">
        <f t="array" ref="X430">_xlfn.XLOOKUP("Other",Stock1!A430,Stock1!I430,"")</f>
        <v/>
      </c>
      <c r="Y430" s="95" t="str">
        <f t="array" ref="Y430">_xlfn.XLOOKUP(X430,Stock1!I430,Stock1!F430,"")</f>
        <v/>
      </c>
      <c r="Z430" s="95" t="str">
        <f t="array" ref="Z430">_xlfn.XLOOKUP(X430,Stock1!I430,Stock1!J430,"")</f>
        <v/>
      </c>
      <c r="AA430" s="102" t="str">
        <f t="array" ref="AA430">_xlfn.XLOOKUP(Y430,DATAPremium!A:A,DATAPremium!C:C,"")</f>
        <v/>
      </c>
    </row>
    <row r="431">
      <c r="X431" s="88" t="str">
        <f t="array" ref="X431">_xlfn.XLOOKUP("Other",Stock1!A431,Stock1!I431,"")</f>
        <v/>
      </c>
      <c r="Y431" s="95" t="str">
        <f t="array" ref="Y431">_xlfn.XLOOKUP(X431,Stock1!I431,Stock1!F431,"")</f>
        <v/>
      </c>
      <c r="Z431" s="95" t="str">
        <f t="array" ref="Z431">_xlfn.XLOOKUP(X431,Stock1!I431,Stock1!J431,"")</f>
        <v/>
      </c>
      <c r="AA431" s="102" t="str">
        <f t="array" ref="AA431">_xlfn.XLOOKUP(Y431,DATAPremium!A:A,DATAPremium!C:C,"")</f>
        <v/>
      </c>
    </row>
    <row r="432">
      <c r="X432" s="88" t="str">
        <f t="array" ref="X432">_xlfn.XLOOKUP("Other",Stock1!A432,Stock1!I432,"")</f>
        <v/>
      </c>
      <c r="Y432" s="95" t="str">
        <f t="array" ref="Y432">_xlfn.XLOOKUP(X432,Stock1!I432,Stock1!F432,"")</f>
        <v/>
      </c>
      <c r="Z432" s="95" t="str">
        <f t="array" ref="Z432">_xlfn.XLOOKUP(X432,Stock1!I432,Stock1!J432,"")</f>
        <v/>
      </c>
      <c r="AA432" s="102" t="str">
        <f t="array" ref="AA432">_xlfn.XLOOKUP(Y432,DATAPremium!A:A,DATAPremium!C:C,"")</f>
        <v/>
      </c>
    </row>
    <row r="433">
      <c r="X433" s="88" t="str">
        <f t="array" ref="X433">_xlfn.XLOOKUP("Other",Stock1!A433,Stock1!I433,"")</f>
        <v/>
      </c>
      <c r="Y433" s="95" t="str">
        <f t="array" ref="Y433">_xlfn.XLOOKUP(X433,Stock1!I433,Stock1!F433,"")</f>
        <v/>
      </c>
      <c r="Z433" s="95" t="str">
        <f t="array" ref="Z433">_xlfn.XLOOKUP(X433,Stock1!I433,Stock1!J433,"")</f>
        <v/>
      </c>
      <c r="AA433" s="102" t="str">
        <f t="array" ref="AA433">_xlfn.XLOOKUP(Y433,DATAPremium!A:A,DATAPremium!C:C,"")</f>
        <v/>
      </c>
    </row>
    <row r="434">
      <c r="X434" s="88" t="str">
        <f t="array" ref="X434">_xlfn.XLOOKUP("Other",Stock1!A434,Stock1!I434,"")</f>
        <v/>
      </c>
      <c r="Y434" s="95" t="str">
        <f t="array" ref="Y434">_xlfn.XLOOKUP(X434,Stock1!I434,Stock1!F434,"")</f>
        <v/>
      </c>
      <c r="Z434" s="95" t="str">
        <f t="array" ref="Z434">_xlfn.XLOOKUP(X434,Stock1!I434,Stock1!J434,"")</f>
        <v/>
      </c>
      <c r="AA434" s="102" t="str">
        <f t="array" ref="AA434">_xlfn.XLOOKUP(Y434,DATAPremium!A:A,DATAPremium!C:C,"")</f>
        <v/>
      </c>
    </row>
    <row r="435">
      <c r="X435" s="88" t="str">
        <f t="array" ref="X435">_xlfn.XLOOKUP("Other",Stock1!A435,Stock1!I435,"")</f>
        <v/>
      </c>
      <c r="Y435" s="95" t="str">
        <f t="array" ref="Y435">_xlfn.XLOOKUP(X435,Stock1!I435,Stock1!F435,"")</f>
        <v/>
      </c>
      <c r="Z435" s="95" t="str">
        <f t="array" ref="Z435">_xlfn.XLOOKUP(X435,Stock1!I435,Stock1!J435,"")</f>
        <v/>
      </c>
      <c r="AA435" s="102" t="str">
        <f t="array" ref="AA435">_xlfn.XLOOKUP(Y435,DATAPremium!A:A,DATAPremium!C:C,"")</f>
        <v/>
      </c>
    </row>
    <row r="436">
      <c r="X436" s="88" t="str">
        <f t="array" ref="X436">_xlfn.XLOOKUP("Other",Stock1!A436,Stock1!I436,"")</f>
        <v/>
      </c>
      <c r="Y436" s="95" t="str">
        <f t="array" ref="Y436">_xlfn.XLOOKUP(X436,Stock1!I436,Stock1!F436,"")</f>
        <v/>
      </c>
      <c r="Z436" s="95" t="str">
        <f t="array" ref="Z436">_xlfn.XLOOKUP(X436,Stock1!I436,Stock1!J436,"")</f>
        <v/>
      </c>
      <c r="AA436" s="102" t="str">
        <f t="array" ref="AA436">_xlfn.XLOOKUP(Y436,DATAPremium!A:A,DATAPremium!C:C,"")</f>
        <v/>
      </c>
    </row>
    <row r="437">
      <c r="X437" s="88" t="str">
        <f t="array" ref="X437">_xlfn.XLOOKUP("Other",Stock1!A437,Stock1!I437,"")</f>
        <v/>
      </c>
      <c r="Y437" s="95" t="str">
        <f t="array" ref="Y437">_xlfn.XLOOKUP(X437,Stock1!I437,Stock1!F437,"")</f>
        <v/>
      </c>
      <c r="Z437" s="95" t="str">
        <f t="array" ref="Z437">_xlfn.XLOOKUP(X437,Stock1!I437,Stock1!J437,"")</f>
        <v/>
      </c>
      <c r="AA437" s="102" t="str">
        <f t="array" ref="AA437">_xlfn.XLOOKUP(Y437,DATAPremium!A:A,DATAPremium!C:C,"")</f>
        <v/>
      </c>
    </row>
    <row r="438">
      <c r="X438" s="88" t="str">
        <f t="array" ref="X438">_xlfn.XLOOKUP("Other",Stock1!A438,Stock1!I438,"")</f>
        <v/>
      </c>
      <c r="Y438" s="95" t="str">
        <f t="array" ref="Y438">_xlfn.XLOOKUP(X438,Stock1!I438,Stock1!F438,"")</f>
        <v/>
      </c>
      <c r="Z438" s="95" t="str">
        <f t="array" ref="Z438">_xlfn.XLOOKUP(X438,Stock1!I438,Stock1!J438,"")</f>
        <v/>
      </c>
      <c r="AA438" s="102" t="str">
        <f t="array" ref="AA438">_xlfn.XLOOKUP(Y438,DATAPremium!A:A,DATAPremium!C:C,"")</f>
        <v/>
      </c>
    </row>
    <row r="439">
      <c r="X439" s="88" t="str">
        <f t="array" ref="X439">_xlfn.XLOOKUP("Other",Stock1!A439,Stock1!I439,"")</f>
        <v/>
      </c>
      <c r="Y439" s="95" t="str">
        <f t="array" ref="Y439">_xlfn.XLOOKUP(X439,Stock1!I439,Stock1!F439,"")</f>
        <v/>
      </c>
      <c r="Z439" s="95" t="str">
        <f t="array" ref="Z439">_xlfn.XLOOKUP(X439,Stock1!I439,Stock1!J439,"")</f>
        <v/>
      </c>
      <c r="AA439" s="102" t="str">
        <f t="array" ref="AA439">_xlfn.XLOOKUP(Y439,DATAPremium!A:A,DATAPremium!C:C,"")</f>
        <v/>
      </c>
    </row>
    <row r="440">
      <c r="X440" s="88" t="str">
        <f t="array" ref="X440">_xlfn.XLOOKUP("Other",Stock1!A440,Stock1!I440,"")</f>
        <v/>
      </c>
      <c r="Y440" s="95" t="str">
        <f t="array" ref="Y440">_xlfn.XLOOKUP(X440,Stock1!I440,Stock1!F440,"")</f>
        <v/>
      </c>
      <c r="Z440" s="95" t="str">
        <f t="array" ref="Z440">_xlfn.XLOOKUP(X440,Stock1!I440,Stock1!J440,"")</f>
        <v/>
      </c>
      <c r="AA440" s="102" t="str">
        <f t="array" ref="AA440">_xlfn.XLOOKUP(Y440,DATAPremium!A:A,DATAPremium!C:C,"")</f>
        <v/>
      </c>
    </row>
    <row r="441">
      <c r="X441" s="88" t="str">
        <f t="array" ref="X441">_xlfn.XLOOKUP("Other",Stock1!A441,Stock1!I441,"")</f>
        <v/>
      </c>
      <c r="Y441" s="95" t="str">
        <f t="array" ref="Y441">_xlfn.XLOOKUP(X441,Stock1!I441,Stock1!F441,"")</f>
        <v/>
      </c>
      <c r="Z441" s="95" t="str">
        <f t="array" ref="Z441">_xlfn.XLOOKUP(X441,Stock1!I441,Stock1!J441,"")</f>
        <v/>
      </c>
      <c r="AA441" s="102" t="str">
        <f t="array" ref="AA441">_xlfn.XLOOKUP(Y441,DATAPremium!A:A,DATAPremium!C:C,"")</f>
        <v/>
      </c>
    </row>
    <row r="442">
      <c r="X442" s="88" t="str">
        <f t="array" ref="X442">_xlfn.XLOOKUP("Other",Stock1!A442,Stock1!I442,"")</f>
        <v/>
      </c>
      <c r="Y442" s="95" t="str">
        <f t="array" ref="Y442">_xlfn.XLOOKUP(X442,Stock1!I442,Stock1!F442,"")</f>
        <v/>
      </c>
      <c r="Z442" s="95" t="str">
        <f t="array" ref="Z442">_xlfn.XLOOKUP(X442,Stock1!I442,Stock1!J442,"")</f>
        <v/>
      </c>
      <c r="AA442" s="102" t="str">
        <f t="array" ref="AA442">_xlfn.XLOOKUP(Y442,DATAPremium!A:A,DATAPremium!C:C,"")</f>
        <v/>
      </c>
    </row>
    <row r="443">
      <c r="X443" s="88" t="str">
        <f t="array" ref="X443">_xlfn.XLOOKUP("Other",Stock1!A443,Stock1!I443,"")</f>
        <v/>
      </c>
      <c r="Y443" s="95" t="str">
        <f t="array" ref="Y443">_xlfn.XLOOKUP(X443,Stock1!I443,Stock1!F443,"")</f>
        <v/>
      </c>
      <c r="Z443" s="95" t="str">
        <f t="array" ref="Z443">_xlfn.XLOOKUP(X443,Stock1!I443,Stock1!J443,"")</f>
        <v/>
      </c>
      <c r="AA443" s="102" t="str">
        <f t="array" ref="AA443">_xlfn.XLOOKUP(Y443,DATAPremium!A:A,DATAPremium!C:C,"")</f>
        <v/>
      </c>
    </row>
    <row r="444">
      <c r="X444" s="88" t="str">
        <f t="array" ref="X444">_xlfn.XLOOKUP("Other",Stock1!A444,Stock1!I444,"")</f>
        <v/>
      </c>
      <c r="Y444" s="95" t="str">
        <f t="array" ref="Y444">_xlfn.XLOOKUP(X444,Stock1!I444,Stock1!F444,"")</f>
        <v/>
      </c>
      <c r="Z444" s="95" t="str">
        <f t="array" ref="Z444">_xlfn.XLOOKUP(X444,Stock1!I444,Stock1!J444,"")</f>
        <v/>
      </c>
      <c r="AA444" s="102" t="str">
        <f t="array" ref="AA444">_xlfn.XLOOKUP(Y444,DATAPremium!A:A,DATAPremium!C:C,"")</f>
        <v/>
      </c>
    </row>
    <row r="445">
      <c r="X445" s="88" t="str">
        <f t="array" ref="X445">_xlfn.XLOOKUP("Other",Stock1!A445,Stock1!I445,"")</f>
        <v/>
      </c>
      <c r="Y445" s="95" t="str">
        <f t="array" ref="Y445">_xlfn.XLOOKUP(X445,Stock1!I445,Stock1!F445,"")</f>
        <v/>
      </c>
      <c r="Z445" s="95" t="str">
        <f t="array" ref="Z445">_xlfn.XLOOKUP(X445,Stock1!I445,Stock1!J445,"")</f>
        <v/>
      </c>
      <c r="AA445" s="102" t="str">
        <f t="array" ref="AA445">_xlfn.XLOOKUP(Y445,DATAPremium!A:A,DATAPremium!C:C,"")</f>
        <v/>
      </c>
    </row>
    <row r="446">
      <c r="X446" s="88" t="str">
        <f t="array" ref="X446">_xlfn.XLOOKUP("Other",Stock1!A446,Stock1!I446,"")</f>
        <v/>
      </c>
      <c r="Y446" s="95" t="str">
        <f t="array" ref="Y446">_xlfn.XLOOKUP(X446,Stock1!I446,Stock1!F446,"")</f>
        <v/>
      </c>
      <c r="Z446" s="95" t="str">
        <f t="array" ref="Z446">_xlfn.XLOOKUP(X446,Stock1!I446,Stock1!J446,"")</f>
        <v/>
      </c>
      <c r="AA446" s="102" t="str">
        <f t="array" ref="AA446">_xlfn.XLOOKUP(Y446,DATAPremium!A:A,DATAPremium!C:C,"")</f>
        <v/>
      </c>
    </row>
    <row r="447">
      <c r="X447" s="88" t="str">
        <f t="array" ref="X447">_xlfn.XLOOKUP("Other",Stock1!A447,Stock1!I447,"")</f>
        <v/>
      </c>
      <c r="Y447" s="95" t="str">
        <f t="array" ref="Y447">_xlfn.XLOOKUP(X447,Stock1!I447,Stock1!F447,"")</f>
        <v/>
      </c>
      <c r="Z447" s="95" t="str">
        <f t="array" ref="Z447">_xlfn.XLOOKUP(X447,Stock1!I447,Stock1!J447,"")</f>
        <v/>
      </c>
      <c r="AA447" s="102" t="str">
        <f t="array" ref="AA447">_xlfn.XLOOKUP(Y447,DATAPremium!A:A,DATAPremium!C:C,"")</f>
        <v/>
      </c>
    </row>
    <row r="448">
      <c r="X448" s="88" t="str">
        <f t="array" ref="X448">_xlfn.XLOOKUP("Other",Stock1!A448,Stock1!I448,"")</f>
        <v/>
      </c>
      <c r="Y448" s="95" t="str">
        <f t="array" ref="Y448">_xlfn.XLOOKUP(X448,Stock1!I448,Stock1!F448,"")</f>
        <v/>
      </c>
      <c r="Z448" s="95" t="str">
        <f t="array" ref="Z448">_xlfn.XLOOKUP(X448,Stock1!I448,Stock1!J448,"")</f>
        <v/>
      </c>
      <c r="AA448" s="102" t="str">
        <f t="array" ref="AA448">_xlfn.XLOOKUP(Y448,DATAPremium!A:A,DATAPremium!C:C,"")</f>
        <v/>
      </c>
    </row>
    <row r="449">
      <c r="X449" s="88" t="str">
        <f t="array" ref="X449">_xlfn.XLOOKUP("Other",Stock1!A449,Stock1!I449,"")</f>
        <v/>
      </c>
      <c r="Y449" s="95" t="str">
        <f t="array" ref="Y449">_xlfn.XLOOKUP(X449,Stock1!I449,Stock1!F449,"")</f>
        <v/>
      </c>
      <c r="Z449" s="95" t="str">
        <f t="array" ref="Z449">_xlfn.XLOOKUP(X449,Stock1!I449,Stock1!J449,"")</f>
        <v/>
      </c>
      <c r="AA449" s="102" t="str">
        <f t="array" ref="AA449">_xlfn.XLOOKUP(Y449,DATAPremium!A:A,DATAPremium!C:C,"")</f>
        <v/>
      </c>
    </row>
    <row r="450">
      <c r="X450" s="88" t="str">
        <f t="array" ref="X450">_xlfn.XLOOKUP("Other",Stock1!A450,Stock1!I450,"")</f>
        <v/>
      </c>
      <c r="Y450" s="95" t="str">
        <f t="array" ref="Y450">_xlfn.XLOOKUP(X450,Stock1!I450,Stock1!F450,"")</f>
        <v/>
      </c>
      <c r="Z450" s="95" t="str">
        <f t="array" ref="Z450">_xlfn.XLOOKUP(X450,Stock1!I450,Stock1!J450,"")</f>
        <v/>
      </c>
      <c r="AA450" s="102" t="str">
        <f t="array" ref="AA450">_xlfn.XLOOKUP(Y450,DATAPremium!A:A,DATAPremium!C:C,"")</f>
        <v/>
      </c>
    </row>
    <row r="451">
      <c r="X451" s="88" t="str">
        <f t="array" ref="X451">_xlfn.XLOOKUP("Other",Stock1!A451,Stock1!I451,"")</f>
        <v/>
      </c>
      <c r="Y451" s="95" t="str">
        <f t="array" ref="Y451">_xlfn.XLOOKUP(X451,Stock1!I451,Stock1!F451,"")</f>
        <v/>
      </c>
      <c r="Z451" s="95" t="str">
        <f t="array" ref="Z451">_xlfn.XLOOKUP(X451,Stock1!I451,Stock1!J451,"")</f>
        <v/>
      </c>
      <c r="AA451" s="102" t="str">
        <f t="array" ref="AA451">_xlfn.XLOOKUP(Y451,DATAPremium!A:A,DATAPremium!C:C,"")</f>
        <v/>
      </c>
    </row>
    <row r="452">
      <c r="X452" s="88" t="str">
        <f t="array" ref="X452">_xlfn.XLOOKUP("Other",Stock1!A452,Stock1!I452,"")</f>
        <v/>
      </c>
      <c r="Y452" s="95" t="str">
        <f t="array" ref="Y452">_xlfn.XLOOKUP(X452,Stock1!I452,Stock1!F452,"")</f>
        <v/>
      </c>
      <c r="Z452" s="95" t="str">
        <f t="array" ref="Z452">_xlfn.XLOOKUP(X452,Stock1!I452,Stock1!J452,"")</f>
        <v/>
      </c>
      <c r="AA452" s="102" t="str">
        <f t="array" ref="AA452">_xlfn.XLOOKUP(Y452,DATAPremium!A:A,DATAPremium!C:C,"")</f>
        <v/>
      </c>
    </row>
    <row r="453">
      <c r="X453" s="88" t="str">
        <f t="array" ref="X453">_xlfn.XLOOKUP("Other",Stock1!A453,Stock1!I453,"")</f>
        <v/>
      </c>
      <c r="Y453" s="95" t="str">
        <f t="array" ref="Y453">_xlfn.XLOOKUP(X453,Stock1!I453,Stock1!F453,"")</f>
        <v/>
      </c>
      <c r="Z453" s="95" t="str">
        <f t="array" ref="Z453">_xlfn.XLOOKUP(X453,Stock1!I453,Stock1!J453,"")</f>
        <v/>
      </c>
      <c r="AA453" s="102" t="str">
        <f t="array" ref="AA453">_xlfn.XLOOKUP(Y453,DATAPremium!A:A,DATAPremium!C:C,"")</f>
        <v/>
      </c>
    </row>
    <row r="454">
      <c r="X454" s="88" t="str">
        <f t="array" ref="X454">_xlfn.XLOOKUP("Other",Stock1!A454,Stock1!I454,"")</f>
        <v/>
      </c>
      <c r="Y454" s="95" t="str">
        <f t="array" ref="Y454">_xlfn.XLOOKUP(X454,Stock1!I454,Stock1!F454,"")</f>
        <v/>
      </c>
      <c r="Z454" s="95" t="str">
        <f t="array" ref="Z454">_xlfn.XLOOKUP(X454,Stock1!I454,Stock1!J454,"")</f>
        <v/>
      </c>
      <c r="AA454" s="102" t="str">
        <f t="array" ref="AA454">_xlfn.XLOOKUP(Y454,DATAPremium!A:A,DATAPremium!C:C,"")</f>
        <v/>
      </c>
    </row>
    <row r="455">
      <c r="X455" s="88" t="str">
        <f t="array" ref="X455">_xlfn.XLOOKUP("Other",Stock1!A455,Stock1!I455,"")</f>
        <v/>
      </c>
      <c r="Y455" s="95" t="str">
        <f t="array" ref="Y455">_xlfn.XLOOKUP(X455,Stock1!I455,Stock1!F455,"")</f>
        <v/>
      </c>
      <c r="Z455" s="95" t="str">
        <f t="array" ref="Z455">_xlfn.XLOOKUP(X455,Stock1!I455,Stock1!J455,"")</f>
        <v/>
      </c>
      <c r="AA455" s="102" t="str">
        <f t="array" ref="AA455">_xlfn.XLOOKUP(Y455,DATAPremium!A:A,DATAPremium!C:C,"")</f>
        <v/>
      </c>
    </row>
    <row r="456">
      <c r="X456" s="88" t="str">
        <f t="array" ref="X456">_xlfn.XLOOKUP("Other",Stock1!A456,Stock1!I456,"")</f>
        <v/>
      </c>
      <c r="Y456" s="95" t="str">
        <f t="array" ref="Y456">_xlfn.XLOOKUP(X456,Stock1!I456,Stock1!F456,"")</f>
        <v/>
      </c>
      <c r="Z456" s="95" t="str">
        <f t="array" ref="Z456">_xlfn.XLOOKUP(X456,Stock1!I456,Stock1!J456,"")</f>
        <v/>
      </c>
      <c r="AA456" s="102" t="str">
        <f t="array" ref="AA456">_xlfn.XLOOKUP(Y456,DATAPremium!A:A,DATAPremium!C:C,"")</f>
        <v/>
      </c>
    </row>
    <row r="457">
      <c r="X457" s="88" t="str">
        <f t="array" ref="X457">_xlfn.XLOOKUP("Other",Stock1!A457,Stock1!I457,"")</f>
        <v/>
      </c>
      <c r="Y457" s="95" t="str">
        <f t="array" ref="Y457">_xlfn.XLOOKUP(X457,Stock1!I457,Stock1!F457,"")</f>
        <v/>
      </c>
      <c r="Z457" s="95" t="str">
        <f t="array" ref="Z457">_xlfn.XLOOKUP(X457,Stock1!I457,Stock1!J457,"")</f>
        <v/>
      </c>
      <c r="AA457" s="102" t="str">
        <f t="array" ref="AA457">_xlfn.XLOOKUP(Y457,DATAPremium!A:A,DATAPremium!C:C,"")</f>
        <v/>
      </c>
    </row>
    <row r="458">
      <c r="X458" s="88" t="str">
        <f t="array" ref="X458">_xlfn.XLOOKUP("Other",Stock1!A458,Stock1!I458,"")</f>
        <v/>
      </c>
      <c r="Y458" s="95" t="str">
        <f t="array" ref="Y458">_xlfn.XLOOKUP(X458,Stock1!I458,Stock1!F458,"")</f>
        <v/>
      </c>
      <c r="Z458" s="95" t="str">
        <f t="array" ref="Z458">_xlfn.XLOOKUP(X458,Stock1!I458,Stock1!J458,"")</f>
        <v/>
      </c>
      <c r="AA458" s="102" t="str">
        <f t="array" ref="AA458">_xlfn.XLOOKUP(Y458,DATAPremium!A:A,DATAPremium!C:C,"")</f>
        <v/>
      </c>
    </row>
    <row r="459">
      <c r="X459" s="88" t="str">
        <f t="array" ref="X459">_xlfn.XLOOKUP("Other",Stock1!A459,Stock1!I459,"")</f>
        <v/>
      </c>
      <c r="Y459" s="95" t="str">
        <f t="array" ref="Y459">_xlfn.XLOOKUP(X459,Stock1!I459,Stock1!F459,"")</f>
        <v/>
      </c>
      <c r="Z459" s="95" t="str">
        <f t="array" ref="Z459">_xlfn.XLOOKUP(X459,Stock1!I459,Stock1!J459,"")</f>
        <v/>
      </c>
      <c r="AA459" s="102" t="str">
        <f t="array" ref="AA459">_xlfn.XLOOKUP(Y459,DATAPremium!A:A,DATAPremium!C:C,"")</f>
        <v/>
      </c>
    </row>
    <row r="460">
      <c r="X460" s="88" t="str">
        <f t="array" ref="X460">_xlfn.XLOOKUP("Other",Stock1!A460,Stock1!I460,"")</f>
        <v/>
      </c>
      <c r="Y460" s="95" t="str">
        <f t="array" ref="Y460">_xlfn.XLOOKUP(X460,Stock1!I460,Stock1!F460,"")</f>
        <v/>
      </c>
      <c r="Z460" s="95" t="str">
        <f t="array" ref="Z460">_xlfn.XLOOKUP(X460,Stock1!I460,Stock1!J460,"")</f>
        <v/>
      </c>
      <c r="AA460" s="102" t="str">
        <f t="array" ref="AA460">_xlfn.XLOOKUP(Y460,DATAPremium!A:A,DATAPremium!C:C,"")</f>
        <v/>
      </c>
    </row>
    <row r="461">
      <c r="X461" s="88" t="str">
        <f t="array" ref="X461">_xlfn.XLOOKUP("Other",Stock1!A461,Stock1!I461,"")</f>
        <v/>
      </c>
      <c r="Y461" s="95" t="str">
        <f t="array" ref="Y461">_xlfn.XLOOKUP(X461,Stock1!I461,Stock1!F461,"")</f>
        <v/>
      </c>
      <c r="Z461" s="95" t="str">
        <f t="array" ref="Z461">_xlfn.XLOOKUP(X461,Stock1!I461,Stock1!J461,"")</f>
        <v/>
      </c>
      <c r="AA461" s="102" t="str">
        <f t="array" ref="AA461">_xlfn.XLOOKUP(Y461,DATAPremium!A:A,DATAPremium!C:C,"")</f>
        <v/>
      </c>
    </row>
    <row r="462">
      <c r="X462" s="88" t="str">
        <f t="array" ref="X462">_xlfn.XLOOKUP("Other",Stock1!A462,Stock1!I462,"")</f>
        <v/>
      </c>
      <c r="Y462" s="95" t="str">
        <f t="array" ref="Y462">_xlfn.XLOOKUP(X462,Stock1!I462,Stock1!F462,"")</f>
        <v/>
      </c>
      <c r="Z462" s="95" t="str">
        <f t="array" ref="Z462">_xlfn.XLOOKUP(X462,Stock1!I462,Stock1!J462,"")</f>
        <v/>
      </c>
      <c r="AA462" s="102" t="str">
        <f t="array" ref="AA462">_xlfn.XLOOKUP(Y462,DATAPremium!A:A,DATAPremium!C:C,"")</f>
        <v/>
      </c>
    </row>
    <row r="463">
      <c r="X463" s="88" t="str">
        <f t="array" ref="X463">_xlfn.XLOOKUP("Other",Stock1!A463,Stock1!I463,"")</f>
        <v/>
      </c>
      <c r="Y463" s="95" t="str">
        <f t="array" ref="Y463">_xlfn.XLOOKUP(X463,Stock1!I463,Stock1!F463,"")</f>
        <v/>
      </c>
      <c r="Z463" s="95" t="str">
        <f t="array" ref="Z463">_xlfn.XLOOKUP(X463,Stock1!I463,Stock1!J463,"")</f>
        <v/>
      </c>
      <c r="AA463" s="102" t="str">
        <f t="array" ref="AA463">_xlfn.XLOOKUP(Y463,DATAPremium!A:A,DATAPremium!C:C,"")</f>
        <v/>
      </c>
    </row>
    <row r="464">
      <c r="X464" s="88" t="str">
        <f t="array" ref="X464">_xlfn.XLOOKUP("Other",Stock1!A464,Stock1!I464,"")</f>
        <v/>
      </c>
      <c r="Y464" s="95" t="str">
        <f t="array" ref="Y464">_xlfn.XLOOKUP(X464,Stock1!I464,Stock1!F464,"")</f>
        <v/>
      </c>
      <c r="Z464" s="95" t="str">
        <f t="array" ref="Z464">_xlfn.XLOOKUP(X464,Stock1!I464,Stock1!J464,"")</f>
        <v/>
      </c>
      <c r="AA464" s="102" t="str">
        <f t="array" ref="AA464">_xlfn.XLOOKUP(Y464,DATAPremium!A:A,DATAPremium!C:C,"")</f>
        <v/>
      </c>
    </row>
    <row r="465">
      <c r="X465" s="88" t="str">
        <f t="array" ref="X465">_xlfn.XLOOKUP("Other",Stock1!A465,Stock1!I465,"")</f>
        <v/>
      </c>
      <c r="Y465" s="95" t="str">
        <f t="array" ref="Y465">_xlfn.XLOOKUP(X465,Stock1!I465,Stock1!F465,"")</f>
        <v/>
      </c>
      <c r="Z465" s="95" t="str">
        <f t="array" ref="Z465">_xlfn.XLOOKUP(X465,Stock1!I465,Stock1!J465,"")</f>
        <v/>
      </c>
      <c r="AA465" s="102" t="str">
        <f t="array" ref="AA465">_xlfn.XLOOKUP(Y465,DATAPremium!A:A,DATAPremium!C:C,"")</f>
        <v/>
      </c>
    </row>
    <row r="466">
      <c r="X466" s="88" t="str">
        <f t="array" ref="X466">_xlfn.XLOOKUP("Other",Stock1!A466,Stock1!I466,"")</f>
        <v/>
      </c>
      <c r="Y466" s="95" t="str">
        <f t="array" ref="Y466">_xlfn.XLOOKUP(X466,Stock1!I466,Stock1!F466,"")</f>
        <v/>
      </c>
      <c r="Z466" s="95" t="str">
        <f t="array" ref="Z466">_xlfn.XLOOKUP(X466,Stock1!I466,Stock1!J466,"")</f>
        <v/>
      </c>
      <c r="AA466" s="102" t="str">
        <f t="array" ref="AA466">_xlfn.XLOOKUP(Y466,DATAPremium!A:A,DATAPremium!C:C,"")</f>
        <v/>
      </c>
    </row>
    <row r="467">
      <c r="X467" s="88" t="str">
        <f t="array" ref="X467">_xlfn.XLOOKUP("Other",Stock1!A467,Stock1!I467,"")</f>
        <v/>
      </c>
      <c r="Y467" s="95" t="str">
        <f t="array" ref="Y467">_xlfn.XLOOKUP(X467,Stock1!I467,Stock1!F467,"")</f>
        <v/>
      </c>
      <c r="Z467" s="95" t="str">
        <f t="array" ref="Z467">_xlfn.XLOOKUP(X467,Stock1!I467,Stock1!J467,"")</f>
        <v/>
      </c>
      <c r="AA467" s="102" t="str">
        <f t="array" ref="AA467">_xlfn.XLOOKUP(Y467,DATAPremium!A:A,DATAPremium!C:C,"")</f>
        <v/>
      </c>
    </row>
    <row r="468">
      <c r="X468" s="88" t="str">
        <f t="array" ref="X468">_xlfn.XLOOKUP("Other",Stock1!A468,Stock1!I468,"")</f>
        <v/>
      </c>
      <c r="Y468" s="95" t="str">
        <f t="array" ref="Y468">_xlfn.XLOOKUP(X468,Stock1!I468,Stock1!F468,"")</f>
        <v/>
      </c>
      <c r="Z468" s="95" t="str">
        <f t="array" ref="Z468">_xlfn.XLOOKUP(X468,Stock1!I468,Stock1!J468,"")</f>
        <v/>
      </c>
      <c r="AA468" s="102" t="str">
        <f t="array" ref="AA468">_xlfn.XLOOKUP(Y468,DATAPremium!A:A,DATAPremium!C:C,"")</f>
        <v/>
      </c>
    </row>
    <row r="469">
      <c r="X469" s="88" t="str">
        <f t="array" ref="X469">_xlfn.XLOOKUP("Other",Stock1!A469,Stock1!I469,"")</f>
        <v/>
      </c>
      <c r="Y469" s="95" t="str">
        <f t="array" ref="Y469">_xlfn.XLOOKUP(X469,Stock1!I469,Stock1!F469,"")</f>
        <v/>
      </c>
      <c r="Z469" s="95" t="str">
        <f t="array" ref="Z469">_xlfn.XLOOKUP(X469,Stock1!I469,Stock1!J469,"")</f>
        <v/>
      </c>
      <c r="AA469" s="102" t="str">
        <f t="array" ref="AA469">_xlfn.XLOOKUP(Y469,DATAPremium!A:A,DATAPremium!C:C,"")</f>
        <v/>
      </c>
    </row>
    <row r="470">
      <c r="X470" s="88" t="str">
        <f t="array" ref="X470">_xlfn.XLOOKUP("Other",Stock1!A470,Stock1!I470,"")</f>
        <v/>
      </c>
      <c r="Y470" s="95" t="str">
        <f t="array" ref="Y470">_xlfn.XLOOKUP(X470,Stock1!I470,Stock1!F470,"")</f>
        <v/>
      </c>
      <c r="Z470" s="95" t="str">
        <f t="array" ref="Z470">_xlfn.XLOOKUP(X470,Stock1!I470,Stock1!J470,"")</f>
        <v/>
      </c>
      <c r="AA470" s="102" t="str">
        <f t="array" ref="AA470">_xlfn.XLOOKUP(Y470,DATAPremium!A:A,DATAPremium!C:C,"")</f>
        <v/>
      </c>
    </row>
    <row r="471">
      <c r="X471" s="88" t="str">
        <f t="array" ref="X471">_xlfn.XLOOKUP("Other",Stock1!A471,Stock1!I471,"")</f>
        <v/>
      </c>
      <c r="Y471" s="95" t="str">
        <f t="array" ref="Y471">_xlfn.XLOOKUP(X471,Stock1!I471,Stock1!F471,"")</f>
        <v/>
      </c>
      <c r="Z471" s="95" t="str">
        <f t="array" ref="Z471">_xlfn.XLOOKUP(X471,Stock1!I471,Stock1!J471,"")</f>
        <v/>
      </c>
      <c r="AA471" s="102" t="str">
        <f t="array" ref="AA471">_xlfn.XLOOKUP(Y471,DATAPremium!A:A,DATAPremium!C:C,"")</f>
        <v/>
      </c>
    </row>
    <row r="472">
      <c r="X472" s="88" t="str">
        <f t="array" ref="X472">_xlfn.XLOOKUP("Other",Stock1!A472,Stock1!I472,"")</f>
        <v/>
      </c>
      <c r="Y472" s="95" t="str">
        <f t="array" ref="Y472">_xlfn.XLOOKUP(X472,Stock1!I472,Stock1!F472,"")</f>
        <v/>
      </c>
      <c r="Z472" s="95" t="str">
        <f t="array" ref="Z472">_xlfn.XLOOKUP(X472,Stock1!I472,Stock1!J472,"")</f>
        <v/>
      </c>
      <c r="AA472" s="102" t="str">
        <f t="array" ref="AA472">_xlfn.XLOOKUP(Y472,DATAPremium!A:A,DATAPremium!C:C,"")</f>
        <v/>
      </c>
    </row>
    <row r="473">
      <c r="X473" s="88" t="str">
        <f t="array" ref="X473">_xlfn.XLOOKUP("Other",Stock1!A473,Stock1!I473,"")</f>
        <v/>
      </c>
      <c r="Y473" s="95" t="str">
        <f t="array" ref="Y473">_xlfn.XLOOKUP(X473,Stock1!I473,Stock1!F473,"")</f>
        <v/>
      </c>
      <c r="Z473" s="95" t="str">
        <f t="array" ref="Z473">_xlfn.XLOOKUP(X473,Stock1!I473,Stock1!J473,"")</f>
        <v/>
      </c>
      <c r="AA473" s="102" t="str">
        <f t="array" ref="AA473">_xlfn.XLOOKUP(Y473,DATAPremium!A:A,DATAPremium!C:C,"")</f>
        <v/>
      </c>
    </row>
    <row r="474">
      <c r="X474" s="88" t="str">
        <f t="array" ref="X474">_xlfn.XLOOKUP("Other",Stock1!A474,Stock1!I474,"")</f>
        <v/>
      </c>
      <c r="Y474" s="95" t="str">
        <f t="array" ref="Y474">_xlfn.XLOOKUP(X474,Stock1!I474,Stock1!F474,"")</f>
        <v/>
      </c>
      <c r="Z474" s="95" t="str">
        <f t="array" ref="Z474">_xlfn.XLOOKUP(X474,Stock1!I474,Stock1!J474,"")</f>
        <v/>
      </c>
      <c r="AA474" s="102" t="str">
        <f t="array" ref="AA474">_xlfn.XLOOKUP(Y474,DATAPremium!A:A,DATAPremium!C:C,"")</f>
        <v/>
      </c>
    </row>
    <row r="475">
      <c r="X475" s="88" t="str">
        <f t="array" ref="X475">_xlfn.XLOOKUP("Other",Stock1!A475,Stock1!I475,"")</f>
        <v/>
      </c>
      <c r="Y475" s="95" t="str">
        <f t="array" ref="Y475">_xlfn.XLOOKUP(X475,Stock1!I475,Stock1!F475,"")</f>
        <v/>
      </c>
      <c r="Z475" s="95" t="str">
        <f t="array" ref="Z475">_xlfn.XLOOKUP(X475,Stock1!I475,Stock1!J475,"")</f>
        <v/>
      </c>
      <c r="AA475" s="102" t="str">
        <f t="array" ref="AA475">_xlfn.XLOOKUP(Y475,DATAPremium!A:A,DATAPremium!C:C,"")</f>
        <v/>
      </c>
    </row>
    <row r="476">
      <c r="X476" s="88" t="str">
        <f t="array" ref="X476">_xlfn.XLOOKUP("Other",Stock1!A476,Stock1!I476,"")</f>
        <v/>
      </c>
      <c r="Y476" s="95" t="str">
        <f t="array" ref="Y476">_xlfn.XLOOKUP(X476,Stock1!I476,Stock1!F476,"")</f>
        <v/>
      </c>
      <c r="Z476" s="95" t="str">
        <f t="array" ref="Z476">_xlfn.XLOOKUP(X476,Stock1!I476,Stock1!J476,"")</f>
        <v/>
      </c>
      <c r="AA476" s="102" t="str">
        <f t="array" ref="AA476">_xlfn.XLOOKUP(Y476,DATAPremium!A:A,DATAPremium!C:C,"")</f>
        <v/>
      </c>
    </row>
    <row r="477">
      <c r="X477" s="88" t="str">
        <f t="array" ref="X477">_xlfn.XLOOKUP("Other",Stock1!A477,Stock1!I477,"")</f>
        <v/>
      </c>
      <c r="Y477" s="95" t="str">
        <f t="array" ref="Y477">_xlfn.XLOOKUP(X477,Stock1!I477,Stock1!F477,"")</f>
        <v/>
      </c>
      <c r="Z477" s="95" t="str">
        <f t="array" ref="Z477">_xlfn.XLOOKUP(X477,Stock1!I477,Stock1!J477,"")</f>
        <v/>
      </c>
      <c r="AA477" s="102" t="str">
        <f t="array" ref="AA477">_xlfn.XLOOKUP(Y477,DATAPremium!A:A,DATAPremium!C:C,"")</f>
        <v/>
      </c>
    </row>
    <row r="478">
      <c r="X478" s="88" t="str">
        <f t="array" ref="X478">_xlfn.XLOOKUP("Other",Stock1!A478,Stock1!I478,"")</f>
        <v/>
      </c>
      <c r="Y478" s="95" t="str">
        <f t="array" ref="Y478">_xlfn.XLOOKUP(X478,Stock1!I478,Stock1!F478,"")</f>
        <v/>
      </c>
      <c r="Z478" s="95" t="str">
        <f t="array" ref="Z478">_xlfn.XLOOKUP(X478,Stock1!I478,Stock1!J478,"")</f>
        <v/>
      </c>
      <c r="AA478" s="102" t="str">
        <f t="array" ref="AA478">_xlfn.XLOOKUP(Y478,DATAPremium!A:A,DATAPremium!C:C,"")</f>
        <v/>
      </c>
    </row>
    <row r="479">
      <c r="X479" s="88" t="str">
        <f t="array" ref="X479">_xlfn.XLOOKUP("Other",Stock1!A479,Stock1!I479,"")</f>
        <v/>
      </c>
      <c r="Y479" s="95" t="str">
        <f t="array" ref="Y479">_xlfn.XLOOKUP(X479,Stock1!I479,Stock1!F479,"")</f>
        <v/>
      </c>
      <c r="Z479" s="95" t="str">
        <f t="array" ref="Z479">_xlfn.XLOOKUP(X479,Stock1!I479,Stock1!J479,"")</f>
        <v/>
      </c>
      <c r="AA479" s="102" t="str">
        <f t="array" ref="AA479">_xlfn.XLOOKUP(Y479,DATAPremium!A:A,DATAPremium!C:C,"")</f>
        <v/>
      </c>
    </row>
    <row r="480">
      <c r="X480" s="88" t="str">
        <f t="array" ref="X480">_xlfn.XLOOKUP("Other",Stock1!A480,Stock1!I480,"")</f>
        <v/>
      </c>
      <c r="Y480" s="95" t="str">
        <f t="array" ref="Y480">_xlfn.XLOOKUP(X480,Stock1!I480,Stock1!F480,"")</f>
        <v/>
      </c>
      <c r="Z480" s="95" t="str">
        <f t="array" ref="Z480">_xlfn.XLOOKUP(X480,Stock1!I480,Stock1!J480,"")</f>
        <v/>
      </c>
      <c r="AA480" s="102" t="str">
        <f t="array" ref="AA480">_xlfn.XLOOKUP(Y480,DATAPremium!A:A,DATAPremium!C:C,"")</f>
        <v/>
      </c>
    </row>
    <row r="481">
      <c r="X481" s="88" t="str">
        <f t="array" ref="X481">_xlfn.XLOOKUP("Other",Stock1!A481,Stock1!I481,"")</f>
        <v/>
      </c>
      <c r="Y481" s="95" t="str">
        <f t="array" ref="Y481">_xlfn.XLOOKUP(X481,Stock1!I481,Stock1!F481,"")</f>
        <v/>
      </c>
      <c r="Z481" s="95" t="str">
        <f t="array" ref="Z481">_xlfn.XLOOKUP(X481,Stock1!I481,Stock1!J481,"")</f>
        <v/>
      </c>
      <c r="AA481" s="102" t="str">
        <f t="array" ref="AA481">_xlfn.XLOOKUP(Y481,DATAPremium!A:A,DATAPremium!C:C,"")</f>
        <v/>
      </c>
    </row>
    <row r="482">
      <c r="X482" s="88" t="str">
        <f t="array" ref="X482">_xlfn.XLOOKUP("Other",Stock1!A482,Stock1!I482,"")</f>
        <v/>
      </c>
      <c r="Y482" s="95" t="str">
        <f t="array" ref="Y482">_xlfn.XLOOKUP(X482,Stock1!I482,Stock1!F482,"")</f>
        <v/>
      </c>
      <c r="Z482" s="95" t="str">
        <f t="array" ref="Z482">_xlfn.XLOOKUP(X482,Stock1!I482,Stock1!J482,"")</f>
        <v/>
      </c>
      <c r="AA482" s="102" t="str">
        <f t="array" ref="AA482">_xlfn.XLOOKUP(Y482,DATAPremium!A:A,DATAPremium!C:C,"")</f>
        <v/>
      </c>
    </row>
    <row r="483">
      <c r="X483" s="88" t="str">
        <f t="array" ref="X483">_xlfn.XLOOKUP("Other",Stock1!A483,Stock1!I483,"")</f>
        <v/>
      </c>
      <c r="Y483" s="95" t="str">
        <f t="array" ref="Y483">_xlfn.XLOOKUP(X483,Stock1!I483,Stock1!F483,"")</f>
        <v/>
      </c>
      <c r="Z483" s="95" t="str">
        <f t="array" ref="Z483">_xlfn.XLOOKUP(X483,Stock1!I483,Stock1!J483,"")</f>
        <v/>
      </c>
      <c r="AA483" s="102" t="str">
        <f t="array" ref="AA483">_xlfn.XLOOKUP(Y483,DATAPremium!A:A,DATAPremium!C:C,"")</f>
        <v/>
      </c>
    </row>
    <row r="484">
      <c r="X484" s="88" t="str">
        <f t="array" ref="X484">_xlfn.XLOOKUP("Other",Stock1!A484,Stock1!I484,"")</f>
        <v/>
      </c>
      <c r="Y484" s="95" t="str">
        <f t="array" ref="Y484">_xlfn.XLOOKUP(X484,Stock1!I484,Stock1!F484,"")</f>
        <v/>
      </c>
      <c r="Z484" s="95" t="str">
        <f t="array" ref="Z484">_xlfn.XLOOKUP(X484,Stock1!I484,Stock1!J484,"")</f>
        <v/>
      </c>
      <c r="AA484" s="102" t="str">
        <f t="array" ref="AA484">_xlfn.XLOOKUP(Y484,DATAPremium!A:A,DATAPremium!C:C,"")</f>
        <v/>
      </c>
    </row>
    <row r="485">
      <c r="X485" s="88" t="str">
        <f t="array" ref="X485">_xlfn.XLOOKUP("Other",Stock1!A485,Stock1!I485,"")</f>
        <v/>
      </c>
      <c r="Y485" s="95" t="str">
        <f t="array" ref="Y485">_xlfn.XLOOKUP(X485,Stock1!I485,Stock1!F485,"")</f>
        <v/>
      </c>
      <c r="Z485" s="95" t="str">
        <f t="array" ref="Z485">_xlfn.XLOOKUP(X485,Stock1!I485,Stock1!J485,"")</f>
        <v/>
      </c>
      <c r="AA485" s="102" t="str">
        <f t="array" ref="AA485">_xlfn.XLOOKUP(Y485,DATAPremium!A:A,DATAPremium!C:C,"")</f>
        <v/>
      </c>
    </row>
    <row r="486">
      <c r="X486" s="88" t="str">
        <f t="array" ref="X486">_xlfn.XLOOKUP("Other",Stock1!A486,Stock1!I486,"")</f>
        <v/>
      </c>
      <c r="Y486" s="95" t="str">
        <f t="array" ref="Y486">_xlfn.XLOOKUP(X486,Stock1!I486,Stock1!F486,"")</f>
        <v/>
      </c>
      <c r="Z486" s="95" t="str">
        <f t="array" ref="Z486">_xlfn.XLOOKUP(X486,Stock1!I486,Stock1!J486,"")</f>
        <v/>
      </c>
      <c r="AA486" s="102" t="str">
        <f t="array" ref="AA486">_xlfn.XLOOKUP(Y486,DATAPremium!A:A,DATAPremium!C:C,"")</f>
        <v/>
      </c>
    </row>
    <row r="487">
      <c r="X487" s="88" t="str">
        <f t="array" ref="X487">_xlfn.XLOOKUP("Other",Stock1!A487,Stock1!I487,"")</f>
        <v/>
      </c>
      <c r="Y487" s="95" t="str">
        <f t="array" ref="Y487">_xlfn.XLOOKUP(X487,Stock1!I487,Stock1!F487,"")</f>
        <v/>
      </c>
      <c r="Z487" s="95" t="str">
        <f t="array" ref="Z487">_xlfn.XLOOKUP(X487,Stock1!I487,Stock1!J487,"")</f>
        <v/>
      </c>
      <c r="AA487" s="102" t="str">
        <f t="array" ref="AA487">_xlfn.XLOOKUP(Y487,DATAPremium!A:A,DATAPremium!C:C,"")</f>
        <v/>
      </c>
    </row>
    <row r="488">
      <c r="X488" s="88" t="str">
        <f t="array" ref="X488">_xlfn.XLOOKUP("Other",Stock1!A488,Stock1!I488,"")</f>
        <v/>
      </c>
      <c r="Y488" s="95" t="str">
        <f t="array" ref="Y488">_xlfn.XLOOKUP(X488,Stock1!I488,Stock1!F488,"")</f>
        <v/>
      </c>
      <c r="Z488" s="95" t="str">
        <f t="array" ref="Z488">_xlfn.XLOOKUP(X488,Stock1!I488,Stock1!J488,"")</f>
        <v/>
      </c>
      <c r="AA488" s="102" t="str">
        <f t="array" ref="AA488">_xlfn.XLOOKUP(Y488,DATAPremium!A:A,DATAPremium!C:C,"")</f>
        <v/>
      </c>
    </row>
    <row r="489">
      <c r="X489" s="88" t="str">
        <f t="array" ref="X489">_xlfn.XLOOKUP("Other",Stock1!A489,Stock1!I489,"")</f>
        <v/>
      </c>
      <c r="Y489" s="95" t="str">
        <f t="array" ref="Y489">_xlfn.XLOOKUP(X489,Stock1!I489,Stock1!F489,"")</f>
        <v/>
      </c>
      <c r="Z489" s="95" t="str">
        <f t="array" ref="Z489">_xlfn.XLOOKUP(X489,Stock1!I489,Stock1!J489,"")</f>
        <v/>
      </c>
      <c r="AA489" s="102" t="str">
        <f t="array" ref="AA489">_xlfn.XLOOKUP(Y489,DATAPremium!A:A,DATAPremium!C:C,"")</f>
        <v/>
      </c>
    </row>
    <row r="490">
      <c r="X490" s="88" t="str">
        <f t="array" ref="X490">_xlfn.XLOOKUP("Other",Stock1!A490,Stock1!I490,"")</f>
        <v/>
      </c>
      <c r="Y490" s="95" t="str">
        <f t="array" ref="Y490">_xlfn.XLOOKUP(X490,Stock1!I490,Stock1!F490,"")</f>
        <v/>
      </c>
      <c r="Z490" s="95" t="str">
        <f t="array" ref="Z490">_xlfn.XLOOKUP(X490,Stock1!I490,Stock1!J490,"")</f>
        <v/>
      </c>
      <c r="AA490" s="102" t="str">
        <f t="array" ref="AA490">_xlfn.XLOOKUP(Y490,DATAPremium!A:A,DATAPremium!C:C,"")</f>
        <v/>
      </c>
    </row>
    <row r="491">
      <c r="X491" s="88" t="str">
        <f t="array" ref="X491">_xlfn.XLOOKUP("Other",Stock1!A491,Stock1!I491,"")</f>
        <v/>
      </c>
      <c r="Y491" s="95" t="str">
        <f t="array" ref="Y491">_xlfn.XLOOKUP(X491,Stock1!I491,Stock1!F491,"")</f>
        <v/>
      </c>
      <c r="Z491" s="95" t="str">
        <f t="array" ref="Z491">_xlfn.XLOOKUP(X491,Stock1!I491,Stock1!J491,"")</f>
        <v/>
      </c>
      <c r="AA491" s="102" t="str">
        <f t="array" ref="AA491">_xlfn.XLOOKUP(Y491,DATAPremium!A:A,DATAPremium!C:C,"")</f>
        <v/>
      </c>
    </row>
    <row r="492">
      <c r="X492" s="88" t="str">
        <f t="array" ref="X492">_xlfn.XLOOKUP("Other",Stock1!A492,Stock1!I492,"")</f>
        <v/>
      </c>
      <c r="Y492" s="95" t="str">
        <f t="array" ref="Y492">_xlfn.XLOOKUP(X492,Stock1!I492,Stock1!F492,"")</f>
        <v/>
      </c>
      <c r="Z492" s="95" t="str">
        <f t="array" ref="Z492">_xlfn.XLOOKUP(X492,Stock1!I492,Stock1!J492,"")</f>
        <v/>
      </c>
      <c r="AA492" s="102" t="str">
        <f t="array" ref="AA492">_xlfn.XLOOKUP(Y492,DATAPremium!A:A,DATAPremium!C:C,"")</f>
        <v/>
      </c>
    </row>
    <row r="493">
      <c r="X493" s="88" t="str">
        <f t="array" ref="X493">_xlfn.XLOOKUP("Other",Stock1!A493,Stock1!I493,"")</f>
        <v/>
      </c>
      <c r="Y493" s="95" t="str">
        <f t="array" ref="Y493">_xlfn.XLOOKUP(X493,Stock1!I493,Stock1!F493,"")</f>
        <v/>
      </c>
      <c r="Z493" s="95" t="str">
        <f t="array" ref="Z493">_xlfn.XLOOKUP(X493,Stock1!I493,Stock1!J493,"")</f>
        <v/>
      </c>
      <c r="AA493" s="102" t="str">
        <f t="array" ref="AA493">_xlfn.XLOOKUP(Y493,DATAPremium!A:A,DATAPremium!C:C,"")</f>
        <v/>
      </c>
    </row>
    <row r="494">
      <c r="X494" s="88" t="str">
        <f t="array" ref="X494">_xlfn.XLOOKUP("Other",Stock1!A494,Stock1!I494,"")</f>
        <v/>
      </c>
      <c r="Y494" s="95" t="str">
        <f t="array" ref="Y494">_xlfn.XLOOKUP(X494,Stock1!I494,Stock1!F494,"")</f>
        <v/>
      </c>
      <c r="Z494" s="95" t="str">
        <f t="array" ref="Z494">_xlfn.XLOOKUP(X494,Stock1!I494,Stock1!J494,"")</f>
        <v/>
      </c>
      <c r="AA494" s="102" t="str">
        <f t="array" ref="AA494">_xlfn.XLOOKUP(Y494,DATAPremium!A:A,DATAPremium!C:C,"")</f>
        <v/>
      </c>
    </row>
    <row r="495">
      <c r="X495" s="88" t="str">
        <f t="array" ref="X495">_xlfn.XLOOKUP("Other",Stock1!A495,Stock1!I495,"")</f>
        <v/>
      </c>
      <c r="Y495" s="95" t="str">
        <f t="array" ref="Y495">_xlfn.XLOOKUP(X495,Stock1!I495,Stock1!F495,"")</f>
        <v/>
      </c>
      <c r="Z495" s="95" t="str">
        <f t="array" ref="Z495">_xlfn.XLOOKUP(X495,Stock1!I495,Stock1!J495,"")</f>
        <v/>
      </c>
      <c r="AA495" s="102" t="str">
        <f t="array" ref="AA495">_xlfn.XLOOKUP(Y495,DATAPremium!A:A,DATAPremium!C:C,"")</f>
        <v/>
      </c>
    </row>
    <row r="496">
      <c r="X496" s="88" t="str">
        <f t="array" ref="X496">_xlfn.XLOOKUP("Other",Stock1!A496,Stock1!I496,"")</f>
        <v/>
      </c>
      <c r="Y496" s="95" t="str">
        <f t="array" ref="Y496">_xlfn.XLOOKUP(X496,Stock1!I496,Stock1!F496,"")</f>
        <v/>
      </c>
      <c r="Z496" s="95" t="str">
        <f t="array" ref="Z496">_xlfn.XLOOKUP(X496,Stock1!I496,Stock1!J496,"")</f>
        <v/>
      </c>
      <c r="AA496" s="102" t="str">
        <f t="array" ref="AA496">_xlfn.XLOOKUP(Y496,DATAPremium!A:A,DATAPremium!C:C,"")</f>
        <v/>
      </c>
    </row>
    <row r="497">
      <c r="X497" s="88" t="str">
        <f t="array" ref="X497">_xlfn.XLOOKUP("Other",Stock1!A497,Stock1!I497,"")</f>
        <v/>
      </c>
      <c r="Y497" s="95" t="str">
        <f t="array" ref="Y497">_xlfn.XLOOKUP(X497,Stock1!I497,Stock1!F497,"")</f>
        <v/>
      </c>
      <c r="Z497" s="95" t="str">
        <f t="array" ref="Z497">_xlfn.XLOOKUP(X497,Stock1!I497,Stock1!J497,"")</f>
        <v/>
      </c>
      <c r="AA497" s="102" t="str">
        <f t="array" ref="AA497">_xlfn.XLOOKUP(Y497,DATAPremium!A:A,DATAPremium!C:C,"")</f>
        <v/>
      </c>
    </row>
    <row r="498">
      <c r="X498" s="88" t="str">
        <f t="array" ref="X498">_xlfn.XLOOKUP("Other",Stock1!A498,Stock1!I498,"")</f>
        <v/>
      </c>
      <c r="Y498" s="95" t="str">
        <f t="array" ref="Y498">_xlfn.XLOOKUP(X498,Stock1!I498,Stock1!F498,"")</f>
        <v/>
      </c>
      <c r="Z498" s="95" t="str">
        <f t="array" ref="Z498">_xlfn.XLOOKUP(X498,Stock1!I498,Stock1!J498,"")</f>
        <v/>
      </c>
      <c r="AA498" s="102" t="str">
        <f t="array" ref="AA498">_xlfn.XLOOKUP(Y498,DATAPremium!A:A,DATAPremium!C:C,"")</f>
        <v/>
      </c>
    </row>
    <row r="499">
      <c r="X499" s="88" t="str">
        <f t="array" ref="X499">_xlfn.XLOOKUP("Other",Stock1!A499,Stock1!I499,"")</f>
        <v/>
      </c>
      <c r="Y499" s="95" t="str">
        <f t="array" ref="Y499">_xlfn.XLOOKUP(X499,Stock1!I499,Stock1!F499,"")</f>
        <v/>
      </c>
      <c r="Z499" s="95" t="str">
        <f t="array" ref="Z499">_xlfn.XLOOKUP(X499,Stock1!I499,Stock1!J499,"")</f>
        <v/>
      </c>
      <c r="AA499" s="102" t="str">
        <f t="array" ref="AA499">_xlfn.XLOOKUP(Y499,DATAPremium!A:A,DATAPremium!C:C,"")</f>
        <v/>
      </c>
    </row>
    <row r="500">
      <c r="X500" s="88" t="str">
        <f t="array" ref="X500">_xlfn.XLOOKUP("Other",Stock1!A500,Stock1!I500,"")</f>
        <v/>
      </c>
      <c r="Y500" s="95" t="str">
        <f t="array" ref="Y500">_xlfn.XLOOKUP(X500,Stock1!I500,Stock1!F500,"")</f>
        <v/>
      </c>
      <c r="Z500" s="95" t="str">
        <f t="array" ref="Z500">_xlfn.XLOOKUP(X500,Stock1!I500,Stock1!J500,"")</f>
        <v/>
      </c>
      <c r="AA500" s="102" t="str">
        <f t="array" ref="AA500">_xlfn.XLOOKUP(Y500,DATAPremium!A:A,DATAPremium!C:C,"")</f>
        <v/>
      </c>
    </row>
    <row r="501">
      <c r="X501" s="88" t="str">
        <f t="array" ref="X501">_xlfn.XLOOKUP("Other",Stock1!A501,Stock1!I501,"")</f>
        <v/>
      </c>
      <c r="Y501" s="95" t="str">
        <f t="array" ref="Y501">_xlfn.XLOOKUP(X501,Stock1!I501,Stock1!F501,"")</f>
        <v/>
      </c>
      <c r="Z501" s="95" t="str">
        <f t="array" ref="Z501">_xlfn.XLOOKUP(X501,Stock1!I501,Stock1!J501,"")</f>
        <v/>
      </c>
      <c r="AA501" s="102" t="str">
        <f t="array" ref="AA501">_xlfn.XLOOKUP(Y501,DATAPremium!A:A,DATAPremium!C:C,"")</f>
        <v/>
      </c>
    </row>
    <row r="502">
      <c r="X502" s="88" t="str">
        <f t="array" ref="X502">_xlfn.XLOOKUP("Other",Stock1!A502,Stock1!I502,"")</f>
        <v/>
      </c>
      <c r="Y502" s="95" t="str">
        <f t="array" ref="Y502">_xlfn.XLOOKUP(X502,Stock1!I502,Stock1!F502,"")</f>
        <v/>
      </c>
      <c r="Z502" s="95" t="str">
        <f t="array" ref="Z502">_xlfn.XLOOKUP(X502,Stock1!I502,Stock1!J502,"")</f>
        <v/>
      </c>
      <c r="AA502" s="102" t="str">
        <f t="array" ref="AA502">_xlfn.XLOOKUP(Y502,DATAPremium!A:A,DATAPremium!C:C,"")</f>
        <v/>
      </c>
    </row>
    <row r="503">
      <c r="X503" s="88" t="str">
        <f t="array" ref="X503">_xlfn.XLOOKUP("Other",Stock1!A503,Stock1!I503,"")</f>
        <v/>
      </c>
      <c r="Y503" s="95" t="str">
        <f t="array" ref="Y503">_xlfn.XLOOKUP(X503,Stock1!I503,Stock1!F503,"")</f>
        <v/>
      </c>
      <c r="Z503" s="95" t="str">
        <f t="array" ref="Z503">_xlfn.XLOOKUP(X503,Stock1!I503,Stock1!J503,"")</f>
        <v/>
      </c>
      <c r="AA503" s="102" t="str">
        <f t="array" ref="AA503">_xlfn.XLOOKUP(Y503,DATAPremium!A:A,DATAPremium!C:C,"")</f>
        <v/>
      </c>
    </row>
    <row r="504">
      <c r="X504" s="88" t="str">
        <f t="array" ref="X504">_xlfn.XLOOKUP("Other",Stock1!A504,Stock1!I504,"")</f>
        <v/>
      </c>
      <c r="Y504" s="95" t="str">
        <f t="array" ref="Y504">_xlfn.XLOOKUP(X504,Stock1!I504,Stock1!F504,"")</f>
        <v/>
      </c>
      <c r="Z504" s="95" t="str">
        <f t="array" ref="Z504">_xlfn.XLOOKUP(X504,Stock1!I504,Stock1!J504,"")</f>
        <v/>
      </c>
      <c r="AA504" s="102" t="str">
        <f t="array" ref="AA504">_xlfn.XLOOKUP(Y504,DATAPremium!A:A,DATAPremium!C:C,"")</f>
        <v/>
      </c>
    </row>
    <row r="505">
      <c r="X505" s="88" t="str">
        <f t="array" ref="X505">_xlfn.XLOOKUP("Other",Stock1!A505,Stock1!I505,"")</f>
        <v/>
      </c>
      <c r="Y505" s="95" t="str">
        <f t="array" ref="Y505">_xlfn.XLOOKUP(X505,Stock1!I505,Stock1!F505,"")</f>
        <v/>
      </c>
      <c r="Z505" s="95" t="str">
        <f t="array" ref="Z505">_xlfn.XLOOKUP(X505,Stock1!I505,Stock1!J505,"")</f>
        <v/>
      </c>
      <c r="AA505" s="102" t="str">
        <f t="array" ref="AA505">_xlfn.XLOOKUP(Y505,DATAPremium!A:A,DATAPremium!C:C,"")</f>
        <v/>
      </c>
    </row>
    <row r="506">
      <c r="X506" s="88" t="str">
        <f t="array" ref="X506">_xlfn.XLOOKUP("Other",Stock1!A506,Stock1!I506,"")</f>
        <v/>
      </c>
      <c r="Y506" s="95" t="str">
        <f t="array" ref="Y506">_xlfn.XLOOKUP(X506,Stock1!I506,Stock1!F506,"")</f>
        <v/>
      </c>
      <c r="Z506" s="95" t="str">
        <f t="array" ref="Z506">_xlfn.XLOOKUP(X506,Stock1!I506,Stock1!J506,"")</f>
        <v/>
      </c>
      <c r="AA506" s="102" t="str">
        <f t="array" ref="AA506">_xlfn.XLOOKUP(Y506,DATAPremium!A:A,DATAPremium!C:C,"")</f>
        <v/>
      </c>
    </row>
    <row r="507">
      <c r="X507" s="88" t="str">
        <f t="array" ref="X507">_xlfn.XLOOKUP("Other",Stock1!A507,Stock1!I507,"")</f>
        <v/>
      </c>
      <c r="Y507" s="95" t="str">
        <f t="array" ref="Y507">_xlfn.XLOOKUP(X507,Stock1!I507,Stock1!F507,"")</f>
        <v/>
      </c>
      <c r="Z507" s="95" t="str">
        <f t="array" ref="Z507">_xlfn.XLOOKUP(X507,Stock1!I507,Stock1!J507,"")</f>
        <v/>
      </c>
      <c r="AA507" s="102" t="str">
        <f t="array" ref="AA507">_xlfn.XLOOKUP(Y507,DATAPremium!A:A,DATAPremium!C:C,"")</f>
        <v/>
      </c>
    </row>
    <row r="508">
      <c r="X508" s="88" t="str">
        <f t="array" ref="X508">_xlfn.XLOOKUP("Other",Stock1!A508,Stock1!I508,"")</f>
        <v/>
      </c>
      <c r="Y508" s="95" t="str">
        <f t="array" ref="Y508">_xlfn.XLOOKUP(X508,Stock1!I508,Stock1!F508,"")</f>
        <v/>
      </c>
      <c r="Z508" s="95" t="str">
        <f t="array" ref="Z508">_xlfn.XLOOKUP(X508,Stock1!I508,Stock1!J508,"")</f>
        <v/>
      </c>
      <c r="AA508" s="102" t="str">
        <f t="array" ref="AA508">_xlfn.XLOOKUP(Y508,DATAPremium!A:A,DATAPremium!C:C,"")</f>
        <v/>
      </c>
    </row>
    <row r="509">
      <c r="X509" s="88" t="str">
        <f t="array" ref="X509">_xlfn.XLOOKUP("Other",Stock1!A509,Stock1!I509,"")</f>
        <v/>
      </c>
      <c r="Y509" s="95" t="str">
        <f t="array" ref="Y509">_xlfn.XLOOKUP(X509,Stock1!I509,Stock1!F509,"")</f>
        <v/>
      </c>
      <c r="Z509" s="95" t="str">
        <f t="array" ref="Z509">_xlfn.XLOOKUP(X509,Stock1!I509,Stock1!J509,"")</f>
        <v/>
      </c>
      <c r="AA509" s="102" t="str">
        <f t="array" ref="AA509">_xlfn.XLOOKUP(Y509,DATAPremium!A:A,DATAPremium!C:C,"")</f>
        <v/>
      </c>
    </row>
    <row r="510">
      <c r="X510" s="88" t="str">
        <f t="array" ref="X510">_xlfn.XLOOKUP("Other",Stock1!A510,Stock1!I510,"")</f>
        <v/>
      </c>
      <c r="Y510" s="95" t="str">
        <f t="array" ref="Y510">_xlfn.XLOOKUP(X510,Stock1!I510,Stock1!F510,"")</f>
        <v/>
      </c>
      <c r="Z510" s="95" t="str">
        <f t="array" ref="Z510">_xlfn.XLOOKUP(X510,Stock1!I510,Stock1!J510,"")</f>
        <v/>
      </c>
      <c r="AA510" s="102" t="str">
        <f t="array" ref="AA510">_xlfn.XLOOKUP(Y510,DATAPremium!A:A,DATAPremium!C:C,"")</f>
        <v/>
      </c>
    </row>
    <row r="511">
      <c r="X511" s="88" t="str">
        <f t="array" ref="X511">_xlfn.XLOOKUP("Other",Stock1!A511,Stock1!I511,"")</f>
        <v/>
      </c>
      <c r="Y511" s="95" t="str">
        <f t="array" ref="Y511">_xlfn.XLOOKUP(X511,Stock1!I511,Stock1!F511,"")</f>
        <v/>
      </c>
      <c r="Z511" s="95" t="str">
        <f t="array" ref="Z511">_xlfn.XLOOKUP(X511,Stock1!I511,Stock1!J511,"")</f>
        <v/>
      </c>
      <c r="AA511" s="102" t="str">
        <f t="array" ref="AA511">_xlfn.XLOOKUP(Y511,DATAPremium!A:A,DATAPremium!C:C,"")</f>
        <v/>
      </c>
    </row>
    <row r="512">
      <c r="X512" s="88" t="str">
        <f t="array" ref="X512">_xlfn.XLOOKUP("Other",Stock1!A512,Stock1!I512,"")</f>
        <v/>
      </c>
      <c r="Y512" s="95" t="str">
        <f t="array" ref="Y512">_xlfn.XLOOKUP(X512,Stock1!I512,Stock1!F512,"")</f>
        <v/>
      </c>
      <c r="Z512" s="95" t="str">
        <f t="array" ref="Z512">_xlfn.XLOOKUP(X512,Stock1!I512,Stock1!J512,"")</f>
        <v/>
      </c>
      <c r="AA512" s="102" t="str">
        <f t="array" ref="AA512">_xlfn.XLOOKUP(Y512,DATAPremium!A:A,DATAPremium!C:C,"")</f>
        <v/>
      </c>
    </row>
    <row r="513">
      <c r="X513" s="88" t="str">
        <f t="array" ref="X513">_xlfn.XLOOKUP("Other",Stock1!A513,Stock1!I513,"")</f>
        <v/>
      </c>
      <c r="Y513" s="95" t="str">
        <f t="array" ref="Y513">_xlfn.XLOOKUP(X513,Stock1!I513,Stock1!F513,"")</f>
        <v/>
      </c>
      <c r="Z513" s="95" t="str">
        <f t="array" ref="Z513">_xlfn.XLOOKUP(X513,Stock1!I513,Stock1!J513,"")</f>
        <v/>
      </c>
      <c r="AA513" s="102" t="str">
        <f t="array" ref="AA513">_xlfn.XLOOKUP(Y513,DATAPremium!A:A,DATAPremium!C:C,"")</f>
        <v/>
      </c>
    </row>
    <row r="514">
      <c r="X514" s="88" t="str">
        <f t="array" ref="X514">_xlfn.XLOOKUP("Other",Stock1!A514,Stock1!I514,"")</f>
        <v/>
      </c>
      <c r="Y514" s="95" t="str">
        <f t="array" ref="Y514">_xlfn.XLOOKUP(X514,Stock1!I514,Stock1!F514,"")</f>
        <v/>
      </c>
      <c r="Z514" s="95" t="str">
        <f t="array" ref="Z514">_xlfn.XLOOKUP(X514,Stock1!I514,Stock1!J514,"")</f>
        <v/>
      </c>
      <c r="AA514" s="102" t="str">
        <f t="array" ref="AA514">_xlfn.XLOOKUP(Y514,DATAPremium!A:A,DATAPremium!C:C,"")</f>
        <v/>
      </c>
    </row>
    <row r="515">
      <c r="X515" s="88" t="str">
        <f t="array" ref="X515">_xlfn.XLOOKUP("Other",Stock1!A515,Stock1!I515,"")</f>
        <v/>
      </c>
      <c r="Y515" s="95" t="str">
        <f t="array" ref="Y515">_xlfn.XLOOKUP(X515,Stock1!I515,Stock1!F515,"")</f>
        <v/>
      </c>
      <c r="Z515" s="95" t="str">
        <f t="array" ref="Z515">_xlfn.XLOOKUP(X515,Stock1!I515,Stock1!J515,"")</f>
        <v/>
      </c>
      <c r="AA515" s="102" t="str">
        <f t="array" ref="AA515">_xlfn.XLOOKUP(Y515,DATAPremium!A:A,DATAPremium!C:C,"")</f>
        <v/>
      </c>
    </row>
    <row r="516">
      <c r="X516" s="88" t="str">
        <f t="array" ref="X516">_xlfn.XLOOKUP("Other",Stock1!A516,Stock1!I516,"")</f>
        <v/>
      </c>
      <c r="Y516" s="95" t="str">
        <f t="array" ref="Y516">_xlfn.XLOOKUP(X516,Stock1!I516,Stock1!F516,"")</f>
        <v/>
      </c>
      <c r="Z516" s="95" t="str">
        <f t="array" ref="Z516">_xlfn.XLOOKUP(X516,Stock1!I516,Stock1!J516,"")</f>
        <v/>
      </c>
      <c r="AA516" s="102" t="str">
        <f t="array" ref="AA516">_xlfn.XLOOKUP(Y516,DATAPremium!A:A,DATAPremium!C:C,"")</f>
        <v/>
      </c>
    </row>
    <row r="517">
      <c r="X517" s="88" t="str">
        <f t="array" ref="X517">_xlfn.XLOOKUP("Other",Stock1!A517,Stock1!I517,"")</f>
        <v/>
      </c>
      <c r="Y517" s="95" t="str">
        <f t="array" ref="Y517">_xlfn.XLOOKUP(X517,Stock1!I517,Stock1!F517,"")</f>
        <v/>
      </c>
      <c r="Z517" s="95" t="str">
        <f t="array" ref="Z517">_xlfn.XLOOKUP(X517,Stock1!I517,Stock1!J517,"")</f>
        <v/>
      </c>
      <c r="AA517" s="102" t="str">
        <f t="array" ref="AA517">_xlfn.XLOOKUP(Y517,DATAPremium!A:A,DATAPremium!C:C,"")</f>
        <v/>
      </c>
    </row>
    <row r="518">
      <c r="X518" s="88" t="str">
        <f t="array" ref="X518">_xlfn.XLOOKUP("Other",Stock1!A518,Stock1!I518,"")</f>
        <v/>
      </c>
      <c r="Y518" s="95" t="str">
        <f t="array" ref="Y518">_xlfn.XLOOKUP(X518,Stock1!I518,Stock1!F518,"")</f>
        <v/>
      </c>
      <c r="Z518" s="95" t="str">
        <f t="array" ref="Z518">_xlfn.XLOOKUP(X518,Stock1!I518,Stock1!J518,"")</f>
        <v/>
      </c>
      <c r="AA518" s="102" t="str">
        <f t="array" ref="AA518">_xlfn.XLOOKUP(Y518,DATAPremium!A:A,DATAPremium!C:C,"")</f>
        <v/>
      </c>
    </row>
    <row r="519">
      <c r="X519" s="88" t="str">
        <f t="array" ref="X519">_xlfn.XLOOKUP("Other",Stock1!A519,Stock1!I519,"")</f>
        <v/>
      </c>
      <c r="Y519" s="95" t="str">
        <f t="array" ref="Y519">_xlfn.XLOOKUP(X519,Stock1!I519,Stock1!F519,"")</f>
        <v/>
      </c>
      <c r="Z519" s="95" t="str">
        <f t="array" ref="Z519">_xlfn.XLOOKUP(X519,Stock1!I519,Stock1!J519,"")</f>
        <v/>
      </c>
      <c r="AA519" s="102" t="str">
        <f t="array" ref="AA519">_xlfn.XLOOKUP(Y519,DATAPremium!A:A,DATAPremium!C:C,"")</f>
        <v/>
      </c>
    </row>
    <row r="520">
      <c r="X520" s="88" t="str">
        <f t="array" ref="X520">_xlfn.XLOOKUP("Other",Stock1!A520,Stock1!I520,"")</f>
        <v/>
      </c>
      <c r="Y520" s="95" t="str">
        <f t="array" ref="Y520">_xlfn.XLOOKUP(X520,Stock1!I520,Stock1!F520,"")</f>
        <v/>
      </c>
      <c r="Z520" s="95" t="str">
        <f t="array" ref="Z520">_xlfn.XLOOKUP(X520,Stock1!I520,Stock1!J520,"")</f>
        <v/>
      </c>
      <c r="AA520" s="102" t="str">
        <f t="array" ref="AA520">_xlfn.XLOOKUP(Y520,DATAPremium!A:A,DATAPremium!C:C,"")</f>
        <v/>
      </c>
    </row>
    <row r="521">
      <c r="X521" s="88" t="str">
        <f t="array" ref="X521">_xlfn.XLOOKUP("Other",Stock1!A521,Stock1!I521,"")</f>
        <v/>
      </c>
      <c r="Y521" s="95" t="str">
        <f t="array" ref="Y521">_xlfn.XLOOKUP(X521,Stock1!I521,Stock1!F521,"")</f>
        <v/>
      </c>
      <c r="Z521" s="95" t="str">
        <f t="array" ref="Z521">_xlfn.XLOOKUP(X521,Stock1!I521,Stock1!J521,"")</f>
        <v/>
      </c>
      <c r="AA521" s="102" t="str">
        <f t="array" ref="AA521">_xlfn.XLOOKUP(Y521,DATAPremium!A:A,DATAPremium!C:C,"")</f>
        <v/>
      </c>
    </row>
    <row r="522">
      <c r="X522" s="88" t="str">
        <f t="array" ref="X522">_xlfn.XLOOKUP("Other",Stock1!A522,Stock1!I522,"")</f>
        <v/>
      </c>
      <c r="Y522" s="95" t="str">
        <f t="array" ref="Y522">_xlfn.XLOOKUP(X522,Stock1!I522,Stock1!F522,"")</f>
        <v/>
      </c>
      <c r="Z522" s="95" t="str">
        <f t="array" ref="Z522">_xlfn.XLOOKUP(X522,Stock1!I522,Stock1!J522,"")</f>
        <v/>
      </c>
      <c r="AA522" s="102" t="str">
        <f t="array" ref="AA522">_xlfn.XLOOKUP(Y522,DATAPremium!A:A,DATAPremium!C:C,"")</f>
        <v/>
      </c>
    </row>
    <row r="523">
      <c r="X523" s="88" t="str">
        <f t="array" ref="X523">_xlfn.XLOOKUP("Other",Stock1!A523,Stock1!I523,"")</f>
        <v/>
      </c>
      <c r="Y523" s="95" t="str">
        <f t="array" ref="Y523">_xlfn.XLOOKUP(X523,Stock1!I523,Stock1!F523,"")</f>
        <v/>
      </c>
      <c r="Z523" s="95" t="str">
        <f t="array" ref="Z523">_xlfn.XLOOKUP(X523,Stock1!I523,Stock1!J523,"")</f>
        <v/>
      </c>
      <c r="AA523" s="102" t="str">
        <f t="array" ref="AA523">_xlfn.XLOOKUP(Y523,DATAPremium!A:A,DATAPremium!C:C,"")</f>
        <v/>
      </c>
    </row>
    <row r="524">
      <c r="X524" s="88" t="str">
        <f t="array" ref="X524">_xlfn.XLOOKUP("Other",Stock1!A524,Stock1!I524,"")</f>
        <v/>
      </c>
      <c r="Y524" s="95" t="str">
        <f t="array" ref="Y524">_xlfn.XLOOKUP(X524,Stock1!I524,Stock1!F524,"")</f>
        <v/>
      </c>
      <c r="Z524" s="95" t="str">
        <f t="array" ref="Z524">_xlfn.XLOOKUP(X524,Stock1!I524,Stock1!J524,"")</f>
        <v/>
      </c>
      <c r="AA524" s="102" t="str">
        <f t="array" ref="AA524">_xlfn.XLOOKUP(Y524,DATAPremium!A:A,DATAPremium!C:C,"")</f>
        <v/>
      </c>
    </row>
    <row r="525">
      <c r="X525" s="88" t="str">
        <f t="array" ref="X525">_xlfn.XLOOKUP("Other",Stock1!A525,Stock1!I525,"")</f>
        <v/>
      </c>
      <c r="Y525" s="95" t="str">
        <f t="array" ref="Y525">_xlfn.XLOOKUP(X525,Stock1!I525,Stock1!F525,"")</f>
        <v/>
      </c>
      <c r="Z525" s="95" t="str">
        <f t="array" ref="Z525">_xlfn.XLOOKUP(X525,Stock1!I525,Stock1!J525,"")</f>
        <v/>
      </c>
      <c r="AA525" s="102" t="str">
        <f t="array" ref="AA525">_xlfn.XLOOKUP(Y525,DATAPremium!A:A,DATAPremium!C:C,"")</f>
        <v/>
      </c>
    </row>
    <row r="526">
      <c r="X526" s="88" t="str">
        <f t="array" ref="X526">_xlfn.XLOOKUP("Other",Stock1!A526,Stock1!I526,"")</f>
        <v/>
      </c>
      <c r="Y526" s="95" t="str">
        <f t="array" ref="Y526">_xlfn.XLOOKUP(X526,Stock1!I526,Stock1!F526,"")</f>
        <v/>
      </c>
      <c r="Z526" s="95" t="str">
        <f t="array" ref="Z526">_xlfn.XLOOKUP(X526,Stock1!I526,Stock1!J526,"")</f>
        <v/>
      </c>
      <c r="AA526" s="102" t="str">
        <f t="array" ref="AA526">_xlfn.XLOOKUP(Y526,DATAPremium!A:A,DATAPremium!C:C,"")</f>
        <v/>
      </c>
    </row>
    <row r="527">
      <c r="X527" s="88" t="str">
        <f t="array" ref="X527">_xlfn.XLOOKUP("Other",Stock1!A527,Stock1!I527,"")</f>
        <v/>
      </c>
      <c r="Y527" s="95" t="str">
        <f t="array" ref="Y527">_xlfn.XLOOKUP(X527,Stock1!I527,Stock1!F527,"")</f>
        <v/>
      </c>
      <c r="Z527" s="95" t="str">
        <f t="array" ref="Z527">_xlfn.XLOOKUP(X527,Stock1!I527,Stock1!J527,"")</f>
        <v/>
      </c>
      <c r="AA527" s="102" t="str">
        <f t="array" ref="AA527">_xlfn.XLOOKUP(Y527,DATAPremium!A:A,DATAPremium!C:C,"")</f>
        <v/>
      </c>
    </row>
    <row r="528">
      <c r="X528" s="88" t="str">
        <f t="array" ref="X528">_xlfn.XLOOKUP("Other",Stock1!A528,Stock1!I528,"")</f>
        <v/>
      </c>
      <c r="Y528" s="95" t="str">
        <f t="array" ref="Y528">_xlfn.XLOOKUP(X528,Stock1!I528,Stock1!F528,"")</f>
        <v/>
      </c>
      <c r="Z528" s="95" t="str">
        <f t="array" ref="Z528">_xlfn.XLOOKUP(X528,Stock1!I528,Stock1!J528,"")</f>
        <v/>
      </c>
      <c r="AA528" s="102" t="str">
        <f t="array" ref="AA528">_xlfn.XLOOKUP(Y528,DATAPremium!A:A,DATAPremium!C:C,"")</f>
        <v/>
      </c>
    </row>
    <row r="529">
      <c r="X529" s="88" t="str">
        <f t="array" ref="X529">_xlfn.XLOOKUP("Other",Stock1!A529,Stock1!I529,"")</f>
        <v/>
      </c>
      <c r="Y529" s="95" t="str">
        <f t="array" ref="Y529">_xlfn.XLOOKUP(X529,Stock1!I529,Stock1!F529,"")</f>
        <v/>
      </c>
      <c r="Z529" s="95" t="str">
        <f t="array" ref="Z529">_xlfn.XLOOKUP(X529,Stock1!I529,Stock1!J529,"")</f>
        <v/>
      </c>
      <c r="AA529" s="102" t="str">
        <f t="array" ref="AA529">_xlfn.XLOOKUP(Y529,DATAPremium!A:A,DATAPremium!C:C,"")</f>
        <v/>
      </c>
    </row>
    <row r="530">
      <c r="X530" s="88" t="str">
        <f t="array" ref="X530">_xlfn.XLOOKUP("Other",Stock1!A530,Stock1!I530,"")</f>
        <v/>
      </c>
      <c r="Y530" s="95" t="str">
        <f t="array" ref="Y530">_xlfn.XLOOKUP(X530,Stock1!I530,Stock1!F530,"")</f>
        <v/>
      </c>
      <c r="Z530" s="95" t="str">
        <f t="array" ref="Z530">_xlfn.XLOOKUP(X530,Stock1!I530,Stock1!J530,"")</f>
        <v/>
      </c>
      <c r="AA530" s="102" t="str">
        <f t="array" ref="AA530">_xlfn.XLOOKUP(Y530,DATAPremium!A:A,DATAPremium!C:C,"")</f>
        <v/>
      </c>
    </row>
    <row r="531">
      <c r="X531" s="88" t="str">
        <f t="array" ref="X531">_xlfn.XLOOKUP("Other",Stock1!A531,Stock1!I531,"")</f>
        <v/>
      </c>
      <c r="Y531" s="95" t="str">
        <f t="array" ref="Y531">_xlfn.XLOOKUP(X531,Stock1!I531,Stock1!F531,"")</f>
        <v/>
      </c>
      <c r="Z531" s="95" t="str">
        <f t="array" ref="Z531">_xlfn.XLOOKUP(X531,Stock1!I531,Stock1!J531,"")</f>
        <v/>
      </c>
      <c r="AA531" s="102" t="str">
        <f t="array" ref="AA531">_xlfn.XLOOKUP(Y531,DATAPremium!A:A,DATAPremium!C:C,"")</f>
        <v/>
      </c>
    </row>
    <row r="532">
      <c r="X532" s="88" t="str">
        <f t="array" ref="X532">_xlfn.XLOOKUP("Other",Stock1!A532,Stock1!I532,"")</f>
        <v/>
      </c>
      <c r="Y532" s="95" t="str">
        <f t="array" ref="Y532">_xlfn.XLOOKUP(X532,Stock1!I532,Stock1!F532,"")</f>
        <v/>
      </c>
      <c r="Z532" s="95" t="str">
        <f t="array" ref="Z532">_xlfn.XLOOKUP(X532,Stock1!I532,Stock1!J532,"")</f>
        <v/>
      </c>
      <c r="AA532" s="102" t="str">
        <f t="array" ref="AA532">_xlfn.XLOOKUP(Y532,DATAPremium!A:A,DATAPremium!C:C,"")</f>
        <v/>
      </c>
    </row>
    <row r="533">
      <c r="X533" s="88" t="str">
        <f t="array" ref="X533">_xlfn.XLOOKUP("Other",Stock1!A533,Stock1!I533,"")</f>
        <v/>
      </c>
      <c r="Y533" s="95" t="str">
        <f t="array" ref="Y533">_xlfn.XLOOKUP(X533,Stock1!I533,Stock1!F533,"")</f>
        <v/>
      </c>
      <c r="Z533" s="95" t="str">
        <f t="array" ref="Z533">_xlfn.XLOOKUP(X533,Stock1!I533,Stock1!J533,"")</f>
        <v/>
      </c>
      <c r="AA533" s="102" t="str">
        <f t="array" ref="AA533">_xlfn.XLOOKUP(Y533,DATAPremium!A:A,DATAPremium!C:C,"")</f>
        <v/>
      </c>
    </row>
    <row r="534">
      <c r="X534" s="88" t="str">
        <f t="array" ref="X534">_xlfn.XLOOKUP("Other",Stock1!A534,Stock1!I534,"")</f>
        <v/>
      </c>
      <c r="Y534" s="95" t="str">
        <f t="array" ref="Y534">_xlfn.XLOOKUP(X534,Stock1!I534,Stock1!F534,"")</f>
        <v/>
      </c>
      <c r="Z534" s="95" t="str">
        <f t="array" ref="Z534">_xlfn.XLOOKUP(X534,Stock1!I534,Stock1!J534,"")</f>
        <v/>
      </c>
      <c r="AA534" s="102" t="str">
        <f t="array" ref="AA534">_xlfn.XLOOKUP(Y534,DATAPremium!A:A,DATAPremium!C:C,"")</f>
        <v/>
      </c>
    </row>
    <row r="535">
      <c r="X535" s="88" t="str">
        <f t="array" ref="X535">_xlfn.XLOOKUP("Other",Stock1!A535,Stock1!I535,"")</f>
        <v/>
      </c>
      <c r="Y535" s="95" t="str">
        <f t="array" ref="Y535">_xlfn.XLOOKUP(X535,Stock1!I535,Stock1!F535,"")</f>
        <v/>
      </c>
      <c r="Z535" s="95" t="str">
        <f t="array" ref="Z535">_xlfn.XLOOKUP(X535,Stock1!I535,Stock1!J535,"")</f>
        <v/>
      </c>
      <c r="AA535" s="102" t="str">
        <f t="array" ref="AA535">_xlfn.XLOOKUP(Y535,DATAPremium!A:A,DATAPremium!C:C,"")</f>
        <v/>
      </c>
    </row>
    <row r="536">
      <c r="X536" s="88" t="str">
        <f t="array" ref="X536">_xlfn.XLOOKUP("Other",Stock1!A536,Stock1!I536,"")</f>
        <v/>
      </c>
      <c r="Y536" s="95" t="str">
        <f t="array" ref="Y536">_xlfn.XLOOKUP(X536,Stock1!I536,Stock1!F536,"")</f>
        <v/>
      </c>
      <c r="Z536" s="95" t="str">
        <f t="array" ref="Z536">_xlfn.XLOOKUP(X536,Stock1!I536,Stock1!J536,"")</f>
        <v/>
      </c>
      <c r="AA536" s="102" t="str">
        <f t="array" ref="AA536">_xlfn.XLOOKUP(Y536,DATAPremium!A:A,DATAPremium!C:C,"")</f>
        <v/>
      </c>
    </row>
    <row r="537">
      <c r="X537" s="88" t="str">
        <f t="array" ref="X537">_xlfn.XLOOKUP("Other",Stock1!A537,Stock1!I537,"")</f>
        <v/>
      </c>
      <c r="Y537" s="95" t="str">
        <f t="array" ref="Y537">_xlfn.XLOOKUP(X537,Stock1!I537,Stock1!F537,"")</f>
        <v/>
      </c>
      <c r="Z537" s="95" t="str">
        <f t="array" ref="Z537">_xlfn.XLOOKUP(X537,Stock1!I537,Stock1!J537,"")</f>
        <v/>
      </c>
      <c r="AA537" s="102" t="str">
        <f t="array" ref="AA537">_xlfn.XLOOKUP(Y537,DATAPremium!A:A,DATAPremium!C:C,"")</f>
        <v/>
      </c>
    </row>
    <row r="538">
      <c r="X538" s="88" t="str">
        <f t="array" ref="X538">_xlfn.XLOOKUP("Other",Stock1!A538,Stock1!I538,"")</f>
        <v/>
      </c>
      <c r="Y538" s="95" t="str">
        <f t="array" ref="Y538">_xlfn.XLOOKUP(X538,Stock1!I538,Stock1!F538,"")</f>
        <v/>
      </c>
      <c r="Z538" s="95" t="str">
        <f t="array" ref="Z538">_xlfn.XLOOKUP(X538,Stock1!I538,Stock1!J538,"")</f>
        <v/>
      </c>
      <c r="AA538" s="102" t="str">
        <f t="array" ref="AA538">_xlfn.XLOOKUP(Y538,DATAPremium!A:A,DATAPremium!C:C,"")</f>
        <v/>
      </c>
    </row>
    <row r="539">
      <c r="X539" s="88" t="str">
        <f t="array" ref="X539">_xlfn.XLOOKUP("Other",Stock1!A539,Stock1!I539,"")</f>
        <v/>
      </c>
      <c r="Y539" s="95" t="str">
        <f t="array" ref="Y539">_xlfn.XLOOKUP(X539,Stock1!I539,Stock1!F539,"")</f>
        <v/>
      </c>
      <c r="Z539" s="95" t="str">
        <f t="array" ref="Z539">_xlfn.XLOOKUP(X539,Stock1!I539,Stock1!J539,"")</f>
        <v/>
      </c>
      <c r="AA539" s="102" t="str">
        <f t="array" ref="AA539">_xlfn.XLOOKUP(Y539,DATAPremium!A:A,DATAPremium!C:C,"")</f>
        <v/>
      </c>
    </row>
    <row r="540">
      <c r="X540" s="88" t="str">
        <f t="array" ref="X540">_xlfn.XLOOKUP("Other",Stock1!A540,Stock1!I540,"")</f>
        <v/>
      </c>
      <c r="Y540" s="95" t="str">
        <f t="array" ref="Y540">_xlfn.XLOOKUP(X540,Stock1!I540,Stock1!F540,"")</f>
        <v/>
      </c>
      <c r="Z540" s="95" t="str">
        <f t="array" ref="Z540">_xlfn.XLOOKUP(X540,Stock1!I540,Stock1!J540,"")</f>
        <v/>
      </c>
      <c r="AA540" s="102" t="str">
        <f t="array" ref="AA540">_xlfn.XLOOKUP(Y540,DATAPremium!A:A,DATAPremium!C:C,"")</f>
        <v/>
      </c>
    </row>
    <row r="541">
      <c r="X541" s="88" t="str">
        <f t="array" ref="X541">_xlfn.XLOOKUP("Other",Stock1!A541,Stock1!I541,"")</f>
        <v/>
      </c>
      <c r="Y541" s="95" t="str">
        <f t="array" ref="Y541">_xlfn.XLOOKUP(X541,Stock1!I541,Stock1!F541,"")</f>
        <v/>
      </c>
      <c r="Z541" s="95" t="str">
        <f t="array" ref="Z541">_xlfn.XLOOKUP(X541,Stock1!I541,Stock1!J541,"")</f>
        <v/>
      </c>
      <c r="AA541" s="102" t="str">
        <f t="array" ref="AA541">_xlfn.XLOOKUP(Y541,DATAPremium!A:A,DATAPremium!C:C,"")</f>
        <v/>
      </c>
    </row>
    <row r="542">
      <c r="X542" s="88" t="str">
        <f t="array" ref="X542">_xlfn.XLOOKUP("Other",Stock1!A542,Stock1!I542,"")</f>
        <v/>
      </c>
      <c r="Y542" s="95" t="str">
        <f t="array" ref="Y542">_xlfn.XLOOKUP(X542,Stock1!I542,Stock1!F542,"")</f>
        <v/>
      </c>
      <c r="Z542" s="95" t="str">
        <f t="array" ref="Z542">_xlfn.XLOOKUP(X542,Stock1!I542,Stock1!J542,"")</f>
        <v/>
      </c>
      <c r="AA542" s="102" t="str">
        <f t="array" ref="AA542">_xlfn.XLOOKUP(Y542,DATAPremium!A:A,DATAPremium!C:C,"")</f>
        <v/>
      </c>
    </row>
    <row r="543">
      <c r="X543" s="88" t="str">
        <f t="array" ref="X543">_xlfn.XLOOKUP("Other",Stock1!A543,Stock1!I543,"")</f>
        <v/>
      </c>
      <c r="Y543" s="95" t="str">
        <f t="array" ref="Y543">_xlfn.XLOOKUP(X543,Stock1!I543,Stock1!F543,"")</f>
        <v/>
      </c>
      <c r="Z543" s="95" t="str">
        <f t="array" ref="Z543">_xlfn.XLOOKUP(X543,Stock1!I543,Stock1!J543,"")</f>
        <v/>
      </c>
      <c r="AA543" s="102" t="str">
        <f t="array" ref="AA543">_xlfn.XLOOKUP(Y543,DATAPremium!A:A,DATAPremium!C:C,"")</f>
        <v/>
      </c>
    </row>
    <row r="544">
      <c r="X544" s="88" t="str">
        <f t="array" ref="X544">_xlfn.XLOOKUP("Other",Stock1!A544,Stock1!I544,"")</f>
        <v/>
      </c>
      <c r="Y544" s="95" t="str">
        <f t="array" ref="Y544">_xlfn.XLOOKUP(X544,Stock1!I544,Stock1!F544,"")</f>
        <v/>
      </c>
      <c r="Z544" s="95" t="str">
        <f t="array" ref="Z544">_xlfn.XLOOKUP(X544,Stock1!I544,Stock1!J544,"")</f>
        <v/>
      </c>
      <c r="AA544" s="102" t="str">
        <f t="array" ref="AA544">_xlfn.XLOOKUP(Y544,DATAPremium!A:A,DATAPremium!C:C,"")</f>
        <v/>
      </c>
    </row>
    <row r="545">
      <c r="X545" s="88" t="str">
        <f t="array" ref="X545">_xlfn.XLOOKUP("Other",Stock1!A545,Stock1!I545,"")</f>
        <v/>
      </c>
      <c r="Y545" s="95" t="str">
        <f t="array" ref="Y545">_xlfn.XLOOKUP(X545,Stock1!I545,Stock1!F545,"")</f>
        <v/>
      </c>
      <c r="Z545" s="95" t="str">
        <f t="array" ref="Z545">_xlfn.XLOOKUP(X545,Stock1!I545,Stock1!J545,"")</f>
        <v/>
      </c>
      <c r="AA545" s="102" t="str">
        <f t="array" ref="AA545">_xlfn.XLOOKUP(Y545,DATAPremium!A:A,DATAPremium!C:C,"")</f>
        <v/>
      </c>
    </row>
    <row r="546">
      <c r="X546" s="88" t="str">
        <f t="array" ref="X546">_xlfn.XLOOKUP("Other",Stock1!A546,Stock1!I546,"")</f>
        <v/>
      </c>
      <c r="Y546" s="95" t="str">
        <f t="array" ref="Y546">_xlfn.XLOOKUP(X546,Stock1!I546,Stock1!F546,"")</f>
        <v/>
      </c>
      <c r="Z546" s="95" t="str">
        <f t="array" ref="Z546">_xlfn.XLOOKUP(X546,Stock1!I546,Stock1!J546,"")</f>
        <v/>
      </c>
      <c r="AA546" s="102" t="str">
        <f t="array" ref="AA546">_xlfn.XLOOKUP(Y546,DATAPremium!A:A,DATAPremium!C:C,"")</f>
        <v/>
      </c>
    </row>
    <row r="547">
      <c r="X547" s="88" t="str">
        <f t="array" ref="X547">_xlfn.XLOOKUP("Other",Stock1!A547,Stock1!I547,"")</f>
        <v/>
      </c>
      <c r="Y547" s="95" t="str">
        <f t="array" ref="Y547">_xlfn.XLOOKUP(X547,Stock1!I547,Stock1!F547,"")</f>
        <v/>
      </c>
      <c r="Z547" s="95" t="str">
        <f t="array" ref="Z547">_xlfn.XLOOKUP(X547,Stock1!I547,Stock1!J547,"")</f>
        <v/>
      </c>
      <c r="AA547" s="102" t="str">
        <f t="array" ref="AA547">_xlfn.XLOOKUP(Y547,DATAPremium!A:A,DATAPremium!C:C,"")</f>
        <v/>
      </c>
    </row>
    <row r="548">
      <c r="X548" s="88" t="str">
        <f t="array" ref="X548">_xlfn.XLOOKUP("Other",Stock1!A548,Stock1!I548,"")</f>
        <v/>
      </c>
      <c r="Y548" s="95" t="str">
        <f t="array" ref="Y548">_xlfn.XLOOKUP(X548,Stock1!I548,Stock1!F548,"")</f>
        <v/>
      </c>
      <c r="Z548" s="95" t="str">
        <f t="array" ref="Z548">_xlfn.XLOOKUP(X548,Stock1!I548,Stock1!J548,"")</f>
        <v/>
      </c>
      <c r="AA548" s="102" t="str">
        <f t="array" ref="AA548">_xlfn.XLOOKUP(Y548,DATAPremium!A:A,DATAPremium!C:C,"")</f>
        <v/>
      </c>
    </row>
    <row r="549">
      <c r="X549" s="88" t="str">
        <f t="array" ref="X549">_xlfn.XLOOKUP("Other",Stock1!A549,Stock1!I549,"")</f>
        <v/>
      </c>
      <c r="Y549" s="95" t="str">
        <f t="array" ref="Y549">_xlfn.XLOOKUP(X549,Stock1!I549,Stock1!F549,"")</f>
        <v/>
      </c>
      <c r="Z549" s="95" t="str">
        <f t="array" ref="Z549">_xlfn.XLOOKUP(X549,Stock1!I549,Stock1!J549,"")</f>
        <v/>
      </c>
      <c r="AA549" s="102" t="str">
        <f t="array" ref="AA549">_xlfn.XLOOKUP(Y549,DATAPremium!A:A,DATAPremium!C:C,"")</f>
        <v/>
      </c>
    </row>
    <row r="550">
      <c r="X550" s="88" t="str">
        <f t="array" ref="X550">_xlfn.XLOOKUP("Other",Stock1!A550,Stock1!I550,"")</f>
        <v/>
      </c>
      <c r="Y550" s="95" t="str">
        <f t="array" ref="Y550">_xlfn.XLOOKUP(X550,Stock1!I550,Stock1!F550,"")</f>
        <v/>
      </c>
      <c r="Z550" s="95" t="str">
        <f t="array" ref="Z550">_xlfn.XLOOKUP(X550,Stock1!I550,Stock1!J550,"")</f>
        <v/>
      </c>
      <c r="AA550" s="102" t="str">
        <f t="array" ref="AA550">_xlfn.XLOOKUP(Y550,DATAPremium!A:A,DATAPremium!C:C,"")</f>
        <v/>
      </c>
    </row>
    <row r="551">
      <c r="X551" s="88" t="str">
        <f t="array" ref="X551">_xlfn.XLOOKUP("Other",Stock1!A551,Stock1!I551,"")</f>
        <v/>
      </c>
      <c r="Y551" s="95" t="str">
        <f t="array" ref="Y551">_xlfn.XLOOKUP(X551,Stock1!I551,Stock1!F551,"")</f>
        <v/>
      </c>
      <c r="Z551" s="95" t="str">
        <f t="array" ref="Z551">_xlfn.XLOOKUP(X551,Stock1!I551,Stock1!J551,"")</f>
        <v/>
      </c>
      <c r="AA551" s="102" t="str">
        <f t="array" ref="AA551">_xlfn.XLOOKUP(Y551,DATAPremium!A:A,DATAPremium!C:C,"")</f>
        <v/>
      </c>
    </row>
    <row r="552">
      <c r="X552" s="88" t="str">
        <f t="array" ref="X552">_xlfn.XLOOKUP("Other",Stock1!A552,Stock1!I552,"")</f>
        <v/>
      </c>
      <c r="Y552" s="95" t="str">
        <f t="array" ref="Y552">_xlfn.XLOOKUP(X552,Stock1!I552,Stock1!F552,"")</f>
        <v/>
      </c>
      <c r="Z552" s="95" t="str">
        <f t="array" ref="Z552">_xlfn.XLOOKUP(X552,Stock1!I552,Stock1!J552,"")</f>
        <v/>
      </c>
      <c r="AA552" s="102" t="str">
        <f t="array" ref="AA552">_xlfn.XLOOKUP(Y552,DATAPremium!A:A,DATAPremium!C:C,"")</f>
        <v/>
      </c>
    </row>
    <row r="553">
      <c r="X553" s="88" t="str">
        <f t="array" ref="X553">_xlfn.XLOOKUP("Other",Stock1!A553,Stock1!I553,"")</f>
        <v/>
      </c>
      <c r="Y553" s="95" t="str">
        <f t="array" ref="Y553">_xlfn.XLOOKUP(X553,Stock1!I553,Stock1!F553,"")</f>
        <v/>
      </c>
      <c r="Z553" s="95" t="str">
        <f t="array" ref="Z553">_xlfn.XLOOKUP(X553,Stock1!I553,Stock1!J553,"")</f>
        <v/>
      </c>
      <c r="AA553" s="102" t="str">
        <f t="array" ref="AA553">_xlfn.XLOOKUP(Y553,DATAPremium!A:A,DATAPremium!C:C,"")</f>
        <v/>
      </c>
    </row>
    <row r="554">
      <c r="X554" s="88" t="str">
        <f t="array" ref="X554">_xlfn.XLOOKUP("Other",Stock1!A554,Stock1!I554,"")</f>
        <v/>
      </c>
      <c r="Y554" s="95" t="str">
        <f t="array" ref="Y554">_xlfn.XLOOKUP(X554,Stock1!I554,Stock1!F554,"")</f>
        <v/>
      </c>
      <c r="Z554" s="95" t="str">
        <f t="array" ref="Z554">_xlfn.XLOOKUP(X554,Stock1!I554,Stock1!J554,"")</f>
        <v/>
      </c>
      <c r="AA554" s="102" t="str">
        <f t="array" ref="AA554">_xlfn.XLOOKUP(Y554,DATAPremium!A:A,DATAPremium!C:C,"")</f>
        <v/>
      </c>
    </row>
    <row r="555">
      <c r="X555" s="88" t="str">
        <f t="array" ref="X555">_xlfn.XLOOKUP("Other",Stock1!A555,Stock1!I555,"")</f>
        <v/>
      </c>
      <c r="Y555" s="95" t="str">
        <f t="array" ref="Y555">_xlfn.XLOOKUP(X555,Stock1!I555,Stock1!F555,"")</f>
        <v/>
      </c>
      <c r="Z555" s="95" t="str">
        <f t="array" ref="Z555">_xlfn.XLOOKUP(X555,Stock1!I555,Stock1!J555,"")</f>
        <v/>
      </c>
      <c r="AA555" s="102" t="str">
        <f t="array" ref="AA555">_xlfn.XLOOKUP(Y555,DATAPremium!A:A,DATAPremium!C:C,"")</f>
        <v/>
      </c>
    </row>
    <row r="556">
      <c r="X556" s="88" t="str">
        <f t="array" ref="X556">_xlfn.XLOOKUP("Other",Stock1!A556,Stock1!I556,"")</f>
        <v/>
      </c>
      <c r="Y556" s="95" t="str">
        <f t="array" ref="Y556">_xlfn.XLOOKUP(X556,Stock1!I556,Stock1!F556,"")</f>
        <v/>
      </c>
      <c r="Z556" s="95" t="str">
        <f t="array" ref="Z556">_xlfn.XLOOKUP(X556,Stock1!I556,Stock1!J556,"")</f>
        <v/>
      </c>
      <c r="AA556" s="102" t="str">
        <f t="array" ref="AA556">_xlfn.XLOOKUP(Y556,DATAPremium!A:A,DATAPremium!C:C,"")</f>
        <v/>
      </c>
    </row>
    <row r="557">
      <c r="X557" s="88" t="str">
        <f t="array" ref="X557">_xlfn.XLOOKUP("Other",Stock1!A557,Stock1!I557,"")</f>
        <v/>
      </c>
      <c r="Y557" s="95" t="str">
        <f t="array" ref="Y557">_xlfn.XLOOKUP(X557,Stock1!I557,Stock1!F557,"")</f>
        <v/>
      </c>
      <c r="Z557" s="95" t="str">
        <f t="array" ref="Z557">_xlfn.XLOOKUP(X557,Stock1!I557,Stock1!J557,"")</f>
        <v/>
      </c>
      <c r="AA557" s="102" t="str">
        <f t="array" ref="AA557">_xlfn.XLOOKUP(Y557,DATAPremium!A:A,DATAPremium!C:C,"")</f>
        <v/>
      </c>
    </row>
    <row r="558">
      <c r="X558" s="88" t="str">
        <f t="array" ref="X558">_xlfn.XLOOKUP("Other",Stock1!A558,Stock1!I558,"")</f>
        <v/>
      </c>
      <c r="Y558" s="95" t="str">
        <f t="array" ref="Y558">_xlfn.XLOOKUP(X558,Stock1!I558,Stock1!F558,"")</f>
        <v/>
      </c>
      <c r="Z558" s="95" t="str">
        <f t="array" ref="Z558">_xlfn.XLOOKUP(X558,Stock1!I558,Stock1!J558,"")</f>
        <v/>
      </c>
      <c r="AA558" s="102" t="str">
        <f t="array" ref="AA558">_xlfn.XLOOKUP(Y558,DATAPremium!A:A,DATAPremium!C:C,"")</f>
        <v/>
      </c>
    </row>
    <row r="559">
      <c r="X559" s="88" t="str">
        <f t="array" ref="X559">_xlfn.XLOOKUP("Other",Stock1!A559,Stock1!I559,"")</f>
        <v/>
      </c>
      <c r="Y559" s="95" t="str">
        <f t="array" ref="Y559">_xlfn.XLOOKUP(X559,Stock1!I559,Stock1!F559,"")</f>
        <v/>
      </c>
      <c r="Z559" s="95" t="str">
        <f t="array" ref="Z559">_xlfn.XLOOKUP(X559,Stock1!I559,Stock1!J559,"")</f>
        <v/>
      </c>
      <c r="AA559" s="102" t="str">
        <f t="array" ref="AA559">_xlfn.XLOOKUP(Y559,DATAPremium!A:A,DATAPremium!C:C,"")</f>
        <v/>
      </c>
    </row>
    <row r="560">
      <c r="X560" s="88" t="str">
        <f t="array" ref="X560">_xlfn.XLOOKUP("Other",Stock1!A560,Stock1!I560,"")</f>
        <v/>
      </c>
      <c r="Y560" s="95" t="str">
        <f t="array" ref="Y560">_xlfn.XLOOKUP(X560,Stock1!I560,Stock1!F560,"")</f>
        <v/>
      </c>
      <c r="Z560" s="95" t="str">
        <f t="array" ref="Z560">_xlfn.XLOOKUP(X560,Stock1!I560,Stock1!J560,"")</f>
        <v/>
      </c>
      <c r="AA560" s="102" t="str">
        <f t="array" ref="AA560">_xlfn.XLOOKUP(Y560,DATAPremium!A:A,DATAPremium!C:C,"")</f>
        <v/>
      </c>
    </row>
    <row r="561">
      <c r="X561" s="88" t="str">
        <f t="array" ref="X561">_xlfn.XLOOKUP("Other",Stock1!A561,Stock1!I561,"")</f>
        <v/>
      </c>
      <c r="Y561" s="95" t="str">
        <f t="array" ref="Y561">_xlfn.XLOOKUP(X561,Stock1!I561,Stock1!F561,"")</f>
        <v/>
      </c>
      <c r="Z561" s="95" t="str">
        <f t="array" ref="Z561">_xlfn.XLOOKUP(X561,Stock1!I561,Stock1!J561,"")</f>
        <v/>
      </c>
      <c r="AA561" s="102" t="str">
        <f t="array" ref="AA561">_xlfn.XLOOKUP(Y561,DATAPremium!A:A,DATAPremium!C:C,"")</f>
        <v/>
      </c>
    </row>
    <row r="562">
      <c r="X562" s="88" t="str">
        <f t="array" ref="X562">_xlfn.XLOOKUP("Other",Stock1!A562,Stock1!I562,"")</f>
        <v/>
      </c>
      <c r="Y562" s="95" t="str">
        <f t="array" ref="Y562">_xlfn.XLOOKUP(X562,Stock1!I562,Stock1!F562,"")</f>
        <v/>
      </c>
      <c r="Z562" s="95" t="str">
        <f t="array" ref="Z562">_xlfn.XLOOKUP(X562,Stock1!I562,Stock1!J562,"")</f>
        <v/>
      </c>
      <c r="AA562" s="102" t="str">
        <f t="array" ref="AA562">_xlfn.XLOOKUP(Y562,DATAPremium!A:A,DATAPremium!C:C,"")</f>
        <v/>
      </c>
    </row>
    <row r="563">
      <c r="X563" s="88" t="str">
        <f t="array" ref="X563">_xlfn.XLOOKUP("Other",Stock1!A563,Stock1!I563,"")</f>
        <v/>
      </c>
      <c r="Y563" s="95" t="str">
        <f t="array" ref="Y563">_xlfn.XLOOKUP(X563,Stock1!I563,Stock1!F563,"")</f>
        <v/>
      </c>
      <c r="Z563" s="95" t="str">
        <f t="array" ref="Z563">_xlfn.XLOOKUP(X563,Stock1!I563,Stock1!J563,"")</f>
        <v/>
      </c>
      <c r="AA563" s="102" t="str">
        <f t="array" ref="AA563">_xlfn.XLOOKUP(Y563,DATAPremium!A:A,DATAPremium!C:C,"")</f>
        <v/>
      </c>
    </row>
    <row r="564">
      <c r="X564" s="88" t="str">
        <f t="array" ref="X564">_xlfn.XLOOKUP("Other",Stock1!A564,Stock1!I564,"")</f>
        <v/>
      </c>
      <c r="Y564" s="95" t="str">
        <f t="array" ref="Y564">_xlfn.XLOOKUP(X564,Stock1!I564,Stock1!F564,"")</f>
        <v/>
      </c>
      <c r="Z564" s="95" t="str">
        <f t="array" ref="Z564">_xlfn.XLOOKUP(X564,Stock1!I564,Stock1!J564,"")</f>
        <v/>
      </c>
      <c r="AA564" s="102" t="str">
        <f t="array" ref="AA564">_xlfn.XLOOKUP(Y564,DATAPremium!A:A,DATAPremium!C:C,"")</f>
        <v/>
      </c>
    </row>
    <row r="565">
      <c r="X565" s="88" t="str">
        <f t="array" ref="X565">_xlfn.XLOOKUP("Other",Stock1!A565,Stock1!I565,"")</f>
        <v/>
      </c>
      <c r="Y565" s="95" t="str">
        <f t="array" ref="Y565">_xlfn.XLOOKUP(X565,Stock1!I565,Stock1!F565,"")</f>
        <v/>
      </c>
      <c r="Z565" s="95" t="str">
        <f t="array" ref="Z565">_xlfn.XLOOKUP(X565,Stock1!I565,Stock1!J565,"")</f>
        <v/>
      </c>
      <c r="AA565" s="102" t="str">
        <f t="array" ref="AA565">_xlfn.XLOOKUP(Y565,DATAPremium!A:A,DATAPremium!C:C,"")</f>
        <v/>
      </c>
    </row>
    <row r="566">
      <c r="X566" s="88" t="str">
        <f t="array" ref="X566">_xlfn.XLOOKUP("Other",Stock1!A566,Stock1!I566,"")</f>
        <v/>
      </c>
      <c r="Y566" s="95" t="str">
        <f t="array" ref="Y566">_xlfn.XLOOKUP(X566,Stock1!I566,Stock1!F566,"")</f>
        <v/>
      </c>
      <c r="Z566" s="95" t="str">
        <f t="array" ref="Z566">_xlfn.XLOOKUP(X566,Stock1!I566,Stock1!J566,"")</f>
        <v/>
      </c>
      <c r="AA566" s="102" t="str">
        <f t="array" ref="AA566">_xlfn.XLOOKUP(Y566,DATAPremium!A:A,DATAPremium!C:C,"")</f>
        <v/>
      </c>
    </row>
    <row r="567">
      <c r="X567" s="88" t="str">
        <f t="array" ref="X567">_xlfn.XLOOKUP("Other",Stock1!A567,Stock1!I567,"")</f>
        <v/>
      </c>
      <c r="Y567" s="95" t="str">
        <f t="array" ref="Y567">_xlfn.XLOOKUP(X567,Stock1!I567,Stock1!F567,"")</f>
        <v/>
      </c>
      <c r="Z567" s="95" t="str">
        <f t="array" ref="Z567">_xlfn.XLOOKUP(X567,Stock1!I567,Stock1!J567,"")</f>
        <v/>
      </c>
      <c r="AA567" s="102" t="str">
        <f t="array" ref="AA567">_xlfn.XLOOKUP(Y567,DATAPremium!A:A,DATAPremium!C:C,"")</f>
        <v/>
      </c>
    </row>
    <row r="568">
      <c r="X568" s="88" t="str">
        <f t="array" ref="X568">_xlfn.XLOOKUP("Other",Stock1!A568,Stock1!I568,"")</f>
        <v/>
      </c>
      <c r="Y568" s="95" t="str">
        <f t="array" ref="Y568">_xlfn.XLOOKUP(X568,Stock1!I568,Stock1!F568,"")</f>
        <v/>
      </c>
      <c r="Z568" s="95" t="str">
        <f t="array" ref="Z568">_xlfn.XLOOKUP(X568,Stock1!I568,Stock1!J568,"")</f>
        <v/>
      </c>
      <c r="AA568" s="102" t="str">
        <f t="array" ref="AA568">_xlfn.XLOOKUP(Y568,DATAPremium!A:A,DATAPremium!C:C,"")</f>
        <v/>
      </c>
    </row>
    <row r="569">
      <c r="X569" s="88" t="str">
        <f t="array" ref="X569">_xlfn.XLOOKUP("Other",Stock1!A569,Stock1!I569,"")</f>
        <v/>
      </c>
      <c r="Y569" s="95" t="str">
        <f t="array" ref="Y569">_xlfn.XLOOKUP(X569,Stock1!I569,Stock1!F569,"")</f>
        <v/>
      </c>
      <c r="Z569" s="95" t="str">
        <f t="array" ref="Z569">_xlfn.XLOOKUP(X569,Stock1!I569,Stock1!J569,"")</f>
        <v/>
      </c>
      <c r="AA569" s="102" t="str">
        <f t="array" ref="AA569">_xlfn.XLOOKUP(Y569,DATAPremium!A:A,DATAPremium!C:C,"")</f>
        <v/>
      </c>
    </row>
    <row r="570">
      <c r="X570" s="88" t="str">
        <f t="array" ref="X570">_xlfn.XLOOKUP("Other",Stock1!A570,Stock1!I570,"")</f>
        <v/>
      </c>
      <c r="Y570" s="95" t="str">
        <f t="array" ref="Y570">_xlfn.XLOOKUP(X570,Stock1!I570,Stock1!F570,"")</f>
        <v/>
      </c>
      <c r="Z570" s="95" t="str">
        <f t="array" ref="Z570">_xlfn.XLOOKUP(X570,Stock1!I570,Stock1!J570,"")</f>
        <v/>
      </c>
      <c r="AA570" s="102" t="str">
        <f t="array" ref="AA570">_xlfn.XLOOKUP(Y570,DATAPremium!A:A,DATAPremium!C:C,"")</f>
        <v/>
      </c>
    </row>
    <row r="571">
      <c r="X571" s="88" t="str">
        <f t="array" ref="X571">_xlfn.XLOOKUP("Other",Stock1!A571,Stock1!I571,"")</f>
        <v/>
      </c>
      <c r="Y571" s="95" t="str">
        <f t="array" ref="Y571">_xlfn.XLOOKUP(X571,Stock1!I571,Stock1!F571,"")</f>
        <v/>
      </c>
      <c r="Z571" s="95" t="str">
        <f t="array" ref="Z571">_xlfn.XLOOKUP(X571,Stock1!I571,Stock1!J571,"")</f>
        <v/>
      </c>
      <c r="AA571" s="102" t="str">
        <f t="array" ref="AA571">_xlfn.XLOOKUP(Y571,DATAPremium!A:A,DATAPremium!C:C,"")</f>
        <v/>
      </c>
    </row>
    <row r="572">
      <c r="X572" s="88" t="str">
        <f t="array" ref="X572">_xlfn.XLOOKUP("Other",Stock1!A572,Stock1!I572,"")</f>
        <v/>
      </c>
      <c r="Y572" s="95" t="str">
        <f t="array" ref="Y572">_xlfn.XLOOKUP(X572,Stock1!I572,Stock1!F572,"")</f>
        <v/>
      </c>
      <c r="Z572" s="95" t="str">
        <f t="array" ref="Z572">_xlfn.XLOOKUP(X572,Stock1!I572,Stock1!J572,"")</f>
        <v/>
      </c>
      <c r="AA572" s="102" t="str">
        <f t="array" ref="AA572">_xlfn.XLOOKUP(Y572,DATAPremium!A:A,DATAPremium!C:C,"")</f>
        <v/>
      </c>
    </row>
    <row r="573">
      <c r="X573" s="88" t="str">
        <f t="array" ref="X573">_xlfn.XLOOKUP("Other",Stock1!A573,Stock1!I573,"")</f>
        <v/>
      </c>
      <c r="Y573" s="95" t="str">
        <f t="array" ref="Y573">_xlfn.XLOOKUP(X573,Stock1!I573,Stock1!F573,"")</f>
        <v/>
      </c>
      <c r="Z573" s="95" t="str">
        <f t="array" ref="Z573">_xlfn.XLOOKUP(X573,Stock1!I573,Stock1!J573,"")</f>
        <v/>
      </c>
      <c r="AA573" s="102" t="str">
        <f t="array" ref="AA573">_xlfn.XLOOKUP(Y573,DATAPremium!A:A,DATAPremium!C:C,"")</f>
        <v/>
      </c>
    </row>
    <row r="574">
      <c r="X574" s="88" t="str">
        <f t="array" ref="X574">_xlfn.XLOOKUP("Other",Stock1!A574,Stock1!I574,"")</f>
        <v/>
      </c>
      <c r="Y574" s="95" t="str">
        <f t="array" ref="Y574">_xlfn.XLOOKUP(X574,Stock1!I574,Stock1!F574,"")</f>
        <v/>
      </c>
      <c r="Z574" s="95" t="str">
        <f t="array" ref="Z574">_xlfn.XLOOKUP(X574,Stock1!I574,Stock1!J574,"")</f>
        <v/>
      </c>
      <c r="AA574" s="102" t="str">
        <f t="array" ref="AA574">_xlfn.XLOOKUP(Y574,DATAPremium!A:A,DATAPremium!C:C,"")</f>
        <v/>
      </c>
    </row>
    <row r="575">
      <c r="X575" s="88" t="str">
        <f t="array" ref="X575">_xlfn.XLOOKUP("Other",Stock1!A575,Stock1!I575,"")</f>
        <v/>
      </c>
      <c r="Y575" s="95" t="str">
        <f t="array" ref="Y575">_xlfn.XLOOKUP(X575,Stock1!I575,Stock1!F575,"")</f>
        <v/>
      </c>
      <c r="Z575" s="95" t="str">
        <f t="array" ref="Z575">_xlfn.XLOOKUP(X575,Stock1!I575,Stock1!J575,"")</f>
        <v/>
      </c>
      <c r="AA575" s="102" t="str">
        <f t="array" ref="AA575">_xlfn.XLOOKUP(Y575,DATAPremium!A:A,DATAPremium!C:C,"")</f>
        <v/>
      </c>
    </row>
    <row r="576">
      <c r="X576" s="88" t="str">
        <f t="array" ref="X576">_xlfn.XLOOKUP("Other",Stock1!A576,Stock1!I576,"")</f>
        <v/>
      </c>
      <c r="Y576" s="95" t="str">
        <f t="array" ref="Y576">_xlfn.XLOOKUP(X576,Stock1!I576,Stock1!F576,"")</f>
        <v/>
      </c>
      <c r="Z576" s="95" t="str">
        <f t="array" ref="Z576">_xlfn.XLOOKUP(X576,Stock1!I576,Stock1!J576,"")</f>
        <v/>
      </c>
      <c r="AA576" s="102" t="str">
        <f t="array" ref="AA576">_xlfn.XLOOKUP(Y576,DATAPremium!A:A,DATAPremium!C:C,"")</f>
        <v/>
      </c>
    </row>
    <row r="577">
      <c r="X577" s="88" t="str">
        <f t="array" ref="X577">_xlfn.XLOOKUP("Other",Stock1!A577,Stock1!I577,"")</f>
        <v/>
      </c>
      <c r="Y577" s="95" t="str">
        <f t="array" ref="Y577">_xlfn.XLOOKUP(X577,Stock1!I577,Stock1!F577,"")</f>
        <v/>
      </c>
      <c r="Z577" s="95" t="str">
        <f t="array" ref="Z577">_xlfn.XLOOKUP(X577,Stock1!I577,Stock1!J577,"")</f>
        <v/>
      </c>
      <c r="AA577" s="102" t="str">
        <f t="array" ref="AA577">_xlfn.XLOOKUP(Y577,DATAPremium!A:A,DATAPremium!C:C,"")</f>
        <v/>
      </c>
    </row>
    <row r="578">
      <c r="X578" s="88" t="str">
        <f t="array" ref="X578">_xlfn.XLOOKUP("Other",Stock1!A578,Stock1!I578,"")</f>
        <v/>
      </c>
      <c r="Y578" s="95" t="str">
        <f t="array" ref="Y578">_xlfn.XLOOKUP(X578,Stock1!I578,Stock1!F578,"")</f>
        <v/>
      </c>
      <c r="Z578" s="95" t="str">
        <f t="array" ref="Z578">_xlfn.XLOOKUP(X578,Stock1!I578,Stock1!J578,"")</f>
        <v/>
      </c>
      <c r="AA578" s="102" t="str">
        <f t="array" ref="AA578">_xlfn.XLOOKUP(Y578,DATAPremium!A:A,DATAPremium!C:C,"")</f>
        <v/>
      </c>
    </row>
    <row r="579">
      <c r="X579" s="88" t="str">
        <f t="array" ref="X579">_xlfn.XLOOKUP("Other",Stock1!A579,Stock1!I579,"")</f>
        <v/>
      </c>
      <c r="Y579" s="95" t="str">
        <f t="array" ref="Y579">_xlfn.XLOOKUP(X579,Stock1!I579,Stock1!F579,"")</f>
        <v/>
      </c>
      <c r="Z579" s="95" t="str">
        <f t="array" ref="Z579">_xlfn.XLOOKUP(X579,Stock1!I579,Stock1!J579,"")</f>
        <v/>
      </c>
      <c r="AA579" s="102" t="str">
        <f t="array" ref="AA579">_xlfn.XLOOKUP(Y579,DATAPremium!A:A,DATAPremium!C:C,"")</f>
        <v/>
      </c>
    </row>
    <row r="580">
      <c r="X580" s="88" t="str">
        <f t="array" ref="X580">_xlfn.XLOOKUP("Other",Stock1!A580,Stock1!I580,"")</f>
        <v/>
      </c>
      <c r="Y580" s="95" t="str">
        <f t="array" ref="Y580">_xlfn.XLOOKUP(X580,Stock1!I580,Stock1!F580,"")</f>
        <v/>
      </c>
      <c r="Z580" s="95" t="str">
        <f t="array" ref="Z580">_xlfn.XLOOKUP(X580,Stock1!I580,Stock1!J580,"")</f>
        <v/>
      </c>
      <c r="AA580" s="102" t="str">
        <f t="array" ref="AA580">_xlfn.XLOOKUP(Y580,DATAPremium!A:A,DATAPremium!C:C,"")</f>
        <v/>
      </c>
    </row>
    <row r="581">
      <c r="X581" s="88" t="str">
        <f t="array" ref="X581">_xlfn.XLOOKUP("Other",Stock1!A581,Stock1!I581,"")</f>
        <v/>
      </c>
      <c r="Y581" s="95" t="str">
        <f t="array" ref="Y581">_xlfn.XLOOKUP(X581,Stock1!I581,Stock1!F581,"")</f>
        <v/>
      </c>
      <c r="Z581" s="95" t="str">
        <f t="array" ref="Z581">_xlfn.XLOOKUP(X581,Stock1!I581,Stock1!J581,"")</f>
        <v/>
      </c>
      <c r="AA581" s="102" t="str">
        <f t="array" ref="AA581">_xlfn.XLOOKUP(Y581,DATAPremium!A:A,DATAPremium!C:C,"")</f>
        <v/>
      </c>
    </row>
    <row r="582">
      <c r="X582" s="88" t="str">
        <f t="array" ref="X582">_xlfn.XLOOKUP("Other",Stock1!A582,Stock1!I582,"")</f>
        <v/>
      </c>
      <c r="Y582" s="95" t="str">
        <f t="array" ref="Y582">_xlfn.XLOOKUP(X582,Stock1!I582,Stock1!F582,"")</f>
        <v/>
      </c>
      <c r="Z582" s="95" t="str">
        <f t="array" ref="Z582">_xlfn.XLOOKUP(X582,Stock1!I582,Stock1!J582,"")</f>
        <v/>
      </c>
      <c r="AA582" s="102" t="str">
        <f t="array" ref="AA582">_xlfn.XLOOKUP(Y582,DATAPremium!A:A,DATAPremium!C:C,"")</f>
        <v/>
      </c>
    </row>
    <row r="583">
      <c r="X583" s="88" t="str">
        <f t="array" ref="X583">_xlfn.XLOOKUP("Other",Stock1!A583,Stock1!I583,"")</f>
        <v/>
      </c>
      <c r="Y583" s="95" t="str">
        <f t="array" ref="Y583">_xlfn.XLOOKUP(X583,Stock1!I583,Stock1!F583,"")</f>
        <v/>
      </c>
      <c r="Z583" s="95" t="str">
        <f t="array" ref="Z583">_xlfn.XLOOKUP(X583,Stock1!I583,Stock1!J583,"")</f>
        <v/>
      </c>
      <c r="AA583" s="102" t="str">
        <f t="array" ref="AA583">_xlfn.XLOOKUP(Y583,DATAPremium!A:A,DATAPremium!C:C,"")</f>
        <v/>
      </c>
    </row>
    <row r="584">
      <c r="X584" s="88" t="str">
        <f t="array" ref="X584">_xlfn.XLOOKUP("Other",Stock1!A584,Stock1!I584,"")</f>
        <v/>
      </c>
      <c r="Y584" s="95" t="str">
        <f t="array" ref="Y584">_xlfn.XLOOKUP(X584,Stock1!I584,Stock1!F584,"")</f>
        <v/>
      </c>
      <c r="Z584" s="95" t="str">
        <f t="array" ref="Z584">_xlfn.XLOOKUP(X584,Stock1!I584,Stock1!J584,"")</f>
        <v/>
      </c>
      <c r="AA584" s="102" t="str">
        <f t="array" ref="AA584">_xlfn.XLOOKUP(Y584,DATAPremium!A:A,DATAPremium!C:C,"")</f>
        <v/>
      </c>
    </row>
    <row r="585">
      <c r="X585" s="88" t="str">
        <f t="array" ref="X585">_xlfn.XLOOKUP("Other",Stock1!A585,Stock1!I585,"")</f>
        <v/>
      </c>
      <c r="Y585" s="95" t="str">
        <f t="array" ref="Y585">_xlfn.XLOOKUP(X585,Stock1!I585,Stock1!F585,"")</f>
        <v/>
      </c>
      <c r="Z585" s="95" t="str">
        <f t="array" ref="Z585">_xlfn.XLOOKUP(X585,Stock1!I585,Stock1!J585,"")</f>
        <v/>
      </c>
      <c r="AA585" s="102" t="str">
        <f t="array" ref="AA585">_xlfn.XLOOKUP(Y585,DATAPremium!A:A,DATAPremium!C:C,"")</f>
        <v/>
      </c>
    </row>
    <row r="586">
      <c r="X586" s="88" t="str">
        <f t="array" ref="X586">_xlfn.XLOOKUP("Other",Stock1!A586,Stock1!I586,"")</f>
        <v/>
      </c>
      <c r="Y586" s="95" t="str">
        <f t="array" ref="Y586">_xlfn.XLOOKUP(X586,Stock1!I586,Stock1!F586,"")</f>
        <v/>
      </c>
      <c r="Z586" s="95" t="str">
        <f t="array" ref="Z586">_xlfn.XLOOKUP(X586,Stock1!I586,Stock1!J586,"")</f>
        <v/>
      </c>
      <c r="AA586" s="102" t="str">
        <f t="array" ref="AA586">_xlfn.XLOOKUP(Y586,DATAPremium!A:A,DATAPremium!C:C,"")</f>
        <v/>
      </c>
    </row>
    <row r="587">
      <c r="X587" s="88" t="str">
        <f t="array" ref="X587">_xlfn.XLOOKUP("Other",Stock1!A587,Stock1!I587,"")</f>
        <v/>
      </c>
      <c r="Y587" s="95" t="str">
        <f t="array" ref="Y587">_xlfn.XLOOKUP(X587,Stock1!I587,Stock1!F587,"")</f>
        <v/>
      </c>
      <c r="Z587" s="95" t="str">
        <f t="array" ref="Z587">_xlfn.XLOOKUP(X587,Stock1!I587,Stock1!J587,"")</f>
        <v/>
      </c>
      <c r="AA587" s="102" t="str">
        <f t="array" ref="AA587">_xlfn.XLOOKUP(Y587,DATAPremium!A:A,DATAPremium!C:C,"")</f>
        <v/>
      </c>
    </row>
    <row r="588">
      <c r="X588" s="88" t="str">
        <f t="array" ref="X588">_xlfn.XLOOKUP("Other",Stock1!A588,Stock1!I588,"")</f>
        <v/>
      </c>
      <c r="Y588" s="95" t="str">
        <f t="array" ref="Y588">_xlfn.XLOOKUP(X588,Stock1!I588,Stock1!F588,"")</f>
        <v/>
      </c>
      <c r="Z588" s="95" t="str">
        <f t="array" ref="Z588">_xlfn.XLOOKUP(X588,Stock1!I588,Stock1!J588,"")</f>
        <v/>
      </c>
      <c r="AA588" s="102" t="str">
        <f t="array" ref="AA588">_xlfn.XLOOKUP(Y588,DATAPremium!A:A,DATAPremium!C:C,"")</f>
        <v/>
      </c>
    </row>
    <row r="589">
      <c r="X589" s="88" t="str">
        <f t="array" ref="X589">_xlfn.XLOOKUP("Other",Stock1!A589,Stock1!I589,"")</f>
        <v/>
      </c>
      <c r="Y589" s="95" t="str">
        <f t="array" ref="Y589">_xlfn.XLOOKUP(X589,Stock1!I589,Stock1!F589,"")</f>
        <v/>
      </c>
      <c r="Z589" s="95" t="str">
        <f t="array" ref="Z589">_xlfn.XLOOKUP(X589,Stock1!I589,Stock1!J589,"")</f>
        <v/>
      </c>
      <c r="AA589" s="102" t="str">
        <f t="array" ref="AA589">_xlfn.XLOOKUP(Y589,DATAPremium!A:A,DATAPremium!C:C,"")</f>
        <v/>
      </c>
    </row>
    <row r="590">
      <c r="X590" s="88" t="str">
        <f t="array" ref="X590">_xlfn.XLOOKUP("Other",Stock1!A590,Stock1!I590,"")</f>
        <v/>
      </c>
      <c r="Y590" s="95" t="str">
        <f t="array" ref="Y590">_xlfn.XLOOKUP(X590,Stock1!I590,Stock1!F590,"")</f>
        <v/>
      </c>
      <c r="Z590" s="95" t="str">
        <f t="array" ref="Z590">_xlfn.XLOOKUP(X590,Stock1!I590,Stock1!J590,"")</f>
        <v/>
      </c>
      <c r="AA590" s="102" t="str">
        <f t="array" ref="AA590">_xlfn.XLOOKUP(Y590,DATAPremium!A:A,DATAPremium!C:C,"")</f>
        <v/>
      </c>
    </row>
    <row r="591">
      <c r="X591" s="88" t="str">
        <f t="array" ref="X591">_xlfn.XLOOKUP("Other",Stock1!A591,Stock1!I591,"")</f>
        <v/>
      </c>
      <c r="Y591" s="95" t="str">
        <f t="array" ref="Y591">_xlfn.XLOOKUP(X591,Stock1!I591,Stock1!F591,"")</f>
        <v/>
      </c>
      <c r="Z591" s="95" t="str">
        <f t="array" ref="Z591">_xlfn.XLOOKUP(X591,Stock1!I591,Stock1!J591,"")</f>
        <v/>
      </c>
      <c r="AA591" s="102" t="str">
        <f t="array" ref="AA591">_xlfn.XLOOKUP(Y591,DATAPremium!A:A,DATAPremium!C:C,"")</f>
        <v/>
      </c>
    </row>
    <row r="592">
      <c r="X592" s="88" t="str">
        <f t="array" ref="X592">_xlfn.XLOOKUP("Other",Stock1!A592,Stock1!I592,"")</f>
        <v/>
      </c>
      <c r="Y592" s="95" t="str">
        <f t="array" ref="Y592">_xlfn.XLOOKUP(X592,Stock1!I592,Stock1!F592,"")</f>
        <v/>
      </c>
      <c r="Z592" s="95" t="str">
        <f t="array" ref="Z592">_xlfn.XLOOKUP(X592,Stock1!I592,Stock1!J592,"")</f>
        <v/>
      </c>
      <c r="AA592" s="102" t="str">
        <f t="array" ref="AA592">_xlfn.XLOOKUP(Y592,DATAPremium!A:A,DATAPremium!C:C,"")</f>
        <v/>
      </c>
    </row>
    <row r="593">
      <c r="X593" s="88" t="str">
        <f t="array" ref="X593">_xlfn.XLOOKUP("Other",Stock1!A593,Stock1!I593,"")</f>
        <v/>
      </c>
      <c r="Y593" s="95" t="str">
        <f t="array" ref="Y593">_xlfn.XLOOKUP(X593,Stock1!I593,Stock1!F593,"")</f>
        <v/>
      </c>
      <c r="Z593" s="95" t="str">
        <f t="array" ref="Z593">_xlfn.XLOOKUP(X593,Stock1!I593,Stock1!J593,"")</f>
        <v/>
      </c>
      <c r="AA593" s="102" t="str">
        <f t="array" ref="AA593">_xlfn.XLOOKUP(Y593,DATAPremium!A:A,DATAPremium!C:C,"")</f>
        <v/>
      </c>
    </row>
    <row r="594">
      <c r="X594" s="88" t="str">
        <f t="array" ref="X594">_xlfn.XLOOKUP("Other",Stock1!A594,Stock1!I594,"")</f>
        <v/>
      </c>
      <c r="Y594" s="95" t="str">
        <f t="array" ref="Y594">_xlfn.XLOOKUP(X594,Stock1!I594,Stock1!F594,"")</f>
        <v/>
      </c>
      <c r="Z594" s="95" t="str">
        <f t="array" ref="Z594">_xlfn.XLOOKUP(X594,Stock1!I594,Stock1!J594,"")</f>
        <v/>
      </c>
      <c r="AA594" s="102" t="str">
        <f t="array" ref="AA594">_xlfn.XLOOKUP(Y594,DATAPremium!A:A,DATAPremium!C:C,"")</f>
        <v/>
      </c>
    </row>
    <row r="595">
      <c r="X595" s="88" t="str">
        <f t="array" ref="X595">_xlfn.XLOOKUP("Other",Stock1!A595,Stock1!I595,"")</f>
        <v/>
      </c>
      <c r="Y595" s="95" t="str">
        <f t="array" ref="Y595">_xlfn.XLOOKUP(X595,Stock1!I595,Stock1!F595,"")</f>
        <v/>
      </c>
      <c r="Z595" s="95" t="str">
        <f t="array" ref="Z595">_xlfn.XLOOKUP(X595,Stock1!I595,Stock1!J595,"")</f>
        <v/>
      </c>
      <c r="AA595" s="102" t="str">
        <f t="array" ref="AA595">_xlfn.XLOOKUP(Y595,DATAPremium!A:A,DATAPremium!C:C,"")</f>
        <v/>
      </c>
    </row>
    <row r="596">
      <c r="X596" s="88" t="str">
        <f t="array" ref="X596">_xlfn.XLOOKUP("Other",Stock1!A596,Stock1!I596,"")</f>
        <v/>
      </c>
      <c r="Y596" s="95" t="str">
        <f t="array" ref="Y596">_xlfn.XLOOKUP(X596,Stock1!I596,Stock1!F596,"")</f>
        <v/>
      </c>
      <c r="Z596" s="95" t="str">
        <f t="array" ref="Z596">_xlfn.XLOOKUP(X596,Stock1!I596,Stock1!J596,"")</f>
        <v/>
      </c>
      <c r="AA596" s="102" t="str">
        <f t="array" ref="AA596">_xlfn.XLOOKUP(Y596,DATAPremium!A:A,DATAPremium!C:C,"")</f>
        <v/>
      </c>
    </row>
    <row r="597">
      <c r="X597" s="88" t="str">
        <f t="array" ref="X597">_xlfn.XLOOKUP("Other",Stock1!A597,Stock1!I597,"")</f>
        <v/>
      </c>
      <c r="Y597" s="95" t="str">
        <f t="array" ref="Y597">_xlfn.XLOOKUP(X597,Stock1!I597,Stock1!F597,"")</f>
        <v/>
      </c>
      <c r="Z597" s="95" t="str">
        <f t="array" ref="Z597">_xlfn.XLOOKUP(X597,Stock1!I597,Stock1!J597,"")</f>
        <v/>
      </c>
      <c r="AA597" s="102" t="str">
        <f t="array" ref="AA597">_xlfn.XLOOKUP(Y597,DATAPremium!A:A,DATAPremium!C:C,"")</f>
        <v/>
      </c>
    </row>
    <row r="598">
      <c r="X598" s="88" t="str">
        <f t="array" ref="X598">_xlfn.XLOOKUP("Other",Stock1!A598,Stock1!I598,"")</f>
        <v/>
      </c>
      <c r="Y598" s="95" t="str">
        <f t="array" ref="Y598">_xlfn.XLOOKUP(X598,Stock1!I598,Stock1!F598,"")</f>
        <v/>
      </c>
      <c r="Z598" s="95" t="str">
        <f t="array" ref="Z598">_xlfn.XLOOKUP(X598,Stock1!I598,Stock1!J598,"")</f>
        <v/>
      </c>
      <c r="AA598" s="102" t="str">
        <f t="array" ref="AA598">_xlfn.XLOOKUP(Y598,DATAPremium!A:A,DATAPremium!C:C,"")</f>
        <v/>
      </c>
    </row>
    <row r="599">
      <c r="X599" s="88" t="str">
        <f t="array" ref="X599">_xlfn.XLOOKUP("Other",Stock1!A599,Stock1!I599,"")</f>
        <v/>
      </c>
      <c r="Y599" s="95" t="str">
        <f t="array" ref="Y599">_xlfn.XLOOKUP(X599,Stock1!I599,Stock1!F599,"")</f>
        <v/>
      </c>
      <c r="Z599" s="95" t="str">
        <f t="array" ref="Z599">_xlfn.XLOOKUP(X599,Stock1!I599,Stock1!J599,"")</f>
        <v/>
      </c>
      <c r="AA599" s="102" t="str">
        <f t="array" ref="AA599">_xlfn.XLOOKUP(Y599,DATAPremium!A:A,DATAPremium!C:C,"")</f>
        <v/>
      </c>
    </row>
    <row r="600">
      <c r="X600" s="88" t="str">
        <f t="array" ref="X600">_xlfn.XLOOKUP("Other",Stock1!A600,Stock1!I600,"")</f>
        <v/>
      </c>
      <c r="Y600" s="95" t="str">
        <f t="array" ref="Y600">_xlfn.XLOOKUP(X600,Stock1!I600,Stock1!F600,"")</f>
        <v/>
      </c>
      <c r="Z600" s="95" t="str">
        <f t="array" ref="Z600">_xlfn.XLOOKUP(X600,Stock1!I600,Stock1!J600,"")</f>
        <v/>
      </c>
      <c r="AA600" s="102" t="str">
        <f t="array" ref="AA600">_xlfn.XLOOKUP(Y600,DATAPremium!A:A,DATAPremium!C:C,"")</f>
        <v/>
      </c>
    </row>
    <row r="601">
      <c r="X601" s="88" t="str">
        <f t="array" ref="X601">_xlfn.XLOOKUP("Other",Stock1!A601,Stock1!I601,"")</f>
        <v/>
      </c>
      <c r="Y601" s="95" t="str">
        <f t="array" ref="Y601">_xlfn.XLOOKUP(X601,Stock1!I601,Stock1!F601,"")</f>
        <v/>
      </c>
      <c r="Z601" s="95" t="str">
        <f t="array" ref="Z601">_xlfn.XLOOKUP(X601,Stock1!I601,Stock1!J601,"")</f>
        <v/>
      </c>
      <c r="AA601" s="102" t="str">
        <f t="array" ref="AA601">_xlfn.XLOOKUP(Y601,DATAPremium!A:A,DATAPremium!C:C,"")</f>
        <v/>
      </c>
    </row>
    <row r="602">
      <c r="X602" s="88" t="str">
        <f t="array" ref="X602">_xlfn.XLOOKUP("Other",Stock1!A602,Stock1!I602,"")</f>
        <v/>
      </c>
      <c r="Y602" s="95" t="str">
        <f t="array" ref="Y602">_xlfn.XLOOKUP(X602,Stock1!I602,Stock1!F602,"")</f>
        <v/>
      </c>
      <c r="Z602" s="95" t="str">
        <f t="array" ref="Z602">_xlfn.XLOOKUP(X602,Stock1!I602,Stock1!J602,"")</f>
        <v/>
      </c>
      <c r="AA602" s="102" t="str">
        <f t="array" ref="AA602">_xlfn.XLOOKUP(Y602,DATAPremium!A:A,DATAPremium!C:C,"")</f>
        <v/>
      </c>
    </row>
    <row r="603">
      <c r="X603" s="88" t="str">
        <f t="array" ref="X603">_xlfn.XLOOKUP("Other",Stock1!A603,Stock1!I603,"")</f>
        <v/>
      </c>
      <c r="Y603" s="95" t="str">
        <f t="array" ref="Y603">_xlfn.XLOOKUP(X603,Stock1!I603,Stock1!F603,"")</f>
        <v/>
      </c>
      <c r="Z603" s="95" t="str">
        <f t="array" ref="Z603">_xlfn.XLOOKUP(X603,Stock1!I603,Stock1!J603,"")</f>
        <v/>
      </c>
      <c r="AA603" s="102" t="str">
        <f t="array" ref="AA603">_xlfn.XLOOKUP(Y603,DATAPremium!A:A,DATAPremium!C:C,"")</f>
        <v/>
      </c>
    </row>
    <row r="604">
      <c r="X604" s="88" t="str">
        <f t="array" ref="X604">_xlfn.XLOOKUP("Other",Stock1!A604,Stock1!I604,"")</f>
        <v/>
      </c>
      <c r="Y604" s="95" t="str">
        <f t="array" ref="Y604">_xlfn.XLOOKUP(X604,Stock1!I604,Stock1!F604,"")</f>
        <v/>
      </c>
      <c r="Z604" s="95" t="str">
        <f t="array" ref="Z604">_xlfn.XLOOKUP(X604,Stock1!I604,Stock1!J604,"")</f>
        <v/>
      </c>
      <c r="AA604" s="102" t="str">
        <f t="array" ref="AA604">_xlfn.XLOOKUP(Y604,DATAPremium!A:A,DATAPremium!C:C,"")</f>
        <v/>
      </c>
    </row>
    <row r="605">
      <c r="X605" s="88" t="str">
        <f t="array" ref="X605">_xlfn.XLOOKUP("Other",Stock1!A605,Stock1!I605,"")</f>
        <v/>
      </c>
      <c r="Y605" s="95" t="str">
        <f t="array" ref="Y605">_xlfn.XLOOKUP(X605,Stock1!I605,Stock1!F605,"")</f>
        <v/>
      </c>
      <c r="Z605" s="95" t="str">
        <f t="array" ref="Z605">_xlfn.XLOOKUP(X605,Stock1!I605,Stock1!J605,"")</f>
        <v/>
      </c>
      <c r="AA605" s="102" t="str">
        <f t="array" ref="AA605">_xlfn.XLOOKUP(Y605,DATAPremium!A:A,DATAPremium!C:C,"")</f>
        <v/>
      </c>
    </row>
    <row r="606">
      <c r="X606" s="88" t="str">
        <f t="array" ref="X606">_xlfn.XLOOKUP("Other",Stock1!A606,Stock1!I606,"")</f>
        <v/>
      </c>
      <c r="Y606" s="95" t="str">
        <f t="array" ref="Y606">_xlfn.XLOOKUP(X606,Stock1!I606,Stock1!F606,"")</f>
        <v/>
      </c>
      <c r="Z606" s="95" t="str">
        <f t="array" ref="Z606">_xlfn.XLOOKUP(X606,Stock1!I606,Stock1!J606,"")</f>
        <v/>
      </c>
      <c r="AA606" s="102" t="str">
        <f t="array" ref="AA606">_xlfn.XLOOKUP(Y606,DATAPremium!A:A,DATAPremium!C:C,"")</f>
        <v/>
      </c>
    </row>
    <row r="607">
      <c r="X607" s="88" t="str">
        <f t="array" ref="X607">_xlfn.XLOOKUP("Other",Stock1!A607,Stock1!I607,"")</f>
        <v/>
      </c>
      <c r="Y607" s="95" t="str">
        <f t="array" ref="Y607">_xlfn.XLOOKUP(X607,Stock1!I607,Stock1!F607,"")</f>
        <v/>
      </c>
      <c r="Z607" s="95" t="str">
        <f t="array" ref="Z607">_xlfn.XLOOKUP(X607,Stock1!I607,Stock1!J607,"")</f>
        <v/>
      </c>
      <c r="AA607" s="102" t="str">
        <f t="array" ref="AA607">_xlfn.XLOOKUP(Y607,DATAPremium!A:A,DATAPremium!C:C,"")</f>
        <v/>
      </c>
    </row>
    <row r="608">
      <c r="X608" s="88" t="str">
        <f t="array" ref="X608">_xlfn.XLOOKUP("Other",Stock1!A608,Stock1!I608,"")</f>
        <v/>
      </c>
      <c r="Y608" s="95" t="str">
        <f t="array" ref="Y608">_xlfn.XLOOKUP(X608,Stock1!I608,Stock1!F608,"")</f>
        <v/>
      </c>
      <c r="Z608" s="95" t="str">
        <f t="array" ref="Z608">_xlfn.XLOOKUP(X608,Stock1!I608,Stock1!J608,"")</f>
        <v/>
      </c>
      <c r="AA608" s="102" t="str">
        <f t="array" ref="AA608">_xlfn.XLOOKUP(Y608,DATAPremium!A:A,DATAPremium!C:C,"")</f>
        <v/>
      </c>
    </row>
    <row r="609">
      <c r="X609" s="88" t="str">
        <f t="array" ref="X609">_xlfn.XLOOKUP("Other",Stock1!A609,Stock1!I609,"")</f>
        <v/>
      </c>
      <c r="Y609" s="95" t="str">
        <f t="array" ref="Y609">_xlfn.XLOOKUP(X609,Stock1!I609,Stock1!F609,"")</f>
        <v/>
      </c>
      <c r="Z609" s="95" t="str">
        <f t="array" ref="Z609">_xlfn.XLOOKUP(X609,Stock1!I609,Stock1!J609,"")</f>
        <v/>
      </c>
      <c r="AA609" s="102" t="str">
        <f t="array" ref="AA609">_xlfn.XLOOKUP(Y609,DATAPremium!A:A,DATAPremium!C:C,"")</f>
        <v/>
      </c>
    </row>
    <row r="610">
      <c r="X610" s="88" t="str">
        <f t="array" ref="X610">_xlfn.XLOOKUP("Other",Stock1!A610,Stock1!I610,"")</f>
        <v/>
      </c>
      <c r="Y610" s="95" t="str">
        <f t="array" ref="Y610">_xlfn.XLOOKUP(X610,Stock1!I610,Stock1!F610,"")</f>
        <v/>
      </c>
      <c r="Z610" s="95" t="str">
        <f t="array" ref="Z610">_xlfn.XLOOKUP(X610,Stock1!I610,Stock1!J610,"")</f>
        <v/>
      </c>
      <c r="AA610" s="102" t="str">
        <f t="array" ref="AA610">_xlfn.XLOOKUP(Y610,DATAPremium!A:A,DATAPremium!C:C,"")</f>
        <v/>
      </c>
    </row>
    <row r="611">
      <c r="X611" s="88" t="str">
        <f t="array" ref="X611">_xlfn.XLOOKUP("Other",Stock1!A611,Stock1!I611,"")</f>
        <v/>
      </c>
      <c r="Y611" s="95" t="str">
        <f t="array" ref="Y611">_xlfn.XLOOKUP(X611,Stock1!I611,Stock1!F611,"")</f>
        <v/>
      </c>
      <c r="Z611" s="95" t="str">
        <f t="array" ref="Z611">_xlfn.XLOOKUP(X611,Stock1!I611,Stock1!J611,"")</f>
        <v/>
      </c>
      <c r="AA611" s="102" t="str">
        <f t="array" ref="AA611">_xlfn.XLOOKUP(Y611,DATAPremium!A:A,DATAPremium!C:C,"")</f>
        <v/>
      </c>
    </row>
    <row r="612">
      <c r="X612" s="88" t="str">
        <f t="array" ref="X612">_xlfn.XLOOKUP("Other",Stock1!A612,Stock1!I612,"")</f>
        <v/>
      </c>
      <c r="Y612" s="95" t="str">
        <f t="array" ref="Y612">_xlfn.XLOOKUP(X612,Stock1!I612,Stock1!F612,"")</f>
        <v/>
      </c>
      <c r="Z612" s="95" t="str">
        <f t="array" ref="Z612">_xlfn.XLOOKUP(X612,Stock1!I612,Stock1!J612,"")</f>
        <v/>
      </c>
      <c r="AA612" s="102" t="str">
        <f t="array" ref="AA612">_xlfn.XLOOKUP(Y612,DATAPremium!A:A,DATAPremium!C:C,"")</f>
        <v/>
      </c>
    </row>
    <row r="613">
      <c r="X613" s="88" t="str">
        <f t="array" ref="X613">_xlfn.XLOOKUP("Other",Stock1!A613,Stock1!I613,"")</f>
        <v/>
      </c>
      <c r="Y613" s="95" t="str">
        <f t="array" ref="Y613">_xlfn.XLOOKUP(X613,Stock1!I613,Stock1!F613,"")</f>
        <v/>
      </c>
      <c r="Z613" s="95" t="str">
        <f t="array" ref="Z613">_xlfn.XLOOKUP(X613,Stock1!I613,Stock1!J613,"")</f>
        <v/>
      </c>
      <c r="AA613" s="102" t="str">
        <f t="array" ref="AA613">_xlfn.XLOOKUP(Y613,DATAPremium!A:A,DATAPremium!C:C,"")</f>
        <v/>
      </c>
    </row>
    <row r="614">
      <c r="X614" s="88" t="str">
        <f t="array" ref="X614">_xlfn.XLOOKUP("Other",Stock1!A614,Stock1!I614,"")</f>
        <v/>
      </c>
      <c r="Y614" s="95" t="str">
        <f t="array" ref="Y614">_xlfn.XLOOKUP(X614,Stock1!I614,Stock1!F614,"")</f>
        <v/>
      </c>
      <c r="Z614" s="95" t="str">
        <f t="array" ref="Z614">_xlfn.XLOOKUP(X614,Stock1!I614,Stock1!J614,"")</f>
        <v/>
      </c>
      <c r="AA614" s="102" t="str">
        <f t="array" ref="AA614">_xlfn.XLOOKUP(Y614,DATAPremium!A:A,DATAPremium!C:C,"")</f>
        <v/>
      </c>
    </row>
    <row r="615">
      <c r="X615" s="88" t="str">
        <f t="array" ref="X615">_xlfn.XLOOKUP("Other",Stock1!A615,Stock1!I615,"")</f>
        <v/>
      </c>
      <c r="Y615" s="95" t="str">
        <f t="array" ref="Y615">_xlfn.XLOOKUP(X615,Stock1!I615,Stock1!F615,"")</f>
        <v/>
      </c>
      <c r="Z615" s="95" t="str">
        <f t="array" ref="Z615">_xlfn.XLOOKUP(X615,Stock1!I615,Stock1!J615,"")</f>
        <v/>
      </c>
      <c r="AA615" s="102" t="str">
        <f t="array" ref="AA615">_xlfn.XLOOKUP(Y615,DATAPremium!A:A,DATAPremium!C:C,"")</f>
        <v/>
      </c>
    </row>
    <row r="616">
      <c r="X616" s="88" t="str">
        <f t="array" ref="X616">_xlfn.XLOOKUP("Other",Stock1!A616,Stock1!I616,"")</f>
        <v/>
      </c>
      <c r="Y616" s="95" t="str">
        <f t="array" ref="Y616">_xlfn.XLOOKUP(X616,Stock1!I616,Stock1!F616,"")</f>
        <v/>
      </c>
      <c r="Z616" s="95" t="str">
        <f t="array" ref="Z616">_xlfn.XLOOKUP(X616,Stock1!I616,Stock1!J616,"")</f>
        <v/>
      </c>
      <c r="AA616" s="102" t="str">
        <f t="array" ref="AA616">_xlfn.XLOOKUP(Y616,DATAPremium!A:A,DATAPremium!C:C,"")</f>
        <v/>
      </c>
    </row>
    <row r="617">
      <c r="X617" s="88" t="str">
        <f t="array" ref="X617">_xlfn.XLOOKUP("Other",Stock1!A617,Stock1!I617,"")</f>
        <v/>
      </c>
      <c r="Y617" s="95" t="str">
        <f t="array" ref="Y617">_xlfn.XLOOKUP(X617,Stock1!I617,Stock1!F617,"")</f>
        <v/>
      </c>
      <c r="Z617" s="95" t="str">
        <f t="array" ref="Z617">_xlfn.XLOOKUP(X617,Stock1!I617,Stock1!J617,"")</f>
        <v/>
      </c>
      <c r="AA617" s="102" t="str">
        <f t="array" ref="AA617">_xlfn.XLOOKUP(Y617,DATAPremium!A:A,DATAPremium!C:C,"")</f>
        <v/>
      </c>
    </row>
    <row r="618">
      <c r="X618" s="88" t="str">
        <f t="array" ref="X618">_xlfn.XLOOKUP("Other",Stock1!A618,Stock1!I618,"")</f>
        <v/>
      </c>
      <c r="Y618" s="95" t="str">
        <f t="array" ref="Y618">_xlfn.XLOOKUP(X618,Stock1!I618,Stock1!F618,"")</f>
        <v/>
      </c>
      <c r="Z618" s="95" t="str">
        <f t="array" ref="Z618">_xlfn.XLOOKUP(X618,Stock1!I618,Stock1!J618,"")</f>
        <v/>
      </c>
      <c r="AA618" s="102" t="str">
        <f t="array" ref="AA618">_xlfn.XLOOKUP(Y618,DATAPremium!A:A,DATAPremium!C:C,"")</f>
        <v/>
      </c>
    </row>
    <row r="619">
      <c r="X619" s="88" t="str">
        <f t="array" ref="X619">_xlfn.XLOOKUP("Other",Stock1!A619,Stock1!I619,"")</f>
        <v/>
      </c>
      <c r="Y619" s="95" t="str">
        <f t="array" ref="Y619">_xlfn.XLOOKUP(X619,Stock1!I619,Stock1!F619,"")</f>
        <v/>
      </c>
      <c r="Z619" s="95" t="str">
        <f t="array" ref="Z619">_xlfn.XLOOKUP(X619,Stock1!I619,Stock1!J619,"")</f>
        <v/>
      </c>
      <c r="AA619" s="102" t="str">
        <f t="array" ref="AA619">_xlfn.XLOOKUP(Y619,DATAPremium!A:A,DATAPremium!C:C,"")</f>
        <v/>
      </c>
    </row>
    <row r="620">
      <c r="X620" s="88" t="str">
        <f t="array" ref="X620">_xlfn.XLOOKUP("Other",Stock1!A620,Stock1!I620,"")</f>
        <v/>
      </c>
      <c r="Y620" s="95" t="str">
        <f t="array" ref="Y620">_xlfn.XLOOKUP(X620,Stock1!I620,Stock1!F620,"")</f>
        <v/>
      </c>
      <c r="Z620" s="95" t="str">
        <f t="array" ref="Z620">_xlfn.XLOOKUP(X620,Stock1!I620,Stock1!J620,"")</f>
        <v/>
      </c>
      <c r="AA620" s="102" t="str">
        <f t="array" ref="AA620">_xlfn.XLOOKUP(Y620,DATAPremium!A:A,DATAPremium!C:C,"")</f>
        <v/>
      </c>
    </row>
    <row r="621">
      <c r="X621" s="88" t="str">
        <f t="array" ref="X621">_xlfn.XLOOKUP("Other",Stock1!A621,Stock1!I621,"")</f>
        <v/>
      </c>
      <c r="Y621" s="95" t="str">
        <f t="array" ref="Y621">_xlfn.XLOOKUP(X621,Stock1!I621,Stock1!F621,"")</f>
        <v/>
      </c>
      <c r="Z621" s="95" t="str">
        <f t="array" ref="Z621">_xlfn.XLOOKUP(X621,Stock1!I621,Stock1!J621,"")</f>
        <v/>
      </c>
      <c r="AA621" s="102" t="str">
        <f t="array" ref="AA621">_xlfn.XLOOKUP(Y621,DATAPremium!A:A,DATAPremium!C:C,"")</f>
        <v/>
      </c>
    </row>
    <row r="622">
      <c r="X622" s="88" t="str">
        <f t="array" ref="X622">_xlfn.XLOOKUP("Other",Stock1!A622,Stock1!I622,"")</f>
        <v/>
      </c>
      <c r="Y622" s="95" t="str">
        <f t="array" ref="Y622">_xlfn.XLOOKUP(X622,Stock1!I622,Stock1!F622,"")</f>
        <v/>
      </c>
      <c r="Z622" s="95" t="str">
        <f t="array" ref="Z622">_xlfn.XLOOKUP(X622,Stock1!I622,Stock1!J622,"")</f>
        <v/>
      </c>
      <c r="AA622" s="102" t="str">
        <f t="array" ref="AA622">_xlfn.XLOOKUP(Y622,DATAPremium!A:A,DATAPremium!C:C,"")</f>
        <v/>
      </c>
    </row>
    <row r="623">
      <c r="X623" s="88" t="str">
        <f t="array" ref="X623">_xlfn.XLOOKUP("Other",Stock1!A623,Stock1!I623,"")</f>
        <v/>
      </c>
      <c r="Y623" s="95" t="str">
        <f t="array" ref="Y623">_xlfn.XLOOKUP(X623,Stock1!I623,Stock1!F623,"")</f>
        <v/>
      </c>
      <c r="Z623" s="95" t="str">
        <f t="array" ref="Z623">_xlfn.XLOOKUP(X623,Stock1!I623,Stock1!J623,"")</f>
        <v/>
      </c>
      <c r="AA623" s="102" t="str">
        <f t="array" ref="AA623">_xlfn.XLOOKUP(Y623,DATAPremium!A:A,DATAPremium!C:C,"")</f>
        <v/>
      </c>
    </row>
    <row r="624">
      <c r="X624" s="88" t="str">
        <f t="array" ref="X624">_xlfn.XLOOKUP("Other",Stock1!A624,Stock1!I624,"")</f>
        <v/>
      </c>
      <c r="Y624" s="95" t="str">
        <f t="array" ref="Y624">_xlfn.XLOOKUP(X624,Stock1!I624,Stock1!F624,"")</f>
        <v/>
      </c>
      <c r="Z624" s="95" t="str">
        <f t="array" ref="Z624">_xlfn.XLOOKUP(X624,Stock1!I624,Stock1!J624,"")</f>
        <v/>
      </c>
      <c r="AA624" s="102" t="str">
        <f t="array" ref="AA624">_xlfn.XLOOKUP(Y624,DATAPremium!A:A,DATAPremium!C:C,"")</f>
        <v/>
      </c>
    </row>
    <row r="625">
      <c r="X625" s="88" t="str">
        <f t="array" ref="X625">_xlfn.XLOOKUP("Other",Stock1!A625,Stock1!I625,"")</f>
        <v/>
      </c>
      <c r="Y625" s="95" t="str">
        <f t="array" ref="Y625">_xlfn.XLOOKUP(X625,Stock1!I625,Stock1!F625,"")</f>
        <v/>
      </c>
      <c r="Z625" s="95" t="str">
        <f t="array" ref="Z625">_xlfn.XLOOKUP(X625,Stock1!I625,Stock1!J625,"")</f>
        <v/>
      </c>
      <c r="AA625" s="102" t="str">
        <f t="array" ref="AA625">_xlfn.XLOOKUP(Y625,DATAPremium!A:A,DATAPremium!C:C,"")</f>
        <v/>
      </c>
    </row>
    <row r="626">
      <c r="X626" s="88" t="str">
        <f t="array" ref="X626">_xlfn.XLOOKUP("Other",Stock1!A626,Stock1!I626,"")</f>
        <v/>
      </c>
      <c r="Y626" s="95" t="str">
        <f t="array" ref="Y626">_xlfn.XLOOKUP(X626,Stock1!I626,Stock1!F626,"")</f>
        <v/>
      </c>
      <c r="Z626" s="95" t="str">
        <f t="array" ref="Z626">_xlfn.XLOOKUP(X626,Stock1!I626,Stock1!J626,"")</f>
        <v/>
      </c>
      <c r="AA626" s="102" t="str">
        <f t="array" ref="AA626">_xlfn.XLOOKUP(Y626,DATAPremium!A:A,DATAPremium!C:C,"")</f>
        <v/>
      </c>
    </row>
    <row r="627">
      <c r="X627" s="88" t="str">
        <f t="array" ref="X627">_xlfn.XLOOKUP("Other",Stock1!A627,Stock1!I627,"")</f>
        <v/>
      </c>
      <c r="Y627" s="95" t="str">
        <f t="array" ref="Y627">_xlfn.XLOOKUP(X627,Stock1!I627,Stock1!F627,"")</f>
        <v/>
      </c>
      <c r="Z627" s="95" t="str">
        <f t="array" ref="Z627">_xlfn.XLOOKUP(X627,Stock1!I627,Stock1!J627,"")</f>
        <v/>
      </c>
      <c r="AA627" s="102" t="str">
        <f t="array" ref="AA627">_xlfn.XLOOKUP(Y627,DATAPremium!A:A,DATAPremium!C:C,"")</f>
        <v/>
      </c>
    </row>
    <row r="628">
      <c r="X628" s="88" t="str">
        <f t="array" ref="X628">_xlfn.XLOOKUP("Other",Stock1!A628,Stock1!I628,"")</f>
        <v/>
      </c>
      <c r="Y628" s="95" t="str">
        <f t="array" ref="Y628">_xlfn.XLOOKUP(X628,Stock1!I628,Stock1!F628,"")</f>
        <v/>
      </c>
      <c r="Z628" s="95" t="str">
        <f t="array" ref="Z628">_xlfn.XLOOKUP(X628,Stock1!I628,Stock1!J628,"")</f>
        <v/>
      </c>
      <c r="AA628" s="102" t="str">
        <f t="array" ref="AA628">_xlfn.XLOOKUP(Y628,DATAPremium!A:A,DATAPremium!C:C,"")</f>
        <v/>
      </c>
    </row>
    <row r="629">
      <c r="X629" s="88" t="str">
        <f t="array" ref="X629">_xlfn.XLOOKUP("Other",Stock1!A629,Stock1!I629,"")</f>
        <v/>
      </c>
      <c r="Y629" s="95" t="str">
        <f t="array" ref="Y629">_xlfn.XLOOKUP(X629,Stock1!I629,Stock1!F629,"")</f>
        <v/>
      </c>
      <c r="Z629" s="95" t="str">
        <f t="array" ref="Z629">_xlfn.XLOOKUP(X629,Stock1!I629,Stock1!J629,"")</f>
        <v/>
      </c>
      <c r="AA629" s="102" t="str">
        <f t="array" ref="AA629">_xlfn.XLOOKUP(Y629,DATAPremium!A:A,DATAPremium!C:C,"")</f>
        <v/>
      </c>
    </row>
    <row r="630">
      <c r="X630" s="88" t="str">
        <f t="array" ref="X630">_xlfn.XLOOKUP("Other",Stock1!A630,Stock1!I630,"")</f>
        <v/>
      </c>
      <c r="Y630" s="95" t="str">
        <f t="array" ref="Y630">_xlfn.XLOOKUP(X630,Stock1!I630,Stock1!F630,"")</f>
        <v/>
      </c>
      <c r="Z630" s="95" t="str">
        <f t="array" ref="Z630">_xlfn.XLOOKUP(X630,Stock1!I630,Stock1!J630,"")</f>
        <v/>
      </c>
      <c r="AA630" s="102" t="str">
        <f t="array" ref="AA630">_xlfn.XLOOKUP(Y630,DATAPremium!A:A,DATAPremium!C:C,"")</f>
        <v/>
      </c>
    </row>
    <row r="631">
      <c r="X631" s="88" t="str">
        <f t="array" ref="X631">_xlfn.XLOOKUP("Other",Stock1!A631,Stock1!I631,"")</f>
        <v/>
      </c>
      <c r="Y631" s="95" t="str">
        <f t="array" ref="Y631">_xlfn.XLOOKUP(X631,Stock1!I631,Stock1!F631,"")</f>
        <v/>
      </c>
      <c r="Z631" s="95" t="str">
        <f t="array" ref="Z631">_xlfn.XLOOKUP(X631,Stock1!I631,Stock1!J631,"")</f>
        <v/>
      </c>
      <c r="AA631" s="102" t="str">
        <f t="array" ref="AA631">_xlfn.XLOOKUP(Y631,DATAPremium!A:A,DATAPremium!C:C,"")</f>
        <v/>
      </c>
    </row>
    <row r="632">
      <c r="X632" s="88" t="str">
        <f t="array" ref="X632">_xlfn.XLOOKUP("Other",Stock1!A632,Stock1!I632,"")</f>
        <v/>
      </c>
      <c r="Y632" s="95" t="str">
        <f t="array" ref="Y632">_xlfn.XLOOKUP(X632,Stock1!I632,Stock1!F632,"")</f>
        <v/>
      </c>
      <c r="Z632" s="95" t="str">
        <f t="array" ref="Z632">_xlfn.XLOOKUP(X632,Stock1!I632,Stock1!J632,"")</f>
        <v/>
      </c>
      <c r="AA632" s="102" t="str">
        <f t="array" ref="AA632">_xlfn.XLOOKUP(Y632,DATAPremium!A:A,DATAPremium!C:C,"")</f>
        <v/>
      </c>
    </row>
    <row r="633">
      <c r="X633" s="88" t="str">
        <f t="array" ref="X633">_xlfn.XLOOKUP("Other",Stock1!A633,Stock1!I633,"")</f>
        <v/>
      </c>
      <c r="Y633" s="95" t="str">
        <f t="array" ref="Y633">_xlfn.XLOOKUP(X633,Stock1!I633,Stock1!F633,"")</f>
        <v/>
      </c>
      <c r="Z633" s="95" t="str">
        <f t="array" ref="Z633">_xlfn.XLOOKUP(X633,Stock1!I633,Stock1!J633,"")</f>
        <v/>
      </c>
      <c r="AA633" s="102" t="str">
        <f t="array" ref="AA633">_xlfn.XLOOKUP(Y633,DATAPremium!A:A,DATAPremium!C:C,"")</f>
        <v/>
      </c>
    </row>
    <row r="634">
      <c r="X634" s="88" t="str">
        <f t="array" ref="X634">_xlfn.XLOOKUP("Other",Stock1!A634,Stock1!I634,"")</f>
        <v/>
      </c>
      <c r="Y634" s="95" t="str">
        <f t="array" ref="Y634">_xlfn.XLOOKUP(X634,Stock1!I634,Stock1!F634,"")</f>
        <v/>
      </c>
      <c r="Z634" s="95" t="str">
        <f t="array" ref="Z634">_xlfn.XLOOKUP(X634,Stock1!I634,Stock1!J634,"")</f>
        <v/>
      </c>
      <c r="AA634" s="102" t="str">
        <f t="array" ref="AA634">_xlfn.XLOOKUP(Y634,DATAPremium!A:A,DATAPremium!C:C,"")</f>
        <v/>
      </c>
    </row>
    <row r="635">
      <c r="X635" s="88" t="str">
        <f t="array" ref="X635">_xlfn.XLOOKUP("Other",Stock1!A635,Stock1!I635,"")</f>
        <v/>
      </c>
      <c r="Y635" s="95" t="str">
        <f t="array" ref="Y635">_xlfn.XLOOKUP(X635,Stock1!I635,Stock1!F635,"")</f>
        <v/>
      </c>
      <c r="Z635" s="95" t="str">
        <f t="array" ref="Z635">_xlfn.XLOOKUP(X635,Stock1!I635,Stock1!J635,"")</f>
        <v/>
      </c>
      <c r="AA635" s="102" t="str">
        <f t="array" ref="AA635">_xlfn.XLOOKUP(Y635,DATAPremium!A:A,DATAPremium!C:C,"")</f>
        <v/>
      </c>
    </row>
    <row r="636">
      <c r="X636" s="88" t="str">
        <f t="array" ref="X636">_xlfn.XLOOKUP("Other",Stock1!A636,Stock1!I636,"")</f>
        <v/>
      </c>
      <c r="Y636" s="95" t="str">
        <f t="array" ref="Y636">_xlfn.XLOOKUP(X636,Stock1!I636,Stock1!F636,"")</f>
        <v/>
      </c>
      <c r="Z636" s="95" t="str">
        <f t="array" ref="Z636">_xlfn.XLOOKUP(X636,Stock1!I636,Stock1!J636,"")</f>
        <v/>
      </c>
      <c r="AA636" s="102" t="str">
        <f t="array" ref="AA636">_xlfn.XLOOKUP(Y636,DATAPremium!A:A,DATAPremium!C:C,"")</f>
        <v/>
      </c>
    </row>
    <row r="637">
      <c r="X637" s="88" t="str">
        <f t="array" ref="X637">_xlfn.XLOOKUP("Other",Stock1!A637,Stock1!I637,"")</f>
        <v/>
      </c>
      <c r="Y637" s="95" t="str">
        <f t="array" ref="Y637">_xlfn.XLOOKUP(X637,Stock1!I637,Stock1!F637,"")</f>
        <v/>
      </c>
      <c r="Z637" s="95" t="str">
        <f t="array" ref="Z637">_xlfn.XLOOKUP(X637,Stock1!I637,Stock1!J637,"")</f>
        <v/>
      </c>
      <c r="AA637" s="102" t="str">
        <f t="array" ref="AA637">_xlfn.XLOOKUP(Y637,DATAPremium!A:A,DATAPremium!C:C,"")</f>
        <v/>
      </c>
    </row>
    <row r="638">
      <c r="X638" s="88" t="str">
        <f t="array" ref="X638">_xlfn.XLOOKUP("Other",Stock1!A638,Stock1!I638,"")</f>
        <v/>
      </c>
      <c r="Y638" s="95" t="str">
        <f t="array" ref="Y638">_xlfn.XLOOKUP(X638,Stock1!I638,Stock1!F638,"")</f>
        <v/>
      </c>
      <c r="Z638" s="95" t="str">
        <f t="array" ref="Z638">_xlfn.XLOOKUP(X638,Stock1!I638,Stock1!J638,"")</f>
        <v/>
      </c>
      <c r="AA638" s="102" t="str">
        <f t="array" ref="AA638">_xlfn.XLOOKUP(Y638,DATAPremium!A:A,DATAPremium!C:C,"")</f>
        <v/>
      </c>
    </row>
    <row r="639">
      <c r="X639" s="88" t="str">
        <f t="array" ref="X639">_xlfn.XLOOKUP("Other",Stock1!A639,Stock1!I639,"")</f>
        <v/>
      </c>
      <c r="Y639" s="95" t="str">
        <f t="array" ref="Y639">_xlfn.XLOOKUP(X639,Stock1!I639,Stock1!F639,"")</f>
        <v/>
      </c>
      <c r="Z639" s="95" t="str">
        <f t="array" ref="Z639">_xlfn.XLOOKUP(X639,Stock1!I639,Stock1!J639,"")</f>
        <v/>
      </c>
      <c r="AA639" s="102" t="str">
        <f t="array" ref="AA639">_xlfn.XLOOKUP(Y639,DATAPremium!A:A,DATAPremium!C:C,"")</f>
        <v/>
      </c>
    </row>
    <row r="640">
      <c r="X640" s="88" t="str">
        <f t="array" ref="X640">_xlfn.XLOOKUP("Other",Stock1!A640,Stock1!I640,"")</f>
        <v/>
      </c>
      <c r="Y640" s="95" t="str">
        <f t="array" ref="Y640">_xlfn.XLOOKUP(X640,Stock1!I640,Stock1!F640,"")</f>
        <v/>
      </c>
      <c r="Z640" s="95" t="str">
        <f t="array" ref="Z640">_xlfn.XLOOKUP(X640,Stock1!I640,Stock1!J640,"")</f>
        <v/>
      </c>
      <c r="AA640" s="102" t="str">
        <f t="array" ref="AA640">_xlfn.XLOOKUP(Y640,DATAPremium!A:A,DATAPremium!C:C,"")</f>
        <v/>
      </c>
    </row>
    <row r="641">
      <c r="X641" s="88" t="str">
        <f t="array" ref="X641">_xlfn.XLOOKUP("Other",Stock1!A641,Stock1!I641,"")</f>
        <v/>
      </c>
      <c r="Y641" s="95" t="str">
        <f t="array" ref="Y641">_xlfn.XLOOKUP(X641,Stock1!I641,Stock1!F641,"")</f>
        <v/>
      </c>
      <c r="Z641" s="95" t="str">
        <f t="array" ref="Z641">_xlfn.XLOOKUP(X641,Stock1!I641,Stock1!J641,"")</f>
        <v/>
      </c>
      <c r="AA641" s="102" t="str">
        <f t="array" ref="AA641">_xlfn.XLOOKUP(Y641,DATAPremium!A:A,DATAPremium!C:C,"")</f>
        <v/>
      </c>
    </row>
    <row r="642">
      <c r="X642" s="88" t="str">
        <f t="array" ref="X642">_xlfn.XLOOKUP("Other",Stock1!A642,Stock1!I642,"")</f>
        <v/>
      </c>
      <c r="Y642" s="95" t="str">
        <f t="array" ref="Y642">_xlfn.XLOOKUP(X642,Stock1!I642,Stock1!F642,"")</f>
        <v/>
      </c>
      <c r="Z642" s="95" t="str">
        <f t="array" ref="Z642">_xlfn.XLOOKUP(X642,Stock1!I642,Stock1!J642,"")</f>
        <v/>
      </c>
      <c r="AA642" s="102" t="str">
        <f t="array" ref="AA642">_xlfn.XLOOKUP(Y642,DATAPremium!A:A,DATAPremium!C:C,"")</f>
        <v/>
      </c>
    </row>
    <row r="643">
      <c r="X643" s="88" t="str">
        <f t="array" ref="X643">_xlfn.XLOOKUP("Other",Stock1!A643,Stock1!I643,"")</f>
        <v/>
      </c>
      <c r="Y643" s="95" t="str">
        <f t="array" ref="Y643">_xlfn.XLOOKUP(X643,Stock1!I643,Stock1!F643,"")</f>
        <v/>
      </c>
      <c r="Z643" s="95" t="str">
        <f t="array" ref="Z643">_xlfn.XLOOKUP(X643,Stock1!I643,Stock1!J643,"")</f>
        <v/>
      </c>
      <c r="AA643" s="102" t="str">
        <f t="array" ref="AA643">_xlfn.XLOOKUP(Y643,DATAPremium!A:A,DATAPremium!C:C,"")</f>
        <v/>
      </c>
    </row>
    <row r="644">
      <c r="X644" s="88" t="str">
        <f t="array" ref="X644">_xlfn.XLOOKUP("Other",Stock1!A644,Stock1!I644,"")</f>
        <v/>
      </c>
      <c r="Y644" s="95" t="str">
        <f t="array" ref="Y644">_xlfn.XLOOKUP(X644,Stock1!I644,Stock1!F644,"")</f>
        <v/>
      </c>
      <c r="Z644" s="95" t="str">
        <f t="array" ref="Z644">_xlfn.XLOOKUP(X644,Stock1!I644,Stock1!J644,"")</f>
        <v/>
      </c>
      <c r="AA644" s="102" t="str">
        <f t="array" ref="AA644">_xlfn.XLOOKUP(Y644,DATAPremium!A:A,DATAPremium!C:C,"")</f>
        <v/>
      </c>
    </row>
    <row r="645">
      <c r="X645" s="88" t="str">
        <f t="array" ref="X645">_xlfn.XLOOKUP("Other",Stock1!A645,Stock1!I645,"")</f>
        <v/>
      </c>
      <c r="Y645" s="95" t="str">
        <f t="array" ref="Y645">_xlfn.XLOOKUP(X645,Stock1!I645,Stock1!F645,"")</f>
        <v/>
      </c>
      <c r="Z645" s="95" t="str">
        <f t="array" ref="Z645">_xlfn.XLOOKUP(X645,Stock1!I645,Stock1!J645,"")</f>
        <v/>
      </c>
      <c r="AA645" s="102" t="str">
        <f t="array" ref="AA645">_xlfn.XLOOKUP(Y645,DATAPremium!A:A,DATAPremium!C:C,"")</f>
        <v/>
      </c>
    </row>
    <row r="646">
      <c r="X646" s="88" t="str">
        <f t="array" ref="X646">_xlfn.XLOOKUP("Other",Stock1!A646,Stock1!I646,"")</f>
        <v/>
      </c>
      <c r="Y646" s="95" t="str">
        <f t="array" ref="Y646">_xlfn.XLOOKUP(X646,Stock1!I646,Stock1!F646,"")</f>
        <v/>
      </c>
      <c r="Z646" s="95" t="str">
        <f t="array" ref="Z646">_xlfn.XLOOKUP(X646,Stock1!I646,Stock1!J646,"")</f>
        <v/>
      </c>
      <c r="AA646" s="102" t="str">
        <f t="array" ref="AA646">_xlfn.XLOOKUP(Y646,DATAPremium!A:A,DATAPremium!C:C,"")</f>
        <v/>
      </c>
    </row>
    <row r="647">
      <c r="X647" s="88" t="str">
        <f t="array" ref="X647">_xlfn.XLOOKUP("Other",Stock1!A647,Stock1!I647,"")</f>
        <v/>
      </c>
      <c r="Y647" s="95" t="str">
        <f t="array" ref="Y647">_xlfn.XLOOKUP(X647,Stock1!I647,Stock1!F647,"")</f>
        <v/>
      </c>
      <c r="Z647" s="95" t="str">
        <f t="array" ref="Z647">_xlfn.XLOOKUP(X647,Stock1!I647,Stock1!J647,"")</f>
        <v/>
      </c>
      <c r="AA647" s="102" t="str">
        <f t="array" ref="AA647">_xlfn.XLOOKUP(Y647,DATAPremium!A:A,DATAPremium!C:C,"")</f>
        <v/>
      </c>
    </row>
    <row r="648">
      <c r="X648" s="88" t="str">
        <f t="array" ref="X648">_xlfn.XLOOKUP("Other",Stock1!A648,Stock1!I648,"")</f>
        <v/>
      </c>
      <c r="Y648" s="95" t="str">
        <f t="array" ref="Y648">_xlfn.XLOOKUP(X648,Stock1!I648,Stock1!F648,"")</f>
        <v/>
      </c>
      <c r="Z648" s="95" t="str">
        <f t="array" ref="Z648">_xlfn.XLOOKUP(X648,Stock1!I648,Stock1!J648,"")</f>
        <v/>
      </c>
      <c r="AA648" s="102" t="str">
        <f t="array" ref="AA648">_xlfn.XLOOKUP(Y648,DATAPremium!A:A,DATAPremium!C:C,"")</f>
        <v/>
      </c>
    </row>
    <row r="649">
      <c r="X649" s="88" t="str">
        <f t="array" ref="X649">_xlfn.XLOOKUP("Other",Stock1!A649,Stock1!I649,"")</f>
        <v/>
      </c>
      <c r="Y649" s="95" t="str">
        <f t="array" ref="Y649">_xlfn.XLOOKUP(X649,Stock1!I649,Stock1!F649,"")</f>
        <v/>
      </c>
      <c r="Z649" s="95" t="str">
        <f t="array" ref="Z649">_xlfn.XLOOKUP(X649,Stock1!I649,Stock1!J649,"")</f>
        <v/>
      </c>
      <c r="AA649" s="102" t="str">
        <f t="array" ref="AA649">_xlfn.XLOOKUP(Y649,DATAPremium!A:A,DATAPremium!C:C,"")</f>
        <v/>
      </c>
    </row>
    <row r="650">
      <c r="X650" s="88" t="str">
        <f t="array" ref="X650">_xlfn.XLOOKUP("Other",Stock1!A650,Stock1!I650,"")</f>
        <v/>
      </c>
      <c r="Y650" s="95" t="str">
        <f t="array" ref="Y650">_xlfn.XLOOKUP(X650,Stock1!I650,Stock1!F650,"")</f>
        <v/>
      </c>
      <c r="Z650" s="95" t="str">
        <f t="array" ref="Z650">_xlfn.XLOOKUP(X650,Stock1!I650,Stock1!J650,"")</f>
        <v/>
      </c>
      <c r="AA650" s="102" t="str">
        <f t="array" ref="AA650">_xlfn.XLOOKUP(Y650,DATAPremium!A:A,DATAPremium!C:C,"")</f>
        <v/>
      </c>
    </row>
    <row r="651">
      <c r="X651" s="88" t="str">
        <f t="array" ref="X651">_xlfn.XLOOKUP("Other",Stock1!A651,Stock1!I651,"")</f>
        <v/>
      </c>
      <c r="Y651" s="95" t="str">
        <f t="array" ref="Y651">_xlfn.XLOOKUP(X651,Stock1!I651,Stock1!F651,"")</f>
        <v/>
      </c>
      <c r="Z651" s="95" t="str">
        <f t="array" ref="Z651">_xlfn.XLOOKUP(X651,Stock1!I651,Stock1!J651,"")</f>
        <v/>
      </c>
      <c r="AA651" s="102" t="str">
        <f t="array" ref="AA651">_xlfn.XLOOKUP(Y651,DATAPremium!A:A,DATAPremium!C:C,"")</f>
        <v/>
      </c>
    </row>
    <row r="652">
      <c r="X652" s="88" t="str">
        <f t="array" ref="X652">_xlfn.XLOOKUP("Other",Stock1!A652,Stock1!I652,"")</f>
        <v/>
      </c>
      <c r="Y652" s="95" t="str">
        <f t="array" ref="Y652">_xlfn.XLOOKUP(X652,Stock1!I652,Stock1!F652,"")</f>
        <v/>
      </c>
      <c r="Z652" s="95" t="str">
        <f t="array" ref="Z652">_xlfn.XLOOKUP(X652,Stock1!I652,Stock1!J652,"")</f>
        <v/>
      </c>
      <c r="AA652" s="102" t="str">
        <f t="array" ref="AA652">_xlfn.XLOOKUP(Y652,DATAPremium!A:A,DATAPremium!C:C,"")</f>
        <v/>
      </c>
    </row>
    <row r="653">
      <c r="X653" s="88" t="str">
        <f t="array" ref="X653">_xlfn.XLOOKUP("Other",Stock1!A653,Stock1!I653,"")</f>
        <v/>
      </c>
      <c r="Y653" s="95" t="str">
        <f t="array" ref="Y653">_xlfn.XLOOKUP(X653,Stock1!I653,Stock1!F653,"")</f>
        <v/>
      </c>
      <c r="Z653" s="95" t="str">
        <f t="array" ref="Z653">_xlfn.XLOOKUP(X653,Stock1!I653,Stock1!J653,"")</f>
        <v/>
      </c>
      <c r="AA653" s="102" t="str">
        <f t="array" ref="AA653">_xlfn.XLOOKUP(Y653,DATAPremium!A:A,DATAPremium!C:C,"")</f>
        <v/>
      </c>
    </row>
    <row r="654">
      <c r="X654" s="88" t="str">
        <f t="array" ref="X654">_xlfn.XLOOKUP("Other",Stock1!A654,Stock1!I654,"")</f>
        <v/>
      </c>
      <c r="Y654" s="95" t="str">
        <f t="array" ref="Y654">_xlfn.XLOOKUP(X654,Stock1!I654,Stock1!F654,"")</f>
        <v/>
      </c>
      <c r="Z654" s="95" t="str">
        <f t="array" ref="Z654">_xlfn.XLOOKUP(X654,Stock1!I654,Stock1!J654,"")</f>
        <v/>
      </c>
      <c r="AA654" s="102" t="str">
        <f t="array" ref="AA654">_xlfn.XLOOKUP(Y654,DATAPremium!A:A,DATAPremium!C:C,"")</f>
        <v/>
      </c>
    </row>
    <row r="655">
      <c r="X655" s="88" t="str">
        <f t="array" ref="X655">_xlfn.XLOOKUP("Other",Stock1!A655,Stock1!I655,"")</f>
        <v/>
      </c>
      <c r="Y655" s="95" t="str">
        <f t="array" ref="Y655">_xlfn.XLOOKUP(X655,Stock1!I655,Stock1!F655,"")</f>
        <v/>
      </c>
      <c r="Z655" s="95" t="str">
        <f t="array" ref="Z655">_xlfn.XLOOKUP(X655,Stock1!I655,Stock1!J655,"")</f>
        <v/>
      </c>
      <c r="AA655" s="102" t="str">
        <f t="array" ref="AA655">_xlfn.XLOOKUP(Y655,DATAPremium!A:A,DATAPremium!C:C,"")</f>
        <v/>
      </c>
    </row>
    <row r="656">
      <c r="X656" s="88" t="str">
        <f t="array" ref="X656">_xlfn.XLOOKUP("Other",Stock1!A656,Stock1!I656,"")</f>
        <v/>
      </c>
      <c r="Y656" s="95" t="str">
        <f t="array" ref="Y656">_xlfn.XLOOKUP(X656,Stock1!I656,Stock1!F656,"")</f>
        <v/>
      </c>
      <c r="Z656" s="95" t="str">
        <f t="array" ref="Z656">_xlfn.XLOOKUP(X656,Stock1!I656,Stock1!J656,"")</f>
        <v/>
      </c>
      <c r="AA656" s="102" t="str">
        <f t="array" ref="AA656">_xlfn.XLOOKUP(Y656,DATAPremium!A:A,DATAPremium!C:C,"")</f>
        <v/>
      </c>
    </row>
    <row r="657">
      <c r="X657" s="88" t="str">
        <f t="array" ref="X657">_xlfn.XLOOKUP("Other",Stock1!A657,Stock1!I657,"")</f>
        <v/>
      </c>
      <c r="Y657" s="95" t="str">
        <f t="array" ref="Y657">_xlfn.XLOOKUP(X657,Stock1!I657,Stock1!F657,"")</f>
        <v/>
      </c>
      <c r="Z657" s="95" t="str">
        <f t="array" ref="Z657">_xlfn.XLOOKUP(X657,Stock1!I657,Stock1!J657,"")</f>
        <v/>
      </c>
      <c r="AA657" s="102" t="str">
        <f t="array" ref="AA657">_xlfn.XLOOKUP(Y657,DATAPremium!A:A,DATAPremium!C:C,"")</f>
        <v/>
      </c>
    </row>
    <row r="658">
      <c r="X658" s="88" t="str">
        <f t="array" ref="X658">_xlfn.XLOOKUP("Other",Stock1!A658,Stock1!I658,"")</f>
        <v/>
      </c>
      <c r="Y658" s="95" t="str">
        <f t="array" ref="Y658">_xlfn.XLOOKUP(X658,Stock1!I658,Stock1!F658,"")</f>
        <v/>
      </c>
      <c r="Z658" s="95" t="str">
        <f t="array" ref="Z658">_xlfn.XLOOKUP(X658,Stock1!I658,Stock1!J658,"")</f>
        <v/>
      </c>
      <c r="AA658" s="102" t="str">
        <f t="array" ref="AA658">_xlfn.XLOOKUP(Y658,DATAPremium!A:A,DATAPremium!C:C,"")</f>
        <v/>
      </c>
    </row>
    <row r="659">
      <c r="X659" s="88" t="str">
        <f t="array" ref="X659">_xlfn.XLOOKUP("Other",Stock1!A659,Stock1!I659,"")</f>
        <v/>
      </c>
      <c r="Y659" s="95" t="str">
        <f t="array" ref="Y659">_xlfn.XLOOKUP(X659,Stock1!I659,Stock1!F659,"")</f>
        <v/>
      </c>
      <c r="Z659" s="95" t="str">
        <f t="array" ref="Z659">_xlfn.XLOOKUP(X659,Stock1!I659,Stock1!J659,"")</f>
        <v/>
      </c>
      <c r="AA659" s="102" t="str">
        <f t="array" ref="AA659">_xlfn.XLOOKUP(Y659,DATAPremium!A:A,DATAPremium!C:C,"")</f>
        <v/>
      </c>
    </row>
    <row r="660">
      <c r="X660" s="88" t="str">
        <f t="array" ref="X660">_xlfn.XLOOKUP("Other",Stock1!A660,Stock1!I660,"")</f>
        <v/>
      </c>
      <c r="Y660" s="95" t="str">
        <f t="array" ref="Y660">_xlfn.XLOOKUP(X660,Stock1!I660,Stock1!F660,"")</f>
        <v/>
      </c>
      <c r="Z660" s="95" t="str">
        <f t="array" ref="Z660">_xlfn.XLOOKUP(X660,Stock1!I660,Stock1!J660,"")</f>
        <v/>
      </c>
      <c r="AA660" s="102" t="str">
        <f t="array" ref="AA660">_xlfn.XLOOKUP(Y660,DATAPremium!A:A,DATAPremium!C:C,"")</f>
        <v/>
      </c>
    </row>
    <row r="661">
      <c r="X661" s="88" t="str">
        <f t="array" ref="X661">_xlfn.XLOOKUP("Other",Stock1!A661,Stock1!I661,"")</f>
        <v/>
      </c>
      <c r="Y661" s="95" t="str">
        <f t="array" ref="Y661">_xlfn.XLOOKUP(X661,Stock1!I661,Stock1!F661,"")</f>
        <v/>
      </c>
      <c r="Z661" s="95" t="str">
        <f t="array" ref="Z661">_xlfn.XLOOKUP(X661,Stock1!I661,Stock1!J661,"")</f>
        <v/>
      </c>
      <c r="AA661" s="102" t="str">
        <f t="array" ref="AA661">_xlfn.XLOOKUP(Y661,DATAPremium!A:A,DATAPremium!C:C,"")</f>
        <v/>
      </c>
    </row>
    <row r="662">
      <c r="X662" s="88" t="str">
        <f t="array" ref="X662">_xlfn.XLOOKUP("Other",Stock1!A662,Stock1!I662,"")</f>
        <v/>
      </c>
      <c r="Y662" s="95" t="str">
        <f t="array" ref="Y662">_xlfn.XLOOKUP(X662,Stock1!I662,Stock1!F662,"")</f>
        <v/>
      </c>
      <c r="Z662" s="95" t="str">
        <f t="array" ref="Z662">_xlfn.XLOOKUP(X662,Stock1!I662,Stock1!J662,"")</f>
        <v/>
      </c>
      <c r="AA662" s="102" t="str">
        <f t="array" ref="AA662">_xlfn.XLOOKUP(Y662,DATAPremium!A:A,DATAPremium!C:C,"")</f>
        <v/>
      </c>
    </row>
    <row r="663">
      <c r="X663" s="88" t="str">
        <f t="array" ref="X663">_xlfn.XLOOKUP("Other",Stock1!A663,Stock1!I663,"")</f>
        <v/>
      </c>
      <c r="Y663" s="95" t="str">
        <f t="array" ref="Y663">_xlfn.XLOOKUP(X663,Stock1!I663,Stock1!F663,"")</f>
        <v/>
      </c>
      <c r="Z663" s="95" t="str">
        <f t="array" ref="Z663">_xlfn.XLOOKUP(X663,Stock1!I663,Stock1!J663,"")</f>
        <v/>
      </c>
      <c r="AA663" s="102" t="str">
        <f t="array" ref="AA663">_xlfn.XLOOKUP(Y663,DATAPremium!A:A,DATAPremium!C:C,"")</f>
        <v/>
      </c>
    </row>
    <row r="664">
      <c r="X664" s="88" t="str">
        <f t="array" ref="X664">_xlfn.XLOOKUP("Other",Stock1!A664,Stock1!I664,"")</f>
        <v/>
      </c>
      <c r="Y664" s="95" t="str">
        <f t="array" ref="Y664">_xlfn.XLOOKUP(X664,Stock1!I664,Stock1!F664,"")</f>
        <v/>
      </c>
      <c r="Z664" s="95" t="str">
        <f t="array" ref="Z664">_xlfn.XLOOKUP(X664,Stock1!I664,Stock1!J664,"")</f>
        <v/>
      </c>
      <c r="AA664" s="102" t="str">
        <f t="array" ref="AA664">_xlfn.XLOOKUP(Y664,DATAPremium!A:A,DATAPremium!C:C,"")</f>
        <v/>
      </c>
    </row>
    <row r="665">
      <c r="X665" s="88" t="str">
        <f t="array" ref="X665">_xlfn.XLOOKUP("Other",Stock1!A665,Stock1!I665,"")</f>
        <v/>
      </c>
      <c r="Y665" s="95" t="str">
        <f t="array" ref="Y665">_xlfn.XLOOKUP(X665,Stock1!I665,Stock1!F665,"")</f>
        <v/>
      </c>
      <c r="Z665" s="95" t="str">
        <f t="array" ref="Z665">_xlfn.XLOOKUP(X665,Stock1!I665,Stock1!J665,"")</f>
        <v/>
      </c>
      <c r="AA665" s="102" t="str">
        <f t="array" ref="AA665">_xlfn.XLOOKUP(Y665,DATAPremium!A:A,DATAPremium!C:C,"")</f>
        <v/>
      </c>
    </row>
    <row r="666">
      <c r="X666" s="88" t="str">
        <f t="array" ref="X666">_xlfn.XLOOKUP("Other",Stock1!A666,Stock1!I666,"")</f>
        <v/>
      </c>
      <c r="Y666" s="95" t="str">
        <f t="array" ref="Y666">_xlfn.XLOOKUP(X666,Stock1!I666,Stock1!F666,"")</f>
        <v/>
      </c>
      <c r="Z666" s="95" t="str">
        <f t="array" ref="Z666">_xlfn.XLOOKUP(X666,Stock1!I666,Stock1!J666,"")</f>
        <v/>
      </c>
      <c r="AA666" s="102" t="str">
        <f t="array" ref="AA666">_xlfn.XLOOKUP(Y666,DATAPremium!A:A,DATAPremium!C:C,"")</f>
        <v/>
      </c>
    </row>
    <row r="667">
      <c r="X667" s="88" t="str">
        <f t="array" ref="X667">_xlfn.XLOOKUP("Other",Stock1!A667,Stock1!I667,"")</f>
        <v/>
      </c>
      <c r="Y667" s="95" t="str">
        <f t="array" ref="Y667">_xlfn.XLOOKUP(X667,Stock1!I667,Stock1!F667,"")</f>
        <v/>
      </c>
      <c r="Z667" s="95" t="str">
        <f t="array" ref="Z667">_xlfn.XLOOKUP(X667,Stock1!I667,Stock1!J667,"")</f>
        <v/>
      </c>
      <c r="AA667" s="102" t="str">
        <f t="array" ref="AA667">_xlfn.XLOOKUP(Y667,DATAPremium!A:A,DATAPremium!C:C,"")</f>
        <v/>
      </c>
    </row>
    <row r="668">
      <c r="X668" s="88" t="str">
        <f t="array" ref="X668">_xlfn.XLOOKUP("Other",Stock1!A668,Stock1!I668,"")</f>
        <v/>
      </c>
      <c r="Y668" s="95" t="str">
        <f t="array" ref="Y668">_xlfn.XLOOKUP(X668,Stock1!I668,Stock1!F668,"")</f>
        <v/>
      </c>
      <c r="Z668" s="95" t="str">
        <f t="array" ref="Z668">_xlfn.XLOOKUP(X668,Stock1!I668,Stock1!J668,"")</f>
        <v/>
      </c>
      <c r="AA668" s="102" t="str">
        <f t="array" ref="AA668">_xlfn.XLOOKUP(Y668,DATAPremium!A:A,DATAPremium!C:C,"")</f>
        <v/>
      </c>
    </row>
    <row r="669">
      <c r="X669" s="88" t="str">
        <f t="array" ref="X669">_xlfn.XLOOKUP("Other",Stock1!A669,Stock1!I669,"")</f>
        <v/>
      </c>
      <c r="Y669" s="95" t="str">
        <f t="array" ref="Y669">_xlfn.XLOOKUP(X669,Stock1!I669,Stock1!F669,"")</f>
        <v/>
      </c>
      <c r="Z669" s="95" t="str">
        <f t="array" ref="Z669">_xlfn.XLOOKUP(X669,Stock1!I669,Stock1!J669,"")</f>
        <v/>
      </c>
      <c r="AA669" s="102" t="str">
        <f t="array" ref="AA669">_xlfn.XLOOKUP(Y669,DATAPremium!A:A,DATAPremium!C:C,"")</f>
        <v/>
      </c>
    </row>
    <row r="670">
      <c r="X670" s="88" t="str">
        <f t="array" ref="X670">_xlfn.XLOOKUP("Other",Stock1!A670,Stock1!I670,"")</f>
        <v/>
      </c>
      <c r="Y670" s="95" t="str">
        <f t="array" ref="Y670">_xlfn.XLOOKUP(X670,Stock1!I670,Stock1!F670,"")</f>
        <v/>
      </c>
      <c r="Z670" s="95" t="str">
        <f t="array" ref="Z670">_xlfn.XLOOKUP(X670,Stock1!I670,Stock1!J670,"")</f>
        <v/>
      </c>
      <c r="AA670" s="102" t="str">
        <f t="array" ref="AA670">_xlfn.XLOOKUP(Y670,DATAPremium!A:A,DATAPremium!C:C,"")</f>
        <v/>
      </c>
    </row>
    <row r="671">
      <c r="X671" s="88" t="str">
        <f t="array" ref="X671">_xlfn.XLOOKUP("Other",Stock1!A671,Stock1!I671,"")</f>
        <v/>
      </c>
      <c r="Y671" s="95" t="str">
        <f t="array" ref="Y671">_xlfn.XLOOKUP(X671,Stock1!I671,Stock1!F671,"")</f>
        <v/>
      </c>
      <c r="Z671" s="95" t="str">
        <f t="array" ref="Z671">_xlfn.XLOOKUP(X671,Stock1!I671,Stock1!J671,"")</f>
        <v/>
      </c>
      <c r="AA671" s="102" t="str">
        <f t="array" ref="AA671">_xlfn.XLOOKUP(Y671,DATAPremium!A:A,DATAPremium!C:C,"")</f>
        <v/>
      </c>
    </row>
    <row r="672">
      <c r="X672" s="88" t="str">
        <f t="array" ref="X672">_xlfn.XLOOKUP("Other",Stock1!A672,Stock1!I672,"")</f>
        <v/>
      </c>
      <c r="Y672" s="95" t="str">
        <f t="array" ref="Y672">_xlfn.XLOOKUP(X672,Stock1!I672,Stock1!F672,"")</f>
        <v/>
      </c>
      <c r="Z672" s="95" t="str">
        <f t="array" ref="Z672">_xlfn.XLOOKUP(X672,Stock1!I672,Stock1!J672,"")</f>
        <v/>
      </c>
      <c r="AA672" s="102" t="str">
        <f t="array" ref="AA672">_xlfn.XLOOKUP(Y672,DATAPremium!A:A,DATAPremium!C:C,"")</f>
        <v/>
      </c>
    </row>
    <row r="673">
      <c r="X673" s="88" t="str">
        <f t="array" ref="X673">_xlfn.XLOOKUP("Other",Stock1!A673,Stock1!I673,"")</f>
        <v/>
      </c>
      <c r="Y673" s="95" t="str">
        <f t="array" ref="Y673">_xlfn.XLOOKUP(X673,Stock1!I673,Stock1!F673,"")</f>
        <v/>
      </c>
      <c r="Z673" s="95" t="str">
        <f t="array" ref="Z673">_xlfn.XLOOKUP(X673,Stock1!I673,Stock1!J673,"")</f>
        <v/>
      </c>
      <c r="AA673" s="102" t="str">
        <f t="array" ref="AA673">_xlfn.XLOOKUP(Y673,DATAPremium!A:A,DATAPremium!C:C,"")</f>
        <v/>
      </c>
    </row>
    <row r="674">
      <c r="X674" s="88" t="str">
        <f t="array" ref="X674">_xlfn.XLOOKUP("Other",Stock1!A674,Stock1!I674,"")</f>
        <v/>
      </c>
      <c r="Y674" s="95" t="str">
        <f t="array" ref="Y674">_xlfn.XLOOKUP(X674,Stock1!I674,Stock1!F674,"")</f>
        <v/>
      </c>
      <c r="Z674" s="95" t="str">
        <f t="array" ref="Z674">_xlfn.XLOOKUP(X674,Stock1!I674,Stock1!J674,"")</f>
        <v/>
      </c>
      <c r="AA674" s="102" t="str">
        <f t="array" ref="AA674">_xlfn.XLOOKUP(Y674,DATAPremium!A:A,DATAPremium!C:C,"")</f>
        <v/>
      </c>
    </row>
    <row r="675">
      <c r="X675" s="88" t="str">
        <f t="array" ref="X675">_xlfn.XLOOKUP("Other",Stock1!A675,Stock1!I675,"")</f>
        <v/>
      </c>
      <c r="Y675" s="95" t="str">
        <f t="array" ref="Y675">_xlfn.XLOOKUP(X675,Stock1!I675,Stock1!F675,"")</f>
        <v/>
      </c>
      <c r="Z675" s="95" t="str">
        <f t="array" ref="Z675">_xlfn.XLOOKUP(X675,Stock1!I675,Stock1!J675,"")</f>
        <v/>
      </c>
      <c r="AA675" s="102" t="str">
        <f t="array" ref="AA675">_xlfn.XLOOKUP(Y675,DATAPremium!A:A,DATAPremium!C:C,"")</f>
        <v/>
      </c>
    </row>
    <row r="676">
      <c r="X676" s="88" t="str">
        <f t="array" ref="X676">_xlfn.XLOOKUP("Other",Stock1!A676,Stock1!I676,"")</f>
        <v/>
      </c>
      <c r="Y676" s="95" t="str">
        <f t="array" ref="Y676">_xlfn.XLOOKUP(X676,Stock1!I676,Stock1!F676,"")</f>
        <v/>
      </c>
      <c r="Z676" s="95" t="str">
        <f t="array" ref="Z676">_xlfn.XLOOKUP(X676,Stock1!I676,Stock1!J676,"")</f>
        <v/>
      </c>
      <c r="AA676" s="102" t="str">
        <f t="array" ref="AA676">_xlfn.XLOOKUP(Y676,DATAPremium!A:A,DATAPremium!C:C,"")</f>
        <v/>
      </c>
    </row>
    <row r="677">
      <c r="X677" s="88" t="str">
        <f t="array" ref="X677">_xlfn.XLOOKUP("Other",Stock1!A677,Stock1!I677,"")</f>
        <v/>
      </c>
      <c r="Y677" s="95" t="str">
        <f t="array" ref="Y677">_xlfn.XLOOKUP(X677,Stock1!I677,Stock1!F677,"")</f>
        <v/>
      </c>
      <c r="Z677" s="95" t="str">
        <f t="array" ref="Z677">_xlfn.XLOOKUP(X677,Stock1!I677,Stock1!J677,"")</f>
        <v/>
      </c>
      <c r="AA677" s="102" t="str">
        <f t="array" ref="AA677">_xlfn.XLOOKUP(Y677,DATAPremium!A:A,DATAPremium!C:C,"")</f>
        <v/>
      </c>
    </row>
    <row r="678">
      <c r="X678" s="88" t="str">
        <f t="array" ref="X678">_xlfn.XLOOKUP("Other",Stock1!A678,Stock1!I678,"")</f>
        <v/>
      </c>
      <c r="Y678" s="95" t="str">
        <f t="array" ref="Y678">_xlfn.XLOOKUP(X678,Stock1!I678,Stock1!F678,"")</f>
        <v/>
      </c>
      <c r="Z678" s="95" t="str">
        <f t="array" ref="Z678">_xlfn.XLOOKUP(X678,Stock1!I678,Stock1!J678,"")</f>
        <v/>
      </c>
      <c r="AA678" s="102" t="str">
        <f t="array" ref="AA678">_xlfn.XLOOKUP(Y678,DATAPremium!A:A,DATAPremium!C:C,"")</f>
        <v/>
      </c>
    </row>
    <row r="679">
      <c r="X679" s="88" t="str">
        <f t="array" ref="X679">_xlfn.XLOOKUP("Other",Stock1!A679,Stock1!I679,"")</f>
        <v/>
      </c>
      <c r="Y679" s="95" t="str">
        <f t="array" ref="Y679">_xlfn.XLOOKUP(X679,Stock1!I679,Stock1!F679,"")</f>
        <v/>
      </c>
      <c r="Z679" s="95" t="str">
        <f t="array" ref="Z679">_xlfn.XLOOKUP(X679,Stock1!I679,Stock1!J679,"")</f>
        <v/>
      </c>
      <c r="AA679" s="102" t="str">
        <f t="array" ref="AA679">_xlfn.XLOOKUP(Y679,DATAPremium!A:A,DATAPremium!C:C,"")</f>
        <v/>
      </c>
    </row>
    <row r="680">
      <c r="X680" s="88" t="str">
        <f t="array" ref="X680">_xlfn.XLOOKUP("Other",Stock1!A680,Stock1!I680,"")</f>
        <v/>
      </c>
      <c r="Y680" s="95" t="str">
        <f t="array" ref="Y680">_xlfn.XLOOKUP(X680,Stock1!I680,Stock1!F680,"")</f>
        <v/>
      </c>
      <c r="Z680" s="95" t="str">
        <f t="array" ref="Z680">_xlfn.XLOOKUP(X680,Stock1!I680,Stock1!J680,"")</f>
        <v/>
      </c>
      <c r="AA680" s="102" t="str">
        <f t="array" ref="AA680">_xlfn.XLOOKUP(Y680,DATAPremium!A:A,DATAPremium!C:C,"")</f>
        <v/>
      </c>
    </row>
    <row r="681">
      <c r="X681" s="88" t="str">
        <f t="array" ref="X681">_xlfn.XLOOKUP("Other",Stock1!A681,Stock1!I681,"")</f>
        <v/>
      </c>
      <c r="Y681" s="95" t="str">
        <f t="array" ref="Y681">_xlfn.XLOOKUP(X681,Stock1!I681,Stock1!F681,"")</f>
        <v/>
      </c>
      <c r="Z681" s="95" t="str">
        <f t="array" ref="Z681">_xlfn.XLOOKUP(X681,Stock1!I681,Stock1!J681,"")</f>
        <v/>
      </c>
      <c r="AA681" s="102" t="str">
        <f t="array" ref="AA681">_xlfn.XLOOKUP(Y681,DATAPremium!A:A,DATAPremium!C:C,"")</f>
        <v/>
      </c>
    </row>
    <row r="682">
      <c r="X682" s="88" t="str">
        <f t="array" ref="X682">_xlfn.XLOOKUP("Other",Stock1!A682,Stock1!I682,"")</f>
        <v/>
      </c>
      <c r="Y682" s="95" t="str">
        <f t="array" ref="Y682">_xlfn.XLOOKUP(X682,Stock1!I682,Stock1!F682,"")</f>
        <v/>
      </c>
      <c r="Z682" s="95" t="str">
        <f t="array" ref="Z682">_xlfn.XLOOKUP(X682,Stock1!I682,Stock1!J682,"")</f>
        <v/>
      </c>
      <c r="AA682" s="102" t="str">
        <f t="array" ref="AA682">_xlfn.XLOOKUP(Y682,DATAPremium!A:A,DATAPremium!C:C,"")</f>
        <v/>
      </c>
    </row>
    <row r="683">
      <c r="X683" s="88" t="str">
        <f t="array" ref="X683">_xlfn.XLOOKUP("Other",Stock1!A683,Stock1!I683,"")</f>
        <v/>
      </c>
      <c r="Y683" s="95" t="str">
        <f t="array" ref="Y683">_xlfn.XLOOKUP(X683,Stock1!I683,Stock1!F683,"")</f>
        <v/>
      </c>
      <c r="Z683" s="95" t="str">
        <f t="array" ref="Z683">_xlfn.XLOOKUP(X683,Stock1!I683,Stock1!J683,"")</f>
        <v/>
      </c>
      <c r="AA683" s="102" t="str">
        <f t="array" ref="AA683">_xlfn.XLOOKUP(Y683,DATAPremium!A:A,DATAPremium!C:C,"")</f>
        <v/>
      </c>
    </row>
    <row r="684">
      <c r="X684" s="88" t="str">
        <f t="array" ref="X684">_xlfn.XLOOKUP("Other",Stock1!A684,Stock1!I684,"")</f>
        <v/>
      </c>
      <c r="Y684" s="95" t="str">
        <f t="array" ref="Y684">_xlfn.XLOOKUP(X684,Stock1!I684,Stock1!F684,"")</f>
        <v/>
      </c>
      <c r="Z684" s="95" t="str">
        <f t="array" ref="Z684">_xlfn.XLOOKUP(X684,Stock1!I684,Stock1!J684,"")</f>
        <v/>
      </c>
      <c r="AA684" s="102" t="str">
        <f t="array" ref="AA684">_xlfn.XLOOKUP(Y684,DATAPremium!A:A,DATAPremium!C:C,"")</f>
        <v/>
      </c>
    </row>
    <row r="685">
      <c r="X685" s="88" t="str">
        <f t="array" ref="X685">_xlfn.XLOOKUP("Other",Stock1!A685,Stock1!I685,"")</f>
        <v/>
      </c>
      <c r="Y685" s="95" t="str">
        <f t="array" ref="Y685">_xlfn.XLOOKUP(X685,Stock1!I685,Stock1!F685,"")</f>
        <v/>
      </c>
      <c r="Z685" s="95" t="str">
        <f t="array" ref="Z685">_xlfn.XLOOKUP(X685,Stock1!I685,Stock1!J685,"")</f>
        <v/>
      </c>
      <c r="AA685" s="102" t="str">
        <f t="array" ref="AA685">_xlfn.XLOOKUP(Y685,DATAPremium!A:A,DATAPremium!C:C,"")</f>
        <v/>
      </c>
    </row>
    <row r="686">
      <c r="X686" s="88" t="str">
        <f t="array" ref="X686">_xlfn.XLOOKUP("Other",Stock1!A686,Stock1!I686,"")</f>
        <v/>
      </c>
      <c r="Y686" s="95" t="str">
        <f t="array" ref="Y686">_xlfn.XLOOKUP(X686,Stock1!I686,Stock1!F686,"")</f>
        <v/>
      </c>
      <c r="Z686" s="95" t="str">
        <f t="array" ref="Z686">_xlfn.XLOOKUP(X686,Stock1!I686,Stock1!J686,"")</f>
        <v/>
      </c>
      <c r="AA686" s="102" t="str">
        <f t="array" ref="AA686">_xlfn.XLOOKUP(Y686,DATAPremium!A:A,DATAPremium!C:C,"")</f>
        <v/>
      </c>
    </row>
    <row r="687">
      <c r="X687" s="88" t="str">
        <f t="array" ref="X687">_xlfn.XLOOKUP("Other",Stock1!A687,Stock1!I687,"")</f>
        <v/>
      </c>
      <c r="Y687" s="95" t="str">
        <f t="array" ref="Y687">_xlfn.XLOOKUP(X687,Stock1!I687,Stock1!F687,"")</f>
        <v/>
      </c>
      <c r="Z687" s="95" t="str">
        <f t="array" ref="Z687">_xlfn.XLOOKUP(X687,Stock1!I687,Stock1!J687,"")</f>
        <v/>
      </c>
      <c r="AA687" s="102" t="str">
        <f t="array" ref="AA687">_xlfn.XLOOKUP(Y687,DATAPremium!A:A,DATAPremium!C:C,"")</f>
        <v/>
      </c>
    </row>
    <row r="688">
      <c r="X688" s="88" t="str">
        <f t="array" ref="X688">_xlfn.XLOOKUP("Other",Stock1!A688,Stock1!I688,"")</f>
        <v/>
      </c>
      <c r="Y688" s="95" t="str">
        <f t="array" ref="Y688">_xlfn.XLOOKUP(X688,Stock1!I688,Stock1!F688,"")</f>
        <v/>
      </c>
      <c r="Z688" s="95" t="str">
        <f t="array" ref="Z688">_xlfn.XLOOKUP(X688,Stock1!I688,Stock1!J688,"")</f>
        <v/>
      </c>
      <c r="AA688" s="102" t="str">
        <f t="array" ref="AA688">_xlfn.XLOOKUP(Y688,DATAPremium!A:A,DATAPremium!C:C,"")</f>
        <v/>
      </c>
    </row>
    <row r="689">
      <c r="X689" s="88" t="str">
        <f t="array" ref="X689">_xlfn.XLOOKUP("Other",Stock1!A689,Stock1!I689,"")</f>
        <v/>
      </c>
      <c r="Y689" s="95" t="str">
        <f t="array" ref="Y689">_xlfn.XLOOKUP(X689,Stock1!I689,Stock1!F689,"")</f>
        <v/>
      </c>
      <c r="Z689" s="95" t="str">
        <f t="array" ref="Z689">_xlfn.XLOOKUP(X689,Stock1!I689,Stock1!J689,"")</f>
        <v/>
      </c>
      <c r="AA689" s="102" t="str">
        <f t="array" ref="AA689">_xlfn.XLOOKUP(Y689,DATAPremium!A:A,DATAPremium!C:C,"")</f>
        <v/>
      </c>
    </row>
    <row r="690">
      <c r="X690" s="88" t="str">
        <f t="array" ref="X690">_xlfn.XLOOKUP("Other",Stock1!A690,Stock1!I690,"")</f>
        <v/>
      </c>
      <c r="Y690" s="95" t="str">
        <f t="array" ref="Y690">_xlfn.XLOOKUP(X690,Stock1!I690,Stock1!F690,"")</f>
        <v/>
      </c>
      <c r="Z690" s="95" t="str">
        <f t="array" ref="Z690">_xlfn.XLOOKUP(X690,Stock1!I690,Stock1!J690,"")</f>
        <v/>
      </c>
      <c r="AA690" s="102" t="str">
        <f t="array" ref="AA690">_xlfn.XLOOKUP(Y690,DATAPremium!A:A,DATAPremium!C:C,"")</f>
        <v/>
      </c>
    </row>
    <row r="691">
      <c r="X691" s="88" t="str">
        <f t="array" ref="X691">_xlfn.XLOOKUP("Other",Stock1!A691,Stock1!I691,"")</f>
        <v/>
      </c>
      <c r="Y691" s="95" t="str">
        <f t="array" ref="Y691">_xlfn.XLOOKUP(X691,Stock1!I691,Stock1!F691,"")</f>
        <v/>
      </c>
      <c r="Z691" s="95" t="str">
        <f t="array" ref="Z691">_xlfn.XLOOKUP(X691,Stock1!I691,Stock1!J691,"")</f>
        <v/>
      </c>
      <c r="AA691" s="102" t="str">
        <f t="array" ref="AA691">_xlfn.XLOOKUP(Y691,DATAPremium!A:A,DATAPremium!C:C,"")</f>
        <v/>
      </c>
    </row>
    <row r="692">
      <c r="X692" s="88" t="str">
        <f t="array" ref="X692">_xlfn.XLOOKUP("Other",Stock1!A692,Stock1!I692,"")</f>
        <v/>
      </c>
      <c r="Y692" s="95" t="str">
        <f t="array" ref="Y692">_xlfn.XLOOKUP(X692,Stock1!I692,Stock1!F692,"")</f>
        <v/>
      </c>
      <c r="Z692" s="95" t="str">
        <f t="array" ref="Z692">_xlfn.XLOOKUP(X692,Stock1!I692,Stock1!J692,"")</f>
        <v/>
      </c>
      <c r="AA692" s="102" t="str">
        <f t="array" ref="AA692">_xlfn.XLOOKUP(Y692,DATAPremium!A:A,DATAPremium!C:C,"")</f>
        <v/>
      </c>
    </row>
    <row r="693">
      <c r="X693" s="88" t="str">
        <f t="array" ref="X693">_xlfn.XLOOKUP("Other",Stock1!A693,Stock1!I693,"")</f>
        <v/>
      </c>
      <c r="Y693" s="95" t="str">
        <f t="array" ref="Y693">_xlfn.XLOOKUP(X693,Stock1!I693,Stock1!F693,"")</f>
        <v/>
      </c>
      <c r="Z693" s="95" t="str">
        <f t="array" ref="Z693">_xlfn.XLOOKUP(X693,Stock1!I693,Stock1!J693,"")</f>
        <v/>
      </c>
      <c r="AA693" s="102" t="str">
        <f t="array" ref="AA693">_xlfn.XLOOKUP(Y693,DATAPremium!A:A,DATAPremium!C:C,"")</f>
        <v/>
      </c>
    </row>
    <row r="694">
      <c r="X694" s="88" t="str">
        <f t="array" ref="X694">_xlfn.XLOOKUP("Other",Stock1!A694,Stock1!I694,"")</f>
        <v/>
      </c>
      <c r="Y694" s="95" t="str">
        <f t="array" ref="Y694">_xlfn.XLOOKUP(X694,Stock1!I694,Stock1!F694,"")</f>
        <v/>
      </c>
      <c r="Z694" s="95" t="str">
        <f t="array" ref="Z694">_xlfn.XLOOKUP(X694,Stock1!I694,Stock1!J694,"")</f>
        <v/>
      </c>
      <c r="AA694" s="102" t="str">
        <f t="array" ref="AA694">_xlfn.XLOOKUP(Y694,DATAPremium!A:A,DATAPremium!C:C,"")</f>
        <v/>
      </c>
    </row>
    <row r="695">
      <c r="X695" s="88" t="str">
        <f t="array" ref="X695">_xlfn.XLOOKUP("Other",Stock1!A695,Stock1!I695,"")</f>
        <v/>
      </c>
      <c r="Y695" s="95" t="str">
        <f t="array" ref="Y695">_xlfn.XLOOKUP(X695,Stock1!I695,Stock1!F695,"")</f>
        <v/>
      </c>
      <c r="Z695" s="95" t="str">
        <f t="array" ref="Z695">_xlfn.XLOOKUP(X695,Stock1!I695,Stock1!J695,"")</f>
        <v/>
      </c>
      <c r="AA695" s="102" t="str">
        <f t="array" ref="AA695">_xlfn.XLOOKUP(Y695,DATAPremium!A:A,DATAPremium!C:C,"")</f>
        <v/>
      </c>
    </row>
    <row r="696">
      <c r="X696" s="88" t="str">
        <f t="array" ref="X696">_xlfn.XLOOKUP("Other",Stock1!A696,Stock1!I696,"")</f>
        <v/>
      </c>
      <c r="Y696" s="95" t="str">
        <f t="array" ref="Y696">_xlfn.XLOOKUP(X696,Stock1!I696,Stock1!F696,"")</f>
        <v/>
      </c>
      <c r="Z696" s="95" t="str">
        <f t="array" ref="Z696">_xlfn.XLOOKUP(X696,Stock1!I696,Stock1!J696,"")</f>
        <v/>
      </c>
      <c r="AA696" s="102" t="str">
        <f t="array" ref="AA696">_xlfn.XLOOKUP(Y696,DATAPremium!A:A,DATAPremium!C:C,"")</f>
        <v/>
      </c>
    </row>
    <row r="697">
      <c r="X697" s="88" t="str">
        <f t="array" ref="X697">_xlfn.XLOOKUP("Other",Stock1!A697,Stock1!I697,"")</f>
        <v/>
      </c>
      <c r="Y697" s="95" t="str">
        <f t="array" ref="Y697">_xlfn.XLOOKUP(X697,Stock1!I697,Stock1!F697,"")</f>
        <v/>
      </c>
      <c r="Z697" s="95" t="str">
        <f t="array" ref="Z697">_xlfn.XLOOKUP(X697,Stock1!I697,Stock1!J697,"")</f>
        <v/>
      </c>
      <c r="AA697" s="102" t="str">
        <f t="array" ref="AA697">_xlfn.XLOOKUP(Y697,DATAPremium!A:A,DATAPremium!C:C,"")</f>
        <v/>
      </c>
    </row>
    <row r="698">
      <c r="X698" s="88" t="str">
        <f t="array" ref="X698">_xlfn.XLOOKUP("Other",Stock1!A698,Stock1!I698,"")</f>
        <v/>
      </c>
      <c r="Y698" s="95" t="str">
        <f t="array" ref="Y698">_xlfn.XLOOKUP(X698,Stock1!I698,Stock1!F698,"")</f>
        <v/>
      </c>
      <c r="Z698" s="95" t="str">
        <f t="array" ref="Z698">_xlfn.XLOOKUP(X698,Stock1!I698,Stock1!J698,"")</f>
        <v/>
      </c>
      <c r="AA698" s="102" t="str">
        <f t="array" ref="AA698">_xlfn.XLOOKUP(Y698,DATAPremium!A:A,DATAPremium!C:C,"")</f>
        <v/>
      </c>
    </row>
    <row r="699">
      <c r="X699" s="88" t="str">
        <f t="array" ref="X699">_xlfn.XLOOKUP("Other",Stock1!A699,Stock1!I699,"")</f>
        <v/>
      </c>
      <c r="Y699" s="95" t="str">
        <f t="array" ref="Y699">_xlfn.XLOOKUP(X699,Stock1!I699,Stock1!F699,"")</f>
        <v/>
      </c>
      <c r="Z699" s="95" t="str">
        <f t="array" ref="Z699">_xlfn.XLOOKUP(X699,Stock1!I699,Stock1!J699,"")</f>
        <v/>
      </c>
      <c r="AA699" s="102" t="str">
        <f t="array" ref="AA699">_xlfn.XLOOKUP(Y699,DATAPremium!A:A,DATAPremium!C:C,"")</f>
        <v/>
      </c>
    </row>
    <row r="700">
      <c r="X700" s="88" t="str">
        <f t="array" ref="X700">_xlfn.XLOOKUP("Other",Stock1!A700,Stock1!I700,"")</f>
        <v/>
      </c>
      <c r="Y700" s="95" t="str">
        <f t="array" ref="Y700">_xlfn.XLOOKUP(X700,Stock1!I700,Stock1!F700,"")</f>
        <v/>
      </c>
      <c r="Z700" s="95" t="str">
        <f t="array" ref="Z700">_xlfn.XLOOKUP(X700,Stock1!I700,Stock1!J700,"")</f>
        <v/>
      </c>
      <c r="AA700" s="102" t="str">
        <f t="array" ref="AA700">_xlfn.XLOOKUP(Y700,DATAPremium!A:A,DATAPremium!C:C,"")</f>
        <v/>
      </c>
    </row>
    <row r="701">
      <c r="X701" s="88" t="str">
        <f t="array" ref="X701">_xlfn.XLOOKUP("Other",Stock1!A701,Stock1!I701,"")</f>
        <v/>
      </c>
      <c r="Y701" s="95" t="str">
        <f t="array" ref="Y701">_xlfn.XLOOKUP(X701,Stock1!I701,Stock1!F701,"")</f>
        <v/>
      </c>
      <c r="Z701" s="95" t="str">
        <f t="array" ref="Z701">_xlfn.XLOOKUP(X701,Stock1!I701,Stock1!J701,"")</f>
        <v/>
      </c>
      <c r="AA701" s="102" t="str">
        <f t="array" ref="AA701">_xlfn.XLOOKUP(Y701,DATAPremium!A:A,DATAPremium!C:C,"")</f>
        <v/>
      </c>
    </row>
    <row r="702">
      <c r="X702" s="88" t="str">
        <f t="array" ref="X702">_xlfn.XLOOKUP("Other",Stock1!A702,Stock1!I702,"")</f>
        <v/>
      </c>
      <c r="Y702" s="95" t="str">
        <f t="array" ref="Y702">_xlfn.XLOOKUP(X702,Stock1!I702,Stock1!F702,"")</f>
        <v/>
      </c>
      <c r="Z702" s="95" t="str">
        <f t="array" ref="Z702">_xlfn.XLOOKUP(X702,Stock1!I702,Stock1!J702,"")</f>
        <v/>
      </c>
      <c r="AA702" s="102" t="str">
        <f t="array" ref="AA702">_xlfn.XLOOKUP(Y702,DATAPremium!A:A,DATAPremium!C:C,"")</f>
        <v/>
      </c>
    </row>
    <row r="703">
      <c r="X703" s="88" t="str">
        <f t="array" ref="X703">_xlfn.XLOOKUP("Other",Stock1!A703,Stock1!I703,"")</f>
        <v/>
      </c>
      <c r="Y703" s="95" t="str">
        <f t="array" ref="Y703">_xlfn.XLOOKUP(X703,Stock1!I703,Stock1!F703,"")</f>
        <v/>
      </c>
      <c r="Z703" s="95" t="str">
        <f t="array" ref="Z703">_xlfn.XLOOKUP(X703,Stock1!I703,Stock1!J703,"")</f>
        <v/>
      </c>
      <c r="AA703" s="102" t="str">
        <f t="array" ref="AA703">_xlfn.XLOOKUP(Y703,DATAPremium!A:A,DATAPremium!C:C,"")</f>
        <v/>
      </c>
    </row>
    <row r="704">
      <c r="X704" s="88" t="str">
        <f t="array" ref="X704">_xlfn.XLOOKUP("Other",Stock1!A704,Stock1!I704,"")</f>
        <v/>
      </c>
      <c r="Y704" s="95" t="str">
        <f t="array" ref="Y704">_xlfn.XLOOKUP(X704,Stock1!I704,Stock1!F704,"")</f>
        <v/>
      </c>
      <c r="Z704" s="95" t="str">
        <f t="array" ref="Z704">_xlfn.XLOOKUP(X704,Stock1!I704,Stock1!J704,"")</f>
        <v/>
      </c>
      <c r="AA704" s="102" t="str">
        <f t="array" ref="AA704">_xlfn.XLOOKUP(Y704,DATAPremium!A:A,DATAPremium!C:C,"")</f>
        <v/>
      </c>
    </row>
    <row r="705">
      <c r="X705" s="88" t="str">
        <f t="array" ref="X705">_xlfn.XLOOKUP("Other",Stock1!A705,Stock1!I705,"")</f>
        <v/>
      </c>
      <c r="Y705" s="95" t="str">
        <f t="array" ref="Y705">_xlfn.XLOOKUP(X705,Stock1!I705,Stock1!F705,"")</f>
        <v/>
      </c>
      <c r="Z705" s="95" t="str">
        <f t="array" ref="Z705">_xlfn.XLOOKUP(X705,Stock1!I705,Stock1!J705,"")</f>
        <v/>
      </c>
      <c r="AA705" s="102" t="str">
        <f t="array" ref="AA705">_xlfn.XLOOKUP(Y705,DATAPremium!A:A,DATAPremium!C:C,"")</f>
        <v/>
      </c>
    </row>
    <row r="706">
      <c r="X706" s="88" t="str">
        <f t="array" ref="X706">_xlfn.XLOOKUP("Other",Stock1!A706,Stock1!I706,"")</f>
        <v/>
      </c>
      <c r="Y706" s="95" t="str">
        <f t="array" ref="Y706">_xlfn.XLOOKUP(X706,Stock1!I706,Stock1!F706,"")</f>
        <v/>
      </c>
      <c r="Z706" s="95" t="str">
        <f t="array" ref="Z706">_xlfn.XLOOKUP(X706,Stock1!I706,Stock1!J706,"")</f>
        <v/>
      </c>
      <c r="AA706" s="102" t="str">
        <f t="array" ref="AA706">_xlfn.XLOOKUP(Y706,DATAPremium!A:A,DATAPremium!C:C,"")</f>
        <v/>
      </c>
    </row>
    <row r="707">
      <c r="X707" s="88" t="str">
        <f t="array" ref="X707">_xlfn.XLOOKUP("Other",Stock1!A707,Stock1!I707,"")</f>
        <v/>
      </c>
      <c r="Y707" s="95" t="str">
        <f t="array" ref="Y707">_xlfn.XLOOKUP(X707,Stock1!I707,Stock1!F707,"")</f>
        <v/>
      </c>
      <c r="Z707" s="95" t="str">
        <f t="array" ref="Z707">_xlfn.XLOOKUP(X707,Stock1!I707,Stock1!J707,"")</f>
        <v/>
      </c>
      <c r="AA707" s="102" t="str">
        <f t="array" ref="AA707">_xlfn.XLOOKUP(Y707,DATAPremium!A:A,DATAPremium!C:C,"")</f>
        <v/>
      </c>
    </row>
    <row r="708">
      <c r="X708" s="88" t="str">
        <f t="array" ref="X708">_xlfn.XLOOKUP("Other",Stock1!A708,Stock1!I708,"")</f>
        <v/>
      </c>
      <c r="Y708" s="95" t="str">
        <f t="array" ref="Y708">_xlfn.XLOOKUP(X708,Stock1!I708,Stock1!F708,"")</f>
        <v/>
      </c>
      <c r="Z708" s="95" t="str">
        <f t="array" ref="Z708">_xlfn.XLOOKUP(X708,Stock1!I708,Stock1!J708,"")</f>
        <v/>
      </c>
      <c r="AA708" s="102" t="str">
        <f t="array" ref="AA708">_xlfn.XLOOKUP(Y708,DATAPremium!A:A,DATAPremium!C:C,"")</f>
        <v/>
      </c>
    </row>
    <row r="709">
      <c r="X709" s="88" t="str">
        <f t="array" ref="X709">_xlfn.XLOOKUP("Other",Stock1!A709,Stock1!I709,"")</f>
        <v/>
      </c>
      <c r="Y709" s="95" t="str">
        <f t="array" ref="Y709">_xlfn.XLOOKUP(X709,Stock1!I709,Stock1!F709,"")</f>
        <v/>
      </c>
      <c r="Z709" s="95" t="str">
        <f t="array" ref="Z709">_xlfn.XLOOKUP(X709,Stock1!I709,Stock1!J709,"")</f>
        <v/>
      </c>
      <c r="AA709" s="102" t="str">
        <f t="array" ref="AA709">_xlfn.XLOOKUP(Y709,DATAPremium!A:A,DATAPremium!C:C,"")</f>
        <v/>
      </c>
    </row>
    <row r="710">
      <c r="X710" s="88" t="str">
        <f t="array" ref="X710">_xlfn.XLOOKUP("Other",Stock1!A710,Stock1!I710,"")</f>
        <v/>
      </c>
      <c r="Y710" s="95" t="str">
        <f t="array" ref="Y710">_xlfn.XLOOKUP(X710,Stock1!I710,Stock1!F710,"")</f>
        <v/>
      </c>
      <c r="Z710" s="95" t="str">
        <f t="array" ref="Z710">_xlfn.XLOOKUP(X710,Stock1!I710,Stock1!J710,"")</f>
        <v/>
      </c>
      <c r="AA710" s="102" t="str">
        <f t="array" ref="AA710">_xlfn.XLOOKUP(Y710,DATAPremium!A:A,DATAPremium!C:C,"")</f>
        <v/>
      </c>
    </row>
    <row r="711">
      <c r="X711" s="88" t="str">
        <f t="array" ref="X711">_xlfn.XLOOKUP("Other",Stock1!A711,Stock1!I711,"")</f>
        <v/>
      </c>
      <c r="Y711" s="95" t="str">
        <f t="array" ref="Y711">_xlfn.XLOOKUP(X711,Stock1!I711,Stock1!F711,"")</f>
        <v/>
      </c>
      <c r="Z711" s="95" t="str">
        <f t="array" ref="Z711">_xlfn.XLOOKUP(X711,Stock1!I711,Stock1!J711,"")</f>
        <v/>
      </c>
      <c r="AA711" s="102" t="str">
        <f t="array" ref="AA711">_xlfn.XLOOKUP(Y711,DATAPremium!A:A,DATAPremium!C:C,"")</f>
        <v/>
      </c>
    </row>
    <row r="712">
      <c r="X712" s="88" t="str">
        <f t="array" ref="X712">_xlfn.XLOOKUP("Other",Stock1!A712,Stock1!I712,"")</f>
        <v/>
      </c>
      <c r="Y712" s="95" t="str">
        <f t="array" ref="Y712">_xlfn.XLOOKUP(X712,Stock1!I712,Stock1!F712,"")</f>
        <v/>
      </c>
      <c r="Z712" s="95" t="str">
        <f t="array" ref="Z712">_xlfn.XLOOKUP(X712,Stock1!I712,Stock1!J712,"")</f>
        <v/>
      </c>
      <c r="AA712" s="102" t="str">
        <f t="array" ref="AA712">_xlfn.XLOOKUP(Y712,DATAPremium!A:A,DATAPremium!C:C,"")</f>
        <v/>
      </c>
    </row>
    <row r="713">
      <c r="X713" s="88" t="str">
        <f t="array" ref="X713">_xlfn.XLOOKUP("Other",Stock1!A713,Stock1!I713,"")</f>
        <v/>
      </c>
      <c r="Y713" s="95" t="str">
        <f t="array" ref="Y713">_xlfn.XLOOKUP(X713,Stock1!I713,Stock1!F713,"")</f>
        <v/>
      </c>
      <c r="Z713" s="95" t="str">
        <f t="array" ref="Z713">_xlfn.XLOOKUP(X713,Stock1!I713,Stock1!J713,"")</f>
        <v/>
      </c>
      <c r="AA713" s="102" t="str">
        <f t="array" ref="AA713">_xlfn.XLOOKUP(Y713,DATAPremium!A:A,DATAPremium!C:C,"")</f>
        <v/>
      </c>
    </row>
    <row r="714">
      <c r="X714" s="88" t="str">
        <f t="array" ref="X714">_xlfn.XLOOKUP("Other",Stock1!A714,Stock1!I714,"")</f>
        <v/>
      </c>
      <c r="Y714" s="95" t="str">
        <f t="array" ref="Y714">_xlfn.XLOOKUP(X714,Stock1!I714,Stock1!F714,"")</f>
        <v/>
      </c>
      <c r="Z714" s="95" t="str">
        <f t="array" ref="Z714">_xlfn.XLOOKUP(X714,Stock1!I714,Stock1!J714,"")</f>
        <v/>
      </c>
      <c r="AA714" s="102" t="str">
        <f t="array" ref="AA714">_xlfn.XLOOKUP(Y714,DATAPremium!A:A,DATAPremium!C:C,"")</f>
        <v/>
      </c>
    </row>
    <row r="715">
      <c r="X715" s="88" t="str">
        <f t="array" ref="X715">_xlfn.XLOOKUP("Other",Stock1!A715,Stock1!I715,"")</f>
        <v/>
      </c>
      <c r="Y715" s="95" t="str">
        <f t="array" ref="Y715">_xlfn.XLOOKUP(X715,Stock1!I715,Stock1!F715,"")</f>
        <v/>
      </c>
      <c r="Z715" s="95" t="str">
        <f t="array" ref="Z715">_xlfn.XLOOKUP(X715,Stock1!I715,Stock1!J715,"")</f>
        <v/>
      </c>
      <c r="AA715" s="102" t="str">
        <f t="array" ref="AA715">_xlfn.XLOOKUP(Y715,DATAPremium!A:A,DATAPremium!C:C,"")</f>
        <v/>
      </c>
    </row>
    <row r="716">
      <c r="X716" s="88" t="str">
        <f t="array" ref="X716">_xlfn.XLOOKUP("Other",Stock1!A716,Stock1!I716,"")</f>
        <v/>
      </c>
      <c r="Y716" s="95" t="str">
        <f t="array" ref="Y716">_xlfn.XLOOKUP(X716,Stock1!I716,Stock1!F716,"")</f>
        <v/>
      </c>
      <c r="Z716" s="95" t="str">
        <f t="array" ref="Z716">_xlfn.XLOOKUP(X716,Stock1!I716,Stock1!J716,"")</f>
        <v/>
      </c>
      <c r="AA716" s="102" t="str">
        <f t="array" ref="AA716">_xlfn.XLOOKUP(Y716,DATAPremium!A:A,DATAPremium!C:C,"")</f>
        <v/>
      </c>
    </row>
    <row r="717">
      <c r="X717" s="88" t="str">
        <f t="array" ref="X717">_xlfn.XLOOKUP("Other",Stock1!A717,Stock1!I717,"")</f>
        <v/>
      </c>
      <c r="Y717" s="95" t="str">
        <f t="array" ref="Y717">_xlfn.XLOOKUP(X717,Stock1!I717,Stock1!F717,"")</f>
        <v/>
      </c>
      <c r="Z717" s="95" t="str">
        <f t="array" ref="Z717">_xlfn.XLOOKUP(X717,Stock1!I717,Stock1!J717,"")</f>
        <v/>
      </c>
      <c r="AA717" s="102" t="str">
        <f t="array" ref="AA717">_xlfn.XLOOKUP(Y717,DATAPremium!A:A,DATAPremium!C:C,"")</f>
        <v/>
      </c>
    </row>
    <row r="718">
      <c r="X718" s="88" t="str">
        <f t="array" ref="X718">_xlfn.XLOOKUP("Other",Stock1!A718,Stock1!I718,"")</f>
        <v/>
      </c>
      <c r="Y718" s="95" t="str">
        <f t="array" ref="Y718">_xlfn.XLOOKUP(X718,Stock1!I718,Stock1!F718,"")</f>
        <v/>
      </c>
      <c r="Z718" s="95" t="str">
        <f t="array" ref="Z718">_xlfn.XLOOKUP(X718,Stock1!I718,Stock1!J718,"")</f>
        <v/>
      </c>
      <c r="AA718" s="102" t="str">
        <f t="array" ref="AA718">_xlfn.XLOOKUP(Y718,DATAPremium!A:A,DATAPremium!C:C,"")</f>
        <v/>
      </c>
    </row>
    <row r="719">
      <c r="X719" s="88" t="str">
        <f t="array" ref="X719">_xlfn.XLOOKUP("Other",Stock1!A719,Stock1!I719,"")</f>
        <v/>
      </c>
      <c r="Y719" s="95" t="str">
        <f t="array" ref="Y719">_xlfn.XLOOKUP(X719,Stock1!I719,Stock1!F719,"")</f>
        <v/>
      </c>
      <c r="Z719" s="95" t="str">
        <f t="array" ref="Z719">_xlfn.XLOOKUP(X719,Stock1!I719,Stock1!J719,"")</f>
        <v/>
      </c>
      <c r="AA719" s="102" t="str">
        <f t="array" ref="AA719">_xlfn.XLOOKUP(Y719,DATAPremium!A:A,DATAPremium!C:C,"")</f>
        <v/>
      </c>
    </row>
    <row r="720">
      <c r="X720" s="88" t="str">
        <f t="array" ref="X720">_xlfn.XLOOKUP("Other",Stock1!A720,Stock1!I720,"")</f>
        <v/>
      </c>
      <c r="Y720" s="95" t="str">
        <f t="array" ref="Y720">_xlfn.XLOOKUP(X720,Stock1!I720,Stock1!F720,"")</f>
        <v/>
      </c>
      <c r="Z720" s="95" t="str">
        <f t="array" ref="Z720">_xlfn.XLOOKUP(X720,Stock1!I720,Stock1!J720,"")</f>
        <v/>
      </c>
      <c r="AA720" s="102" t="str">
        <f t="array" ref="AA720">_xlfn.XLOOKUP(Y720,DATAPremium!A:A,DATAPremium!C:C,"")</f>
        <v/>
      </c>
    </row>
    <row r="721">
      <c r="X721" s="88" t="str">
        <f t="array" ref="X721">_xlfn.XLOOKUP("Other",Stock1!A721,Stock1!I721,"")</f>
        <v/>
      </c>
      <c r="Y721" s="95" t="str">
        <f t="array" ref="Y721">_xlfn.XLOOKUP(X721,Stock1!I721,Stock1!F721,"")</f>
        <v/>
      </c>
      <c r="Z721" s="95" t="str">
        <f t="array" ref="Z721">_xlfn.XLOOKUP(X721,Stock1!I721,Stock1!J721,"")</f>
        <v/>
      </c>
      <c r="AA721" s="102" t="str">
        <f t="array" ref="AA721">_xlfn.XLOOKUP(Y721,DATAPremium!A:A,DATAPremium!C:C,"")</f>
        <v/>
      </c>
    </row>
    <row r="722">
      <c r="X722" s="88" t="str">
        <f t="array" ref="X722">_xlfn.XLOOKUP("Other",Stock1!A722,Stock1!I722,"")</f>
        <v/>
      </c>
      <c r="Y722" s="95" t="str">
        <f t="array" ref="Y722">_xlfn.XLOOKUP(X722,Stock1!I722,Stock1!F722,"")</f>
        <v/>
      </c>
      <c r="Z722" s="95" t="str">
        <f t="array" ref="Z722">_xlfn.XLOOKUP(X722,Stock1!I722,Stock1!J722,"")</f>
        <v/>
      </c>
      <c r="AA722" s="102" t="str">
        <f t="array" ref="AA722">_xlfn.XLOOKUP(Y722,DATAPremium!A:A,DATAPremium!C:C,"")</f>
        <v/>
      </c>
    </row>
    <row r="723">
      <c r="X723" s="88" t="str">
        <f t="array" ref="X723">_xlfn.XLOOKUP("Other",Stock1!A723,Stock1!I723,"")</f>
        <v/>
      </c>
      <c r="Y723" s="95" t="str">
        <f t="array" ref="Y723">_xlfn.XLOOKUP(X723,Stock1!I723,Stock1!F723,"")</f>
        <v/>
      </c>
      <c r="Z723" s="95" t="str">
        <f t="array" ref="Z723">_xlfn.XLOOKUP(X723,Stock1!I723,Stock1!J723,"")</f>
        <v/>
      </c>
      <c r="AA723" s="102" t="str">
        <f t="array" ref="AA723">_xlfn.XLOOKUP(Y723,DATAPremium!A:A,DATAPremium!C:C,"")</f>
        <v/>
      </c>
    </row>
    <row r="724">
      <c r="X724" s="88" t="str">
        <f t="array" ref="X724">_xlfn.XLOOKUP("Other",Stock1!A724,Stock1!I724,"")</f>
        <v/>
      </c>
      <c r="Y724" s="95" t="str">
        <f t="array" ref="Y724">_xlfn.XLOOKUP(X724,Stock1!I724,Stock1!F724,"")</f>
        <v/>
      </c>
      <c r="Z724" s="95" t="str">
        <f t="array" ref="Z724">_xlfn.XLOOKUP(X724,Stock1!I724,Stock1!J724,"")</f>
        <v/>
      </c>
      <c r="AA724" s="102" t="str">
        <f t="array" ref="AA724">_xlfn.XLOOKUP(Y724,DATAPremium!A:A,DATAPremium!C:C,"")</f>
        <v/>
      </c>
    </row>
    <row r="725">
      <c r="X725" s="88" t="str">
        <f t="array" ref="X725">_xlfn.XLOOKUP("Other",Stock1!A725,Stock1!I725,"")</f>
        <v/>
      </c>
      <c r="Y725" s="95" t="str">
        <f t="array" ref="Y725">_xlfn.XLOOKUP(X725,Stock1!I725,Stock1!F725,"")</f>
        <v/>
      </c>
      <c r="Z725" s="95" t="str">
        <f t="array" ref="Z725">_xlfn.XLOOKUP(X725,Stock1!I725,Stock1!J725,"")</f>
        <v/>
      </c>
      <c r="AA725" s="102" t="str">
        <f t="array" ref="AA725">_xlfn.XLOOKUP(Y725,DATAPremium!A:A,DATAPremium!C:C,"")</f>
        <v/>
      </c>
    </row>
    <row r="726">
      <c r="X726" s="88" t="str">
        <f t="array" ref="X726">_xlfn.XLOOKUP("Other",Stock1!A726,Stock1!I726,"")</f>
        <v/>
      </c>
      <c r="Y726" s="95" t="str">
        <f t="array" ref="Y726">_xlfn.XLOOKUP(X726,Stock1!I726,Stock1!F726,"")</f>
        <v/>
      </c>
      <c r="Z726" s="95" t="str">
        <f t="array" ref="Z726">_xlfn.XLOOKUP(X726,Stock1!I726,Stock1!J726,"")</f>
        <v/>
      </c>
      <c r="AA726" s="102" t="str">
        <f t="array" ref="AA726">_xlfn.XLOOKUP(Y726,DATAPremium!A:A,DATAPremium!C:C,"")</f>
        <v/>
      </c>
    </row>
    <row r="727">
      <c r="X727" s="88" t="str">
        <f t="array" ref="X727">_xlfn.XLOOKUP("Other",Stock1!A727,Stock1!I727,"")</f>
        <v/>
      </c>
      <c r="Y727" s="95" t="str">
        <f t="array" ref="Y727">_xlfn.XLOOKUP(X727,Stock1!I727,Stock1!F727,"")</f>
        <v/>
      </c>
      <c r="Z727" s="95" t="str">
        <f t="array" ref="Z727">_xlfn.XLOOKUP(X727,Stock1!I727,Stock1!J727,"")</f>
        <v/>
      </c>
      <c r="AA727" s="102" t="str">
        <f t="array" ref="AA727">_xlfn.XLOOKUP(Y727,DATAPremium!A:A,DATAPremium!C:C,"")</f>
        <v/>
      </c>
    </row>
    <row r="728">
      <c r="X728" s="88" t="str">
        <f t="array" ref="X728">_xlfn.XLOOKUP("Other",Stock1!A728,Stock1!I728,"")</f>
        <v/>
      </c>
      <c r="Y728" s="95" t="str">
        <f t="array" ref="Y728">_xlfn.XLOOKUP(X728,Stock1!I728,Stock1!F728,"")</f>
        <v/>
      </c>
      <c r="Z728" s="95" t="str">
        <f t="array" ref="Z728">_xlfn.XLOOKUP(X728,Stock1!I728,Stock1!J728,"")</f>
        <v/>
      </c>
      <c r="AA728" s="102" t="str">
        <f t="array" ref="AA728">_xlfn.XLOOKUP(Y728,DATAPremium!A:A,DATAPremium!C:C,"")</f>
        <v/>
      </c>
    </row>
    <row r="729">
      <c r="X729" s="88" t="str">
        <f t="array" ref="X729">_xlfn.XLOOKUP("Other",Stock1!A729,Stock1!I729,"")</f>
        <v/>
      </c>
      <c r="Y729" s="95" t="str">
        <f t="array" ref="Y729">_xlfn.XLOOKUP(X729,Stock1!I729,Stock1!F729,"")</f>
        <v/>
      </c>
      <c r="Z729" s="95" t="str">
        <f t="array" ref="Z729">_xlfn.XLOOKUP(X729,Stock1!I729,Stock1!J729,"")</f>
        <v/>
      </c>
      <c r="AA729" s="102" t="str">
        <f t="array" ref="AA729">_xlfn.XLOOKUP(Y729,DATAPremium!A:A,DATAPremium!C:C,"")</f>
        <v/>
      </c>
    </row>
    <row r="730">
      <c r="X730" s="88" t="str">
        <f t="array" ref="X730">_xlfn.XLOOKUP("Other",Stock1!A730,Stock1!I730,"")</f>
        <v/>
      </c>
      <c r="Y730" s="95" t="str">
        <f t="array" ref="Y730">_xlfn.XLOOKUP(X730,Stock1!I730,Stock1!F730,"")</f>
        <v/>
      </c>
      <c r="Z730" s="95" t="str">
        <f t="array" ref="Z730">_xlfn.XLOOKUP(X730,Stock1!I730,Stock1!J730,"")</f>
        <v/>
      </c>
      <c r="AA730" s="102" t="str">
        <f t="array" ref="AA730">_xlfn.XLOOKUP(Y730,DATAPremium!A:A,DATAPremium!C:C,"")</f>
        <v/>
      </c>
    </row>
    <row r="731">
      <c r="X731" s="88" t="str">
        <f t="array" ref="X731">_xlfn.XLOOKUP("Other",Stock1!A731,Stock1!I731,"")</f>
        <v/>
      </c>
      <c r="Y731" s="95" t="str">
        <f t="array" ref="Y731">_xlfn.XLOOKUP(X731,Stock1!I731,Stock1!F731,"")</f>
        <v/>
      </c>
      <c r="Z731" s="95" t="str">
        <f t="array" ref="Z731">_xlfn.XLOOKUP(X731,Stock1!I731,Stock1!J731,"")</f>
        <v/>
      </c>
      <c r="AA731" s="102" t="str">
        <f t="array" ref="AA731">_xlfn.XLOOKUP(Y731,DATAPremium!A:A,DATAPremium!C:C,"")</f>
        <v/>
      </c>
    </row>
    <row r="732">
      <c r="X732" s="88" t="str">
        <f t="array" ref="X732">_xlfn.XLOOKUP("Other",Stock1!A732,Stock1!I732,"")</f>
        <v/>
      </c>
      <c r="Y732" s="95" t="str">
        <f t="array" ref="Y732">_xlfn.XLOOKUP(X732,Stock1!I732,Stock1!F732,"")</f>
        <v/>
      </c>
      <c r="Z732" s="95" t="str">
        <f t="array" ref="Z732">_xlfn.XLOOKUP(X732,Stock1!I732,Stock1!J732,"")</f>
        <v/>
      </c>
      <c r="AA732" s="102" t="str">
        <f t="array" ref="AA732">_xlfn.XLOOKUP(Y732,DATAPremium!A:A,DATAPremium!C:C,"")</f>
        <v/>
      </c>
    </row>
    <row r="733">
      <c r="X733" s="88" t="str">
        <f t="array" ref="X733">_xlfn.XLOOKUP("Other",Stock1!A733,Stock1!I733,"")</f>
        <v/>
      </c>
      <c r="Y733" s="95" t="str">
        <f t="array" ref="Y733">_xlfn.XLOOKUP(X733,Stock1!I733,Stock1!F733,"")</f>
        <v/>
      </c>
      <c r="Z733" s="95" t="str">
        <f t="array" ref="Z733">_xlfn.XLOOKUP(X733,Stock1!I733,Stock1!J733,"")</f>
        <v/>
      </c>
      <c r="AA733" s="102" t="str">
        <f t="array" ref="AA733">_xlfn.XLOOKUP(Y733,DATAPremium!A:A,DATAPremium!C:C,"")</f>
        <v/>
      </c>
    </row>
    <row r="734">
      <c r="X734" s="88" t="str">
        <f t="array" ref="X734">_xlfn.XLOOKUP("Other",Stock1!A734,Stock1!I734,"")</f>
        <v/>
      </c>
      <c r="Y734" s="95" t="str">
        <f t="array" ref="Y734">_xlfn.XLOOKUP(X734,Stock1!I734,Stock1!F734,"")</f>
        <v/>
      </c>
      <c r="Z734" s="95" t="str">
        <f t="array" ref="Z734">_xlfn.XLOOKUP(X734,Stock1!I734,Stock1!J734,"")</f>
        <v/>
      </c>
      <c r="AA734" s="102" t="str">
        <f t="array" ref="AA734">_xlfn.XLOOKUP(Y734,DATAPremium!A:A,DATAPremium!C:C,"")</f>
        <v/>
      </c>
    </row>
    <row r="735">
      <c r="X735" s="88" t="str">
        <f t="array" ref="X735">_xlfn.XLOOKUP("Other",Stock1!A735,Stock1!I735,"")</f>
        <v/>
      </c>
      <c r="Y735" s="95" t="str">
        <f t="array" ref="Y735">_xlfn.XLOOKUP(X735,Stock1!I735,Stock1!F735,"")</f>
        <v/>
      </c>
      <c r="Z735" s="95" t="str">
        <f t="array" ref="Z735">_xlfn.XLOOKUP(X735,Stock1!I735,Stock1!J735,"")</f>
        <v/>
      </c>
      <c r="AA735" s="102" t="str">
        <f t="array" ref="AA735">_xlfn.XLOOKUP(Y735,DATAPremium!A:A,DATAPremium!C:C,"")</f>
        <v/>
      </c>
    </row>
    <row r="736">
      <c r="X736" s="88" t="str">
        <f t="array" ref="X736">_xlfn.XLOOKUP("Other",Stock1!A736,Stock1!I736,"")</f>
        <v/>
      </c>
      <c r="Y736" s="95" t="str">
        <f t="array" ref="Y736">_xlfn.XLOOKUP(X736,Stock1!I736,Stock1!F736,"")</f>
        <v/>
      </c>
      <c r="Z736" s="95" t="str">
        <f t="array" ref="Z736">_xlfn.XLOOKUP(X736,Stock1!I736,Stock1!J736,"")</f>
        <v/>
      </c>
      <c r="AA736" s="102" t="str">
        <f t="array" ref="AA736">_xlfn.XLOOKUP(Y736,DATAPremium!A:A,DATAPremium!C:C,"")</f>
        <v/>
      </c>
    </row>
    <row r="737">
      <c r="X737" s="88" t="str">
        <f t="array" ref="X737">_xlfn.XLOOKUP("Other",Stock1!A737,Stock1!I737,"")</f>
        <v/>
      </c>
      <c r="Y737" s="95" t="str">
        <f t="array" ref="Y737">_xlfn.XLOOKUP(X737,Stock1!I737,Stock1!F737,"")</f>
        <v/>
      </c>
      <c r="Z737" s="95" t="str">
        <f t="array" ref="Z737">_xlfn.XLOOKUP(X737,Stock1!I737,Stock1!J737,"")</f>
        <v/>
      </c>
      <c r="AA737" s="102" t="str">
        <f t="array" ref="AA737">_xlfn.XLOOKUP(Y737,DATAPremium!A:A,DATAPremium!C:C,"")</f>
        <v/>
      </c>
    </row>
    <row r="738">
      <c r="X738" s="88" t="str">
        <f t="array" ref="X738">_xlfn.XLOOKUP("Other",Stock1!A738,Stock1!I738,"")</f>
        <v/>
      </c>
      <c r="Y738" s="95" t="str">
        <f t="array" ref="Y738">_xlfn.XLOOKUP(X738,Stock1!I738,Stock1!F738,"")</f>
        <v/>
      </c>
      <c r="Z738" s="95" t="str">
        <f t="array" ref="Z738">_xlfn.XLOOKUP(X738,Stock1!I738,Stock1!J738,"")</f>
        <v/>
      </c>
      <c r="AA738" s="102" t="str">
        <f t="array" ref="AA738">_xlfn.XLOOKUP(Y738,DATAPremium!A:A,DATAPremium!C:C,"")</f>
        <v/>
      </c>
    </row>
    <row r="739">
      <c r="X739" s="88" t="str">
        <f t="array" ref="X739">_xlfn.XLOOKUP("Other",Stock1!A739,Stock1!I739,"")</f>
        <v/>
      </c>
      <c r="Y739" s="95" t="str">
        <f t="array" ref="Y739">_xlfn.XLOOKUP(X739,Stock1!I739,Stock1!F739,"")</f>
        <v/>
      </c>
      <c r="Z739" s="95" t="str">
        <f t="array" ref="Z739">_xlfn.XLOOKUP(X739,Stock1!I739,Stock1!J739,"")</f>
        <v/>
      </c>
      <c r="AA739" s="102" t="str">
        <f t="array" ref="AA739">_xlfn.XLOOKUP(Y739,DATAPremium!A:A,DATAPremium!C:C,"")</f>
        <v/>
      </c>
    </row>
    <row r="740">
      <c r="X740" s="88" t="str">
        <f t="array" ref="X740">_xlfn.XLOOKUP("Other",Stock1!A740,Stock1!I740,"")</f>
        <v/>
      </c>
      <c r="Y740" s="95" t="str">
        <f t="array" ref="Y740">_xlfn.XLOOKUP(X740,Stock1!I740,Stock1!F740,"")</f>
        <v/>
      </c>
      <c r="Z740" s="95" t="str">
        <f t="array" ref="Z740">_xlfn.XLOOKUP(X740,Stock1!I740,Stock1!J740,"")</f>
        <v/>
      </c>
      <c r="AA740" s="102" t="str">
        <f t="array" ref="AA740">_xlfn.XLOOKUP(Y740,DATAPremium!A:A,DATAPremium!C:C,"")</f>
        <v/>
      </c>
    </row>
    <row r="741">
      <c r="X741" s="88" t="str">
        <f t="array" ref="X741">_xlfn.XLOOKUP("Other",Stock1!A741,Stock1!I741,"")</f>
        <v/>
      </c>
      <c r="Y741" s="95" t="str">
        <f t="array" ref="Y741">_xlfn.XLOOKUP(X741,Stock1!I741,Stock1!F741,"")</f>
        <v/>
      </c>
      <c r="Z741" s="95" t="str">
        <f t="array" ref="Z741">_xlfn.XLOOKUP(X741,Stock1!I741,Stock1!J741,"")</f>
        <v/>
      </c>
      <c r="AA741" s="102" t="str">
        <f t="array" ref="AA741">_xlfn.XLOOKUP(Y741,DATAPremium!A:A,DATAPremium!C:C,"")</f>
        <v/>
      </c>
    </row>
    <row r="742">
      <c r="X742" s="88" t="str">
        <f t="array" ref="X742">_xlfn.XLOOKUP("Other",Stock1!A742,Stock1!I742,"")</f>
        <v/>
      </c>
      <c r="Y742" s="95" t="str">
        <f t="array" ref="Y742">_xlfn.XLOOKUP(X742,Stock1!I742,Stock1!F742,"")</f>
        <v/>
      </c>
      <c r="Z742" s="95" t="str">
        <f t="array" ref="Z742">_xlfn.XLOOKUP(X742,Stock1!I742,Stock1!J742,"")</f>
        <v/>
      </c>
      <c r="AA742" s="102" t="str">
        <f t="array" ref="AA742">_xlfn.XLOOKUP(Y742,DATAPremium!A:A,DATAPremium!C:C,"")</f>
        <v/>
      </c>
    </row>
    <row r="743">
      <c r="X743" s="88" t="str">
        <f t="array" ref="X743">_xlfn.XLOOKUP("Other",Stock1!A743,Stock1!I743,"")</f>
        <v/>
      </c>
      <c r="Y743" s="95" t="str">
        <f t="array" ref="Y743">_xlfn.XLOOKUP(X743,Stock1!I743,Stock1!F743,"")</f>
        <v/>
      </c>
      <c r="Z743" s="95" t="str">
        <f t="array" ref="Z743">_xlfn.XLOOKUP(X743,Stock1!I743,Stock1!J743,"")</f>
        <v/>
      </c>
      <c r="AA743" s="102" t="str">
        <f t="array" ref="AA743">_xlfn.XLOOKUP(Y743,DATAPremium!A:A,DATAPremium!C:C,"")</f>
        <v/>
      </c>
    </row>
    <row r="744">
      <c r="X744" s="88" t="str">
        <f t="array" ref="X744">_xlfn.XLOOKUP("Other",Stock1!A744,Stock1!I744,"")</f>
        <v/>
      </c>
      <c r="Y744" s="95" t="str">
        <f t="array" ref="Y744">_xlfn.XLOOKUP(X744,Stock1!I744,Stock1!F744,"")</f>
        <v/>
      </c>
      <c r="Z744" s="95" t="str">
        <f t="array" ref="Z744">_xlfn.XLOOKUP(X744,Stock1!I744,Stock1!J744,"")</f>
        <v/>
      </c>
      <c r="AA744" s="102" t="str">
        <f t="array" ref="AA744">_xlfn.XLOOKUP(Y744,DATAPremium!A:A,DATAPremium!C:C,"")</f>
        <v/>
      </c>
    </row>
    <row r="745">
      <c r="X745" s="88" t="str">
        <f t="array" ref="X745">_xlfn.XLOOKUP("Other",Stock1!A745,Stock1!I745,"")</f>
        <v/>
      </c>
      <c r="Y745" s="95" t="str">
        <f t="array" ref="Y745">_xlfn.XLOOKUP(X745,Stock1!I745,Stock1!F745,"")</f>
        <v/>
      </c>
      <c r="Z745" s="95" t="str">
        <f t="array" ref="Z745">_xlfn.XLOOKUP(X745,Stock1!I745,Stock1!J745,"")</f>
        <v/>
      </c>
      <c r="AA745" s="102" t="str">
        <f t="array" ref="AA745">_xlfn.XLOOKUP(Y745,DATAPremium!A:A,DATAPremium!C:C,"")</f>
        <v/>
      </c>
    </row>
    <row r="746">
      <c r="X746" s="88" t="str">
        <f t="array" ref="X746">_xlfn.XLOOKUP("Other",Stock1!A746,Stock1!I746,"")</f>
        <v/>
      </c>
      <c r="Y746" s="95" t="str">
        <f t="array" ref="Y746">_xlfn.XLOOKUP(X746,Stock1!I746,Stock1!F746,"")</f>
        <v/>
      </c>
      <c r="Z746" s="95" t="str">
        <f t="array" ref="Z746">_xlfn.XLOOKUP(X746,Stock1!I746,Stock1!J746,"")</f>
        <v/>
      </c>
      <c r="AA746" s="102" t="str">
        <f t="array" ref="AA746">_xlfn.XLOOKUP(Y746,DATAPremium!A:A,DATAPremium!C:C,"")</f>
        <v/>
      </c>
    </row>
    <row r="747">
      <c r="X747" s="88" t="str">
        <f t="array" ref="X747">_xlfn.XLOOKUP("Other",Stock1!A747,Stock1!I747,"")</f>
        <v/>
      </c>
      <c r="Y747" s="95" t="str">
        <f t="array" ref="Y747">_xlfn.XLOOKUP(X747,Stock1!I747,Stock1!F747,"")</f>
        <v/>
      </c>
      <c r="Z747" s="95" t="str">
        <f t="array" ref="Z747">_xlfn.XLOOKUP(X747,Stock1!I747,Stock1!J747,"")</f>
        <v/>
      </c>
      <c r="AA747" s="102" t="str">
        <f t="array" ref="AA747">_xlfn.XLOOKUP(Y747,DATAPremium!A:A,DATAPremium!C:C,"")</f>
        <v/>
      </c>
    </row>
    <row r="748">
      <c r="X748" s="88" t="str">
        <f t="array" ref="X748">_xlfn.XLOOKUP("Other",Stock1!A748,Stock1!I748,"")</f>
        <v/>
      </c>
      <c r="Y748" s="95" t="str">
        <f t="array" ref="Y748">_xlfn.XLOOKUP(X748,Stock1!I748,Stock1!F748,"")</f>
        <v/>
      </c>
      <c r="Z748" s="95" t="str">
        <f t="array" ref="Z748">_xlfn.XLOOKUP(X748,Stock1!I748,Stock1!J748,"")</f>
        <v/>
      </c>
      <c r="AA748" s="102" t="str">
        <f t="array" ref="AA748">_xlfn.XLOOKUP(Y748,DATAPremium!A:A,DATAPremium!C:C,"")</f>
        <v/>
      </c>
    </row>
    <row r="749">
      <c r="X749" s="88" t="str">
        <f t="array" ref="X749">_xlfn.XLOOKUP("Other",Stock1!A749,Stock1!I749,"")</f>
        <v/>
      </c>
      <c r="Y749" s="95" t="str">
        <f t="array" ref="Y749">_xlfn.XLOOKUP(X749,Stock1!I749,Stock1!F749,"")</f>
        <v/>
      </c>
      <c r="Z749" s="95" t="str">
        <f t="array" ref="Z749">_xlfn.XLOOKUP(X749,Stock1!I749,Stock1!J749,"")</f>
        <v/>
      </c>
      <c r="AA749" s="102" t="str">
        <f t="array" ref="AA749">_xlfn.XLOOKUP(Y749,DATAPremium!A:A,DATAPremium!C:C,"")</f>
        <v/>
      </c>
    </row>
    <row r="750">
      <c r="X750" s="88" t="str">
        <f t="array" ref="X750">_xlfn.XLOOKUP("Other",Stock1!A750,Stock1!I750,"")</f>
        <v/>
      </c>
      <c r="Y750" s="95" t="str">
        <f t="array" ref="Y750">_xlfn.XLOOKUP(X750,Stock1!I750,Stock1!F750,"")</f>
        <v/>
      </c>
      <c r="Z750" s="95" t="str">
        <f t="array" ref="Z750">_xlfn.XLOOKUP(X750,Stock1!I750,Stock1!J750,"")</f>
        <v/>
      </c>
      <c r="AA750" s="102" t="str">
        <f t="array" ref="AA750">_xlfn.XLOOKUP(Y750,DATAPremium!A:A,DATAPremium!C:C,"")</f>
        <v/>
      </c>
    </row>
    <row r="751">
      <c r="X751" s="88" t="str">
        <f t="array" ref="X751">_xlfn.XLOOKUP("Other",Stock1!A751,Stock1!I751,"")</f>
        <v/>
      </c>
      <c r="Y751" s="95" t="str">
        <f t="array" ref="Y751">_xlfn.XLOOKUP(X751,Stock1!I751,Stock1!F751,"")</f>
        <v/>
      </c>
      <c r="Z751" s="95" t="str">
        <f t="array" ref="Z751">_xlfn.XLOOKUP(X751,Stock1!I751,Stock1!J751,"")</f>
        <v/>
      </c>
      <c r="AA751" s="102" t="str">
        <f t="array" ref="AA751">_xlfn.XLOOKUP(Y751,DATAPremium!A:A,DATAPremium!C:C,"")</f>
        <v/>
      </c>
    </row>
    <row r="752">
      <c r="X752" s="88" t="str">
        <f t="array" ref="X752">_xlfn.XLOOKUP("Other",Stock1!A752,Stock1!I752,"")</f>
        <v/>
      </c>
      <c r="Y752" s="95" t="str">
        <f t="array" ref="Y752">_xlfn.XLOOKUP(X752,Stock1!I752,Stock1!F752,"")</f>
        <v/>
      </c>
      <c r="Z752" s="95" t="str">
        <f t="array" ref="Z752">_xlfn.XLOOKUP(X752,Stock1!I752,Stock1!J752,"")</f>
        <v/>
      </c>
      <c r="AA752" s="102" t="str">
        <f t="array" ref="AA752">_xlfn.XLOOKUP(Y752,DATAPremium!A:A,DATAPremium!C:C,"")</f>
        <v/>
      </c>
    </row>
    <row r="753">
      <c r="X753" s="88" t="str">
        <f t="array" ref="X753">_xlfn.XLOOKUP("Other",Stock1!A753,Stock1!I753,"")</f>
        <v/>
      </c>
      <c r="Y753" s="95" t="str">
        <f t="array" ref="Y753">_xlfn.XLOOKUP(X753,Stock1!I753,Stock1!F753,"")</f>
        <v/>
      </c>
      <c r="Z753" s="95" t="str">
        <f t="array" ref="Z753">_xlfn.XLOOKUP(X753,Stock1!I753,Stock1!J753,"")</f>
        <v/>
      </c>
      <c r="AA753" s="102" t="str">
        <f t="array" ref="AA753">_xlfn.XLOOKUP(Y753,DATAPremium!A:A,DATAPremium!C:C,"")</f>
        <v/>
      </c>
    </row>
    <row r="754">
      <c r="X754" s="88" t="str">
        <f t="array" ref="X754">_xlfn.XLOOKUP("Other",Stock1!A754,Stock1!I754,"")</f>
        <v/>
      </c>
      <c r="Y754" s="95" t="str">
        <f t="array" ref="Y754">_xlfn.XLOOKUP(X754,Stock1!I754,Stock1!F754,"")</f>
        <v/>
      </c>
      <c r="Z754" s="95" t="str">
        <f t="array" ref="Z754">_xlfn.XLOOKUP(X754,Stock1!I754,Stock1!J754,"")</f>
        <v/>
      </c>
      <c r="AA754" s="102" t="str">
        <f t="array" ref="AA754">_xlfn.XLOOKUP(Y754,DATAPremium!A:A,DATAPremium!C:C,"")</f>
        <v/>
      </c>
    </row>
    <row r="755">
      <c r="X755" s="88" t="str">
        <f t="array" ref="X755">_xlfn.XLOOKUP("Other",Stock1!A755,Stock1!I755,"")</f>
        <v/>
      </c>
      <c r="Y755" s="95" t="str">
        <f t="array" ref="Y755">_xlfn.XLOOKUP(X755,Stock1!I755,Stock1!F755,"")</f>
        <v/>
      </c>
      <c r="Z755" s="95" t="str">
        <f t="array" ref="Z755">_xlfn.XLOOKUP(X755,Stock1!I755,Stock1!J755,"")</f>
        <v/>
      </c>
      <c r="AA755" s="102" t="str">
        <f t="array" ref="AA755">_xlfn.XLOOKUP(Y755,DATAPremium!A:A,DATAPremium!C:C,"")</f>
        <v/>
      </c>
    </row>
    <row r="756">
      <c r="X756" s="88" t="str">
        <f t="array" ref="X756">_xlfn.XLOOKUP("Other",Stock1!A756,Stock1!I756,"")</f>
        <v/>
      </c>
      <c r="Y756" s="95" t="str">
        <f t="array" ref="Y756">_xlfn.XLOOKUP(X756,Stock1!I756,Stock1!F756,"")</f>
        <v/>
      </c>
      <c r="Z756" s="95" t="str">
        <f t="array" ref="Z756">_xlfn.XLOOKUP(X756,Stock1!I756,Stock1!J756,"")</f>
        <v/>
      </c>
      <c r="AA756" s="102" t="str">
        <f t="array" ref="AA756">_xlfn.XLOOKUP(Y756,DATAPremium!A:A,DATAPremium!C:C,"")</f>
        <v/>
      </c>
    </row>
    <row r="757">
      <c r="X757" s="88" t="str">
        <f t="array" ref="X757">_xlfn.XLOOKUP("Other",Stock1!A757,Stock1!I757,"")</f>
        <v/>
      </c>
      <c r="Y757" s="95" t="str">
        <f t="array" ref="Y757">_xlfn.XLOOKUP(X757,Stock1!I757,Stock1!F757,"")</f>
        <v/>
      </c>
      <c r="Z757" s="95" t="str">
        <f t="array" ref="Z757">_xlfn.XLOOKUP(X757,Stock1!I757,Stock1!J757,"")</f>
        <v/>
      </c>
      <c r="AA757" s="102" t="str">
        <f t="array" ref="AA757">_xlfn.XLOOKUP(Y757,DATAPremium!A:A,DATAPremium!C:C,"")</f>
        <v/>
      </c>
    </row>
    <row r="758">
      <c r="X758" s="88" t="str">
        <f t="array" ref="X758">_xlfn.XLOOKUP("Other",Stock1!A758,Stock1!I758,"")</f>
        <v/>
      </c>
      <c r="Y758" s="95" t="str">
        <f t="array" ref="Y758">_xlfn.XLOOKUP(X758,Stock1!I758,Stock1!F758,"")</f>
        <v/>
      </c>
      <c r="Z758" s="95" t="str">
        <f t="array" ref="Z758">_xlfn.XLOOKUP(X758,Stock1!I758,Stock1!J758,"")</f>
        <v/>
      </c>
      <c r="AA758" s="102" t="str">
        <f t="array" ref="AA758">_xlfn.XLOOKUP(Y758,DATAPremium!A:A,DATAPremium!C:C,"")</f>
        <v/>
      </c>
    </row>
    <row r="759">
      <c r="X759" s="88" t="str">
        <f t="array" ref="X759">_xlfn.XLOOKUP("Other",Stock1!A759,Stock1!I759,"")</f>
        <v/>
      </c>
      <c r="Y759" s="95" t="str">
        <f t="array" ref="Y759">_xlfn.XLOOKUP(X759,Stock1!I759,Stock1!F759,"")</f>
        <v/>
      </c>
      <c r="Z759" s="95" t="str">
        <f t="array" ref="Z759">_xlfn.XLOOKUP(X759,Stock1!I759,Stock1!J759,"")</f>
        <v/>
      </c>
      <c r="AA759" s="102" t="str">
        <f t="array" ref="AA759">_xlfn.XLOOKUP(Y759,DATAPremium!A:A,DATAPremium!C:C,"")</f>
        <v/>
      </c>
    </row>
    <row r="760">
      <c r="X760" s="88" t="str">
        <f t="array" ref="X760">_xlfn.XLOOKUP("Other",Stock1!A760,Stock1!I760,"")</f>
        <v/>
      </c>
      <c r="Y760" s="95" t="str">
        <f t="array" ref="Y760">_xlfn.XLOOKUP(X760,Stock1!I760,Stock1!F760,"")</f>
        <v/>
      </c>
      <c r="Z760" s="95" t="str">
        <f t="array" ref="Z760">_xlfn.XLOOKUP(X760,Stock1!I760,Stock1!J760,"")</f>
        <v/>
      </c>
      <c r="AA760" s="102" t="str">
        <f t="array" ref="AA760">_xlfn.XLOOKUP(Y760,DATAPremium!A:A,DATAPremium!C:C,"")</f>
        <v/>
      </c>
    </row>
    <row r="761">
      <c r="X761" s="88" t="str">
        <f t="array" ref="X761">_xlfn.XLOOKUP("Other",Stock1!A761,Stock1!I761,"")</f>
        <v/>
      </c>
      <c r="Y761" s="95" t="str">
        <f t="array" ref="Y761">_xlfn.XLOOKUP(X761,Stock1!I761,Stock1!F761,"")</f>
        <v/>
      </c>
      <c r="Z761" s="95" t="str">
        <f t="array" ref="Z761">_xlfn.XLOOKUP(X761,Stock1!I761,Stock1!J761,"")</f>
        <v/>
      </c>
      <c r="AA761" s="102" t="str">
        <f t="array" ref="AA761">_xlfn.XLOOKUP(Y761,DATAPremium!A:A,DATAPremium!C:C,"")</f>
        <v/>
      </c>
    </row>
    <row r="762">
      <c r="X762" s="88" t="str">
        <f t="array" ref="X762">_xlfn.XLOOKUP("Other",Stock1!A762,Stock1!I762,"")</f>
        <v/>
      </c>
      <c r="Y762" s="95" t="str">
        <f t="array" ref="Y762">_xlfn.XLOOKUP(X762,Stock1!I762,Stock1!F762,"")</f>
        <v/>
      </c>
      <c r="Z762" s="95" t="str">
        <f t="array" ref="Z762">_xlfn.XLOOKUP(X762,Stock1!I762,Stock1!J762,"")</f>
        <v/>
      </c>
      <c r="AA762" s="102" t="str">
        <f t="array" ref="AA762">_xlfn.XLOOKUP(Y762,DATAPremium!A:A,DATAPremium!C:C,"")</f>
        <v/>
      </c>
    </row>
    <row r="763">
      <c r="X763" s="88" t="str">
        <f t="array" ref="X763">_xlfn.XLOOKUP("Other",Stock1!A763,Stock1!I763,"")</f>
        <v/>
      </c>
      <c r="Y763" s="95" t="str">
        <f t="array" ref="Y763">_xlfn.XLOOKUP(X763,Stock1!I763,Stock1!F763,"")</f>
        <v/>
      </c>
      <c r="Z763" s="95" t="str">
        <f t="array" ref="Z763">_xlfn.XLOOKUP(X763,Stock1!I763,Stock1!J763,"")</f>
        <v/>
      </c>
      <c r="AA763" s="102" t="str">
        <f t="array" ref="AA763">_xlfn.XLOOKUP(Y763,DATAPremium!A:A,DATAPremium!C:C,"")</f>
        <v/>
      </c>
    </row>
    <row r="764">
      <c r="X764" s="88" t="str">
        <f t="array" ref="X764">_xlfn.XLOOKUP("Other",Stock1!A764,Stock1!I764,"")</f>
        <v/>
      </c>
      <c r="Y764" s="95" t="str">
        <f t="array" ref="Y764">_xlfn.XLOOKUP(X764,Stock1!I764,Stock1!F764,"")</f>
        <v/>
      </c>
      <c r="Z764" s="95" t="str">
        <f t="array" ref="Z764">_xlfn.XLOOKUP(X764,Stock1!I764,Stock1!J764,"")</f>
        <v/>
      </c>
      <c r="AA764" s="102" t="str">
        <f t="array" ref="AA764">_xlfn.XLOOKUP(Y764,DATAPremium!A:A,DATAPremium!C:C,"")</f>
        <v/>
      </c>
    </row>
    <row r="765">
      <c r="X765" s="88" t="str">
        <f t="array" ref="X765">_xlfn.XLOOKUP("Other",Stock1!A765,Stock1!I765,"")</f>
        <v/>
      </c>
      <c r="Y765" s="95" t="str">
        <f t="array" ref="Y765">_xlfn.XLOOKUP(X765,Stock1!I765,Stock1!F765,"")</f>
        <v/>
      </c>
      <c r="Z765" s="95" t="str">
        <f t="array" ref="Z765">_xlfn.XLOOKUP(X765,Stock1!I765,Stock1!J765,"")</f>
        <v/>
      </c>
      <c r="AA765" s="102" t="str">
        <f t="array" ref="AA765">_xlfn.XLOOKUP(Y765,DATAPremium!A:A,DATAPremium!C:C,"")</f>
        <v/>
      </c>
    </row>
    <row r="766">
      <c r="X766" s="88" t="str">
        <f t="array" ref="X766">_xlfn.XLOOKUP("Other",Stock1!A766,Stock1!I766,"")</f>
        <v/>
      </c>
      <c r="Y766" s="95" t="str">
        <f t="array" ref="Y766">_xlfn.XLOOKUP(X766,Stock1!I766,Stock1!F766,"")</f>
        <v/>
      </c>
      <c r="Z766" s="95" t="str">
        <f t="array" ref="Z766">_xlfn.XLOOKUP(X766,Stock1!I766,Stock1!J766,"")</f>
        <v/>
      </c>
      <c r="AA766" s="102" t="str">
        <f t="array" ref="AA766">_xlfn.XLOOKUP(Y766,DATAPremium!A:A,DATAPremium!C:C,"")</f>
        <v/>
      </c>
    </row>
    <row r="767">
      <c r="X767" s="88" t="str">
        <f t="array" ref="X767">_xlfn.XLOOKUP("Other",Stock1!A767,Stock1!I767,"")</f>
        <v/>
      </c>
      <c r="Y767" s="95" t="str">
        <f t="array" ref="Y767">_xlfn.XLOOKUP(X767,Stock1!I767,Stock1!F767,"")</f>
        <v/>
      </c>
      <c r="Z767" s="95" t="str">
        <f t="array" ref="Z767">_xlfn.XLOOKUP(X767,Stock1!I767,Stock1!J767,"")</f>
        <v/>
      </c>
      <c r="AA767" s="102" t="str">
        <f t="array" ref="AA767">_xlfn.XLOOKUP(Y767,DATAPremium!A:A,DATAPremium!C:C,"")</f>
        <v/>
      </c>
    </row>
    <row r="768">
      <c r="X768" s="88" t="str">
        <f t="array" ref="X768">_xlfn.XLOOKUP("Other",Stock1!A768,Stock1!I768,"")</f>
        <v/>
      </c>
      <c r="Y768" s="95" t="str">
        <f t="array" ref="Y768">_xlfn.XLOOKUP(X768,Stock1!I768,Stock1!F768,"")</f>
        <v/>
      </c>
      <c r="Z768" s="95" t="str">
        <f t="array" ref="Z768">_xlfn.XLOOKUP(X768,Stock1!I768,Stock1!J768,"")</f>
        <v/>
      </c>
      <c r="AA768" s="102" t="str">
        <f t="array" ref="AA768">_xlfn.XLOOKUP(Y768,DATAPremium!A:A,DATAPremium!C:C,"")</f>
        <v/>
      </c>
    </row>
    <row r="769">
      <c r="X769" s="88" t="str">
        <f t="array" ref="X769">_xlfn.XLOOKUP("Other",Stock1!A769,Stock1!I769,"")</f>
        <v/>
      </c>
      <c r="Y769" s="95" t="str">
        <f t="array" ref="Y769">_xlfn.XLOOKUP(X769,Stock1!I769,Stock1!F769,"")</f>
        <v/>
      </c>
      <c r="Z769" s="95" t="str">
        <f t="array" ref="Z769">_xlfn.XLOOKUP(X769,Stock1!I769,Stock1!J769,"")</f>
        <v/>
      </c>
      <c r="AA769" s="102" t="str">
        <f t="array" ref="AA769">_xlfn.XLOOKUP(Y769,DATAPremium!A:A,DATAPremium!C:C,"")</f>
        <v/>
      </c>
    </row>
    <row r="770">
      <c r="X770" s="88" t="str">
        <f t="array" ref="X770">_xlfn.XLOOKUP("Other",Stock1!A770,Stock1!I770,"")</f>
        <v/>
      </c>
      <c r="Y770" s="95" t="str">
        <f t="array" ref="Y770">_xlfn.XLOOKUP(X770,Stock1!I770,Stock1!F770,"")</f>
        <v/>
      </c>
      <c r="Z770" s="95" t="str">
        <f t="array" ref="Z770">_xlfn.XLOOKUP(X770,Stock1!I770,Stock1!J770,"")</f>
        <v/>
      </c>
      <c r="AA770" s="102" t="str">
        <f t="array" ref="AA770">_xlfn.XLOOKUP(Y770,DATAPremium!A:A,DATAPremium!C:C,"")</f>
        <v/>
      </c>
    </row>
    <row r="771">
      <c r="X771" s="88" t="str">
        <f t="array" ref="X771">_xlfn.XLOOKUP("Other",Stock1!A771,Stock1!I771,"")</f>
        <v/>
      </c>
      <c r="Y771" s="95" t="str">
        <f t="array" ref="Y771">_xlfn.XLOOKUP(X771,Stock1!I771,Stock1!F771,"")</f>
        <v/>
      </c>
      <c r="Z771" s="95" t="str">
        <f t="array" ref="Z771">_xlfn.XLOOKUP(X771,Stock1!I771,Stock1!J771,"")</f>
        <v/>
      </c>
      <c r="AA771" s="102" t="str">
        <f t="array" ref="AA771">_xlfn.XLOOKUP(Y771,DATAPremium!A:A,DATAPremium!C:C,"")</f>
        <v/>
      </c>
    </row>
    <row r="772">
      <c r="X772" s="88" t="str">
        <f t="array" ref="X772">_xlfn.XLOOKUP("Other",Stock1!A772,Stock1!I772,"")</f>
        <v/>
      </c>
      <c r="Y772" s="95" t="str">
        <f t="array" ref="Y772">_xlfn.XLOOKUP(X772,Stock1!I772,Stock1!F772,"")</f>
        <v/>
      </c>
      <c r="Z772" s="95" t="str">
        <f t="array" ref="Z772">_xlfn.XLOOKUP(X772,Stock1!I772,Stock1!J772,"")</f>
        <v/>
      </c>
      <c r="AA772" s="102" t="str">
        <f t="array" ref="AA772">_xlfn.XLOOKUP(Y772,DATAPremium!A:A,DATAPremium!C:C,"")</f>
        <v/>
      </c>
    </row>
    <row r="773">
      <c r="X773" s="88" t="str">
        <f t="array" ref="X773">_xlfn.XLOOKUP("Other",Stock1!A773,Stock1!I773,"")</f>
        <v/>
      </c>
      <c r="Y773" s="95" t="str">
        <f t="array" ref="Y773">_xlfn.XLOOKUP(X773,Stock1!I773,Stock1!F773,"")</f>
        <v/>
      </c>
      <c r="Z773" s="95" t="str">
        <f t="array" ref="Z773">_xlfn.XLOOKUP(X773,Stock1!I773,Stock1!J773,"")</f>
        <v/>
      </c>
      <c r="AA773" s="102" t="str">
        <f t="array" ref="AA773">_xlfn.XLOOKUP(Y773,DATAPremium!A:A,DATAPremium!C:C,"")</f>
        <v/>
      </c>
    </row>
    <row r="774">
      <c r="X774" s="88" t="str">
        <f t="array" ref="X774">_xlfn.XLOOKUP("Other",Stock1!A774,Stock1!I774,"")</f>
        <v/>
      </c>
      <c r="Y774" s="95" t="str">
        <f t="array" ref="Y774">_xlfn.XLOOKUP(X774,Stock1!I774,Stock1!F774,"")</f>
        <v/>
      </c>
      <c r="Z774" s="95" t="str">
        <f t="array" ref="Z774">_xlfn.XLOOKUP(X774,Stock1!I774,Stock1!J774,"")</f>
        <v/>
      </c>
      <c r="AA774" s="102" t="str">
        <f t="array" ref="AA774">_xlfn.XLOOKUP(Y774,DATAPremium!A:A,DATAPremium!C:C,"")</f>
        <v/>
      </c>
    </row>
    <row r="775">
      <c r="X775" s="88" t="str">
        <f t="array" ref="X775">_xlfn.XLOOKUP("Other",Stock1!A775,Stock1!I775,"")</f>
        <v/>
      </c>
      <c r="Y775" s="95" t="str">
        <f t="array" ref="Y775">_xlfn.XLOOKUP(X775,Stock1!I775,Stock1!F775,"")</f>
        <v/>
      </c>
      <c r="Z775" s="95" t="str">
        <f t="array" ref="Z775">_xlfn.XLOOKUP(X775,Stock1!I775,Stock1!J775,"")</f>
        <v/>
      </c>
      <c r="AA775" s="102" t="str">
        <f t="array" ref="AA775">_xlfn.XLOOKUP(Y775,DATAPremium!A:A,DATAPremium!C:C,"")</f>
        <v/>
      </c>
    </row>
    <row r="776">
      <c r="X776" s="88" t="str">
        <f t="array" ref="X776">_xlfn.XLOOKUP("Other",Stock1!A776,Stock1!I776,"")</f>
        <v/>
      </c>
      <c r="Y776" s="95" t="str">
        <f t="array" ref="Y776">_xlfn.XLOOKUP(X776,Stock1!I776,Stock1!F776,"")</f>
        <v/>
      </c>
      <c r="Z776" s="95" t="str">
        <f t="array" ref="Z776">_xlfn.XLOOKUP(X776,Stock1!I776,Stock1!J776,"")</f>
        <v/>
      </c>
      <c r="AA776" s="102" t="str">
        <f t="array" ref="AA776">_xlfn.XLOOKUP(Y776,DATAPremium!A:A,DATAPremium!C:C,"")</f>
        <v/>
      </c>
    </row>
    <row r="777">
      <c r="X777" s="88" t="str">
        <f t="array" ref="X777">_xlfn.XLOOKUP("Other",Stock1!A777,Stock1!I777,"")</f>
        <v/>
      </c>
      <c r="Y777" s="95" t="str">
        <f t="array" ref="Y777">_xlfn.XLOOKUP(X777,Stock1!I777,Stock1!F777,"")</f>
        <v/>
      </c>
      <c r="Z777" s="95" t="str">
        <f t="array" ref="Z777">_xlfn.XLOOKUP(X777,Stock1!I777,Stock1!J777,"")</f>
        <v/>
      </c>
      <c r="AA777" s="102" t="str">
        <f t="array" ref="AA777">_xlfn.XLOOKUP(Y777,DATAPremium!A:A,DATAPremium!C:C,"")</f>
        <v/>
      </c>
    </row>
    <row r="778">
      <c r="X778" s="88" t="str">
        <f t="array" ref="X778">_xlfn.XLOOKUP("Other",Stock1!A778,Stock1!I778,"")</f>
        <v/>
      </c>
      <c r="Y778" s="95" t="str">
        <f t="array" ref="Y778">_xlfn.XLOOKUP(X778,Stock1!I778,Stock1!F778,"")</f>
        <v/>
      </c>
      <c r="Z778" s="95" t="str">
        <f t="array" ref="Z778">_xlfn.XLOOKUP(X778,Stock1!I778,Stock1!J778,"")</f>
        <v/>
      </c>
      <c r="AA778" s="102" t="str">
        <f t="array" ref="AA778">_xlfn.XLOOKUP(Y778,DATAPremium!A:A,DATAPremium!C:C,"")</f>
        <v/>
      </c>
    </row>
    <row r="779">
      <c r="X779" s="88" t="str">
        <f t="array" ref="X779">_xlfn.XLOOKUP("Other",Stock1!A779,Stock1!I779,"")</f>
        <v/>
      </c>
      <c r="Y779" s="95" t="str">
        <f t="array" ref="Y779">_xlfn.XLOOKUP(X779,Stock1!I779,Stock1!F779,"")</f>
        <v/>
      </c>
      <c r="Z779" s="95" t="str">
        <f t="array" ref="Z779">_xlfn.XLOOKUP(X779,Stock1!I779,Stock1!J779,"")</f>
        <v/>
      </c>
      <c r="AA779" s="102" t="str">
        <f t="array" ref="AA779">_xlfn.XLOOKUP(Y779,DATAPremium!A:A,DATAPremium!C:C,"")</f>
        <v/>
      </c>
    </row>
    <row r="780">
      <c r="X780" s="88" t="str">
        <f t="array" ref="X780">_xlfn.XLOOKUP("Other",Stock1!A780,Stock1!I780,"")</f>
        <v/>
      </c>
      <c r="Y780" s="95" t="str">
        <f t="array" ref="Y780">_xlfn.XLOOKUP(X780,Stock1!I780,Stock1!F780,"")</f>
        <v/>
      </c>
      <c r="Z780" s="95" t="str">
        <f t="array" ref="Z780">_xlfn.XLOOKUP(X780,Stock1!I780,Stock1!J780,"")</f>
        <v/>
      </c>
      <c r="AA780" s="102" t="str">
        <f t="array" ref="AA780">_xlfn.XLOOKUP(Y780,DATAPremium!A:A,DATAPremium!C:C,"")</f>
        <v/>
      </c>
    </row>
    <row r="781">
      <c r="X781" s="88" t="str">
        <f t="array" ref="X781">_xlfn.XLOOKUP("Other",Stock1!A781,Stock1!I781,"")</f>
        <v/>
      </c>
      <c r="Y781" s="95" t="str">
        <f t="array" ref="Y781">_xlfn.XLOOKUP(X781,Stock1!I781,Stock1!F781,"")</f>
        <v/>
      </c>
      <c r="Z781" s="95" t="str">
        <f t="array" ref="Z781">_xlfn.XLOOKUP(X781,Stock1!I781,Stock1!J781,"")</f>
        <v/>
      </c>
      <c r="AA781" s="102" t="str">
        <f t="array" ref="AA781">_xlfn.XLOOKUP(Y781,DATAPremium!A:A,DATAPremium!C:C,"")</f>
        <v/>
      </c>
    </row>
    <row r="782">
      <c r="X782" s="88" t="str">
        <f t="array" ref="X782">_xlfn.XLOOKUP("Other",Stock1!A782,Stock1!I782,"")</f>
        <v/>
      </c>
      <c r="Y782" s="95" t="str">
        <f t="array" ref="Y782">_xlfn.XLOOKUP(X782,Stock1!I782,Stock1!F782,"")</f>
        <v/>
      </c>
      <c r="Z782" s="95" t="str">
        <f t="array" ref="Z782">_xlfn.XLOOKUP(X782,Stock1!I782,Stock1!J782,"")</f>
        <v/>
      </c>
      <c r="AA782" s="102" t="str">
        <f t="array" ref="AA782">_xlfn.XLOOKUP(Y782,DATAPremium!A:A,DATAPremium!C:C,"")</f>
        <v/>
      </c>
    </row>
    <row r="783">
      <c r="X783" s="88" t="str">
        <f t="array" ref="X783">_xlfn.XLOOKUP("Other",Stock1!A783,Stock1!I783,"")</f>
        <v/>
      </c>
      <c r="Y783" s="95" t="str">
        <f t="array" ref="Y783">_xlfn.XLOOKUP(X783,Stock1!I783,Stock1!F783,"")</f>
        <v/>
      </c>
      <c r="Z783" s="95" t="str">
        <f t="array" ref="Z783">_xlfn.XLOOKUP(X783,Stock1!I783,Stock1!J783,"")</f>
        <v/>
      </c>
      <c r="AA783" s="102" t="str">
        <f t="array" ref="AA783">_xlfn.XLOOKUP(Y783,DATAPremium!A:A,DATAPremium!C:C,"")</f>
        <v/>
      </c>
    </row>
    <row r="784">
      <c r="X784" s="88" t="str">
        <f t="array" ref="X784">_xlfn.XLOOKUP("Other",Stock1!A784,Stock1!I784,"")</f>
        <v/>
      </c>
      <c r="Y784" s="95" t="str">
        <f t="array" ref="Y784">_xlfn.XLOOKUP(X784,Stock1!I784,Stock1!F784,"")</f>
        <v/>
      </c>
      <c r="Z784" s="95" t="str">
        <f t="array" ref="Z784">_xlfn.XLOOKUP(X784,Stock1!I784,Stock1!J784,"")</f>
        <v/>
      </c>
      <c r="AA784" s="102" t="str">
        <f t="array" ref="AA784">_xlfn.XLOOKUP(Y784,DATAPremium!A:A,DATAPremium!C:C,"")</f>
        <v/>
      </c>
    </row>
    <row r="785">
      <c r="X785" s="88" t="str">
        <f t="array" ref="X785">_xlfn.XLOOKUP("Other",Stock1!A785,Stock1!I785,"")</f>
        <v/>
      </c>
      <c r="Y785" s="95" t="str">
        <f t="array" ref="Y785">_xlfn.XLOOKUP(X785,Stock1!I785,Stock1!F785,"")</f>
        <v/>
      </c>
      <c r="Z785" s="95" t="str">
        <f t="array" ref="Z785">_xlfn.XLOOKUP(X785,Stock1!I785,Stock1!J785,"")</f>
        <v/>
      </c>
      <c r="AA785" s="102" t="str">
        <f t="array" ref="AA785">_xlfn.XLOOKUP(Y785,DATAPremium!A:A,DATAPremium!C:C,"")</f>
        <v/>
      </c>
    </row>
    <row r="786">
      <c r="X786" s="88" t="str">
        <f t="array" ref="X786">_xlfn.XLOOKUP("Other",Stock1!A786,Stock1!I786,"")</f>
        <v/>
      </c>
      <c r="Y786" s="95" t="str">
        <f t="array" ref="Y786">_xlfn.XLOOKUP(X786,Stock1!I786,Stock1!F786,"")</f>
        <v/>
      </c>
      <c r="Z786" s="95" t="str">
        <f t="array" ref="Z786">_xlfn.XLOOKUP(X786,Stock1!I786,Stock1!J786,"")</f>
        <v/>
      </c>
      <c r="AA786" s="102" t="str">
        <f t="array" ref="AA786">_xlfn.XLOOKUP(Y786,DATAPremium!A:A,DATAPremium!C:C,"")</f>
        <v/>
      </c>
    </row>
    <row r="787">
      <c r="X787" s="88" t="str">
        <f t="array" ref="X787">_xlfn.XLOOKUP("Other",Stock1!A787,Stock1!I787,"")</f>
        <v/>
      </c>
      <c r="Y787" s="95" t="str">
        <f t="array" ref="Y787">_xlfn.XLOOKUP(X787,Stock1!I787,Stock1!F787,"")</f>
        <v/>
      </c>
      <c r="Z787" s="95" t="str">
        <f t="array" ref="Z787">_xlfn.XLOOKUP(X787,Stock1!I787,Stock1!J787,"")</f>
        <v/>
      </c>
      <c r="AA787" s="102" t="str">
        <f t="array" ref="AA787">_xlfn.XLOOKUP(Y787,DATAPremium!A:A,DATAPremium!C:C,"")</f>
        <v/>
      </c>
    </row>
    <row r="788">
      <c r="X788" s="88" t="str">
        <f t="array" ref="X788">_xlfn.XLOOKUP("Other",Stock1!A788,Stock1!I788,"")</f>
        <v/>
      </c>
      <c r="Y788" s="95" t="str">
        <f t="array" ref="Y788">_xlfn.XLOOKUP(X788,Stock1!I788,Stock1!F788,"")</f>
        <v/>
      </c>
      <c r="Z788" s="95" t="str">
        <f t="array" ref="Z788">_xlfn.XLOOKUP(X788,Stock1!I788,Stock1!J788,"")</f>
        <v/>
      </c>
      <c r="AA788" s="102" t="str">
        <f t="array" ref="AA788">_xlfn.XLOOKUP(Y788,DATAPremium!A:A,DATAPremium!C:C,"")</f>
        <v/>
      </c>
    </row>
    <row r="789">
      <c r="X789" s="88" t="str">
        <f t="array" ref="X789">_xlfn.XLOOKUP("Other",Stock1!A789,Stock1!I789,"")</f>
        <v/>
      </c>
      <c r="Y789" s="95" t="str">
        <f t="array" ref="Y789">_xlfn.XLOOKUP(X789,Stock1!I789,Stock1!F789,"")</f>
        <v/>
      </c>
      <c r="Z789" s="95" t="str">
        <f t="array" ref="Z789">_xlfn.XLOOKUP(X789,Stock1!I789,Stock1!J789,"")</f>
        <v/>
      </c>
      <c r="AA789" s="102" t="str">
        <f t="array" ref="AA789">_xlfn.XLOOKUP(Y789,DATAPremium!A:A,DATAPremium!C:C,"")</f>
        <v/>
      </c>
    </row>
    <row r="790">
      <c r="X790" s="88" t="str">
        <f t="array" ref="X790">_xlfn.XLOOKUP("Other",Stock1!A790,Stock1!I790,"")</f>
        <v/>
      </c>
      <c r="Y790" s="95" t="str">
        <f t="array" ref="Y790">_xlfn.XLOOKUP(X790,Stock1!I790,Stock1!F790,"")</f>
        <v/>
      </c>
      <c r="Z790" s="95" t="str">
        <f t="array" ref="Z790">_xlfn.XLOOKUP(X790,Stock1!I790,Stock1!J790,"")</f>
        <v/>
      </c>
      <c r="AA790" s="102" t="str">
        <f t="array" ref="AA790">_xlfn.XLOOKUP(Y790,DATAPremium!A:A,DATAPremium!C:C,"")</f>
        <v/>
      </c>
    </row>
    <row r="791">
      <c r="X791" s="88" t="str">
        <f t="array" ref="X791">_xlfn.XLOOKUP("Other",Stock1!A791,Stock1!I791,"")</f>
        <v/>
      </c>
      <c r="Y791" s="95" t="str">
        <f t="array" ref="Y791">_xlfn.XLOOKUP(X791,Stock1!I791,Stock1!F791,"")</f>
        <v/>
      </c>
      <c r="Z791" s="95" t="str">
        <f t="array" ref="Z791">_xlfn.XLOOKUP(X791,Stock1!I791,Stock1!J791,"")</f>
        <v/>
      </c>
      <c r="AA791" s="102" t="str">
        <f t="array" ref="AA791">_xlfn.XLOOKUP(Y791,DATAPremium!A:A,DATAPremium!C:C,"")</f>
        <v/>
      </c>
    </row>
    <row r="792">
      <c r="X792" s="88" t="str">
        <f t="array" ref="X792">_xlfn.XLOOKUP("Other",Stock1!A792,Stock1!I792,"")</f>
        <v/>
      </c>
      <c r="Y792" s="95" t="str">
        <f t="array" ref="Y792">_xlfn.XLOOKUP(X792,Stock1!I792,Stock1!F792,"")</f>
        <v/>
      </c>
      <c r="Z792" s="95" t="str">
        <f t="array" ref="Z792">_xlfn.XLOOKUP(X792,Stock1!I792,Stock1!J792,"")</f>
        <v/>
      </c>
      <c r="AA792" s="102" t="str">
        <f t="array" ref="AA792">_xlfn.XLOOKUP(Y792,DATAPremium!A:A,DATAPremium!C:C,"")</f>
        <v/>
      </c>
    </row>
    <row r="793">
      <c r="X793" s="88" t="str">
        <f t="array" ref="X793">_xlfn.XLOOKUP("Other",Stock1!A793,Stock1!I793,"")</f>
        <v/>
      </c>
      <c r="Y793" s="95" t="str">
        <f t="array" ref="Y793">_xlfn.XLOOKUP(X793,Stock1!I793,Stock1!F793,"")</f>
        <v/>
      </c>
      <c r="Z793" s="95" t="str">
        <f t="array" ref="Z793">_xlfn.XLOOKUP(X793,Stock1!I793,Stock1!J793,"")</f>
        <v/>
      </c>
      <c r="AA793" s="102" t="str">
        <f t="array" ref="AA793">_xlfn.XLOOKUP(Y793,DATAPremium!A:A,DATAPremium!C:C,"")</f>
        <v/>
      </c>
    </row>
    <row r="794">
      <c r="X794" s="88" t="str">
        <f t="array" ref="X794">_xlfn.XLOOKUP("Other",Stock1!A794,Stock1!I794,"")</f>
        <v/>
      </c>
      <c r="Y794" s="95" t="str">
        <f t="array" ref="Y794">_xlfn.XLOOKUP(X794,Stock1!I794,Stock1!F794,"")</f>
        <v/>
      </c>
      <c r="Z794" s="95" t="str">
        <f t="array" ref="Z794">_xlfn.XLOOKUP(X794,Stock1!I794,Stock1!J794,"")</f>
        <v/>
      </c>
      <c r="AA794" s="102" t="str">
        <f t="array" ref="AA794">_xlfn.XLOOKUP(Y794,DATAPremium!A:A,DATAPremium!C:C,"")</f>
        <v/>
      </c>
    </row>
    <row r="795">
      <c r="X795" s="88" t="str">
        <f t="array" ref="X795">_xlfn.XLOOKUP("Other",Stock1!A795,Stock1!I795,"")</f>
        <v/>
      </c>
      <c r="Y795" s="95" t="str">
        <f t="array" ref="Y795">_xlfn.XLOOKUP(X795,Stock1!I795,Stock1!F795,"")</f>
        <v/>
      </c>
      <c r="Z795" s="95" t="str">
        <f t="array" ref="Z795">_xlfn.XLOOKUP(X795,Stock1!I795,Stock1!J795,"")</f>
        <v/>
      </c>
      <c r="AA795" s="102" t="str">
        <f t="array" ref="AA795">_xlfn.XLOOKUP(Y795,DATAPremium!A:A,DATAPremium!C:C,"")</f>
        <v/>
      </c>
    </row>
    <row r="796">
      <c r="X796" s="88" t="str">
        <f t="array" ref="X796">_xlfn.XLOOKUP("Other",Stock1!A796,Stock1!I796,"")</f>
        <v/>
      </c>
      <c r="Y796" s="95" t="str">
        <f t="array" ref="Y796">_xlfn.XLOOKUP(X796,Stock1!I796,Stock1!F796,"")</f>
        <v/>
      </c>
      <c r="Z796" s="95" t="str">
        <f t="array" ref="Z796">_xlfn.XLOOKUP(X796,Stock1!I796,Stock1!J796,"")</f>
        <v/>
      </c>
      <c r="AA796" s="102" t="str">
        <f t="array" ref="AA796">_xlfn.XLOOKUP(Y796,DATAPremium!A:A,DATAPremium!C:C,"")</f>
        <v/>
      </c>
    </row>
    <row r="797">
      <c r="X797" s="88" t="str">
        <f t="array" ref="X797">_xlfn.XLOOKUP("Other",Stock1!A797,Stock1!I797,"")</f>
        <v/>
      </c>
      <c r="Y797" s="95" t="str">
        <f t="array" ref="Y797">_xlfn.XLOOKUP(X797,Stock1!I797,Stock1!F797,"")</f>
        <v/>
      </c>
      <c r="Z797" s="95" t="str">
        <f t="array" ref="Z797">_xlfn.XLOOKUP(X797,Stock1!I797,Stock1!J797,"")</f>
        <v/>
      </c>
      <c r="AA797" s="102" t="str">
        <f t="array" ref="AA797">_xlfn.XLOOKUP(Y797,DATAPremium!A:A,DATAPremium!C:C,"")</f>
        <v/>
      </c>
    </row>
    <row r="798">
      <c r="X798" s="88" t="str">
        <f t="array" ref="X798">_xlfn.XLOOKUP("Other",Stock1!A798,Stock1!I798,"")</f>
        <v/>
      </c>
      <c r="Y798" s="95" t="str">
        <f t="array" ref="Y798">_xlfn.XLOOKUP(X798,Stock1!I798,Stock1!F798,"")</f>
        <v/>
      </c>
      <c r="Z798" s="95" t="str">
        <f t="array" ref="Z798">_xlfn.XLOOKUP(X798,Stock1!I798,Stock1!J798,"")</f>
        <v/>
      </c>
      <c r="AA798" s="102" t="str">
        <f t="array" ref="AA798">_xlfn.XLOOKUP(Y798,DATAPremium!A:A,DATAPremium!C:C,"")</f>
        <v/>
      </c>
    </row>
    <row r="799">
      <c r="X799" s="88" t="str">
        <f t="array" ref="X799">_xlfn.XLOOKUP("Other",Stock1!A799,Stock1!I799,"")</f>
        <v/>
      </c>
      <c r="Y799" s="95" t="str">
        <f t="array" ref="Y799">_xlfn.XLOOKUP(X799,Stock1!I799,Stock1!F799,"")</f>
        <v/>
      </c>
      <c r="Z799" s="95" t="str">
        <f t="array" ref="Z799">_xlfn.XLOOKUP(X799,Stock1!I799,Stock1!J799,"")</f>
        <v/>
      </c>
      <c r="AA799" s="102" t="str">
        <f t="array" ref="AA799">_xlfn.XLOOKUP(Y799,DATAPremium!A:A,DATAPremium!C:C,"")</f>
        <v/>
      </c>
    </row>
    <row r="800">
      <c r="X800" s="88" t="str">
        <f t="array" ref="X800">_xlfn.XLOOKUP("Other",Stock1!A800,Stock1!I800,"")</f>
        <v/>
      </c>
      <c r="Y800" s="95" t="str">
        <f t="array" ref="Y800">_xlfn.XLOOKUP(X800,Stock1!I800,Stock1!F800,"")</f>
        <v/>
      </c>
      <c r="Z800" s="95" t="str">
        <f t="array" ref="Z800">_xlfn.XLOOKUP(X800,Stock1!I800,Stock1!J800,"")</f>
        <v/>
      </c>
      <c r="AA800" s="102" t="str">
        <f t="array" ref="AA800">_xlfn.XLOOKUP(Y800,DATAPremium!A:A,DATAPremium!C:C,"")</f>
        <v/>
      </c>
    </row>
    <row r="801">
      <c r="X801" s="88" t="str">
        <f t="array" ref="X801">_xlfn.XLOOKUP("Other",Stock1!A801,Stock1!I801,"")</f>
        <v/>
      </c>
      <c r="Y801" s="95" t="str">
        <f t="array" ref="Y801">_xlfn.XLOOKUP(X801,Stock1!I801,Stock1!F801,"")</f>
        <v/>
      </c>
      <c r="Z801" s="95" t="str">
        <f t="array" ref="Z801">_xlfn.XLOOKUP(X801,Stock1!I801,Stock1!J801,"")</f>
        <v/>
      </c>
      <c r="AA801" s="102" t="str">
        <f t="array" ref="AA801">_xlfn.XLOOKUP(Y801,DATAPremium!A:A,DATAPremium!C:C,"")</f>
        <v/>
      </c>
    </row>
    <row r="802">
      <c r="X802" s="88" t="str">
        <f t="array" ref="X802">_xlfn.XLOOKUP("Other",Stock1!A802,Stock1!I802,"")</f>
        <v/>
      </c>
      <c r="Y802" s="95" t="str">
        <f t="array" ref="Y802">_xlfn.XLOOKUP(X802,Stock1!I802,Stock1!F802,"")</f>
        <v/>
      </c>
      <c r="Z802" s="95" t="str">
        <f t="array" ref="Z802">_xlfn.XLOOKUP(X802,Stock1!I802,Stock1!J802,"")</f>
        <v/>
      </c>
      <c r="AA802" s="102" t="str">
        <f t="array" ref="AA802">_xlfn.XLOOKUP(Y802,DATAPremium!A:A,DATAPremium!C:C,"")</f>
        <v/>
      </c>
    </row>
    <row r="803">
      <c r="X803" s="88" t="str">
        <f t="array" ref="X803">_xlfn.XLOOKUP("Other",Stock1!A803,Stock1!I803,"")</f>
        <v/>
      </c>
      <c r="Y803" s="95" t="str">
        <f t="array" ref="Y803">_xlfn.XLOOKUP(X803,Stock1!I803,Stock1!F803,"")</f>
        <v/>
      </c>
      <c r="Z803" s="95" t="str">
        <f t="array" ref="Z803">_xlfn.XLOOKUP(X803,Stock1!I803,Stock1!J803,"")</f>
        <v/>
      </c>
      <c r="AA803" s="102" t="str">
        <f t="array" ref="AA803">_xlfn.XLOOKUP(Y803,DATAPremium!A:A,DATAPremium!C:C,"")</f>
        <v/>
      </c>
    </row>
    <row r="804">
      <c r="X804" s="88" t="str">
        <f t="array" ref="X804">_xlfn.XLOOKUP("Other",Stock1!A804,Stock1!I804,"")</f>
        <v/>
      </c>
      <c r="Y804" s="95" t="str">
        <f t="array" ref="Y804">_xlfn.XLOOKUP(X804,Stock1!I804,Stock1!F804,"")</f>
        <v/>
      </c>
      <c r="Z804" s="95" t="str">
        <f t="array" ref="Z804">_xlfn.XLOOKUP(X804,Stock1!I804,Stock1!J804,"")</f>
        <v/>
      </c>
      <c r="AA804" s="102" t="str">
        <f t="array" ref="AA804">_xlfn.XLOOKUP(Y804,DATAPremium!A:A,DATAPremium!C:C,"")</f>
        <v/>
      </c>
    </row>
    <row r="805">
      <c r="X805" s="88" t="str">
        <f t="array" ref="X805">_xlfn.XLOOKUP("Other",Stock1!A805,Stock1!I805,"")</f>
        <v/>
      </c>
      <c r="Y805" s="95" t="str">
        <f t="array" ref="Y805">_xlfn.XLOOKUP(X805,Stock1!I805,Stock1!F805,"")</f>
        <v/>
      </c>
      <c r="Z805" s="95" t="str">
        <f t="array" ref="Z805">_xlfn.XLOOKUP(X805,Stock1!I805,Stock1!J805,"")</f>
        <v/>
      </c>
      <c r="AA805" s="102" t="str">
        <f t="array" ref="AA805">_xlfn.XLOOKUP(Y805,DATAPremium!A:A,DATAPremium!C:C,"")</f>
        <v/>
      </c>
    </row>
    <row r="806">
      <c r="X806" s="88" t="str">
        <f t="array" ref="X806">_xlfn.XLOOKUP("Other",Stock1!A806,Stock1!I806,"")</f>
        <v/>
      </c>
      <c r="Y806" s="95" t="str">
        <f t="array" ref="Y806">_xlfn.XLOOKUP(X806,Stock1!I806,Stock1!F806,"")</f>
        <v/>
      </c>
      <c r="Z806" s="95" t="str">
        <f t="array" ref="Z806">_xlfn.XLOOKUP(X806,Stock1!I806,Stock1!J806,"")</f>
        <v/>
      </c>
      <c r="AA806" s="102" t="str">
        <f t="array" ref="AA806">_xlfn.XLOOKUP(Y806,DATAPremium!A:A,DATAPremium!C:C,"")</f>
        <v/>
      </c>
    </row>
    <row r="807">
      <c r="X807" s="88" t="str">
        <f t="array" ref="X807">_xlfn.XLOOKUP("Other",Stock1!A807,Stock1!I807,"")</f>
        <v/>
      </c>
      <c r="Y807" s="95" t="str">
        <f t="array" ref="Y807">_xlfn.XLOOKUP(X807,Stock1!I807,Stock1!F807,"")</f>
        <v/>
      </c>
      <c r="Z807" s="95" t="str">
        <f t="array" ref="Z807">_xlfn.XLOOKUP(X807,Stock1!I807,Stock1!J807,"")</f>
        <v/>
      </c>
      <c r="AA807" s="102" t="str">
        <f t="array" ref="AA807">_xlfn.XLOOKUP(Y807,DATAPremium!A:A,DATAPremium!C:C,"")</f>
        <v/>
      </c>
    </row>
    <row r="808">
      <c r="X808" s="88" t="str">
        <f t="array" ref="X808">_xlfn.XLOOKUP("Other",Stock1!A808,Stock1!I808,"")</f>
        <v/>
      </c>
      <c r="Y808" s="95" t="str">
        <f t="array" ref="Y808">_xlfn.XLOOKUP(X808,Stock1!I808,Stock1!F808,"")</f>
        <v/>
      </c>
      <c r="Z808" s="95" t="str">
        <f t="array" ref="Z808">_xlfn.XLOOKUP(X808,Stock1!I808,Stock1!J808,"")</f>
        <v/>
      </c>
      <c r="AA808" s="102" t="str">
        <f t="array" ref="AA808">_xlfn.XLOOKUP(Y808,DATAPremium!A:A,DATAPremium!C:C,"")</f>
        <v/>
      </c>
    </row>
    <row r="809">
      <c r="X809" s="88" t="str">
        <f t="array" ref="X809">_xlfn.XLOOKUP("Other",Stock1!A809,Stock1!I809,"")</f>
        <v/>
      </c>
      <c r="Y809" s="95" t="str">
        <f t="array" ref="Y809">_xlfn.XLOOKUP(X809,Stock1!I809,Stock1!F809,"")</f>
        <v/>
      </c>
      <c r="Z809" s="95" t="str">
        <f t="array" ref="Z809">_xlfn.XLOOKUP(X809,Stock1!I809,Stock1!J809,"")</f>
        <v/>
      </c>
      <c r="AA809" s="102" t="str">
        <f t="array" ref="AA809">_xlfn.XLOOKUP(Y809,DATAPremium!A:A,DATAPremium!C:C,"")</f>
        <v/>
      </c>
    </row>
    <row r="810">
      <c r="X810" s="88" t="str">
        <f t="array" ref="X810">_xlfn.XLOOKUP("Other",Stock1!A810,Stock1!I810,"")</f>
        <v/>
      </c>
      <c r="Y810" s="95" t="str">
        <f t="array" ref="Y810">_xlfn.XLOOKUP(X810,Stock1!I810,Stock1!F810,"")</f>
        <v/>
      </c>
      <c r="Z810" s="95" t="str">
        <f t="array" ref="Z810">_xlfn.XLOOKUP(X810,Stock1!I810,Stock1!J810,"")</f>
        <v/>
      </c>
      <c r="AA810" s="102" t="str">
        <f t="array" ref="AA810">_xlfn.XLOOKUP(Y810,DATAPremium!A:A,DATAPremium!C:C,"")</f>
        <v/>
      </c>
    </row>
    <row r="811">
      <c r="X811" s="88" t="str">
        <f t="array" ref="X811">_xlfn.XLOOKUP("Other",Stock1!A811,Stock1!I811,"")</f>
        <v/>
      </c>
      <c r="Y811" s="95" t="str">
        <f t="array" ref="Y811">_xlfn.XLOOKUP(X811,Stock1!I811,Stock1!F811,"")</f>
        <v/>
      </c>
      <c r="Z811" s="95" t="str">
        <f t="array" ref="Z811">_xlfn.XLOOKUP(X811,Stock1!I811,Stock1!J811,"")</f>
        <v/>
      </c>
      <c r="AA811" s="102" t="str">
        <f t="array" ref="AA811">_xlfn.XLOOKUP(Y811,DATAPremium!A:A,DATAPremium!C:C,"")</f>
        <v/>
      </c>
    </row>
    <row r="812">
      <c r="X812" s="88" t="str">
        <f t="array" ref="X812">_xlfn.XLOOKUP("Other",Stock1!A812,Stock1!I812,"")</f>
        <v/>
      </c>
      <c r="Y812" s="95" t="str">
        <f t="array" ref="Y812">_xlfn.XLOOKUP(X812,Stock1!I812,Stock1!F812,"")</f>
        <v/>
      </c>
      <c r="Z812" s="95" t="str">
        <f t="array" ref="Z812">_xlfn.XLOOKUP(X812,Stock1!I812,Stock1!J812,"")</f>
        <v/>
      </c>
      <c r="AA812" s="102" t="str">
        <f t="array" ref="AA812">_xlfn.XLOOKUP(Y812,DATAPremium!A:A,DATAPremium!C:C,"")</f>
        <v/>
      </c>
    </row>
    <row r="813">
      <c r="X813" s="88" t="str">
        <f t="array" ref="X813">_xlfn.XLOOKUP("Other",Stock1!A813,Stock1!I813,"")</f>
        <v/>
      </c>
      <c r="Y813" s="95" t="str">
        <f t="array" ref="Y813">_xlfn.XLOOKUP(X813,Stock1!I813,Stock1!F813,"")</f>
        <v/>
      </c>
      <c r="Z813" s="95" t="str">
        <f t="array" ref="Z813">_xlfn.XLOOKUP(X813,Stock1!I813,Stock1!J813,"")</f>
        <v/>
      </c>
      <c r="AA813" s="102" t="str">
        <f t="array" ref="AA813">_xlfn.XLOOKUP(Y813,DATAPremium!A:A,DATAPremium!C:C,"")</f>
        <v/>
      </c>
    </row>
    <row r="814">
      <c r="X814" s="88" t="str">
        <f t="array" ref="X814">_xlfn.XLOOKUP("Other",Stock1!A814,Stock1!I814,"")</f>
        <v/>
      </c>
      <c r="Y814" s="95" t="str">
        <f t="array" ref="Y814">_xlfn.XLOOKUP(X814,Stock1!I814,Stock1!F814,"")</f>
        <v/>
      </c>
      <c r="Z814" s="95" t="str">
        <f t="array" ref="Z814">_xlfn.XLOOKUP(X814,Stock1!I814,Stock1!J814,"")</f>
        <v/>
      </c>
      <c r="AA814" s="102" t="str">
        <f t="array" ref="AA814">_xlfn.XLOOKUP(Y814,DATAPremium!A:A,DATAPremium!C:C,"")</f>
        <v/>
      </c>
    </row>
    <row r="815">
      <c r="X815" s="88" t="str">
        <f t="array" ref="X815">_xlfn.XLOOKUP("Other",Stock1!A815,Stock1!I815,"")</f>
        <v/>
      </c>
      <c r="Y815" s="95" t="str">
        <f t="array" ref="Y815">_xlfn.XLOOKUP(X815,Stock1!I815,Stock1!F815,"")</f>
        <v/>
      </c>
      <c r="Z815" s="95" t="str">
        <f t="array" ref="Z815">_xlfn.XLOOKUP(X815,Stock1!I815,Stock1!J815,"")</f>
        <v/>
      </c>
      <c r="AA815" s="102" t="str">
        <f t="array" ref="AA815">_xlfn.XLOOKUP(Y815,DATAPremium!A:A,DATAPremium!C:C,"")</f>
        <v/>
      </c>
    </row>
    <row r="816">
      <c r="X816" s="88" t="str">
        <f t="array" ref="X816">_xlfn.XLOOKUP("Other",Stock1!A816,Stock1!I816,"")</f>
        <v/>
      </c>
      <c r="Y816" s="95" t="str">
        <f t="array" ref="Y816">_xlfn.XLOOKUP(X816,Stock1!I816,Stock1!F816,"")</f>
        <v/>
      </c>
      <c r="Z816" s="95" t="str">
        <f t="array" ref="Z816">_xlfn.XLOOKUP(X816,Stock1!I816,Stock1!J816,"")</f>
        <v/>
      </c>
      <c r="AA816" s="102" t="str">
        <f t="array" ref="AA816">_xlfn.XLOOKUP(Y816,DATAPremium!A:A,DATAPremium!C:C,"")</f>
        <v/>
      </c>
    </row>
    <row r="817">
      <c r="X817" s="88" t="str">
        <f t="array" ref="X817">_xlfn.XLOOKUP("Other",Stock1!A817,Stock1!I817,"")</f>
        <v/>
      </c>
      <c r="Y817" s="95" t="str">
        <f t="array" ref="Y817">_xlfn.XLOOKUP(X817,Stock1!I817,Stock1!F817,"")</f>
        <v/>
      </c>
      <c r="Z817" s="95" t="str">
        <f t="array" ref="Z817">_xlfn.XLOOKUP(X817,Stock1!I817,Stock1!J817,"")</f>
        <v/>
      </c>
      <c r="AA817" s="102" t="str">
        <f t="array" ref="AA817">_xlfn.XLOOKUP(Y817,DATAPremium!A:A,DATAPremium!C:C,"")</f>
        <v/>
      </c>
    </row>
    <row r="818">
      <c r="X818" s="88" t="str">
        <f t="array" ref="X818">_xlfn.XLOOKUP("Other",Stock1!A818,Stock1!I818,"")</f>
        <v/>
      </c>
      <c r="Y818" s="95" t="str">
        <f t="array" ref="Y818">_xlfn.XLOOKUP(X818,Stock1!I818,Stock1!F818,"")</f>
        <v/>
      </c>
      <c r="Z818" s="95" t="str">
        <f t="array" ref="Z818">_xlfn.XLOOKUP(X818,Stock1!I818,Stock1!J818,"")</f>
        <v/>
      </c>
      <c r="AA818" s="102" t="str">
        <f t="array" ref="AA818">_xlfn.XLOOKUP(Y818,DATAPremium!A:A,DATAPremium!C:C,"")</f>
        <v/>
      </c>
    </row>
    <row r="819">
      <c r="X819" s="88" t="str">
        <f t="array" ref="X819">_xlfn.XLOOKUP("Other",Stock1!A819,Stock1!I819,"")</f>
        <v/>
      </c>
      <c r="Y819" s="95" t="str">
        <f t="array" ref="Y819">_xlfn.XLOOKUP(X819,Stock1!I819,Stock1!F819,"")</f>
        <v/>
      </c>
      <c r="Z819" s="95" t="str">
        <f t="array" ref="Z819">_xlfn.XLOOKUP(X819,Stock1!I819,Stock1!J819,"")</f>
        <v/>
      </c>
      <c r="AA819" s="102" t="str">
        <f t="array" ref="AA819">_xlfn.XLOOKUP(Y819,DATAPremium!A:A,DATAPremium!C:C,"")</f>
        <v/>
      </c>
    </row>
    <row r="820">
      <c r="X820" s="88" t="str">
        <f t="array" ref="X820">_xlfn.XLOOKUP("Other",Stock1!A820,Stock1!I820,"")</f>
        <v/>
      </c>
      <c r="Y820" s="95" t="str">
        <f t="array" ref="Y820">_xlfn.XLOOKUP(X820,Stock1!I820,Stock1!F820,"")</f>
        <v/>
      </c>
      <c r="Z820" s="95" t="str">
        <f t="array" ref="Z820">_xlfn.XLOOKUP(X820,Stock1!I820,Stock1!J820,"")</f>
        <v/>
      </c>
      <c r="AA820" s="102" t="str">
        <f t="array" ref="AA820">_xlfn.XLOOKUP(Y820,DATAPremium!A:A,DATAPremium!C:C,"")</f>
        <v/>
      </c>
    </row>
    <row r="821">
      <c r="X821" s="88" t="str">
        <f t="array" ref="X821">_xlfn.XLOOKUP("Other",Stock1!A821,Stock1!I821,"")</f>
        <v/>
      </c>
      <c r="Y821" s="95" t="str">
        <f t="array" ref="Y821">_xlfn.XLOOKUP(X821,Stock1!I821,Stock1!F821,"")</f>
        <v/>
      </c>
      <c r="Z821" s="95" t="str">
        <f t="array" ref="Z821">_xlfn.XLOOKUP(X821,Stock1!I821,Stock1!J821,"")</f>
        <v/>
      </c>
      <c r="AA821" s="102" t="str">
        <f t="array" ref="AA821">_xlfn.XLOOKUP(Y821,DATAPremium!A:A,DATAPremium!C:C,"")</f>
        <v/>
      </c>
    </row>
    <row r="822">
      <c r="X822" s="88" t="str">
        <f t="array" ref="X822">_xlfn.XLOOKUP("Other",Stock1!A822,Stock1!I822,"")</f>
        <v/>
      </c>
      <c r="Y822" s="95" t="str">
        <f t="array" ref="Y822">_xlfn.XLOOKUP(X822,Stock1!I822,Stock1!F822,"")</f>
        <v/>
      </c>
      <c r="Z822" s="95" t="str">
        <f t="array" ref="Z822">_xlfn.XLOOKUP(X822,Stock1!I822,Stock1!J822,"")</f>
        <v/>
      </c>
      <c r="AA822" s="102" t="str">
        <f t="array" ref="AA822">_xlfn.XLOOKUP(Y822,DATAPremium!A:A,DATAPremium!C:C,"")</f>
        <v/>
      </c>
    </row>
    <row r="823">
      <c r="X823" s="88" t="str">
        <f t="array" ref="X823">_xlfn.XLOOKUP("Other",Stock1!A823,Stock1!I823,"")</f>
        <v/>
      </c>
      <c r="Y823" s="95" t="str">
        <f t="array" ref="Y823">_xlfn.XLOOKUP(X823,Stock1!I823,Stock1!F823,"")</f>
        <v/>
      </c>
      <c r="Z823" s="95" t="str">
        <f t="array" ref="Z823">_xlfn.XLOOKUP(X823,Stock1!I823,Stock1!J823,"")</f>
        <v/>
      </c>
      <c r="AA823" s="102" t="str">
        <f t="array" ref="AA823">_xlfn.XLOOKUP(Y823,DATAPremium!A:A,DATAPremium!C:C,"")</f>
        <v/>
      </c>
    </row>
    <row r="824">
      <c r="X824" s="88" t="str">
        <f t="array" ref="X824">_xlfn.XLOOKUP("Other",Stock1!A824,Stock1!I824,"")</f>
        <v/>
      </c>
      <c r="Y824" s="95" t="str">
        <f t="array" ref="Y824">_xlfn.XLOOKUP(X824,Stock1!I824,Stock1!F824,"")</f>
        <v/>
      </c>
      <c r="Z824" s="95" t="str">
        <f t="array" ref="Z824">_xlfn.XLOOKUP(X824,Stock1!I824,Stock1!J824,"")</f>
        <v/>
      </c>
      <c r="AA824" s="102" t="str">
        <f t="array" ref="AA824">_xlfn.XLOOKUP(Y824,DATAPremium!A:A,DATAPremium!C:C,"")</f>
        <v/>
      </c>
    </row>
    <row r="825">
      <c r="X825" s="88" t="str">
        <f t="array" ref="X825">_xlfn.XLOOKUP("Other",Stock1!A825,Stock1!I825,"")</f>
        <v/>
      </c>
      <c r="Y825" s="95" t="str">
        <f t="array" ref="Y825">_xlfn.XLOOKUP(X825,Stock1!I825,Stock1!F825,"")</f>
        <v/>
      </c>
      <c r="Z825" s="95" t="str">
        <f t="array" ref="Z825">_xlfn.XLOOKUP(X825,Stock1!I825,Stock1!J825,"")</f>
        <v/>
      </c>
      <c r="AA825" s="102" t="str">
        <f t="array" ref="AA825">_xlfn.XLOOKUP(Y825,DATAPremium!A:A,DATAPremium!C:C,"")</f>
        <v/>
      </c>
    </row>
    <row r="826">
      <c r="X826" s="88" t="str">
        <f t="array" ref="X826">_xlfn.XLOOKUP("Other",Stock1!A826,Stock1!I826,"")</f>
        <v/>
      </c>
      <c r="Y826" s="95" t="str">
        <f t="array" ref="Y826">_xlfn.XLOOKUP(X826,Stock1!I826,Stock1!F826,"")</f>
        <v/>
      </c>
      <c r="Z826" s="95" t="str">
        <f t="array" ref="Z826">_xlfn.XLOOKUP(X826,Stock1!I826,Stock1!J826,"")</f>
        <v/>
      </c>
      <c r="AA826" s="102" t="str">
        <f t="array" ref="AA826">_xlfn.XLOOKUP(Y826,DATAPremium!A:A,DATAPremium!C:C,"")</f>
        <v/>
      </c>
    </row>
    <row r="827">
      <c r="X827" s="88" t="str">
        <f t="array" ref="X827">_xlfn.XLOOKUP("Other",Stock1!A827,Stock1!I827,"")</f>
        <v/>
      </c>
      <c r="Y827" s="95" t="str">
        <f t="array" ref="Y827">_xlfn.XLOOKUP(X827,Stock1!I827,Stock1!F827,"")</f>
        <v/>
      </c>
      <c r="Z827" s="95" t="str">
        <f t="array" ref="Z827">_xlfn.XLOOKUP(X827,Stock1!I827,Stock1!J827,"")</f>
        <v/>
      </c>
      <c r="AA827" s="102" t="str">
        <f t="array" ref="AA827">_xlfn.XLOOKUP(Y827,DATAPremium!A:A,DATAPremium!C:C,"")</f>
        <v/>
      </c>
    </row>
    <row r="828">
      <c r="X828" s="88" t="str">
        <f t="array" ref="X828">_xlfn.XLOOKUP("Other",Stock1!A828,Stock1!I828,"")</f>
        <v/>
      </c>
      <c r="Y828" s="95" t="str">
        <f t="array" ref="Y828">_xlfn.XLOOKUP(X828,Stock1!I828,Stock1!F828,"")</f>
        <v/>
      </c>
      <c r="Z828" s="95" t="str">
        <f t="array" ref="Z828">_xlfn.XLOOKUP(X828,Stock1!I828,Stock1!J828,"")</f>
        <v/>
      </c>
      <c r="AA828" s="102" t="str">
        <f t="array" ref="AA828">_xlfn.XLOOKUP(Y828,DATAPremium!A:A,DATAPremium!C:C,"")</f>
        <v/>
      </c>
    </row>
    <row r="829">
      <c r="X829" s="88" t="str">
        <f t="array" ref="X829">_xlfn.XLOOKUP("Other",Stock1!A829,Stock1!I829,"")</f>
        <v/>
      </c>
      <c r="Y829" s="95" t="str">
        <f t="array" ref="Y829">_xlfn.XLOOKUP(X829,Stock1!I829,Stock1!F829,"")</f>
        <v/>
      </c>
      <c r="Z829" s="95" t="str">
        <f t="array" ref="Z829">_xlfn.XLOOKUP(X829,Stock1!I829,Stock1!J829,"")</f>
        <v/>
      </c>
      <c r="AA829" s="102" t="str">
        <f t="array" ref="AA829">_xlfn.XLOOKUP(Y829,DATAPremium!A:A,DATAPremium!C:C,"")</f>
        <v/>
      </c>
    </row>
    <row r="830">
      <c r="X830" s="88" t="str">
        <f t="array" ref="X830">_xlfn.XLOOKUP("Other",Stock1!A830,Stock1!I830,"")</f>
        <v/>
      </c>
      <c r="Y830" s="95" t="str">
        <f t="array" ref="Y830">_xlfn.XLOOKUP(X830,Stock1!I830,Stock1!F830,"")</f>
        <v/>
      </c>
      <c r="Z830" s="95" t="str">
        <f t="array" ref="Z830">_xlfn.XLOOKUP(X830,Stock1!I830,Stock1!J830,"")</f>
        <v/>
      </c>
      <c r="AA830" s="102" t="str">
        <f t="array" ref="AA830">_xlfn.XLOOKUP(Y830,DATAPremium!A:A,DATAPremium!C:C,"")</f>
        <v/>
      </c>
    </row>
    <row r="831">
      <c r="X831" s="88" t="str">
        <f t="array" ref="X831">_xlfn.XLOOKUP("Other",Stock1!A831,Stock1!I831,"")</f>
        <v/>
      </c>
      <c r="Y831" s="95" t="str">
        <f t="array" ref="Y831">_xlfn.XLOOKUP(X831,Stock1!I831,Stock1!F831,"")</f>
        <v/>
      </c>
      <c r="Z831" s="95" t="str">
        <f t="array" ref="Z831">_xlfn.XLOOKUP(X831,Stock1!I831,Stock1!J831,"")</f>
        <v/>
      </c>
      <c r="AA831" s="102" t="str">
        <f t="array" ref="AA831">_xlfn.XLOOKUP(Y831,DATAPremium!A:A,DATAPremium!C:C,"")</f>
        <v/>
      </c>
    </row>
    <row r="832">
      <c r="X832" s="88" t="str">
        <f t="array" ref="X832">_xlfn.XLOOKUP("Other",Stock1!A832,Stock1!I832,"")</f>
        <v/>
      </c>
      <c r="Y832" s="95" t="str">
        <f t="array" ref="Y832">_xlfn.XLOOKUP(X832,Stock1!I832,Stock1!F832,"")</f>
        <v/>
      </c>
      <c r="Z832" s="95" t="str">
        <f t="array" ref="Z832">_xlfn.XLOOKUP(X832,Stock1!I832,Stock1!J832,"")</f>
        <v/>
      </c>
      <c r="AA832" s="102" t="str">
        <f t="array" ref="AA832">_xlfn.XLOOKUP(Y832,DATAPremium!A:A,DATAPremium!C:C,"")</f>
        <v/>
      </c>
    </row>
    <row r="833">
      <c r="X833" s="88" t="str">
        <f t="array" ref="X833">_xlfn.XLOOKUP("Other",Stock1!A833,Stock1!I833,"")</f>
        <v/>
      </c>
      <c r="Y833" s="95" t="str">
        <f t="array" ref="Y833">_xlfn.XLOOKUP(X833,Stock1!I833,Stock1!F833,"")</f>
        <v/>
      </c>
      <c r="Z833" s="95" t="str">
        <f t="array" ref="Z833">_xlfn.XLOOKUP(X833,Stock1!I833,Stock1!J833,"")</f>
        <v/>
      </c>
      <c r="AA833" s="102" t="str">
        <f t="array" ref="AA833">_xlfn.XLOOKUP(Y833,DATAPremium!A:A,DATAPremium!C:C,"")</f>
        <v/>
      </c>
    </row>
    <row r="834">
      <c r="X834" s="88" t="str">
        <f t="array" ref="X834">_xlfn.XLOOKUP("Other",Stock1!A834,Stock1!I834,"")</f>
        <v/>
      </c>
      <c r="Y834" s="95" t="str">
        <f t="array" ref="Y834">_xlfn.XLOOKUP(X834,Stock1!I834,Stock1!F834,"")</f>
        <v/>
      </c>
      <c r="Z834" s="95" t="str">
        <f t="array" ref="Z834">_xlfn.XLOOKUP(X834,Stock1!I834,Stock1!J834,"")</f>
        <v/>
      </c>
      <c r="AA834" s="102" t="str">
        <f t="array" ref="AA834">_xlfn.XLOOKUP(Y834,DATAPremium!A:A,DATAPremium!C:C,"")</f>
        <v/>
      </c>
    </row>
    <row r="835">
      <c r="X835" s="88" t="str">
        <f t="array" ref="X835">_xlfn.XLOOKUP("Other",Stock1!A835,Stock1!I835,"")</f>
        <v/>
      </c>
      <c r="Y835" s="95" t="str">
        <f t="array" ref="Y835">_xlfn.XLOOKUP(X835,Stock1!I835,Stock1!F835,"")</f>
        <v/>
      </c>
      <c r="Z835" s="95" t="str">
        <f t="array" ref="Z835">_xlfn.XLOOKUP(X835,Stock1!I835,Stock1!J835,"")</f>
        <v/>
      </c>
      <c r="AA835" s="102" t="str">
        <f t="array" ref="AA835">_xlfn.XLOOKUP(Y835,DATAPremium!A:A,DATAPremium!C:C,"")</f>
        <v/>
      </c>
    </row>
    <row r="836">
      <c r="X836" s="88" t="str">
        <f t="array" ref="X836">_xlfn.XLOOKUP("Other",Stock1!A836,Stock1!I836,"")</f>
        <v/>
      </c>
      <c r="Y836" s="95" t="str">
        <f t="array" ref="Y836">_xlfn.XLOOKUP(X836,Stock1!I836,Stock1!F836,"")</f>
        <v/>
      </c>
      <c r="Z836" s="95" t="str">
        <f t="array" ref="Z836">_xlfn.XLOOKUP(X836,Stock1!I836,Stock1!J836,"")</f>
        <v/>
      </c>
      <c r="AA836" s="102" t="str">
        <f t="array" ref="AA836">_xlfn.XLOOKUP(Y836,DATAPremium!A:A,DATAPremium!C:C,"")</f>
        <v/>
      </c>
    </row>
    <row r="837">
      <c r="X837" s="88" t="str">
        <f t="array" ref="X837">_xlfn.XLOOKUP("Other",Stock1!A837,Stock1!I837,"")</f>
        <v/>
      </c>
      <c r="Y837" s="95" t="str">
        <f t="array" ref="Y837">_xlfn.XLOOKUP(X837,Stock1!I837,Stock1!F837,"")</f>
        <v/>
      </c>
      <c r="Z837" s="95" t="str">
        <f t="array" ref="Z837">_xlfn.XLOOKUP(X837,Stock1!I837,Stock1!J837,"")</f>
        <v/>
      </c>
      <c r="AA837" s="102" t="str">
        <f t="array" ref="AA837">_xlfn.XLOOKUP(Y837,DATAPremium!A:A,DATAPremium!C:C,"")</f>
        <v/>
      </c>
    </row>
    <row r="838">
      <c r="X838" s="88" t="str">
        <f t="array" ref="X838">_xlfn.XLOOKUP("Other",Stock1!A838,Stock1!I838,"")</f>
        <v/>
      </c>
      <c r="Y838" s="95" t="str">
        <f t="array" ref="Y838">_xlfn.XLOOKUP(X838,Stock1!I838,Stock1!F838,"")</f>
        <v/>
      </c>
      <c r="Z838" s="95" t="str">
        <f t="array" ref="Z838">_xlfn.XLOOKUP(X838,Stock1!I838,Stock1!J838,"")</f>
        <v/>
      </c>
      <c r="AA838" s="102" t="str">
        <f t="array" ref="AA838">_xlfn.XLOOKUP(Y838,DATAPremium!A:A,DATAPremium!C:C,"")</f>
        <v/>
      </c>
    </row>
    <row r="839">
      <c r="X839" s="88" t="str">
        <f t="array" ref="X839">_xlfn.XLOOKUP("Other",Stock1!A839,Stock1!I839,"")</f>
        <v/>
      </c>
      <c r="Y839" s="95" t="str">
        <f t="array" ref="Y839">_xlfn.XLOOKUP(X839,Stock1!I839,Stock1!F839,"")</f>
        <v/>
      </c>
      <c r="Z839" s="95" t="str">
        <f t="array" ref="Z839">_xlfn.XLOOKUP(X839,Stock1!I839,Stock1!J839,"")</f>
        <v/>
      </c>
      <c r="AA839" s="102" t="str">
        <f t="array" ref="AA839">_xlfn.XLOOKUP(Y839,DATAPremium!A:A,DATAPremium!C:C,"")</f>
        <v/>
      </c>
    </row>
    <row r="840">
      <c r="X840" s="88" t="str">
        <f t="array" ref="X840">_xlfn.XLOOKUP("Other",Stock1!A840,Stock1!I840,"")</f>
        <v/>
      </c>
      <c r="Y840" s="95" t="str">
        <f t="array" ref="Y840">_xlfn.XLOOKUP(X840,Stock1!I840,Stock1!F840,"")</f>
        <v/>
      </c>
      <c r="Z840" s="95" t="str">
        <f t="array" ref="Z840">_xlfn.XLOOKUP(X840,Stock1!I840,Stock1!J840,"")</f>
        <v/>
      </c>
      <c r="AA840" s="102" t="str">
        <f t="array" ref="AA840">_xlfn.XLOOKUP(Y840,DATAPremium!A:A,DATAPremium!C:C,"")</f>
        <v/>
      </c>
    </row>
    <row r="841">
      <c r="X841" s="88" t="str">
        <f t="array" ref="X841">_xlfn.XLOOKUP("Other",Stock1!A841,Stock1!I841,"")</f>
        <v/>
      </c>
      <c r="Y841" s="95" t="str">
        <f t="array" ref="Y841">_xlfn.XLOOKUP(X841,Stock1!I841,Stock1!F841,"")</f>
        <v/>
      </c>
      <c r="Z841" s="95" t="str">
        <f t="array" ref="Z841">_xlfn.XLOOKUP(X841,Stock1!I841,Stock1!J841,"")</f>
        <v/>
      </c>
      <c r="AA841" s="102" t="str">
        <f t="array" ref="AA841">_xlfn.XLOOKUP(Y841,DATAPremium!A:A,DATAPremium!C:C,"")</f>
        <v/>
      </c>
    </row>
    <row r="842">
      <c r="X842" s="88" t="str">
        <f t="array" ref="X842">_xlfn.XLOOKUP("Other",Stock1!A842,Stock1!I842,"")</f>
        <v/>
      </c>
      <c r="Y842" s="95" t="str">
        <f t="array" ref="Y842">_xlfn.XLOOKUP(X842,Stock1!I842,Stock1!F842,"")</f>
        <v/>
      </c>
      <c r="Z842" s="95" t="str">
        <f t="array" ref="Z842">_xlfn.XLOOKUP(X842,Stock1!I842,Stock1!J842,"")</f>
        <v/>
      </c>
      <c r="AA842" s="102" t="str">
        <f t="array" ref="AA842">_xlfn.XLOOKUP(Y842,DATAPremium!A:A,DATAPremium!C:C,"")</f>
        <v/>
      </c>
    </row>
    <row r="843">
      <c r="X843" s="88" t="str">
        <f t="array" ref="X843">_xlfn.XLOOKUP("Other",Stock1!A843,Stock1!I843,"")</f>
        <v/>
      </c>
      <c r="Y843" s="95" t="str">
        <f t="array" ref="Y843">_xlfn.XLOOKUP(X843,Stock1!I843,Stock1!F843,"")</f>
        <v/>
      </c>
      <c r="Z843" s="95" t="str">
        <f t="array" ref="Z843">_xlfn.XLOOKUP(X843,Stock1!I843,Stock1!J843,"")</f>
        <v/>
      </c>
      <c r="AA843" s="102" t="str">
        <f t="array" ref="AA843">_xlfn.XLOOKUP(Y843,DATAPremium!A:A,DATAPremium!C:C,"")</f>
        <v/>
      </c>
    </row>
    <row r="844">
      <c r="X844" s="88" t="str">
        <f t="array" ref="X844">_xlfn.XLOOKUP("Other",Stock1!A844,Stock1!I844,"")</f>
        <v/>
      </c>
      <c r="Y844" s="95" t="str">
        <f t="array" ref="Y844">_xlfn.XLOOKUP(X844,Stock1!I844,Stock1!F844,"")</f>
        <v/>
      </c>
      <c r="Z844" s="95" t="str">
        <f t="array" ref="Z844">_xlfn.XLOOKUP(X844,Stock1!I844,Stock1!J844,"")</f>
        <v/>
      </c>
      <c r="AA844" s="102" t="str">
        <f t="array" ref="AA844">_xlfn.XLOOKUP(Y844,DATAPremium!A:A,DATAPremium!C:C,"")</f>
        <v/>
      </c>
    </row>
    <row r="845">
      <c r="X845" s="88" t="str">
        <f t="array" ref="X845">_xlfn.XLOOKUP("Other",Stock1!A845,Stock1!I845,"")</f>
        <v/>
      </c>
      <c r="Y845" s="95" t="str">
        <f t="array" ref="Y845">_xlfn.XLOOKUP(X845,Stock1!I845,Stock1!F845,"")</f>
        <v/>
      </c>
      <c r="Z845" s="95" t="str">
        <f t="array" ref="Z845">_xlfn.XLOOKUP(X845,Stock1!I845,Stock1!J845,"")</f>
        <v/>
      </c>
      <c r="AA845" s="102" t="str">
        <f t="array" ref="AA845">_xlfn.XLOOKUP(Y845,DATAPremium!A:A,DATAPremium!C:C,"")</f>
        <v/>
      </c>
    </row>
    <row r="846">
      <c r="X846" s="88" t="str">
        <f t="array" ref="X846">_xlfn.XLOOKUP("Other",Stock1!A846,Stock1!I846,"")</f>
        <v/>
      </c>
      <c r="Y846" s="95" t="str">
        <f t="array" ref="Y846">_xlfn.XLOOKUP(X846,Stock1!I846,Stock1!F846,"")</f>
        <v/>
      </c>
      <c r="Z846" s="95" t="str">
        <f t="array" ref="Z846">_xlfn.XLOOKUP(X846,Stock1!I846,Stock1!J846,"")</f>
        <v/>
      </c>
      <c r="AA846" s="102" t="str">
        <f t="array" ref="AA846">_xlfn.XLOOKUP(Y846,DATAPremium!A:A,DATAPremium!C:C,"")</f>
        <v/>
      </c>
    </row>
    <row r="847">
      <c r="X847" s="88" t="str">
        <f t="array" ref="X847">_xlfn.XLOOKUP("Other",Stock1!A847,Stock1!I847,"")</f>
        <v/>
      </c>
      <c r="Y847" s="95" t="str">
        <f t="array" ref="Y847">_xlfn.XLOOKUP(X847,Stock1!I847,Stock1!F847,"")</f>
        <v/>
      </c>
      <c r="Z847" s="95" t="str">
        <f t="array" ref="Z847">_xlfn.XLOOKUP(X847,Stock1!I847,Stock1!J847,"")</f>
        <v/>
      </c>
      <c r="AA847" s="102" t="str">
        <f t="array" ref="AA847">_xlfn.XLOOKUP(Y847,DATAPremium!A:A,DATAPremium!C:C,"")</f>
        <v/>
      </c>
    </row>
    <row r="848">
      <c r="X848" s="88" t="str">
        <f t="array" ref="X848">_xlfn.XLOOKUP("Other",Stock1!A848,Stock1!I848,"")</f>
        <v/>
      </c>
      <c r="Y848" s="95" t="str">
        <f t="array" ref="Y848">_xlfn.XLOOKUP(X848,Stock1!I848,Stock1!F848,"")</f>
        <v/>
      </c>
      <c r="Z848" s="95" t="str">
        <f t="array" ref="Z848">_xlfn.XLOOKUP(X848,Stock1!I848,Stock1!J848,"")</f>
        <v/>
      </c>
      <c r="AA848" s="102" t="str">
        <f t="array" ref="AA848">_xlfn.XLOOKUP(Y848,DATAPremium!A:A,DATAPremium!C:C,"")</f>
        <v/>
      </c>
    </row>
    <row r="849">
      <c r="X849" s="88" t="str">
        <f t="array" ref="X849">_xlfn.XLOOKUP("Other",Stock1!A849,Stock1!I849,"")</f>
        <v/>
      </c>
      <c r="Y849" s="95" t="str">
        <f t="array" ref="Y849">_xlfn.XLOOKUP(X849,Stock1!I849,Stock1!F849,"")</f>
        <v/>
      </c>
      <c r="Z849" s="95" t="str">
        <f t="array" ref="Z849">_xlfn.XLOOKUP(X849,Stock1!I849,Stock1!J849,"")</f>
        <v/>
      </c>
      <c r="AA849" s="102" t="str">
        <f t="array" ref="AA849">_xlfn.XLOOKUP(Y849,DATAPremium!A:A,DATAPremium!C:C,"")</f>
        <v/>
      </c>
    </row>
    <row r="850">
      <c r="X850" s="88" t="str">
        <f t="array" ref="X850">_xlfn.XLOOKUP("Other",Stock1!A850,Stock1!I850,"")</f>
        <v/>
      </c>
      <c r="Y850" s="95" t="str">
        <f t="array" ref="Y850">_xlfn.XLOOKUP(X850,Stock1!I850,Stock1!F850,"")</f>
        <v/>
      </c>
      <c r="Z850" s="95" t="str">
        <f t="array" ref="Z850">_xlfn.XLOOKUP(X850,Stock1!I850,Stock1!J850,"")</f>
        <v/>
      </c>
      <c r="AA850" s="102" t="str">
        <f t="array" ref="AA850">_xlfn.XLOOKUP(Y850,DATAPremium!A:A,DATAPremium!C:C,"")</f>
        <v/>
      </c>
    </row>
    <row r="851">
      <c r="X851" s="88" t="str">
        <f t="array" ref="X851">_xlfn.XLOOKUP("Other",Stock1!A851,Stock1!I851,"")</f>
        <v/>
      </c>
      <c r="Y851" s="95" t="str">
        <f t="array" ref="Y851">_xlfn.XLOOKUP(X851,Stock1!I851,Stock1!F851,"")</f>
        <v/>
      </c>
      <c r="Z851" s="95" t="str">
        <f t="array" ref="Z851">_xlfn.XLOOKUP(X851,Stock1!I851,Stock1!J851,"")</f>
        <v/>
      </c>
      <c r="AA851" s="102" t="str">
        <f t="array" ref="AA851">_xlfn.XLOOKUP(Y851,DATAPremium!A:A,DATAPremium!C:C,"")</f>
        <v/>
      </c>
    </row>
    <row r="852">
      <c r="X852" s="88" t="str">
        <f t="array" ref="X852">_xlfn.XLOOKUP("Other",Stock1!A852,Stock1!I852,"")</f>
        <v/>
      </c>
      <c r="Y852" s="95" t="str">
        <f t="array" ref="Y852">_xlfn.XLOOKUP(X852,Stock1!I852,Stock1!F852,"")</f>
        <v/>
      </c>
      <c r="Z852" s="95" t="str">
        <f t="array" ref="Z852">_xlfn.XLOOKUP(X852,Stock1!I852,Stock1!J852,"")</f>
        <v/>
      </c>
      <c r="AA852" s="102" t="str">
        <f t="array" ref="AA852">_xlfn.XLOOKUP(Y852,DATAPremium!A:A,DATAPremium!C:C,"")</f>
        <v/>
      </c>
    </row>
    <row r="853">
      <c r="X853" s="88" t="str">
        <f t="array" ref="X853">_xlfn.XLOOKUP("Other",Stock1!A853,Stock1!I853,"")</f>
        <v/>
      </c>
      <c r="Y853" s="95" t="str">
        <f t="array" ref="Y853">_xlfn.XLOOKUP(X853,Stock1!I853,Stock1!F853,"")</f>
        <v/>
      </c>
      <c r="Z853" s="95" t="str">
        <f t="array" ref="Z853">_xlfn.XLOOKUP(X853,Stock1!I853,Stock1!J853,"")</f>
        <v/>
      </c>
      <c r="AA853" s="102" t="str">
        <f t="array" ref="AA853">_xlfn.XLOOKUP(Y853,DATAPremium!A:A,DATAPremium!C:C,"")</f>
        <v/>
      </c>
    </row>
    <row r="854">
      <c r="X854" s="88" t="str">
        <f t="array" ref="X854">_xlfn.XLOOKUP("Other",Stock1!A854,Stock1!I854,"")</f>
        <v/>
      </c>
      <c r="Y854" s="95" t="str">
        <f t="array" ref="Y854">_xlfn.XLOOKUP(X854,Stock1!I854,Stock1!F854,"")</f>
        <v/>
      </c>
      <c r="Z854" s="95" t="str">
        <f t="array" ref="Z854">_xlfn.XLOOKUP(X854,Stock1!I854,Stock1!J854,"")</f>
        <v/>
      </c>
      <c r="AA854" s="102" t="str">
        <f t="array" ref="AA854">_xlfn.XLOOKUP(Y854,DATAPremium!A:A,DATAPremium!C:C,"")</f>
        <v/>
      </c>
    </row>
    <row r="855">
      <c r="X855" s="88" t="str">
        <f t="array" ref="X855">_xlfn.XLOOKUP("Other",Stock1!A855,Stock1!I855,"")</f>
        <v/>
      </c>
      <c r="Y855" s="95" t="str">
        <f t="array" ref="Y855">_xlfn.XLOOKUP(X855,Stock1!I855,Stock1!F855,"")</f>
        <v/>
      </c>
      <c r="Z855" s="95" t="str">
        <f t="array" ref="Z855">_xlfn.XLOOKUP(X855,Stock1!I855,Stock1!J855,"")</f>
        <v/>
      </c>
      <c r="AA855" s="102" t="str">
        <f t="array" ref="AA855">_xlfn.XLOOKUP(Y855,DATAPremium!A:A,DATAPremium!C:C,"")</f>
        <v/>
      </c>
    </row>
    <row r="856">
      <c r="X856" s="88" t="str">
        <f t="array" ref="X856">_xlfn.XLOOKUP("Other",Stock1!A856,Stock1!I856,"")</f>
        <v/>
      </c>
      <c r="Y856" s="95" t="str">
        <f t="array" ref="Y856">_xlfn.XLOOKUP(X856,Stock1!I856,Stock1!F856,"")</f>
        <v/>
      </c>
      <c r="Z856" s="95" t="str">
        <f t="array" ref="Z856">_xlfn.XLOOKUP(X856,Stock1!I856,Stock1!J856,"")</f>
        <v/>
      </c>
      <c r="AA856" s="102" t="str">
        <f t="array" ref="AA856">_xlfn.XLOOKUP(Y856,DATAPremium!A:A,DATAPremium!C:C,"")</f>
        <v/>
      </c>
    </row>
    <row r="857">
      <c r="X857" s="88" t="str">
        <f t="array" ref="X857">_xlfn.XLOOKUP("Other",Stock1!A857,Stock1!I857,"")</f>
        <v/>
      </c>
      <c r="Y857" s="95" t="str">
        <f t="array" ref="Y857">_xlfn.XLOOKUP(X857,Stock1!I857,Stock1!F857,"")</f>
        <v/>
      </c>
      <c r="Z857" s="95" t="str">
        <f t="array" ref="Z857">_xlfn.XLOOKUP(X857,Stock1!I857,Stock1!J857,"")</f>
        <v/>
      </c>
      <c r="AA857" s="102" t="str">
        <f t="array" ref="AA857">_xlfn.XLOOKUP(Y857,DATAPremium!A:A,DATAPremium!C:C,"")</f>
        <v/>
      </c>
    </row>
    <row r="858">
      <c r="X858" s="88" t="str">
        <f t="array" ref="X858">_xlfn.XLOOKUP("Other",Stock1!A858,Stock1!I858,"")</f>
        <v/>
      </c>
      <c r="Y858" s="95" t="str">
        <f t="array" ref="Y858">_xlfn.XLOOKUP(X858,Stock1!I858,Stock1!F858,"")</f>
        <v/>
      </c>
      <c r="Z858" s="95" t="str">
        <f t="array" ref="Z858">_xlfn.XLOOKUP(X858,Stock1!I858,Stock1!J858,"")</f>
        <v/>
      </c>
      <c r="AA858" s="102" t="str">
        <f t="array" ref="AA858">_xlfn.XLOOKUP(Y858,DATAPremium!A:A,DATAPremium!C:C,"")</f>
        <v/>
      </c>
    </row>
    <row r="859">
      <c r="X859" s="88" t="str">
        <f t="array" ref="X859">_xlfn.XLOOKUP("Other",Stock1!A859,Stock1!I859,"")</f>
        <v/>
      </c>
      <c r="Y859" s="95" t="str">
        <f t="array" ref="Y859">_xlfn.XLOOKUP(X859,Stock1!I859,Stock1!F859,"")</f>
        <v/>
      </c>
      <c r="Z859" s="95" t="str">
        <f t="array" ref="Z859">_xlfn.XLOOKUP(X859,Stock1!I859,Stock1!J859,"")</f>
        <v/>
      </c>
      <c r="AA859" s="102" t="str">
        <f t="array" ref="AA859">_xlfn.XLOOKUP(Y859,DATAPremium!A:A,DATAPremium!C:C,"")</f>
        <v/>
      </c>
    </row>
    <row r="860">
      <c r="X860" s="88" t="str">
        <f t="array" ref="X860">_xlfn.XLOOKUP("Other",Stock1!A860,Stock1!I860,"")</f>
        <v/>
      </c>
      <c r="Y860" s="95" t="str">
        <f t="array" ref="Y860">_xlfn.XLOOKUP(X860,Stock1!I860,Stock1!F860,"")</f>
        <v/>
      </c>
      <c r="Z860" s="95" t="str">
        <f t="array" ref="Z860">_xlfn.XLOOKUP(X860,Stock1!I860,Stock1!J860,"")</f>
        <v/>
      </c>
      <c r="AA860" s="102" t="str">
        <f t="array" ref="AA860">_xlfn.XLOOKUP(Y860,DATAPremium!A:A,DATAPremium!C:C,"")</f>
        <v/>
      </c>
    </row>
    <row r="861">
      <c r="X861" s="88" t="str">
        <f t="array" ref="X861">_xlfn.XLOOKUP("Other",Stock1!A861,Stock1!I861,"")</f>
        <v/>
      </c>
      <c r="Y861" s="95" t="str">
        <f t="array" ref="Y861">_xlfn.XLOOKUP(X861,Stock1!I861,Stock1!F861,"")</f>
        <v/>
      </c>
      <c r="Z861" s="95" t="str">
        <f t="array" ref="Z861">_xlfn.XLOOKUP(X861,Stock1!I861,Stock1!J861,"")</f>
        <v/>
      </c>
      <c r="AA861" s="102" t="str">
        <f t="array" ref="AA861">_xlfn.XLOOKUP(Y861,DATAPremium!A:A,DATAPremium!C:C,"")</f>
        <v/>
      </c>
    </row>
    <row r="862">
      <c r="X862" s="88" t="str">
        <f t="array" ref="X862">_xlfn.XLOOKUP("Other",Stock1!A862,Stock1!I862,"")</f>
        <v/>
      </c>
      <c r="Y862" s="95" t="str">
        <f t="array" ref="Y862">_xlfn.XLOOKUP(X862,Stock1!I862,Stock1!F862,"")</f>
        <v/>
      </c>
      <c r="Z862" s="95" t="str">
        <f t="array" ref="Z862">_xlfn.XLOOKUP(X862,Stock1!I862,Stock1!J862,"")</f>
        <v/>
      </c>
      <c r="AA862" s="102" t="str">
        <f t="array" ref="AA862">_xlfn.XLOOKUP(Y862,DATAPremium!A:A,DATAPremium!C:C,"")</f>
        <v/>
      </c>
    </row>
    <row r="863">
      <c r="X863" s="88" t="str">
        <f t="array" ref="X863">_xlfn.XLOOKUP("Other",Stock1!A863,Stock1!I863,"")</f>
        <v/>
      </c>
      <c r="Y863" s="95" t="str">
        <f t="array" ref="Y863">_xlfn.XLOOKUP(X863,Stock1!I863,Stock1!F863,"")</f>
        <v/>
      </c>
      <c r="Z863" s="95" t="str">
        <f t="array" ref="Z863">_xlfn.XLOOKUP(X863,Stock1!I863,Stock1!J863,"")</f>
        <v/>
      </c>
      <c r="AA863" s="102" t="str">
        <f t="array" ref="AA863">_xlfn.XLOOKUP(Y863,DATAPremium!A:A,DATAPremium!C:C,"")</f>
        <v/>
      </c>
    </row>
    <row r="864">
      <c r="X864" s="88" t="str">
        <f t="array" ref="X864">_xlfn.XLOOKUP("Other",Stock1!A864,Stock1!I864,"")</f>
        <v/>
      </c>
      <c r="Y864" s="95" t="str">
        <f t="array" ref="Y864">_xlfn.XLOOKUP(X864,Stock1!I864,Stock1!F864,"")</f>
        <v/>
      </c>
      <c r="Z864" s="95" t="str">
        <f t="array" ref="Z864">_xlfn.XLOOKUP(X864,Stock1!I864,Stock1!J864,"")</f>
        <v/>
      </c>
      <c r="AA864" s="102" t="str">
        <f t="array" ref="AA864">_xlfn.XLOOKUP(Y864,DATAPremium!A:A,DATAPremium!C:C,"")</f>
        <v/>
      </c>
    </row>
    <row r="865">
      <c r="X865" s="88" t="str">
        <f t="array" ref="X865">_xlfn.XLOOKUP("Other",Stock1!A865,Stock1!I865,"")</f>
        <v/>
      </c>
      <c r="Y865" s="95" t="str">
        <f t="array" ref="Y865">_xlfn.XLOOKUP(X865,Stock1!I865,Stock1!F865,"")</f>
        <v/>
      </c>
      <c r="Z865" s="95" t="str">
        <f t="array" ref="Z865">_xlfn.XLOOKUP(X865,Stock1!I865,Stock1!J865,"")</f>
        <v/>
      </c>
      <c r="AA865" s="102" t="str">
        <f t="array" ref="AA865">_xlfn.XLOOKUP(Y865,DATAPremium!A:A,DATAPremium!C:C,"")</f>
        <v/>
      </c>
    </row>
    <row r="866">
      <c r="X866" s="88" t="str">
        <f t="array" ref="X866">_xlfn.XLOOKUP("Other",Stock1!A866,Stock1!I866,"")</f>
        <v/>
      </c>
      <c r="Y866" s="95" t="str">
        <f t="array" ref="Y866">_xlfn.XLOOKUP(X866,Stock1!I866,Stock1!F866,"")</f>
        <v/>
      </c>
      <c r="Z866" s="95" t="str">
        <f t="array" ref="Z866">_xlfn.XLOOKUP(X866,Stock1!I866,Stock1!J866,"")</f>
        <v/>
      </c>
      <c r="AA866" s="102" t="str">
        <f t="array" ref="AA866">_xlfn.XLOOKUP(Y866,DATAPremium!A:A,DATAPremium!C:C,"")</f>
        <v/>
      </c>
    </row>
    <row r="867">
      <c r="X867" s="88" t="str">
        <f t="array" ref="X867">_xlfn.XLOOKUP("Other",Stock1!A867,Stock1!I867,"")</f>
        <v/>
      </c>
      <c r="Y867" s="95" t="str">
        <f t="array" ref="Y867">_xlfn.XLOOKUP(X867,Stock1!I867,Stock1!F867,"")</f>
        <v/>
      </c>
      <c r="Z867" s="95" t="str">
        <f t="array" ref="Z867">_xlfn.XLOOKUP(X867,Stock1!I867,Stock1!J867,"")</f>
        <v/>
      </c>
      <c r="AA867" s="102" t="str">
        <f t="array" ref="AA867">_xlfn.XLOOKUP(Y867,DATAPremium!A:A,DATAPremium!C:C,"")</f>
        <v/>
      </c>
    </row>
    <row r="868">
      <c r="X868" s="88" t="str">
        <f t="array" ref="X868">_xlfn.XLOOKUP("Other",Stock1!A868,Stock1!I868,"")</f>
        <v/>
      </c>
      <c r="Y868" s="95" t="str">
        <f t="array" ref="Y868">_xlfn.XLOOKUP(X868,Stock1!I868,Stock1!F868,"")</f>
        <v/>
      </c>
      <c r="Z868" s="95" t="str">
        <f t="array" ref="Z868">_xlfn.XLOOKUP(X868,Stock1!I868,Stock1!J868,"")</f>
        <v/>
      </c>
      <c r="AA868" s="102" t="str">
        <f t="array" ref="AA868">_xlfn.XLOOKUP(Y868,DATAPremium!A:A,DATAPremium!C:C,"")</f>
        <v/>
      </c>
    </row>
    <row r="869">
      <c r="X869" s="88" t="str">
        <f t="array" ref="X869">_xlfn.XLOOKUP("Other",Stock1!A869,Stock1!I869,"")</f>
        <v/>
      </c>
      <c r="Y869" s="95" t="str">
        <f t="array" ref="Y869">_xlfn.XLOOKUP(X869,Stock1!I869,Stock1!F869,"")</f>
        <v/>
      </c>
      <c r="Z869" s="95" t="str">
        <f t="array" ref="Z869">_xlfn.XLOOKUP(X869,Stock1!I869,Stock1!J869,"")</f>
        <v/>
      </c>
      <c r="AA869" s="102" t="str">
        <f t="array" ref="AA869">_xlfn.XLOOKUP(Y869,DATAPremium!A:A,DATAPremium!C:C,"")</f>
        <v/>
      </c>
    </row>
    <row r="870">
      <c r="X870" s="88" t="str">
        <f t="array" ref="X870">_xlfn.XLOOKUP("Other",Stock1!A870,Stock1!I870,"")</f>
        <v/>
      </c>
      <c r="Y870" s="95" t="str">
        <f t="array" ref="Y870">_xlfn.XLOOKUP(X870,Stock1!I870,Stock1!F870,"")</f>
        <v/>
      </c>
      <c r="Z870" s="95" t="str">
        <f t="array" ref="Z870">_xlfn.XLOOKUP(X870,Stock1!I870,Stock1!J870,"")</f>
        <v/>
      </c>
      <c r="AA870" s="102" t="str">
        <f t="array" ref="AA870">_xlfn.XLOOKUP(Y870,DATAPremium!A:A,DATAPremium!C:C,"")</f>
        <v/>
      </c>
    </row>
    <row r="871">
      <c r="X871" s="88" t="str">
        <f t="array" ref="X871">_xlfn.XLOOKUP("Other",Stock1!A871,Stock1!I871,"")</f>
        <v/>
      </c>
      <c r="Y871" s="95" t="str">
        <f t="array" ref="Y871">_xlfn.XLOOKUP(X871,Stock1!I871,Stock1!F871,"")</f>
        <v/>
      </c>
      <c r="Z871" s="95" t="str">
        <f t="array" ref="Z871">_xlfn.XLOOKUP(X871,Stock1!I871,Stock1!J871,"")</f>
        <v/>
      </c>
      <c r="AA871" s="102" t="str">
        <f t="array" ref="AA871">_xlfn.XLOOKUP(Y871,DATAPremium!A:A,DATAPremium!C:C,"")</f>
        <v/>
      </c>
    </row>
    <row r="872">
      <c r="X872" s="88" t="str">
        <f t="array" ref="X872">_xlfn.XLOOKUP("Other",Stock1!A872,Stock1!I872,"")</f>
        <v/>
      </c>
      <c r="Y872" s="95" t="str">
        <f t="array" ref="Y872">_xlfn.XLOOKUP(X872,Stock1!I872,Stock1!F872,"")</f>
        <v/>
      </c>
      <c r="Z872" s="95" t="str">
        <f t="array" ref="Z872">_xlfn.XLOOKUP(X872,Stock1!I872,Stock1!J872,"")</f>
        <v/>
      </c>
      <c r="AA872" s="102" t="str">
        <f t="array" ref="AA872">_xlfn.XLOOKUP(Y872,DATAPremium!A:A,DATAPremium!C:C,"")</f>
        <v/>
      </c>
    </row>
    <row r="873">
      <c r="X873" s="88" t="str">
        <f t="array" ref="X873">_xlfn.XLOOKUP("Other",Stock1!A873,Stock1!I873,"")</f>
        <v/>
      </c>
      <c r="Y873" s="95" t="str">
        <f t="array" ref="Y873">_xlfn.XLOOKUP(X873,Stock1!I873,Stock1!F873,"")</f>
        <v/>
      </c>
      <c r="Z873" s="95" t="str">
        <f t="array" ref="Z873">_xlfn.XLOOKUP(X873,Stock1!I873,Stock1!J873,"")</f>
        <v/>
      </c>
      <c r="AA873" s="102" t="str">
        <f t="array" ref="AA873">_xlfn.XLOOKUP(Y873,DATAPremium!A:A,DATAPremium!C:C,"")</f>
        <v/>
      </c>
    </row>
    <row r="874">
      <c r="X874" s="88" t="str">
        <f t="array" ref="X874">_xlfn.XLOOKUP("Other",Stock1!A874,Stock1!I874,"")</f>
        <v/>
      </c>
      <c r="Y874" s="95" t="str">
        <f t="array" ref="Y874">_xlfn.XLOOKUP(X874,Stock1!I874,Stock1!F874,"")</f>
        <v/>
      </c>
      <c r="Z874" s="95" t="str">
        <f t="array" ref="Z874">_xlfn.XLOOKUP(X874,Stock1!I874,Stock1!J874,"")</f>
        <v/>
      </c>
      <c r="AA874" s="102" t="str">
        <f t="array" ref="AA874">_xlfn.XLOOKUP(Y874,DATAPremium!A:A,DATAPremium!C:C,"")</f>
        <v/>
      </c>
    </row>
    <row r="875">
      <c r="X875" s="88" t="str">
        <f t="array" ref="X875">_xlfn.XLOOKUP("Other",Stock1!A875,Stock1!I875,"")</f>
        <v/>
      </c>
      <c r="Y875" s="95" t="str">
        <f t="array" ref="Y875">_xlfn.XLOOKUP(X875,Stock1!I875,Stock1!F875,"")</f>
        <v/>
      </c>
      <c r="Z875" s="95" t="str">
        <f t="array" ref="Z875">_xlfn.XLOOKUP(X875,Stock1!I875,Stock1!J875,"")</f>
        <v/>
      </c>
      <c r="AA875" s="102" t="str">
        <f t="array" ref="AA875">_xlfn.XLOOKUP(Y875,DATAPremium!A:A,DATAPremium!C:C,"")</f>
        <v/>
      </c>
    </row>
    <row r="876">
      <c r="X876" s="88" t="str">
        <f t="array" ref="X876">_xlfn.XLOOKUP("Other",Stock1!A876,Stock1!I876,"")</f>
        <v/>
      </c>
      <c r="Y876" s="95" t="str">
        <f t="array" ref="Y876">_xlfn.XLOOKUP(X876,Stock1!I876,Stock1!F876,"")</f>
        <v/>
      </c>
      <c r="Z876" s="95" t="str">
        <f t="array" ref="Z876">_xlfn.XLOOKUP(X876,Stock1!I876,Stock1!J876,"")</f>
        <v/>
      </c>
      <c r="AA876" s="102" t="str">
        <f t="array" ref="AA876">_xlfn.XLOOKUP(Y876,DATAPremium!A:A,DATAPremium!C:C,"")</f>
        <v/>
      </c>
    </row>
    <row r="877">
      <c r="X877" s="88" t="str">
        <f t="array" ref="X877">_xlfn.XLOOKUP("Other",Stock1!A877,Stock1!I877,"")</f>
        <v/>
      </c>
      <c r="Y877" s="95" t="str">
        <f t="array" ref="Y877">_xlfn.XLOOKUP(X877,Stock1!I877,Stock1!F877,"")</f>
        <v/>
      </c>
      <c r="Z877" s="95" t="str">
        <f t="array" ref="Z877">_xlfn.XLOOKUP(X877,Stock1!I877,Stock1!J877,"")</f>
        <v/>
      </c>
      <c r="AA877" s="102" t="str">
        <f t="array" ref="AA877">_xlfn.XLOOKUP(Y877,DATAPremium!A:A,DATAPremium!C:C,"")</f>
        <v/>
      </c>
    </row>
    <row r="878">
      <c r="X878" s="88" t="str">
        <f t="array" ref="X878">_xlfn.XLOOKUP("Other",Stock1!A878,Stock1!I878,"")</f>
        <v/>
      </c>
      <c r="Y878" s="95" t="str">
        <f t="array" ref="Y878">_xlfn.XLOOKUP(X878,Stock1!I878,Stock1!F878,"")</f>
        <v/>
      </c>
      <c r="Z878" s="95" t="str">
        <f t="array" ref="Z878">_xlfn.XLOOKUP(X878,Stock1!I878,Stock1!J878,"")</f>
        <v/>
      </c>
      <c r="AA878" s="102" t="str">
        <f t="array" ref="AA878">_xlfn.XLOOKUP(Y878,DATAPremium!A:A,DATAPremium!C:C,"")</f>
        <v/>
      </c>
    </row>
    <row r="879">
      <c r="X879" s="88" t="str">
        <f t="array" ref="X879">_xlfn.XLOOKUP("Other",Stock1!A879,Stock1!I879,"")</f>
        <v/>
      </c>
      <c r="Y879" s="95" t="str">
        <f t="array" ref="Y879">_xlfn.XLOOKUP(X879,Stock1!I879,Stock1!F879,"")</f>
        <v/>
      </c>
      <c r="Z879" s="95" t="str">
        <f t="array" ref="Z879">_xlfn.XLOOKUP(X879,Stock1!I879,Stock1!J879,"")</f>
        <v/>
      </c>
      <c r="AA879" s="102" t="str">
        <f t="array" ref="AA879">_xlfn.XLOOKUP(Y879,DATAPremium!A:A,DATAPremium!C:C,"")</f>
        <v/>
      </c>
    </row>
    <row r="880">
      <c r="X880" s="88" t="str">
        <f t="array" ref="X880">_xlfn.XLOOKUP("Other",Stock1!A880,Stock1!I880,"")</f>
        <v/>
      </c>
      <c r="Y880" s="95" t="str">
        <f t="array" ref="Y880">_xlfn.XLOOKUP(X880,Stock1!I880,Stock1!F880,"")</f>
        <v/>
      </c>
      <c r="Z880" s="95" t="str">
        <f t="array" ref="Z880">_xlfn.XLOOKUP(X880,Stock1!I880,Stock1!J880,"")</f>
        <v/>
      </c>
      <c r="AA880" s="102" t="str">
        <f t="array" ref="AA880">_xlfn.XLOOKUP(Y880,DATAPremium!A:A,DATAPremium!C:C,"")</f>
        <v/>
      </c>
    </row>
    <row r="881">
      <c r="X881" s="88" t="str">
        <f t="array" ref="X881">_xlfn.XLOOKUP("Other",Stock1!A881,Stock1!I881,"")</f>
        <v/>
      </c>
      <c r="Y881" s="95" t="str">
        <f t="array" ref="Y881">_xlfn.XLOOKUP(X881,Stock1!I881,Stock1!F881,"")</f>
        <v/>
      </c>
      <c r="Z881" s="95" t="str">
        <f t="array" ref="Z881">_xlfn.XLOOKUP(X881,Stock1!I881,Stock1!J881,"")</f>
        <v/>
      </c>
      <c r="AA881" s="102" t="str">
        <f t="array" ref="AA881">_xlfn.XLOOKUP(Y881,DATAPremium!A:A,DATAPremium!C:C,"")</f>
        <v/>
      </c>
    </row>
    <row r="882">
      <c r="X882" s="88" t="str">
        <f t="array" ref="X882">_xlfn.XLOOKUP("Other",Stock1!A882,Stock1!I882,"")</f>
        <v/>
      </c>
      <c r="Y882" s="95" t="str">
        <f t="array" ref="Y882">_xlfn.XLOOKUP(X882,Stock1!I882,Stock1!F882,"")</f>
        <v/>
      </c>
      <c r="Z882" s="95" t="str">
        <f t="array" ref="Z882">_xlfn.XLOOKUP(X882,Stock1!I882,Stock1!J882,"")</f>
        <v/>
      </c>
      <c r="AA882" s="102" t="str">
        <f t="array" ref="AA882">_xlfn.XLOOKUP(Y882,DATAPremium!A:A,DATAPremium!C:C,"")</f>
        <v/>
      </c>
    </row>
    <row r="883">
      <c r="X883" s="88" t="str">
        <f t="array" ref="X883">_xlfn.XLOOKUP("Other",Stock1!A883,Stock1!I883,"")</f>
        <v/>
      </c>
      <c r="Y883" s="95" t="str">
        <f t="array" ref="Y883">_xlfn.XLOOKUP(X883,Stock1!I883,Stock1!F883,"")</f>
        <v/>
      </c>
      <c r="Z883" s="95" t="str">
        <f t="array" ref="Z883">_xlfn.XLOOKUP(X883,Stock1!I883,Stock1!J883,"")</f>
        <v/>
      </c>
      <c r="AA883" s="102" t="str">
        <f t="array" ref="AA883">_xlfn.XLOOKUP(Y883,DATAPremium!A:A,DATAPremium!C:C,"")</f>
        <v/>
      </c>
    </row>
    <row r="884">
      <c r="X884" s="88" t="str">
        <f t="array" ref="X884">_xlfn.XLOOKUP("Other",Stock1!A884,Stock1!I884,"")</f>
        <v/>
      </c>
      <c r="Y884" s="95" t="str">
        <f t="array" ref="Y884">_xlfn.XLOOKUP(X884,Stock1!I884,Stock1!F884,"")</f>
        <v/>
      </c>
      <c r="Z884" s="95" t="str">
        <f t="array" ref="Z884">_xlfn.XLOOKUP(X884,Stock1!I884,Stock1!J884,"")</f>
        <v/>
      </c>
      <c r="AA884" s="102" t="str">
        <f t="array" ref="AA884">_xlfn.XLOOKUP(Y884,DATAPremium!A:A,DATAPremium!C:C,"")</f>
        <v/>
      </c>
    </row>
    <row r="885">
      <c r="X885" s="88" t="str">
        <f t="array" ref="X885">_xlfn.XLOOKUP("Other",Stock1!A885,Stock1!I885,"")</f>
        <v/>
      </c>
      <c r="Y885" s="95" t="str">
        <f t="array" ref="Y885">_xlfn.XLOOKUP(X885,Stock1!I885,Stock1!F885,"")</f>
        <v/>
      </c>
      <c r="Z885" s="95" t="str">
        <f t="array" ref="Z885">_xlfn.XLOOKUP(X885,Stock1!I885,Stock1!J885,"")</f>
        <v/>
      </c>
      <c r="AA885" s="102" t="str">
        <f t="array" ref="AA885">_xlfn.XLOOKUP(Y885,DATAPremium!A:A,DATAPremium!C:C,"")</f>
        <v/>
      </c>
    </row>
    <row r="886">
      <c r="X886" s="88" t="str">
        <f t="array" ref="X886">_xlfn.XLOOKUP("Other",Stock1!A886,Stock1!I886,"")</f>
        <v/>
      </c>
      <c r="Y886" s="95" t="str">
        <f t="array" ref="Y886">_xlfn.XLOOKUP(X886,Stock1!I886,Stock1!F886,"")</f>
        <v/>
      </c>
      <c r="Z886" s="95" t="str">
        <f t="array" ref="Z886">_xlfn.XLOOKUP(X886,Stock1!I886,Stock1!J886,"")</f>
        <v/>
      </c>
      <c r="AA886" s="102" t="str">
        <f t="array" ref="AA886">_xlfn.XLOOKUP(Y886,DATAPremium!A:A,DATAPremium!C:C,"")</f>
        <v/>
      </c>
    </row>
    <row r="887">
      <c r="X887" s="88" t="str">
        <f t="array" ref="X887">_xlfn.XLOOKUP("Other",Stock1!A887,Stock1!I887,"")</f>
        <v/>
      </c>
      <c r="Y887" s="95" t="str">
        <f t="array" ref="Y887">_xlfn.XLOOKUP(X887,Stock1!I887,Stock1!F887,"")</f>
        <v/>
      </c>
      <c r="Z887" s="95" t="str">
        <f t="array" ref="Z887">_xlfn.XLOOKUP(X887,Stock1!I887,Stock1!J887,"")</f>
        <v/>
      </c>
      <c r="AA887" s="102" t="str">
        <f t="array" ref="AA887">_xlfn.XLOOKUP(Y887,DATAPremium!A:A,DATAPremium!C:C,"")</f>
        <v/>
      </c>
    </row>
    <row r="888">
      <c r="X888" s="88" t="str">
        <f t="array" ref="X888">_xlfn.XLOOKUP("Other",Stock1!A888,Stock1!I888,"")</f>
        <v/>
      </c>
      <c r="Y888" s="95" t="str">
        <f t="array" ref="Y888">_xlfn.XLOOKUP(X888,Stock1!I888,Stock1!F888,"")</f>
        <v/>
      </c>
      <c r="Z888" s="95" t="str">
        <f t="array" ref="Z888">_xlfn.XLOOKUP(X888,Stock1!I888,Stock1!J888,"")</f>
        <v/>
      </c>
      <c r="AA888" s="102" t="str">
        <f t="array" ref="AA888">_xlfn.XLOOKUP(Y888,DATAPremium!A:A,DATAPremium!C:C,"")</f>
        <v/>
      </c>
    </row>
    <row r="889">
      <c r="X889" s="88" t="str">
        <f t="array" ref="X889">_xlfn.XLOOKUP("Other",Stock1!A889,Stock1!I889,"")</f>
        <v/>
      </c>
      <c r="Y889" s="95" t="str">
        <f t="array" ref="Y889">_xlfn.XLOOKUP(X889,Stock1!I889,Stock1!F889,"")</f>
        <v/>
      </c>
      <c r="Z889" s="95" t="str">
        <f t="array" ref="Z889">_xlfn.XLOOKUP(X889,Stock1!I889,Stock1!J889,"")</f>
        <v/>
      </c>
      <c r="AA889" s="102" t="str">
        <f t="array" ref="AA889">_xlfn.XLOOKUP(Y889,DATAPremium!A:A,DATAPremium!C:C,"")</f>
        <v/>
      </c>
    </row>
    <row r="890">
      <c r="X890" s="88" t="str">
        <f t="array" ref="X890">_xlfn.XLOOKUP("Other",Stock1!A890,Stock1!I890,"")</f>
        <v/>
      </c>
      <c r="Y890" s="95" t="str">
        <f t="array" ref="Y890">_xlfn.XLOOKUP(X890,Stock1!I890,Stock1!F890,"")</f>
        <v/>
      </c>
      <c r="Z890" s="95" t="str">
        <f t="array" ref="Z890">_xlfn.XLOOKUP(X890,Stock1!I890,Stock1!J890,"")</f>
        <v/>
      </c>
      <c r="AA890" s="102" t="str">
        <f t="array" ref="AA890">_xlfn.XLOOKUP(Y890,DATAPremium!A:A,DATAPremium!C:C,"")</f>
        <v/>
      </c>
    </row>
    <row r="891">
      <c r="X891" s="88" t="str">
        <f t="array" ref="X891">_xlfn.XLOOKUP("Other",Stock1!A891,Stock1!I891,"")</f>
        <v/>
      </c>
      <c r="Y891" s="95" t="str">
        <f t="array" ref="Y891">_xlfn.XLOOKUP(X891,Stock1!I891,Stock1!F891,"")</f>
        <v/>
      </c>
      <c r="Z891" s="95" t="str">
        <f t="array" ref="Z891">_xlfn.XLOOKUP(X891,Stock1!I891,Stock1!J891,"")</f>
        <v/>
      </c>
      <c r="AA891" s="102" t="str">
        <f t="array" ref="AA891">_xlfn.XLOOKUP(Y891,DATAPremium!A:A,DATAPremium!C:C,"")</f>
        <v/>
      </c>
    </row>
    <row r="892">
      <c r="X892" s="88" t="str">
        <f t="array" ref="X892">_xlfn.XLOOKUP("Other",Stock1!A892,Stock1!I892,"")</f>
        <v/>
      </c>
      <c r="Y892" s="95" t="str">
        <f t="array" ref="Y892">_xlfn.XLOOKUP(X892,Stock1!I892,Stock1!F892,"")</f>
        <v/>
      </c>
      <c r="Z892" s="95" t="str">
        <f t="array" ref="Z892">_xlfn.XLOOKUP(X892,Stock1!I892,Stock1!J892,"")</f>
        <v/>
      </c>
      <c r="AA892" s="102" t="str">
        <f t="array" ref="AA892">_xlfn.XLOOKUP(Y892,DATAPremium!A:A,DATAPremium!C:C,"")</f>
        <v/>
      </c>
    </row>
    <row r="893">
      <c r="X893" s="88" t="str">
        <f t="array" ref="X893">_xlfn.XLOOKUP("Other",Stock1!A893,Stock1!I893,"")</f>
        <v/>
      </c>
      <c r="Y893" s="95" t="str">
        <f t="array" ref="Y893">_xlfn.XLOOKUP(X893,Stock1!I893,Stock1!F893,"")</f>
        <v/>
      </c>
      <c r="Z893" s="95" t="str">
        <f t="array" ref="Z893">_xlfn.XLOOKUP(X893,Stock1!I893,Stock1!J893,"")</f>
        <v/>
      </c>
      <c r="AA893" s="102" t="str">
        <f t="array" ref="AA893">_xlfn.XLOOKUP(Y893,DATAPremium!A:A,DATAPremium!C:C,"")</f>
        <v/>
      </c>
    </row>
    <row r="894">
      <c r="X894" s="88" t="str">
        <f t="array" ref="X894">_xlfn.XLOOKUP("Other",Stock1!A894,Stock1!I894,"")</f>
        <v/>
      </c>
      <c r="Y894" s="95" t="str">
        <f t="array" ref="Y894">_xlfn.XLOOKUP(X894,Stock1!I894,Stock1!F894,"")</f>
        <v/>
      </c>
      <c r="Z894" s="95" t="str">
        <f t="array" ref="Z894">_xlfn.XLOOKUP(X894,Stock1!I894,Stock1!J894,"")</f>
        <v/>
      </c>
      <c r="AA894" s="102" t="str">
        <f t="array" ref="AA894">_xlfn.XLOOKUP(Y894,DATAPremium!A:A,DATAPremium!C:C,"")</f>
        <v/>
      </c>
    </row>
    <row r="895">
      <c r="X895" s="88" t="str">
        <f t="array" ref="X895">_xlfn.XLOOKUP("Other",Stock1!A895,Stock1!I895,"")</f>
        <v/>
      </c>
      <c r="Y895" s="95" t="str">
        <f t="array" ref="Y895">_xlfn.XLOOKUP(X895,Stock1!I895,Stock1!F895,"")</f>
        <v/>
      </c>
      <c r="Z895" s="95" t="str">
        <f t="array" ref="Z895">_xlfn.XLOOKUP(X895,Stock1!I895,Stock1!J895,"")</f>
        <v/>
      </c>
      <c r="AA895" s="102" t="str">
        <f t="array" ref="AA895">_xlfn.XLOOKUP(Y895,DATAPremium!A:A,DATAPremium!C:C,"")</f>
        <v/>
      </c>
    </row>
    <row r="896">
      <c r="X896" s="88" t="str">
        <f t="array" ref="X896">_xlfn.XLOOKUP("Other",Stock1!A896,Stock1!I896,"")</f>
        <v/>
      </c>
      <c r="Y896" s="95" t="str">
        <f t="array" ref="Y896">_xlfn.XLOOKUP(X896,Stock1!I896,Stock1!F896,"")</f>
        <v/>
      </c>
      <c r="Z896" s="95" t="str">
        <f t="array" ref="Z896">_xlfn.XLOOKUP(X896,Stock1!I896,Stock1!J896,"")</f>
        <v/>
      </c>
      <c r="AA896" s="102" t="str">
        <f t="array" ref="AA896">_xlfn.XLOOKUP(Y896,DATAPremium!A:A,DATAPremium!C:C,"")</f>
        <v/>
      </c>
    </row>
    <row r="897">
      <c r="X897" s="88" t="str">
        <f t="array" ref="X897">_xlfn.XLOOKUP("Other",Stock1!A897,Stock1!I897,"")</f>
        <v/>
      </c>
      <c r="Y897" s="95" t="str">
        <f t="array" ref="Y897">_xlfn.XLOOKUP(X897,Stock1!I897,Stock1!F897,"")</f>
        <v/>
      </c>
      <c r="Z897" s="95" t="str">
        <f t="array" ref="Z897">_xlfn.XLOOKUP(X897,Stock1!I897,Stock1!J897,"")</f>
        <v/>
      </c>
      <c r="AA897" s="102" t="str">
        <f t="array" ref="AA897">_xlfn.XLOOKUP(Y897,DATAPremium!A:A,DATAPremium!C:C,"")</f>
        <v/>
      </c>
    </row>
    <row r="898">
      <c r="X898" s="88" t="str">
        <f t="array" ref="X898">_xlfn.XLOOKUP("Other",Stock1!A898,Stock1!I898,"")</f>
        <v/>
      </c>
      <c r="Y898" s="95" t="str">
        <f t="array" ref="Y898">_xlfn.XLOOKUP(X898,Stock1!I898,Stock1!F898,"")</f>
        <v/>
      </c>
      <c r="Z898" s="95" t="str">
        <f t="array" ref="Z898">_xlfn.XLOOKUP(X898,Stock1!I898,Stock1!J898,"")</f>
        <v/>
      </c>
      <c r="AA898" s="102" t="str">
        <f t="array" ref="AA898">_xlfn.XLOOKUP(Y898,DATAPremium!A:A,DATAPremium!C:C,"")</f>
        <v/>
      </c>
    </row>
    <row r="899">
      <c r="X899" s="88" t="str">
        <f t="array" ref="X899">_xlfn.XLOOKUP("Other",Stock1!A899,Stock1!I899,"")</f>
        <v/>
      </c>
      <c r="Y899" s="95" t="str">
        <f t="array" ref="Y899">_xlfn.XLOOKUP(X899,Stock1!I899,Stock1!F899,"")</f>
        <v/>
      </c>
      <c r="Z899" s="95" t="str">
        <f t="array" ref="Z899">_xlfn.XLOOKUP(X899,Stock1!I899,Stock1!J899,"")</f>
        <v/>
      </c>
      <c r="AA899" s="102" t="str">
        <f t="array" ref="AA899">_xlfn.XLOOKUP(Y899,DATAPremium!A:A,DATAPremium!C:C,"")</f>
        <v/>
      </c>
    </row>
    <row r="900">
      <c r="X900" s="88" t="str">
        <f t="array" ref="X900">_xlfn.XLOOKUP("Other",Stock1!A900,Stock1!I900,"")</f>
        <v/>
      </c>
      <c r="Y900" s="95" t="str">
        <f t="array" ref="Y900">_xlfn.XLOOKUP(X900,Stock1!I900,Stock1!F900,"")</f>
        <v/>
      </c>
      <c r="Z900" s="95" t="str">
        <f t="array" ref="Z900">_xlfn.XLOOKUP(X900,Stock1!I900,Stock1!J900,"")</f>
        <v/>
      </c>
      <c r="AA900" s="102" t="str">
        <f t="array" ref="AA900">_xlfn.XLOOKUP(Y900,DATAPremium!A:A,DATAPremium!C:C,"")</f>
        <v/>
      </c>
    </row>
    <row r="901">
      <c r="X901" s="88" t="str">
        <f t="array" ref="X901">_xlfn.XLOOKUP("Other",Stock1!A901,Stock1!I901,"")</f>
        <v/>
      </c>
      <c r="Y901" s="95" t="str">
        <f t="array" ref="Y901">_xlfn.XLOOKUP(X901,Stock1!I901,Stock1!F901,"")</f>
        <v/>
      </c>
      <c r="Z901" s="95" t="str">
        <f t="array" ref="Z901">_xlfn.XLOOKUP(X901,Stock1!I901,Stock1!J901,"")</f>
        <v/>
      </c>
      <c r="AA901" s="102" t="str">
        <f t="array" ref="AA901">_xlfn.XLOOKUP(Y901,DATAPremium!A:A,DATAPremium!C:C,"")</f>
        <v/>
      </c>
    </row>
    <row r="902">
      <c r="X902" s="88" t="str">
        <f t="array" ref="X902">_xlfn.XLOOKUP("Other",Stock1!A902,Stock1!I902,"")</f>
        <v/>
      </c>
      <c r="Y902" s="95" t="str">
        <f t="array" ref="Y902">_xlfn.XLOOKUP(X902,Stock1!I902,Stock1!F902,"")</f>
        <v/>
      </c>
      <c r="Z902" s="95" t="str">
        <f t="array" ref="Z902">_xlfn.XLOOKUP(X902,Stock1!I902,Stock1!J902,"")</f>
        <v/>
      </c>
      <c r="AA902" s="102" t="str">
        <f t="array" ref="AA902">_xlfn.XLOOKUP(Y902,DATAPremium!A:A,DATAPremium!C:C,"")</f>
        <v/>
      </c>
    </row>
    <row r="903">
      <c r="X903" s="88" t="str">
        <f t="array" ref="X903">_xlfn.XLOOKUP("Other",Stock1!A903,Stock1!I903,"")</f>
        <v/>
      </c>
      <c r="Y903" s="95" t="str">
        <f t="array" ref="Y903">_xlfn.XLOOKUP(X903,Stock1!I903,Stock1!F903,"")</f>
        <v/>
      </c>
      <c r="Z903" s="95" t="str">
        <f t="array" ref="Z903">_xlfn.XLOOKUP(X903,Stock1!I903,Stock1!J903,"")</f>
        <v/>
      </c>
      <c r="AA903" s="102" t="str">
        <f t="array" ref="AA903">_xlfn.XLOOKUP(Y903,DATAPremium!A:A,DATAPremium!C:C,"")</f>
        <v/>
      </c>
    </row>
    <row r="904">
      <c r="X904" s="88" t="str">
        <f t="array" ref="X904">_xlfn.XLOOKUP("Other",Stock1!A904,Stock1!I904,"")</f>
        <v/>
      </c>
      <c r="Y904" s="95" t="str">
        <f t="array" ref="Y904">_xlfn.XLOOKUP(X904,Stock1!I904,Stock1!F904,"")</f>
        <v/>
      </c>
      <c r="Z904" s="95" t="str">
        <f t="array" ref="Z904">_xlfn.XLOOKUP(X904,Stock1!I904,Stock1!J904,"")</f>
        <v/>
      </c>
      <c r="AA904" s="102" t="str">
        <f t="array" ref="AA904">_xlfn.XLOOKUP(Y904,DATAPremium!A:A,DATAPremium!C:C,"")</f>
        <v/>
      </c>
    </row>
    <row r="905">
      <c r="X905" s="88" t="str">
        <f t="array" ref="X905">_xlfn.XLOOKUP("Other",Stock1!A905,Stock1!I905,"")</f>
        <v/>
      </c>
      <c r="Y905" s="95" t="str">
        <f t="array" ref="Y905">_xlfn.XLOOKUP(X905,Stock1!I905,Stock1!F905,"")</f>
        <v/>
      </c>
      <c r="Z905" s="95" t="str">
        <f t="array" ref="Z905">_xlfn.XLOOKUP(X905,Stock1!I905,Stock1!J905,"")</f>
        <v/>
      </c>
      <c r="AA905" s="102" t="str">
        <f t="array" ref="AA905">_xlfn.XLOOKUP(Y905,DATAPremium!A:A,DATAPremium!C:C,"")</f>
        <v/>
      </c>
    </row>
    <row r="906">
      <c r="X906" s="88" t="str">
        <f t="array" ref="X906">_xlfn.XLOOKUP("Other",Stock1!A906,Stock1!I906,"")</f>
        <v/>
      </c>
      <c r="Y906" s="95" t="str">
        <f t="array" ref="Y906">_xlfn.XLOOKUP(X906,Stock1!I906,Stock1!F906,"")</f>
        <v/>
      </c>
      <c r="Z906" s="95" t="str">
        <f t="array" ref="Z906">_xlfn.XLOOKUP(X906,Stock1!I906,Stock1!J906,"")</f>
        <v/>
      </c>
      <c r="AA906" s="102" t="str">
        <f t="array" ref="AA906">_xlfn.XLOOKUP(Y906,DATAPremium!A:A,DATAPremium!C:C,"")</f>
        <v/>
      </c>
    </row>
    <row r="907">
      <c r="X907" s="88" t="str">
        <f t="array" ref="X907">_xlfn.XLOOKUP("Other",Stock1!A907,Stock1!I907,"")</f>
        <v/>
      </c>
      <c r="Y907" s="95" t="str">
        <f t="array" ref="Y907">_xlfn.XLOOKUP(X907,Stock1!I907,Stock1!F907,"")</f>
        <v/>
      </c>
      <c r="Z907" s="95" t="str">
        <f t="array" ref="Z907">_xlfn.XLOOKUP(X907,Stock1!I907,Stock1!J907,"")</f>
        <v/>
      </c>
      <c r="AA907" s="102" t="str">
        <f t="array" ref="AA907">_xlfn.XLOOKUP(Y907,DATAPremium!A:A,DATAPremium!C:C,"")</f>
        <v/>
      </c>
    </row>
    <row r="908">
      <c r="X908" s="88" t="str">
        <f t="array" ref="X908">_xlfn.XLOOKUP("Other",Stock1!A908,Stock1!I908,"")</f>
        <v/>
      </c>
      <c r="Y908" s="95" t="str">
        <f t="array" ref="Y908">_xlfn.XLOOKUP(X908,Stock1!I908,Stock1!F908,"")</f>
        <v/>
      </c>
      <c r="Z908" s="95" t="str">
        <f t="array" ref="Z908">_xlfn.XLOOKUP(X908,Stock1!I908,Stock1!J908,"")</f>
        <v/>
      </c>
      <c r="AA908" s="102" t="str">
        <f t="array" ref="AA908">_xlfn.XLOOKUP(Y908,DATAPremium!A:A,DATAPremium!C:C,"")</f>
        <v/>
      </c>
    </row>
    <row r="909">
      <c r="X909" s="88" t="str">
        <f t="array" ref="X909">_xlfn.XLOOKUP("Other",Stock1!A909,Stock1!I909,"")</f>
        <v/>
      </c>
      <c r="Y909" s="95" t="str">
        <f t="array" ref="Y909">_xlfn.XLOOKUP(X909,Stock1!I909,Stock1!F909,"")</f>
        <v/>
      </c>
      <c r="Z909" s="95" t="str">
        <f t="array" ref="Z909">_xlfn.XLOOKUP(X909,Stock1!I909,Stock1!J909,"")</f>
        <v/>
      </c>
      <c r="AA909" s="102" t="str">
        <f t="array" ref="AA909">_xlfn.XLOOKUP(Y909,DATAPremium!A:A,DATAPremium!C:C,"")</f>
        <v/>
      </c>
    </row>
    <row r="910">
      <c r="X910" s="88" t="str">
        <f t="array" ref="X910">_xlfn.XLOOKUP("Other",Stock1!A910,Stock1!I910,"")</f>
        <v/>
      </c>
      <c r="Y910" s="95" t="str">
        <f t="array" ref="Y910">_xlfn.XLOOKUP(X910,Stock1!I910,Stock1!F910,"")</f>
        <v/>
      </c>
      <c r="Z910" s="95" t="str">
        <f t="array" ref="Z910">_xlfn.XLOOKUP(X910,Stock1!I910,Stock1!J910,"")</f>
        <v/>
      </c>
      <c r="AA910" s="102" t="str">
        <f t="array" ref="AA910">_xlfn.XLOOKUP(Y910,DATAPremium!A:A,DATAPremium!C:C,"")</f>
        <v/>
      </c>
    </row>
    <row r="911">
      <c r="X911" s="88" t="str">
        <f t="array" ref="X911">_xlfn.XLOOKUP("Other",Stock1!A911,Stock1!I911,"")</f>
        <v/>
      </c>
      <c r="Y911" s="95" t="str">
        <f t="array" ref="Y911">_xlfn.XLOOKUP(X911,Stock1!I911,Stock1!F911,"")</f>
        <v/>
      </c>
      <c r="Z911" s="95" t="str">
        <f t="array" ref="Z911">_xlfn.XLOOKUP(X911,Stock1!I911,Stock1!J911,"")</f>
        <v/>
      </c>
      <c r="AA911" s="102" t="str">
        <f t="array" ref="AA911">_xlfn.XLOOKUP(Y911,DATAPremium!A:A,DATAPremium!C:C,"")</f>
        <v/>
      </c>
    </row>
    <row r="912">
      <c r="X912" s="88" t="str">
        <f t="array" ref="X912">_xlfn.XLOOKUP("Other",Stock1!A912,Stock1!I912,"")</f>
        <v/>
      </c>
      <c r="Y912" s="95" t="str">
        <f t="array" ref="Y912">_xlfn.XLOOKUP(X912,Stock1!I912,Stock1!F912,"")</f>
        <v/>
      </c>
      <c r="Z912" s="95" t="str">
        <f t="array" ref="Z912">_xlfn.XLOOKUP(X912,Stock1!I912,Stock1!J912,"")</f>
        <v/>
      </c>
      <c r="AA912" s="102" t="str">
        <f t="array" ref="AA912">_xlfn.XLOOKUP(Y912,DATAPremium!A:A,DATAPremium!C:C,"")</f>
        <v/>
      </c>
    </row>
    <row r="913">
      <c r="X913" s="88" t="str">
        <f t="array" ref="X913">_xlfn.XLOOKUP("Other",Stock1!A913,Stock1!I913,"")</f>
        <v/>
      </c>
      <c r="Y913" s="95" t="str">
        <f t="array" ref="Y913">_xlfn.XLOOKUP(X913,Stock1!I913,Stock1!F913,"")</f>
        <v/>
      </c>
      <c r="Z913" s="95" t="str">
        <f t="array" ref="Z913">_xlfn.XLOOKUP(X913,Stock1!I913,Stock1!J913,"")</f>
        <v/>
      </c>
      <c r="AA913" s="102" t="str">
        <f t="array" ref="AA913">_xlfn.XLOOKUP(Y913,DATAPremium!A:A,DATAPremium!C:C,"")</f>
        <v/>
      </c>
    </row>
    <row r="914">
      <c r="X914" s="88" t="str">
        <f t="array" ref="X914">_xlfn.XLOOKUP("Other",Stock1!A914,Stock1!I914,"")</f>
        <v/>
      </c>
      <c r="Y914" s="95" t="str">
        <f t="array" ref="Y914">_xlfn.XLOOKUP(X914,Stock1!I914,Stock1!F914,"")</f>
        <v/>
      </c>
      <c r="Z914" s="95" t="str">
        <f t="array" ref="Z914">_xlfn.XLOOKUP(X914,Stock1!I914,Stock1!J914,"")</f>
        <v/>
      </c>
      <c r="AA914" s="102" t="str">
        <f t="array" ref="AA914">_xlfn.XLOOKUP(Y914,DATAPremium!A:A,DATAPremium!C:C,"")</f>
        <v/>
      </c>
    </row>
    <row r="915">
      <c r="X915" s="88" t="str">
        <f t="array" ref="X915">_xlfn.XLOOKUP("Other",Stock1!A915,Stock1!I915,"")</f>
        <v/>
      </c>
      <c r="Y915" s="95" t="str">
        <f t="array" ref="Y915">_xlfn.XLOOKUP(X915,Stock1!I915,Stock1!F915,"")</f>
        <v/>
      </c>
      <c r="Z915" s="95" t="str">
        <f t="array" ref="Z915">_xlfn.XLOOKUP(X915,Stock1!I915,Stock1!J915,"")</f>
        <v/>
      </c>
      <c r="AA915" s="102" t="str">
        <f t="array" ref="AA915">_xlfn.XLOOKUP(Y915,DATAPremium!A:A,DATAPremium!C:C,"")</f>
        <v/>
      </c>
    </row>
    <row r="916">
      <c r="X916" s="88" t="str">
        <f t="array" ref="X916">_xlfn.XLOOKUP("Other",Stock1!A916,Stock1!I916,"")</f>
        <v/>
      </c>
      <c r="Y916" s="95" t="str">
        <f t="array" ref="Y916">_xlfn.XLOOKUP(X916,Stock1!I916,Stock1!F916,"")</f>
        <v/>
      </c>
      <c r="Z916" s="95" t="str">
        <f t="array" ref="Z916">_xlfn.XLOOKUP(X916,Stock1!I916,Stock1!J916,"")</f>
        <v/>
      </c>
      <c r="AA916" s="102" t="str">
        <f t="array" ref="AA916">_xlfn.XLOOKUP(Y916,DATAPremium!A:A,DATAPremium!C:C,"")</f>
        <v/>
      </c>
    </row>
    <row r="917">
      <c r="X917" s="88" t="str">
        <f t="array" ref="X917">_xlfn.XLOOKUP("Other",Stock1!A917,Stock1!I917,"")</f>
        <v/>
      </c>
      <c r="Y917" s="95" t="str">
        <f t="array" ref="Y917">_xlfn.XLOOKUP(X917,Stock1!I917,Stock1!F917,"")</f>
        <v/>
      </c>
      <c r="Z917" s="95" t="str">
        <f t="array" ref="Z917">_xlfn.XLOOKUP(X917,Stock1!I917,Stock1!J917,"")</f>
        <v/>
      </c>
      <c r="AA917" s="102" t="str">
        <f t="array" ref="AA917">_xlfn.XLOOKUP(Y917,DATAPremium!A:A,DATAPremium!C:C,"")</f>
        <v/>
      </c>
    </row>
    <row r="918">
      <c r="X918" s="88" t="str">
        <f t="array" ref="X918">_xlfn.XLOOKUP("Other",Stock1!A918,Stock1!I918,"")</f>
        <v/>
      </c>
      <c r="Y918" s="95" t="str">
        <f t="array" ref="Y918">_xlfn.XLOOKUP(X918,Stock1!I918,Stock1!F918,"")</f>
        <v/>
      </c>
      <c r="Z918" s="95" t="str">
        <f t="array" ref="Z918">_xlfn.XLOOKUP(X918,Stock1!I918,Stock1!J918,"")</f>
        <v/>
      </c>
      <c r="AA918" s="102" t="str">
        <f t="array" ref="AA918">_xlfn.XLOOKUP(Y918,DATAPremium!A:A,DATAPremium!C:C,"")</f>
        <v/>
      </c>
    </row>
    <row r="919">
      <c r="X919" s="88" t="str">
        <f t="array" ref="X919">_xlfn.XLOOKUP("Other",Stock1!A919,Stock1!I919,"")</f>
        <v/>
      </c>
      <c r="Y919" s="95" t="str">
        <f t="array" ref="Y919">_xlfn.XLOOKUP(X919,Stock1!I919,Stock1!F919,"")</f>
        <v/>
      </c>
      <c r="Z919" s="95" t="str">
        <f t="array" ref="Z919">_xlfn.XLOOKUP(X919,Stock1!I919,Stock1!J919,"")</f>
        <v/>
      </c>
      <c r="AA919" s="102" t="str">
        <f t="array" ref="AA919">_xlfn.XLOOKUP(Y919,DATAPremium!A:A,DATAPremium!C:C,"")</f>
        <v/>
      </c>
    </row>
    <row r="920">
      <c r="X920" s="88" t="str">
        <f t="array" ref="X920">_xlfn.XLOOKUP("Other",Stock1!A920,Stock1!I920,"")</f>
        <v/>
      </c>
      <c r="Y920" s="95" t="str">
        <f t="array" ref="Y920">_xlfn.XLOOKUP(X920,Stock1!I920,Stock1!F920,"")</f>
        <v/>
      </c>
      <c r="Z920" s="95" t="str">
        <f t="array" ref="Z920">_xlfn.XLOOKUP(X920,Stock1!I920,Stock1!J920,"")</f>
        <v/>
      </c>
      <c r="AA920" s="102" t="str">
        <f t="array" ref="AA920">_xlfn.XLOOKUP(Y920,DATAPremium!A:A,DATAPremium!C:C,"")</f>
        <v/>
      </c>
    </row>
    <row r="921">
      <c r="X921" s="88" t="str">
        <f t="array" ref="X921">_xlfn.XLOOKUP("Other",Stock1!A921,Stock1!I921,"")</f>
        <v/>
      </c>
      <c r="Y921" s="95" t="str">
        <f t="array" ref="Y921">_xlfn.XLOOKUP(X921,Stock1!I921,Stock1!F921,"")</f>
        <v/>
      </c>
      <c r="Z921" s="95" t="str">
        <f t="array" ref="Z921">_xlfn.XLOOKUP(X921,Stock1!I921,Stock1!J921,"")</f>
        <v/>
      </c>
      <c r="AA921" s="102" t="str">
        <f t="array" ref="AA921">_xlfn.XLOOKUP(Y921,DATAPremium!A:A,DATAPremium!C:C,"")</f>
        <v/>
      </c>
    </row>
    <row r="922">
      <c r="X922" s="88" t="str">
        <f t="array" ref="X922">_xlfn.XLOOKUP("Other",Stock1!A922,Stock1!I922,"")</f>
        <v/>
      </c>
      <c r="Y922" s="95" t="str">
        <f t="array" ref="Y922">_xlfn.XLOOKUP(X922,Stock1!I922,Stock1!F922,"")</f>
        <v/>
      </c>
      <c r="Z922" s="95" t="str">
        <f t="array" ref="Z922">_xlfn.XLOOKUP(X922,Stock1!I922,Stock1!J922,"")</f>
        <v/>
      </c>
      <c r="AA922" s="102" t="str">
        <f t="array" ref="AA922">_xlfn.XLOOKUP(Y922,DATAPremium!A:A,DATAPremium!C:C,"")</f>
        <v/>
      </c>
    </row>
    <row r="923">
      <c r="X923" s="88" t="str">
        <f t="array" ref="X923">_xlfn.XLOOKUP("Other",Stock1!A923,Stock1!I923,"")</f>
        <v/>
      </c>
      <c r="Y923" s="95" t="str">
        <f t="array" ref="Y923">_xlfn.XLOOKUP(X923,Stock1!I923,Stock1!F923,"")</f>
        <v/>
      </c>
      <c r="Z923" s="95" t="str">
        <f t="array" ref="Z923">_xlfn.XLOOKUP(X923,Stock1!I923,Stock1!J923,"")</f>
        <v/>
      </c>
      <c r="AA923" s="102" t="str">
        <f t="array" ref="AA923">_xlfn.XLOOKUP(Y923,DATAPremium!A:A,DATAPremium!C:C,"")</f>
        <v/>
      </c>
    </row>
    <row r="924">
      <c r="X924" s="88" t="str">
        <f t="array" ref="X924">_xlfn.XLOOKUP("Other",Stock1!A924,Stock1!I924,"")</f>
        <v/>
      </c>
      <c r="Y924" s="95" t="str">
        <f t="array" ref="Y924">_xlfn.XLOOKUP(X924,Stock1!I924,Stock1!F924,"")</f>
        <v/>
      </c>
      <c r="Z924" s="95" t="str">
        <f t="array" ref="Z924">_xlfn.XLOOKUP(X924,Stock1!I924,Stock1!J924,"")</f>
        <v/>
      </c>
      <c r="AA924" s="102" t="str">
        <f t="array" ref="AA924">_xlfn.XLOOKUP(Y924,DATAPremium!A:A,DATAPremium!C:C,"")</f>
        <v/>
      </c>
    </row>
    <row r="925">
      <c r="X925" s="88" t="str">
        <f t="array" ref="X925">_xlfn.XLOOKUP("Other",Stock1!A925,Stock1!I925,"")</f>
        <v/>
      </c>
      <c r="Y925" s="95" t="str">
        <f t="array" ref="Y925">_xlfn.XLOOKUP(X925,Stock1!I925,Stock1!F925,"")</f>
        <v/>
      </c>
      <c r="Z925" s="95" t="str">
        <f t="array" ref="Z925">_xlfn.XLOOKUP(X925,Stock1!I925,Stock1!J925,"")</f>
        <v/>
      </c>
      <c r="AA925" s="102" t="str">
        <f t="array" ref="AA925">_xlfn.XLOOKUP(Y925,DATAPremium!A:A,DATAPremium!C:C,"")</f>
        <v/>
      </c>
    </row>
    <row r="926">
      <c r="X926" s="88" t="str">
        <f t="array" ref="X926">_xlfn.XLOOKUP("Other",Stock1!A926,Stock1!I926,"")</f>
        <v/>
      </c>
      <c r="Y926" s="95" t="str">
        <f t="array" ref="Y926">_xlfn.XLOOKUP(X926,Stock1!I926,Stock1!F926,"")</f>
        <v/>
      </c>
      <c r="Z926" s="95" t="str">
        <f t="array" ref="Z926">_xlfn.XLOOKUP(X926,Stock1!I926,Stock1!J926,"")</f>
        <v/>
      </c>
      <c r="AA926" s="102" t="str">
        <f t="array" ref="AA926">_xlfn.XLOOKUP(Y926,DATAPremium!A:A,DATAPremium!C:C,"")</f>
        <v/>
      </c>
    </row>
    <row r="927">
      <c r="X927" s="88" t="str">
        <f t="array" ref="X927">_xlfn.XLOOKUP("Other",Stock1!A927,Stock1!I927,"")</f>
        <v/>
      </c>
      <c r="Y927" s="95" t="str">
        <f t="array" ref="Y927">_xlfn.XLOOKUP(X927,Stock1!I927,Stock1!F927,"")</f>
        <v/>
      </c>
      <c r="Z927" s="95" t="str">
        <f t="array" ref="Z927">_xlfn.XLOOKUP(X927,Stock1!I927,Stock1!J927,"")</f>
        <v/>
      </c>
      <c r="AA927" s="102" t="str">
        <f t="array" ref="AA927">_xlfn.XLOOKUP(Y927,DATAPremium!A:A,DATAPremium!C:C,"")</f>
        <v/>
      </c>
    </row>
    <row r="928">
      <c r="X928" s="88" t="str">
        <f t="array" ref="X928">_xlfn.XLOOKUP("Other",Stock1!A928,Stock1!I928,"")</f>
        <v/>
      </c>
      <c r="Y928" s="95" t="str">
        <f t="array" ref="Y928">_xlfn.XLOOKUP(X928,Stock1!I928,Stock1!F928,"")</f>
        <v/>
      </c>
      <c r="Z928" s="95" t="str">
        <f t="array" ref="Z928">_xlfn.XLOOKUP(X928,Stock1!I928,Stock1!J928,"")</f>
        <v/>
      </c>
      <c r="AA928" s="102" t="str">
        <f t="array" ref="AA928">_xlfn.XLOOKUP(Y928,DATAPremium!A:A,DATAPremium!C:C,"")</f>
        <v/>
      </c>
    </row>
    <row r="929">
      <c r="X929" s="88" t="str">
        <f t="array" ref="X929">_xlfn.XLOOKUP("Other",Stock1!A929,Stock1!I929,"")</f>
        <v/>
      </c>
      <c r="Y929" s="95" t="str">
        <f t="array" ref="Y929">_xlfn.XLOOKUP(X929,Stock1!I929,Stock1!F929,"")</f>
        <v/>
      </c>
      <c r="Z929" s="95" t="str">
        <f t="array" ref="Z929">_xlfn.XLOOKUP(X929,Stock1!I929,Stock1!J929,"")</f>
        <v/>
      </c>
      <c r="AA929" s="102" t="str">
        <f t="array" ref="AA929">_xlfn.XLOOKUP(Y929,DATAPremium!A:A,DATAPremium!C:C,"")</f>
        <v/>
      </c>
    </row>
    <row r="930">
      <c r="X930" s="88" t="str">
        <f t="array" ref="X930">_xlfn.XLOOKUP("Other",Stock1!A930,Stock1!I930,"")</f>
        <v/>
      </c>
      <c r="Y930" s="95" t="str">
        <f t="array" ref="Y930">_xlfn.XLOOKUP(X930,Stock1!I930,Stock1!F930,"")</f>
        <v/>
      </c>
      <c r="Z930" s="95" t="str">
        <f t="array" ref="Z930">_xlfn.XLOOKUP(X930,Stock1!I930,Stock1!J930,"")</f>
        <v/>
      </c>
      <c r="AA930" s="102" t="str">
        <f t="array" ref="AA930">_xlfn.XLOOKUP(Y930,DATAPremium!A:A,DATAPremium!C:C,"")</f>
        <v/>
      </c>
    </row>
    <row r="931">
      <c r="X931" s="88" t="str">
        <f t="array" ref="X931">_xlfn.XLOOKUP("Other",Stock1!A931,Stock1!I931,"")</f>
        <v/>
      </c>
      <c r="Y931" s="95" t="str">
        <f t="array" ref="Y931">_xlfn.XLOOKUP(X931,Stock1!I931,Stock1!F931,"")</f>
        <v/>
      </c>
      <c r="Z931" s="95" t="str">
        <f t="array" ref="Z931">_xlfn.XLOOKUP(X931,Stock1!I931,Stock1!J931,"")</f>
        <v/>
      </c>
      <c r="AA931" s="102" t="str">
        <f t="array" ref="AA931">_xlfn.XLOOKUP(Y931,DATAPremium!A:A,DATAPremium!C:C,"")</f>
        <v/>
      </c>
    </row>
    <row r="932">
      <c r="X932" s="88" t="str">
        <f t="array" ref="X932">_xlfn.XLOOKUP("Other",Stock1!A932,Stock1!I932,"")</f>
        <v/>
      </c>
      <c r="Y932" s="95" t="str">
        <f t="array" ref="Y932">_xlfn.XLOOKUP(X932,Stock1!I932,Stock1!F932,"")</f>
        <v/>
      </c>
      <c r="Z932" s="95" t="str">
        <f t="array" ref="Z932">_xlfn.XLOOKUP(X932,Stock1!I932,Stock1!J932,"")</f>
        <v/>
      </c>
      <c r="AA932" s="102" t="str">
        <f t="array" ref="AA932">_xlfn.XLOOKUP(Y932,DATAPremium!A:A,DATAPremium!C:C,"")</f>
        <v/>
      </c>
    </row>
    <row r="933">
      <c r="X933" s="88" t="str">
        <f t="array" ref="X933">_xlfn.XLOOKUP("Other",Stock1!A933,Stock1!I933,"")</f>
        <v/>
      </c>
      <c r="Y933" s="95" t="str">
        <f t="array" ref="Y933">_xlfn.XLOOKUP(X933,Stock1!I933,Stock1!F933,"")</f>
        <v/>
      </c>
      <c r="Z933" s="95" t="str">
        <f t="array" ref="Z933">_xlfn.XLOOKUP(X933,Stock1!I933,Stock1!J933,"")</f>
        <v/>
      </c>
      <c r="AA933" s="102" t="str">
        <f t="array" ref="AA933">_xlfn.XLOOKUP(Y933,DATAPremium!A:A,DATAPremium!C:C,"")</f>
        <v/>
      </c>
    </row>
    <row r="934">
      <c r="X934" s="88" t="str">
        <f t="array" ref="X934">_xlfn.XLOOKUP("Other",Stock1!A934,Stock1!I934,"")</f>
        <v/>
      </c>
      <c r="Y934" s="95" t="str">
        <f t="array" ref="Y934">_xlfn.XLOOKUP(X934,Stock1!I934,Stock1!F934,"")</f>
        <v/>
      </c>
      <c r="Z934" s="95" t="str">
        <f t="array" ref="Z934">_xlfn.XLOOKUP(X934,Stock1!I934,Stock1!J934,"")</f>
        <v/>
      </c>
      <c r="AA934" s="102" t="str">
        <f t="array" ref="AA934">_xlfn.XLOOKUP(Y934,DATAPremium!A:A,DATAPremium!C:C,"")</f>
        <v/>
      </c>
    </row>
    <row r="935">
      <c r="X935" s="88" t="str">
        <f t="array" ref="X935">_xlfn.XLOOKUP("Other",Stock1!A935,Stock1!I935,"")</f>
        <v/>
      </c>
      <c r="Y935" s="95" t="str">
        <f t="array" ref="Y935">_xlfn.XLOOKUP(X935,Stock1!I935,Stock1!F935,"")</f>
        <v/>
      </c>
      <c r="Z935" s="95" t="str">
        <f t="array" ref="Z935">_xlfn.XLOOKUP(X935,Stock1!I935,Stock1!J935,"")</f>
        <v/>
      </c>
      <c r="AA935" s="102" t="str">
        <f t="array" ref="AA935">_xlfn.XLOOKUP(Y935,DATAPremium!A:A,DATAPremium!C:C,"")</f>
        <v/>
      </c>
    </row>
    <row r="936">
      <c r="X936" s="88" t="str">
        <f t="array" ref="X936">_xlfn.XLOOKUP("Other",Stock1!A936,Stock1!I936,"")</f>
        <v/>
      </c>
      <c r="Y936" s="95" t="str">
        <f t="array" ref="Y936">_xlfn.XLOOKUP(X936,Stock1!I936,Stock1!F936,"")</f>
        <v/>
      </c>
      <c r="Z936" s="95" t="str">
        <f t="array" ref="Z936">_xlfn.XLOOKUP(X936,Stock1!I936,Stock1!J936,"")</f>
        <v/>
      </c>
      <c r="AA936" s="102" t="str">
        <f t="array" ref="AA936">_xlfn.XLOOKUP(Y936,DATAPremium!A:A,DATAPremium!C:C,"")</f>
        <v/>
      </c>
    </row>
    <row r="937">
      <c r="X937" s="88" t="str">
        <f t="array" ref="X937">_xlfn.XLOOKUP("Other",Stock1!A937,Stock1!I937,"")</f>
        <v/>
      </c>
      <c r="Y937" s="95" t="str">
        <f t="array" ref="Y937">_xlfn.XLOOKUP(X937,Stock1!I937,Stock1!F937,"")</f>
        <v/>
      </c>
      <c r="Z937" s="95" t="str">
        <f t="array" ref="Z937">_xlfn.XLOOKUP(X937,Stock1!I937,Stock1!J937,"")</f>
        <v/>
      </c>
      <c r="AA937" s="102" t="str">
        <f t="array" ref="AA937">_xlfn.XLOOKUP(Y937,DATAPremium!A:A,DATAPremium!C:C,"")</f>
        <v/>
      </c>
    </row>
    <row r="938">
      <c r="X938" s="88" t="str">
        <f t="array" ref="X938">_xlfn.XLOOKUP("Other",Stock1!A938,Stock1!I938,"")</f>
        <v/>
      </c>
      <c r="Y938" s="95" t="str">
        <f t="array" ref="Y938">_xlfn.XLOOKUP(X938,Stock1!I938,Stock1!F938,"")</f>
        <v/>
      </c>
      <c r="Z938" s="95" t="str">
        <f t="array" ref="Z938">_xlfn.XLOOKUP(X938,Stock1!I938,Stock1!J938,"")</f>
        <v/>
      </c>
      <c r="AA938" s="102" t="str">
        <f t="array" ref="AA938">_xlfn.XLOOKUP(Y938,DATAPremium!A:A,DATAPremium!C:C,"")</f>
        <v/>
      </c>
    </row>
    <row r="939">
      <c r="X939" s="88" t="str">
        <f t="array" ref="X939">_xlfn.XLOOKUP("Other",Stock1!A939,Stock1!I939,"")</f>
        <v/>
      </c>
      <c r="Y939" s="95" t="str">
        <f t="array" ref="Y939">_xlfn.XLOOKUP(X939,Stock1!I939,Stock1!F939,"")</f>
        <v/>
      </c>
      <c r="Z939" s="95" t="str">
        <f t="array" ref="Z939">_xlfn.XLOOKUP(X939,Stock1!I939,Stock1!J939,"")</f>
        <v/>
      </c>
      <c r="AA939" s="102" t="str">
        <f t="array" ref="AA939">_xlfn.XLOOKUP(Y939,DATAPremium!A:A,DATAPremium!C:C,"")</f>
        <v/>
      </c>
    </row>
    <row r="940">
      <c r="X940" s="88" t="str">
        <f t="array" ref="X940">_xlfn.XLOOKUP("Other",Stock1!A940,Stock1!I940,"")</f>
        <v/>
      </c>
      <c r="Y940" s="95" t="str">
        <f t="array" ref="Y940">_xlfn.XLOOKUP(X940,Stock1!I940,Stock1!F940,"")</f>
        <v/>
      </c>
      <c r="Z940" s="95" t="str">
        <f t="array" ref="Z940">_xlfn.XLOOKUP(X940,Stock1!I940,Stock1!J940,"")</f>
        <v/>
      </c>
      <c r="AA940" s="102" t="str">
        <f t="array" ref="AA940">_xlfn.XLOOKUP(Y940,DATAPremium!A:A,DATAPremium!C:C,"")</f>
        <v/>
      </c>
    </row>
    <row r="941">
      <c r="X941" s="88" t="str">
        <f t="array" ref="X941">_xlfn.XLOOKUP("Other",Stock1!A941,Stock1!I941,"")</f>
        <v/>
      </c>
      <c r="Y941" s="95" t="str">
        <f t="array" ref="Y941">_xlfn.XLOOKUP(X941,Stock1!I941,Stock1!F941,"")</f>
        <v/>
      </c>
      <c r="Z941" s="95" t="str">
        <f t="array" ref="Z941">_xlfn.XLOOKUP(X941,Stock1!I941,Stock1!J941,"")</f>
        <v/>
      </c>
      <c r="AA941" s="102" t="str">
        <f t="array" ref="AA941">_xlfn.XLOOKUP(Y941,DATAPremium!A:A,DATAPremium!C:C,"")</f>
        <v/>
      </c>
    </row>
    <row r="942">
      <c r="X942" s="88" t="str">
        <f t="array" ref="X942">_xlfn.XLOOKUP("Other",Stock1!A942,Stock1!I942,"")</f>
        <v/>
      </c>
      <c r="Y942" s="95" t="str">
        <f t="array" ref="Y942">_xlfn.XLOOKUP(X942,Stock1!I942,Stock1!F942,"")</f>
        <v/>
      </c>
      <c r="Z942" s="95" t="str">
        <f t="array" ref="Z942">_xlfn.XLOOKUP(X942,Stock1!I942,Stock1!J942,"")</f>
        <v/>
      </c>
      <c r="AA942" s="102" t="str">
        <f t="array" ref="AA942">_xlfn.XLOOKUP(Y942,DATAPremium!A:A,DATAPremium!C:C,"")</f>
        <v/>
      </c>
    </row>
    <row r="943">
      <c r="X943" s="88" t="str">
        <f t="array" ref="X943">_xlfn.XLOOKUP("Other",Stock1!A943,Stock1!I943,"")</f>
        <v/>
      </c>
      <c r="Y943" s="95" t="str">
        <f t="array" ref="Y943">_xlfn.XLOOKUP(X943,Stock1!I943,Stock1!F943,"")</f>
        <v/>
      </c>
      <c r="Z943" s="95" t="str">
        <f t="array" ref="Z943">_xlfn.XLOOKUP(X943,Stock1!I943,Stock1!J943,"")</f>
        <v/>
      </c>
      <c r="AA943" s="102" t="str">
        <f t="array" ref="AA943">_xlfn.XLOOKUP(Y943,DATAPremium!A:A,DATAPremium!C:C,"")</f>
        <v/>
      </c>
    </row>
    <row r="944">
      <c r="X944" s="88" t="str">
        <f t="array" ref="X944">_xlfn.XLOOKUP("Other",Stock1!A944,Stock1!I944,"")</f>
        <v/>
      </c>
      <c r="Y944" s="95" t="str">
        <f t="array" ref="Y944">_xlfn.XLOOKUP(X944,Stock1!I944,Stock1!F944,"")</f>
        <v/>
      </c>
      <c r="Z944" s="95" t="str">
        <f t="array" ref="Z944">_xlfn.XLOOKUP(X944,Stock1!I944,Stock1!J944,"")</f>
        <v/>
      </c>
      <c r="AA944" s="102" t="str">
        <f t="array" ref="AA944">_xlfn.XLOOKUP(Y944,DATAPremium!A:A,DATAPremium!C:C,"")</f>
        <v/>
      </c>
    </row>
    <row r="945">
      <c r="X945" s="88" t="str">
        <f t="array" ref="X945">_xlfn.XLOOKUP("Other",Stock1!A945,Stock1!I945,"")</f>
        <v/>
      </c>
      <c r="Y945" s="95" t="str">
        <f t="array" ref="Y945">_xlfn.XLOOKUP(X945,Stock1!I945,Stock1!F945,"")</f>
        <v/>
      </c>
      <c r="Z945" s="95" t="str">
        <f t="array" ref="Z945">_xlfn.XLOOKUP(X945,Stock1!I945,Stock1!J945,"")</f>
        <v/>
      </c>
      <c r="AA945" s="102" t="str">
        <f t="array" ref="AA945">_xlfn.XLOOKUP(Y945,DATAPremium!A:A,DATAPremium!C:C,"")</f>
        <v/>
      </c>
    </row>
    <row r="946">
      <c r="X946" s="88" t="str">
        <f t="array" ref="X946">_xlfn.XLOOKUP("Other",Stock1!A946,Stock1!I946,"")</f>
        <v/>
      </c>
      <c r="Y946" s="95" t="str">
        <f t="array" ref="Y946">_xlfn.XLOOKUP(X946,Stock1!I946,Stock1!F946,"")</f>
        <v/>
      </c>
      <c r="Z946" s="95" t="str">
        <f t="array" ref="Z946">_xlfn.XLOOKUP(X946,Stock1!I946,Stock1!J946,"")</f>
        <v/>
      </c>
      <c r="AA946" s="102" t="str">
        <f t="array" ref="AA946">_xlfn.XLOOKUP(Y946,DATAPremium!A:A,DATAPremium!C:C,"")</f>
        <v/>
      </c>
    </row>
    <row r="947">
      <c r="X947" s="88" t="str">
        <f t="array" ref="X947">_xlfn.XLOOKUP("Other",Stock1!A947,Stock1!I947,"")</f>
        <v/>
      </c>
      <c r="Y947" s="95" t="str">
        <f t="array" ref="Y947">_xlfn.XLOOKUP(X947,Stock1!I947,Stock1!F947,"")</f>
        <v/>
      </c>
      <c r="Z947" s="95" t="str">
        <f t="array" ref="Z947">_xlfn.XLOOKUP(X947,Stock1!I947,Stock1!J947,"")</f>
        <v/>
      </c>
      <c r="AA947" s="102" t="str">
        <f t="array" ref="AA947">_xlfn.XLOOKUP(Y947,DATAPremium!A:A,DATAPremium!C:C,"")</f>
        <v/>
      </c>
    </row>
    <row r="948">
      <c r="X948" s="88" t="str">
        <f t="array" ref="X948">_xlfn.XLOOKUP("Other",Stock1!A948,Stock1!I948,"")</f>
        <v/>
      </c>
      <c r="Y948" s="95" t="str">
        <f t="array" ref="Y948">_xlfn.XLOOKUP(X948,Stock1!I948,Stock1!F948,"")</f>
        <v/>
      </c>
      <c r="Z948" s="95" t="str">
        <f t="array" ref="Z948">_xlfn.XLOOKUP(X948,Stock1!I948,Stock1!J948,"")</f>
        <v/>
      </c>
      <c r="AA948" s="102" t="str">
        <f t="array" ref="AA948">_xlfn.XLOOKUP(Y948,DATAPremium!A:A,DATAPremium!C:C,"")</f>
        <v/>
      </c>
    </row>
    <row r="949">
      <c r="X949" s="88" t="str">
        <f t="array" ref="X949">_xlfn.XLOOKUP("Other",Stock1!A949,Stock1!I949,"")</f>
        <v/>
      </c>
      <c r="Y949" s="95" t="str">
        <f t="array" ref="Y949">_xlfn.XLOOKUP(X949,Stock1!I949,Stock1!F949,"")</f>
        <v/>
      </c>
      <c r="Z949" s="95" t="str">
        <f t="array" ref="Z949">_xlfn.XLOOKUP(X949,Stock1!I949,Stock1!J949,"")</f>
        <v/>
      </c>
      <c r="AA949" s="102" t="str">
        <f t="array" ref="AA949">_xlfn.XLOOKUP(Y949,DATAPremium!A:A,DATAPremium!C:C,"")</f>
        <v/>
      </c>
    </row>
    <row r="950">
      <c r="X950" s="88" t="str">
        <f t="array" ref="X950">_xlfn.XLOOKUP("Other",Stock1!A950,Stock1!I950,"")</f>
        <v/>
      </c>
      <c r="Y950" s="95" t="str">
        <f t="array" ref="Y950">_xlfn.XLOOKUP(X950,Stock1!I950,Stock1!F950,"")</f>
        <v/>
      </c>
      <c r="Z950" s="95" t="str">
        <f t="array" ref="Z950">_xlfn.XLOOKUP(X950,Stock1!I950,Stock1!J950,"")</f>
        <v/>
      </c>
      <c r="AA950" s="102" t="str">
        <f t="array" ref="AA950">_xlfn.XLOOKUP(Y950,DATAPremium!A:A,DATAPremium!C:C,"")</f>
        <v/>
      </c>
    </row>
    <row r="951">
      <c r="X951" s="88" t="str">
        <f t="array" ref="X951">_xlfn.XLOOKUP("Other",Stock1!A951,Stock1!I951,"")</f>
        <v/>
      </c>
      <c r="Y951" s="95" t="str">
        <f t="array" ref="Y951">_xlfn.XLOOKUP(X951,Stock1!I951,Stock1!F951,"")</f>
        <v/>
      </c>
      <c r="Z951" s="95" t="str">
        <f t="array" ref="Z951">_xlfn.XLOOKUP(X951,Stock1!I951,Stock1!J951,"")</f>
        <v/>
      </c>
      <c r="AA951" s="102" t="str">
        <f t="array" ref="AA951">_xlfn.XLOOKUP(Y951,DATAPremium!A:A,DATAPremium!C:C,"")</f>
        <v/>
      </c>
    </row>
    <row r="952">
      <c r="X952" s="88" t="str">
        <f t="array" ref="X952">_xlfn.XLOOKUP("Other",Stock1!A952,Stock1!I952,"")</f>
        <v/>
      </c>
      <c r="Y952" s="95" t="str">
        <f t="array" ref="Y952">_xlfn.XLOOKUP(X952,Stock1!I952,Stock1!F952,"")</f>
        <v/>
      </c>
      <c r="Z952" s="95" t="str">
        <f t="array" ref="Z952">_xlfn.XLOOKUP(X952,Stock1!I952,Stock1!J952,"")</f>
        <v/>
      </c>
      <c r="AA952" s="102" t="str">
        <f t="array" ref="AA952">_xlfn.XLOOKUP(Y952,DATAPremium!A:A,DATAPremium!C:C,"")</f>
        <v/>
      </c>
    </row>
    <row r="953">
      <c r="X953" s="88" t="str">
        <f t="array" ref="X953">_xlfn.XLOOKUP("Other",Stock1!A953,Stock1!I953,"")</f>
        <v/>
      </c>
      <c r="Y953" s="95" t="str">
        <f t="array" ref="Y953">_xlfn.XLOOKUP(X953,Stock1!I953,Stock1!F953,"")</f>
        <v/>
      </c>
      <c r="Z953" s="95" t="str">
        <f t="array" ref="Z953">_xlfn.XLOOKUP(X953,Stock1!I953,Stock1!J953,"")</f>
        <v/>
      </c>
      <c r="AA953" s="102" t="str">
        <f t="array" ref="AA953">_xlfn.XLOOKUP(Y953,DATAPremium!A:A,DATAPremium!C:C,"")</f>
        <v/>
      </c>
    </row>
    <row r="954">
      <c r="X954" s="88" t="str">
        <f t="array" ref="X954">_xlfn.XLOOKUP("Other",Stock1!A954,Stock1!I954,"")</f>
        <v/>
      </c>
      <c r="Y954" s="95" t="str">
        <f t="array" ref="Y954">_xlfn.XLOOKUP(X954,Stock1!I954,Stock1!F954,"")</f>
        <v/>
      </c>
      <c r="Z954" s="95" t="str">
        <f t="array" ref="Z954">_xlfn.XLOOKUP(X954,Stock1!I954,Stock1!J954,"")</f>
        <v/>
      </c>
      <c r="AA954" s="102" t="str">
        <f t="array" ref="AA954">_xlfn.XLOOKUP(Y954,DATAPremium!A:A,DATAPremium!C:C,"")</f>
        <v/>
      </c>
    </row>
    <row r="955">
      <c r="X955" s="88" t="str">
        <f t="array" ref="X955">_xlfn.XLOOKUP("Other",Stock1!A955,Stock1!I955,"")</f>
        <v/>
      </c>
      <c r="Y955" s="95" t="str">
        <f t="array" ref="Y955">_xlfn.XLOOKUP(X955,Stock1!I955,Stock1!F955,"")</f>
        <v/>
      </c>
      <c r="Z955" s="95" t="str">
        <f t="array" ref="Z955">_xlfn.XLOOKUP(X955,Stock1!I955,Stock1!J955,"")</f>
        <v/>
      </c>
      <c r="AA955" s="102" t="str">
        <f t="array" ref="AA955">_xlfn.XLOOKUP(Y955,DATAPremium!A:A,DATAPremium!C:C,"")</f>
        <v/>
      </c>
    </row>
    <row r="956">
      <c r="X956" s="88" t="str">
        <f t="array" ref="X956">_xlfn.XLOOKUP("Other",Stock1!A956,Stock1!I956,"")</f>
        <v/>
      </c>
      <c r="Y956" s="95" t="str">
        <f t="array" ref="Y956">_xlfn.XLOOKUP(X956,Stock1!I956,Stock1!F956,"")</f>
        <v/>
      </c>
      <c r="Z956" s="95" t="str">
        <f t="array" ref="Z956">_xlfn.XLOOKUP(X956,Stock1!I956,Stock1!J956,"")</f>
        <v/>
      </c>
      <c r="AA956" s="102" t="str">
        <f t="array" ref="AA956">_xlfn.XLOOKUP(Y956,DATAPremium!A:A,DATAPremium!C:C,"")</f>
        <v/>
      </c>
    </row>
    <row r="957">
      <c r="X957" s="88" t="str">
        <f t="array" ref="X957">_xlfn.XLOOKUP("Other",Stock1!A957,Stock1!I957,"")</f>
        <v/>
      </c>
      <c r="Y957" s="95" t="str">
        <f t="array" ref="Y957">_xlfn.XLOOKUP(X957,Stock1!I957,Stock1!F957,"")</f>
        <v/>
      </c>
      <c r="Z957" s="95" t="str">
        <f t="array" ref="Z957">_xlfn.XLOOKUP(X957,Stock1!I957,Stock1!J957,"")</f>
        <v/>
      </c>
      <c r="AA957" s="102" t="str">
        <f t="array" ref="AA957">_xlfn.XLOOKUP(Y957,DATAPremium!A:A,DATAPremium!C:C,"")</f>
        <v/>
      </c>
    </row>
    <row r="958">
      <c r="X958" s="88" t="str">
        <f t="array" ref="X958">_xlfn.XLOOKUP("Other",Stock1!A958,Stock1!I958,"")</f>
        <v/>
      </c>
      <c r="Y958" s="95" t="str">
        <f t="array" ref="Y958">_xlfn.XLOOKUP(X958,Stock1!I958,Stock1!F958,"")</f>
        <v/>
      </c>
      <c r="Z958" s="95" t="str">
        <f t="array" ref="Z958">_xlfn.XLOOKUP(X958,Stock1!I958,Stock1!J958,"")</f>
        <v/>
      </c>
      <c r="AA958" s="102" t="str">
        <f t="array" ref="AA958">_xlfn.XLOOKUP(Y958,DATAPremium!A:A,DATAPremium!C:C,"")</f>
        <v/>
      </c>
    </row>
    <row r="959">
      <c r="X959" s="88" t="str">
        <f t="array" ref="X959">_xlfn.XLOOKUP("Other",Stock1!A959,Stock1!I959,"")</f>
        <v/>
      </c>
      <c r="Y959" s="95" t="str">
        <f t="array" ref="Y959">_xlfn.XLOOKUP(X959,Stock1!I959,Stock1!F959,"")</f>
        <v/>
      </c>
      <c r="Z959" s="95" t="str">
        <f t="array" ref="Z959">_xlfn.XLOOKUP(X959,Stock1!I959,Stock1!J959,"")</f>
        <v/>
      </c>
      <c r="AA959" s="102" t="str">
        <f t="array" ref="AA959">_xlfn.XLOOKUP(Y959,DATAPremium!A:A,DATAPremium!C:C,"")</f>
        <v/>
      </c>
    </row>
    <row r="960">
      <c r="X960" s="88" t="str">
        <f t="array" ref="X960">_xlfn.XLOOKUP("Other",Stock1!A960,Stock1!I960,"")</f>
        <v/>
      </c>
      <c r="Y960" s="95" t="str">
        <f t="array" ref="Y960">_xlfn.XLOOKUP(X960,Stock1!I960,Stock1!F960,"")</f>
        <v/>
      </c>
      <c r="Z960" s="95" t="str">
        <f t="array" ref="Z960">_xlfn.XLOOKUP(X960,Stock1!I960,Stock1!J960,"")</f>
        <v/>
      </c>
      <c r="AA960" s="102" t="str">
        <f t="array" ref="AA960">_xlfn.XLOOKUP(Y960,DATAPremium!A:A,DATAPremium!C:C,"")</f>
        <v/>
      </c>
    </row>
    <row r="961">
      <c r="X961" s="88" t="str">
        <f t="array" ref="X961">_xlfn.XLOOKUP("Other",Stock1!A961,Stock1!I961,"")</f>
        <v/>
      </c>
      <c r="Y961" s="95" t="str">
        <f t="array" ref="Y961">_xlfn.XLOOKUP(X961,Stock1!I961,Stock1!F961,"")</f>
        <v/>
      </c>
      <c r="Z961" s="95" t="str">
        <f t="array" ref="Z961">_xlfn.XLOOKUP(X961,Stock1!I961,Stock1!J961,"")</f>
        <v/>
      </c>
      <c r="AA961" s="102" t="str">
        <f t="array" ref="AA961">_xlfn.XLOOKUP(Y961,DATAPremium!A:A,DATAPremium!C:C,"")</f>
        <v/>
      </c>
    </row>
    <row r="962">
      <c r="X962" s="88" t="str">
        <f t="array" ref="X962">_xlfn.XLOOKUP("Other",Stock1!A962,Stock1!I962,"")</f>
        <v/>
      </c>
      <c r="Y962" s="95" t="str">
        <f t="array" ref="Y962">_xlfn.XLOOKUP(X962,Stock1!I962,Stock1!F962,"")</f>
        <v/>
      </c>
      <c r="Z962" s="95" t="str">
        <f t="array" ref="Z962">_xlfn.XLOOKUP(X962,Stock1!I962,Stock1!J962,"")</f>
        <v/>
      </c>
      <c r="AA962" s="102" t="str">
        <f t="array" ref="AA962">_xlfn.XLOOKUP(Y962,DATAPremium!A:A,DATAPremium!C:C,"")</f>
        <v/>
      </c>
    </row>
    <row r="963">
      <c r="X963" s="88" t="str">
        <f t="array" ref="X963">_xlfn.XLOOKUP("Other",Stock1!A963,Stock1!I963,"")</f>
        <v/>
      </c>
      <c r="Y963" s="95" t="str">
        <f t="array" ref="Y963">_xlfn.XLOOKUP(X963,Stock1!I963,Stock1!F963,"")</f>
        <v/>
      </c>
      <c r="Z963" s="95" t="str">
        <f t="array" ref="Z963">_xlfn.XLOOKUP(X963,Stock1!I963,Stock1!J963,"")</f>
        <v/>
      </c>
      <c r="AA963" s="102" t="str">
        <f t="array" ref="AA963">_xlfn.XLOOKUP(Y963,DATAPremium!A:A,DATAPremium!C:C,"")</f>
        <v/>
      </c>
    </row>
    <row r="964">
      <c r="X964" s="88" t="str">
        <f t="array" ref="X964">_xlfn.XLOOKUP("Other",Stock1!A964,Stock1!I964,"")</f>
        <v/>
      </c>
      <c r="Y964" s="95" t="str">
        <f t="array" ref="Y964">_xlfn.XLOOKUP(X964,Stock1!I964,Stock1!F964,"")</f>
        <v/>
      </c>
      <c r="Z964" s="95" t="str">
        <f t="array" ref="Z964">_xlfn.XLOOKUP(X964,Stock1!I964,Stock1!J964,"")</f>
        <v/>
      </c>
      <c r="AA964" s="102" t="str">
        <f t="array" ref="AA964">_xlfn.XLOOKUP(Y964,DATAPremium!A:A,DATAPremium!C:C,"")</f>
        <v/>
      </c>
    </row>
    <row r="965">
      <c r="X965" s="88" t="str">
        <f t="array" ref="X965">_xlfn.XLOOKUP("Other",Stock1!A965,Stock1!I965,"")</f>
        <v/>
      </c>
      <c r="Y965" s="95" t="str">
        <f t="array" ref="Y965">_xlfn.XLOOKUP(X965,Stock1!I965,Stock1!F965,"")</f>
        <v/>
      </c>
      <c r="Z965" s="95" t="str">
        <f t="array" ref="Z965">_xlfn.XLOOKUP(X965,Stock1!I965,Stock1!J965,"")</f>
        <v/>
      </c>
      <c r="AA965" s="102" t="str">
        <f t="array" ref="AA965">_xlfn.XLOOKUP(Y965,DATAPremium!A:A,DATAPremium!C:C,"")</f>
        <v/>
      </c>
    </row>
    <row r="966">
      <c r="X966" s="88" t="str">
        <f t="array" ref="X966">_xlfn.XLOOKUP("Other",Stock1!A966,Stock1!I966,"")</f>
        <v/>
      </c>
      <c r="Y966" s="95" t="str">
        <f t="array" ref="Y966">_xlfn.XLOOKUP(X966,Stock1!I966,Stock1!F966,"")</f>
        <v/>
      </c>
      <c r="Z966" s="95" t="str">
        <f t="array" ref="Z966">_xlfn.XLOOKUP(X966,Stock1!I966,Stock1!J966,"")</f>
        <v/>
      </c>
      <c r="AA966" s="102" t="str">
        <f t="array" ref="AA966">_xlfn.XLOOKUP(Y966,DATAPremium!A:A,DATAPremium!C:C,"")</f>
        <v/>
      </c>
    </row>
    <row r="967">
      <c r="X967" s="88" t="str">
        <f t="array" ref="X967">_xlfn.XLOOKUP("Other",Stock1!A967,Stock1!I967,"")</f>
        <v/>
      </c>
      <c r="Y967" s="95" t="str">
        <f t="array" ref="Y967">_xlfn.XLOOKUP(X967,Stock1!I967,Stock1!F967,"")</f>
        <v/>
      </c>
      <c r="Z967" s="95" t="str">
        <f t="array" ref="Z967">_xlfn.XLOOKUP(X967,Stock1!I967,Stock1!J967,"")</f>
        <v/>
      </c>
      <c r="AA967" s="102" t="str">
        <f t="array" ref="AA967">_xlfn.XLOOKUP(Y967,DATAPremium!A:A,DATAPremium!C:C,"")</f>
        <v/>
      </c>
    </row>
    <row r="968">
      <c r="X968" s="88" t="str">
        <f t="array" ref="X968">_xlfn.XLOOKUP("Other",Stock1!A968,Stock1!I968,"")</f>
        <v/>
      </c>
      <c r="Y968" s="95" t="str">
        <f t="array" ref="Y968">_xlfn.XLOOKUP(X968,Stock1!I968,Stock1!F968,"")</f>
        <v/>
      </c>
      <c r="Z968" s="95" t="str">
        <f t="array" ref="Z968">_xlfn.XLOOKUP(X968,Stock1!I968,Stock1!J968,"")</f>
        <v/>
      </c>
      <c r="AA968" s="102" t="str">
        <f t="array" ref="AA968">_xlfn.XLOOKUP(Y968,DATAPremium!A:A,DATAPremium!C:C,"")</f>
        <v/>
      </c>
    </row>
    <row r="969">
      <c r="X969" s="88" t="str">
        <f t="array" ref="X969">_xlfn.XLOOKUP("Other",Stock1!A969,Stock1!I969,"")</f>
        <v/>
      </c>
      <c r="Y969" s="95" t="str">
        <f t="array" ref="Y969">_xlfn.XLOOKUP(X969,Stock1!I969,Stock1!F969,"")</f>
        <v/>
      </c>
      <c r="Z969" s="95" t="str">
        <f t="array" ref="Z969">_xlfn.XLOOKUP(X969,Stock1!I969,Stock1!J969,"")</f>
        <v/>
      </c>
      <c r="AA969" s="102" t="str">
        <f t="array" ref="AA969">_xlfn.XLOOKUP(Y969,DATAPremium!A:A,DATAPremium!C:C,"")</f>
        <v/>
      </c>
    </row>
    <row r="970">
      <c r="X970" s="88" t="str">
        <f t="array" ref="X970">_xlfn.XLOOKUP("Other",Stock1!A970,Stock1!I970,"")</f>
        <v/>
      </c>
      <c r="Y970" s="95" t="str">
        <f t="array" ref="Y970">_xlfn.XLOOKUP(X970,Stock1!I970,Stock1!F970,"")</f>
        <v/>
      </c>
      <c r="Z970" s="95" t="str">
        <f t="array" ref="Z970">_xlfn.XLOOKUP(X970,Stock1!I970,Stock1!J970,"")</f>
        <v/>
      </c>
      <c r="AA970" s="102" t="str">
        <f t="array" ref="AA970">_xlfn.XLOOKUP(Y970,DATAPremium!A:A,DATAPremium!C:C,"")</f>
        <v/>
      </c>
    </row>
    <row r="971">
      <c r="X971" s="88" t="str">
        <f t="array" ref="X971">_xlfn.XLOOKUP("Other",Stock1!A971,Stock1!I971,"")</f>
        <v/>
      </c>
      <c r="Y971" s="95" t="str">
        <f t="array" ref="Y971">_xlfn.XLOOKUP(X971,Stock1!I971,Stock1!F971,"")</f>
        <v/>
      </c>
      <c r="Z971" s="95" t="str">
        <f t="array" ref="Z971">_xlfn.XLOOKUP(X971,Stock1!I971,Stock1!J971,"")</f>
        <v/>
      </c>
      <c r="AA971" s="102" t="str">
        <f t="array" ref="AA971">_xlfn.XLOOKUP(Y971,DATAPremium!A:A,DATAPremium!C:C,"")</f>
        <v/>
      </c>
    </row>
    <row r="972">
      <c r="X972" s="88" t="str">
        <f t="array" ref="X972">_xlfn.XLOOKUP("Other",Stock1!A972,Stock1!I972,"")</f>
        <v/>
      </c>
      <c r="Y972" s="95" t="str">
        <f t="array" ref="Y972">_xlfn.XLOOKUP(X972,Stock1!I972,Stock1!F972,"")</f>
        <v/>
      </c>
      <c r="Z972" s="95" t="str">
        <f t="array" ref="Z972">_xlfn.XLOOKUP(X972,Stock1!I972,Stock1!J972,"")</f>
        <v/>
      </c>
      <c r="AA972" s="102" t="str">
        <f t="array" ref="AA972">_xlfn.XLOOKUP(Y972,DATAPremium!A:A,DATAPremium!C:C,"")</f>
        <v/>
      </c>
    </row>
    <row r="973">
      <c r="X973" s="88" t="str">
        <f t="array" ref="X973">_xlfn.XLOOKUP("Other",Stock1!A973,Stock1!I973,"")</f>
        <v/>
      </c>
      <c r="Y973" s="95" t="str">
        <f t="array" ref="Y973">_xlfn.XLOOKUP(X973,Stock1!I973,Stock1!F973,"")</f>
        <v/>
      </c>
      <c r="Z973" s="95" t="str">
        <f t="array" ref="Z973">_xlfn.XLOOKUP(X973,Stock1!I973,Stock1!J973,"")</f>
        <v/>
      </c>
      <c r="AA973" s="102" t="str">
        <f t="array" ref="AA973">_xlfn.XLOOKUP(Y973,DATAPremium!A:A,DATAPremium!C:C,"")</f>
        <v/>
      </c>
    </row>
    <row r="974">
      <c r="X974" s="88" t="str">
        <f t="array" ref="X974">_xlfn.XLOOKUP("Other",Stock1!A974,Stock1!I974,"")</f>
        <v/>
      </c>
      <c r="Y974" s="95" t="str">
        <f t="array" ref="Y974">_xlfn.XLOOKUP(X974,Stock1!I974,Stock1!F974,"")</f>
        <v/>
      </c>
      <c r="Z974" s="95" t="str">
        <f t="array" ref="Z974">_xlfn.XLOOKUP(X974,Stock1!I974,Stock1!J974,"")</f>
        <v/>
      </c>
      <c r="AA974" s="102" t="str">
        <f t="array" ref="AA974">_xlfn.XLOOKUP(Y974,DATAPremium!A:A,DATAPremium!C:C,"")</f>
        <v/>
      </c>
    </row>
    <row r="975">
      <c r="X975" s="88" t="str">
        <f t="array" ref="X975">_xlfn.XLOOKUP("Other",Stock1!A975,Stock1!I975,"")</f>
        <v/>
      </c>
      <c r="Y975" s="95" t="str">
        <f t="array" ref="Y975">_xlfn.XLOOKUP(X975,Stock1!I975,Stock1!F975,"")</f>
        <v/>
      </c>
      <c r="Z975" s="95" t="str">
        <f t="array" ref="Z975">_xlfn.XLOOKUP(X975,Stock1!I975,Stock1!J975,"")</f>
        <v/>
      </c>
      <c r="AA975" s="102" t="str">
        <f t="array" ref="AA975">_xlfn.XLOOKUP(Y975,DATAPremium!A:A,DATAPremium!C:C,"")</f>
        <v/>
      </c>
    </row>
    <row r="976">
      <c r="X976" s="88" t="str">
        <f t="array" ref="X976">_xlfn.XLOOKUP("Other",Stock1!A976,Stock1!I976,"")</f>
        <v/>
      </c>
      <c r="Y976" s="95" t="str">
        <f t="array" ref="Y976">_xlfn.XLOOKUP(X976,Stock1!I976,Stock1!F976,"")</f>
        <v/>
      </c>
      <c r="Z976" s="95" t="str">
        <f t="array" ref="Z976">_xlfn.XLOOKUP(X976,Stock1!I976,Stock1!J976,"")</f>
        <v/>
      </c>
      <c r="AA976" s="102" t="str">
        <f t="array" ref="AA976">_xlfn.XLOOKUP(Y976,DATAPremium!A:A,DATAPremium!C:C,"")</f>
        <v/>
      </c>
    </row>
    <row r="977">
      <c r="X977" s="88" t="str">
        <f t="array" ref="X977">_xlfn.XLOOKUP("Other",Stock1!A977,Stock1!I977,"")</f>
        <v/>
      </c>
      <c r="Y977" s="95" t="str">
        <f t="array" ref="Y977">_xlfn.XLOOKUP(X977,Stock1!I977,Stock1!F977,"")</f>
        <v/>
      </c>
      <c r="Z977" s="95" t="str">
        <f t="array" ref="Z977">_xlfn.XLOOKUP(X977,Stock1!I977,Stock1!J977,"")</f>
        <v/>
      </c>
      <c r="AA977" s="102" t="str">
        <f t="array" ref="AA977">_xlfn.XLOOKUP(Y977,DATAPremium!A:A,DATAPremium!C:C,"")</f>
        <v/>
      </c>
    </row>
    <row r="978">
      <c r="X978" s="88" t="str">
        <f t="array" ref="X978">_xlfn.XLOOKUP("Other",Stock1!A978,Stock1!I978,"")</f>
        <v/>
      </c>
      <c r="Y978" s="95" t="str">
        <f t="array" ref="Y978">_xlfn.XLOOKUP(X978,Stock1!I978,Stock1!F978,"")</f>
        <v/>
      </c>
      <c r="Z978" s="95" t="str">
        <f t="array" ref="Z978">_xlfn.XLOOKUP(X978,Stock1!I978,Stock1!J978,"")</f>
        <v/>
      </c>
      <c r="AA978" s="102" t="str">
        <f t="array" ref="AA978">_xlfn.XLOOKUP(Y978,DATAPremium!A:A,DATAPremium!C:C,"")</f>
        <v/>
      </c>
    </row>
    <row r="979">
      <c r="X979" s="88" t="str">
        <f t="array" ref="X979">_xlfn.XLOOKUP("Other",Stock1!A979,Stock1!I979,"")</f>
        <v/>
      </c>
      <c r="Y979" s="95" t="str">
        <f t="array" ref="Y979">_xlfn.XLOOKUP(X979,Stock1!I979,Stock1!F979,"")</f>
        <v/>
      </c>
      <c r="Z979" s="95" t="str">
        <f t="array" ref="Z979">_xlfn.XLOOKUP(X979,Stock1!I979,Stock1!J979,"")</f>
        <v/>
      </c>
      <c r="AA979" s="102" t="str">
        <f t="array" ref="AA979">_xlfn.XLOOKUP(Y979,DATAPremium!A:A,DATAPremium!C:C,"")</f>
        <v/>
      </c>
    </row>
    <row r="980">
      <c r="X980" s="88" t="str">
        <f t="array" ref="X980">_xlfn.XLOOKUP("Other",Stock1!A980,Stock1!I980,"")</f>
        <v/>
      </c>
      <c r="Y980" s="95" t="str">
        <f t="array" ref="Y980">_xlfn.XLOOKUP(X980,Stock1!I980,Stock1!F980,"")</f>
        <v/>
      </c>
      <c r="Z980" s="95" t="str">
        <f t="array" ref="Z980">_xlfn.XLOOKUP(X980,Stock1!I980,Stock1!J980,"")</f>
        <v/>
      </c>
      <c r="AA980" s="102" t="str">
        <f t="array" ref="AA980">_xlfn.XLOOKUP(Y980,DATAPremium!A:A,DATAPremium!C:C,"")</f>
        <v/>
      </c>
    </row>
    <row r="981">
      <c r="X981" s="88" t="str">
        <f t="array" ref="X981">_xlfn.XLOOKUP("Other",Stock1!A981,Stock1!I981,"")</f>
        <v/>
      </c>
      <c r="Y981" s="95" t="str">
        <f t="array" ref="Y981">_xlfn.XLOOKUP(X981,Stock1!I981,Stock1!F981,"")</f>
        <v/>
      </c>
      <c r="Z981" s="95" t="str">
        <f t="array" ref="Z981">_xlfn.XLOOKUP(X981,Stock1!I981,Stock1!J981,"")</f>
        <v/>
      </c>
      <c r="AA981" s="102" t="str">
        <f t="array" ref="AA981">_xlfn.XLOOKUP(Y981,DATAPremium!A:A,DATAPremium!C:C,"")</f>
        <v/>
      </c>
    </row>
    <row r="982">
      <c r="X982" s="88" t="str">
        <f t="array" ref="X982">_xlfn.XLOOKUP("Other",Stock1!A982,Stock1!I982,"")</f>
        <v/>
      </c>
      <c r="Y982" s="95" t="str">
        <f t="array" ref="Y982">_xlfn.XLOOKUP(X982,Stock1!I982,Stock1!F982,"")</f>
        <v/>
      </c>
      <c r="Z982" s="95" t="str">
        <f t="array" ref="Z982">_xlfn.XLOOKUP(X982,Stock1!I982,Stock1!J982,"")</f>
        <v/>
      </c>
      <c r="AA982" s="102" t="str">
        <f t="array" ref="AA982">_xlfn.XLOOKUP(Y982,DATAPremium!A:A,DATAPremium!C:C,"")</f>
        <v/>
      </c>
    </row>
    <row r="983">
      <c r="X983" s="88" t="str">
        <f t="array" ref="X983">_xlfn.XLOOKUP("Other",Stock1!A983,Stock1!I983,"")</f>
        <v/>
      </c>
      <c r="Y983" s="95" t="str">
        <f t="array" ref="Y983">_xlfn.XLOOKUP(X983,Stock1!I983,Stock1!F983,"")</f>
        <v/>
      </c>
      <c r="Z983" s="95" t="str">
        <f t="array" ref="Z983">_xlfn.XLOOKUP(X983,Stock1!I983,Stock1!J983,"")</f>
        <v/>
      </c>
      <c r="AA983" s="102" t="str">
        <f t="array" ref="AA983">_xlfn.XLOOKUP(Y983,DATAPremium!A:A,DATAPremium!C:C,"")</f>
        <v/>
      </c>
    </row>
    <row r="984">
      <c r="X984" s="88" t="str">
        <f t="array" ref="X984">_xlfn.XLOOKUP("Other",Stock1!A984,Stock1!I984,"")</f>
        <v/>
      </c>
      <c r="Y984" s="95" t="str">
        <f t="array" ref="Y984">_xlfn.XLOOKUP(X984,Stock1!I984,Stock1!F984,"")</f>
        <v/>
      </c>
      <c r="Z984" s="95" t="str">
        <f t="array" ref="Z984">_xlfn.XLOOKUP(X984,Stock1!I984,Stock1!J984,"")</f>
        <v/>
      </c>
      <c r="AA984" s="102" t="str">
        <f t="array" ref="AA984">_xlfn.XLOOKUP(Y984,DATAPremium!A:A,DATAPremium!C:C,"")</f>
        <v/>
      </c>
    </row>
    <row r="985">
      <c r="X985" s="88" t="str">
        <f t="array" ref="X985">_xlfn.XLOOKUP("Other",Stock1!A985,Stock1!I985,"")</f>
        <v/>
      </c>
      <c r="Y985" s="95" t="str">
        <f t="array" ref="Y985">_xlfn.XLOOKUP(X985,Stock1!I985,Stock1!F985,"")</f>
        <v/>
      </c>
      <c r="Z985" s="95" t="str">
        <f t="array" ref="Z985">_xlfn.XLOOKUP(X985,Stock1!I985,Stock1!J985,"")</f>
        <v/>
      </c>
      <c r="AA985" s="102" t="str">
        <f t="array" ref="AA985">_xlfn.XLOOKUP(Y985,DATAPremium!A:A,DATAPremium!C:C,"")</f>
        <v/>
      </c>
    </row>
    <row r="986">
      <c r="X986" s="88" t="str">
        <f t="array" ref="X986">_xlfn.XLOOKUP("Other",Stock1!A986,Stock1!I986,"")</f>
        <v/>
      </c>
      <c r="Y986" s="95" t="str">
        <f t="array" ref="Y986">_xlfn.XLOOKUP(X986,Stock1!I986,Stock1!F986,"")</f>
        <v/>
      </c>
      <c r="Z986" s="95" t="str">
        <f t="array" ref="Z986">_xlfn.XLOOKUP(X986,Stock1!I986,Stock1!J986,"")</f>
        <v/>
      </c>
      <c r="AA986" s="102" t="str">
        <f t="array" ref="AA986">_xlfn.XLOOKUP(Y986,DATAPremium!A:A,DATAPremium!C:C,"")</f>
        <v/>
      </c>
    </row>
    <row r="987">
      <c r="X987" s="88" t="str">
        <f t="array" ref="X987">_xlfn.XLOOKUP("Other",Stock1!A987,Stock1!I987,"")</f>
        <v/>
      </c>
      <c r="Y987" s="95" t="str">
        <f t="array" ref="Y987">_xlfn.XLOOKUP(X987,Stock1!I987,Stock1!F987,"")</f>
        <v/>
      </c>
      <c r="Z987" s="95" t="str">
        <f t="array" ref="Z987">_xlfn.XLOOKUP(X987,Stock1!I987,Stock1!J987,"")</f>
        <v/>
      </c>
      <c r="AA987" s="102" t="str">
        <f t="array" ref="AA987">_xlfn.XLOOKUP(Y987,DATAPremium!A:A,DATAPremium!C:C,"")</f>
        <v/>
      </c>
    </row>
    <row r="988">
      <c r="X988" s="88" t="str">
        <f t="array" ref="X988">_xlfn.XLOOKUP("Other",Stock1!A988,Stock1!I988,"")</f>
        <v/>
      </c>
      <c r="Y988" s="95" t="str">
        <f t="array" ref="Y988">_xlfn.XLOOKUP(X988,Stock1!I988,Stock1!F988,"")</f>
        <v/>
      </c>
      <c r="Z988" s="95" t="str">
        <f t="array" ref="Z988">_xlfn.XLOOKUP(X988,Stock1!I988,Stock1!J988,"")</f>
        <v/>
      </c>
      <c r="AA988" s="102" t="str">
        <f t="array" ref="AA988">_xlfn.XLOOKUP(Y988,DATAPremium!A:A,DATAPremium!C:C,"")</f>
        <v/>
      </c>
    </row>
    <row r="989">
      <c r="X989" s="88" t="str">
        <f t="array" ref="X989">_xlfn.XLOOKUP("Other",Stock1!A989,Stock1!I989,"")</f>
        <v/>
      </c>
      <c r="Y989" s="95" t="str">
        <f t="array" ref="Y989">_xlfn.XLOOKUP(X989,Stock1!I989,Stock1!F989,"")</f>
        <v/>
      </c>
      <c r="Z989" s="95" t="str">
        <f t="array" ref="Z989">_xlfn.XLOOKUP(X989,Stock1!I989,Stock1!J989,"")</f>
        <v/>
      </c>
      <c r="AA989" s="102" t="str">
        <f t="array" ref="AA989">_xlfn.XLOOKUP(Y989,DATAPremium!A:A,DATAPremium!C:C,"")</f>
        <v/>
      </c>
    </row>
    <row r="990">
      <c r="X990" s="88" t="str">
        <f t="array" ref="X990">_xlfn.XLOOKUP("Other",Stock1!A990,Stock1!I990,"")</f>
        <v/>
      </c>
      <c r="Y990" s="95" t="str">
        <f t="array" ref="Y990">_xlfn.XLOOKUP(X990,Stock1!I990,Stock1!F990,"")</f>
        <v/>
      </c>
      <c r="Z990" s="95" t="str">
        <f t="array" ref="Z990">_xlfn.XLOOKUP(X990,Stock1!I990,Stock1!J990,"")</f>
        <v/>
      </c>
      <c r="AA990" s="102" t="str">
        <f t="array" ref="AA990">_xlfn.XLOOKUP(Y990,DATAPremium!A:A,DATAPremium!C:C,"")</f>
        <v/>
      </c>
    </row>
    <row r="991">
      <c r="X991" s="88" t="str">
        <f t="array" ref="X991">_xlfn.XLOOKUP("Other",Stock1!A991,Stock1!I991,"")</f>
        <v/>
      </c>
      <c r="Y991" s="95" t="str">
        <f t="array" ref="Y991">_xlfn.XLOOKUP(X991,Stock1!I991,Stock1!F991,"")</f>
        <v/>
      </c>
      <c r="Z991" s="95" t="str">
        <f t="array" ref="Z991">_xlfn.XLOOKUP(X991,Stock1!I991,Stock1!J991,"")</f>
        <v/>
      </c>
      <c r="AA991" s="102" t="str">
        <f t="array" ref="AA991">_xlfn.XLOOKUP(Y991,DATAPremium!A:A,DATAPremium!C:C,"")</f>
        <v/>
      </c>
    </row>
    <row r="992">
      <c r="X992" s="88" t="str">
        <f t="array" ref="X992">_xlfn.XLOOKUP("Other",Stock1!A992,Stock1!I992,"")</f>
        <v/>
      </c>
      <c r="Y992" s="95" t="str">
        <f t="array" ref="Y992">_xlfn.XLOOKUP(X992,Stock1!I992,Stock1!F992,"")</f>
        <v/>
      </c>
      <c r="Z992" s="95" t="str">
        <f t="array" ref="Z992">_xlfn.XLOOKUP(X992,Stock1!I992,Stock1!J992,"")</f>
        <v/>
      </c>
      <c r="AA992" s="102" t="str">
        <f t="array" ref="AA992">_xlfn.XLOOKUP(Y992,DATAPremium!A:A,DATAPremium!C:C,"")</f>
        <v/>
      </c>
    </row>
    <row r="993">
      <c r="X993" s="88" t="str">
        <f t="array" ref="X993">_xlfn.XLOOKUP("Other",Stock1!A993,Stock1!I993,"")</f>
        <v/>
      </c>
      <c r="Y993" s="95" t="str">
        <f t="array" ref="Y993">_xlfn.XLOOKUP(X993,Stock1!I993,Stock1!F993,"")</f>
        <v/>
      </c>
      <c r="Z993" s="95" t="str">
        <f t="array" ref="Z993">_xlfn.XLOOKUP(X993,Stock1!I993,Stock1!J993,"")</f>
        <v/>
      </c>
      <c r="AA993" s="102" t="str">
        <f t="array" ref="AA993">_xlfn.XLOOKUP(Y993,DATAPremium!A:A,DATAPremium!C:C,"")</f>
        <v/>
      </c>
    </row>
    <row r="994">
      <c r="X994" s="88" t="str">
        <f t="array" ref="X994">_xlfn.XLOOKUP("Other",Stock1!A994,Stock1!I994,"")</f>
        <v/>
      </c>
      <c r="Y994" s="95" t="str">
        <f t="array" ref="Y994">_xlfn.XLOOKUP(X994,Stock1!I994,Stock1!F994,"")</f>
        <v/>
      </c>
      <c r="Z994" s="95" t="str">
        <f t="array" ref="Z994">_xlfn.XLOOKUP(X994,Stock1!I994,Stock1!J994,"")</f>
        <v/>
      </c>
      <c r="AA994" s="102" t="str">
        <f t="array" ref="AA994">_xlfn.XLOOKUP(Y994,DATAPremium!A:A,DATAPremium!C:C,"")</f>
        <v/>
      </c>
    </row>
    <row r="995">
      <c r="X995" s="88" t="str">
        <f t="array" ref="X995">_xlfn.XLOOKUP("Other",Stock1!A995,Stock1!I995,"")</f>
        <v/>
      </c>
      <c r="Y995" s="95" t="str">
        <f t="array" ref="Y995">_xlfn.XLOOKUP(X995,Stock1!I995,Stock1!F995,"")</f>
        <v/>
      </c>
      <c r="Z995" s="95" t="str">
        <f t="array" ref="Z995">_xlfn.XLOOKUP(X995,Stock1!I995,Stock1!J995,"")</f>
        <v/>
      </c>
      <c r="AA995" s="102" t="str">
        <f t="array" ref="AA995">_xlfn.XLOOKUP(Y995,DATAPremium!A:A,DATAPremium!C:C,"")</f>
        <v/>
      </c>
    </row>
    <row r="996">
      <c r="X996" s="88" t="str">
        <f t="array" ref="X996">_xlfn.XLOOKUP("Other",Stock1!A996,Stock1!I996,"")</f>
        <v/>
      </c>
      <c r="Y996" s="95" t="str">
        <f t="array" ref="Y996">_xlfn.XLOOKUP(X996,Stock1!I996,Stock1!F996,"")</f>
        <v/>
      </c>
      <c r="Z996" s="95" t="str">
        <f t="array" ref="Z996">_xlfn.XLOOKUP(X996,Stock1!I996,Stock1!J996,"")</f>
        <v/>
      </c>
      <c r="AA996" s="102" t="str">
        <f t="array" ref="AA996">_xlfn.XLOOKUP(Y996,DATAPremium!A:A,DATAPremium!C:C,"")</f>
        <v/>
      </c>
    </row>
    <row r="997">
      <c r="X997" s="88" t="str">
        <f t="array" ref="X997">_xlfn.XLOOKUP("Other",Stock1!A997,Stock1!I997,"")</f>
        <v/>
      </c>
      <c r="Y997" s="95" t="str">
        <f t="array" ref="Y997">_xlfn.XLOOKUP(X997,Stock1!I997,Stock1!F997,"")</f>
        <v/>
      </c>
      <c r="Z997" s="95" t="str">
        <f t="array" ref="Z997">_xlfn.XLOOKUP(X997,Stock1!I997,Stock1!J997,"")</f>
        <v/>
      </c>
      <c r="AA997" s="102" t="str">
        <f t="array" ref="AA997">_xlfn.XLOOKUP(Y997,DATAPremium!A:A,DATAPremium!C:C,"")</f>
        <v/>
      </c>
    </row>
    <row r="998">
      <c r="X998" s="88" t="str">
        <f t="array" ref="X998">_xlfn.XLOOKUP("Other",Stock1!A998,Stock1!I998,"")</f>
        <v/>
      </c>
      <c r="Y998" s="95" t="str">
        <f t="array" ref="Y998">_xlfn.XLOOKUP(X998,Stock1!I998,Stock1!F998,"")</f>
        <v/>
      </c>
      <c r="Z998" s="95" t="str">
        <f t="array" ref="Z998">_xlfn.XLOOKUP(X998,Stock1!I998,Stock1!J998,"")</f>
        <v/>
      </c>
      <c r="AA998" s="102" t="str">
        <f t="array" ref="AA998">_xlfn.XLOOKUP(Y998,DATAPremium!A:A,DATAPremium!C:C,"")</f>
        <v/>
      </c>
    </row>
    <row r="999">
      <c r="X999" s="88" t="str">
        <f t="array" ref="X999">_xlfn.XLOOKUP("Other",Stock1!A999,Stock1!I999,"")</f>
        <v/>
      </c>
      <c r="Y999" s="95" t="str">
        <f t="array" ref="Y999">_xlfn.XLOOKUP(X999,Stock1!I999,Stock1!F999,"")</f>
        <v/>
      </c>
      <c r="Z999" s="95" t="str">
        <f t="array" ref="Z999">_xlfn.XLOOKUP(X999,Stock1!I999,Stock1!J999,"")</f>
        <v/>
      </c>
      <c r="AA999" s="102" t="str">
        <f t="array" ref="AA999">_xlfn.XLOOKUP(Y999,DATAPremium!A:A,DATAPremium!C:C,"")</f>
        <v/>
      </c>
    </row>
    <row r="1000">
      <c r="X1000" s="88" t="str">
        <f t="array" ref="X1000">_xlfn.XLOOKUP("Other",Stock1!A1000,Stock1!I1000,"")</f>
        <v/>
      </c>
      <c r="Y1000" s="95" t="str">
        <f t="array" ref="Y1000">_xlfn.XLOOKUP(X1000,Stock1!I1000,Stock1!F1000,"")</f>
        <v/>
      </c>
      <c r="Z1000" s="95" t="str">
        <f t="array" ref="Z1000">_xlfn.XLOOKUP(X1000,Stock1!I1000,Stock1!J1000,"")</f>
        <v/>
      </c>
      <c r="AA1000" s="102" t="str">
        <f t="array" ref="AA1000">_xlfn.XLOOKUP(Y1000,DATAPremium!A:A,DATAPremium!C:C,"")</f>
        <v/>
      </c>
    </row>
  </sheetData>
  <conditionalFormatting sqref="C2:D1000">
    <cfRule type="containsText" dxfId="3" priority="1" operator="containsText" text="Smartphone">
      <formula>NOT(ISERROR(SEARCH(("Smartphone"),(C2))))</formula>
    </cfRule>
  </conditionalFormatting>
  <conditionalFormatting sqref="C2:D1000">
    <cfRule type="containsText" dxfId="4" priority="2" operator="containsText" text="Tablet">
      <formula>NOT(ISERROR(SEARCH(("Tablet"),(C2))))</formula>
    </cfRule>
  </conditionalFormatting>
  <conditionalFormatting sqref="N3:N47">
    <cfRule type="cellIs" dxfId="5" priority="3" operator="lessThan">
      <formula>0</formula>
    </cfRule>
  </conditionalFormatting>
  <conditionalFormatting sqref="N3:N47">
    <cfRule type="cellIs" dxfId="6" priority="4" operator="greaterThan">
      <formula>0</formula>
    </cfRule>
  </conditionalFormatting>
  <conditionalFormatting sqref="C3:D44">
    <cfRule type="containsText" dxfId="7" priority="5" operator="containsText" text="Focus">
      <formula>NOT(ISERROR(SEARCH(("Focus"),(C3))))</formula>
    </cfRule>
  </conditionalFormatting>
  <conditionalFormatting sqref="C3:D44">
    <cfRule type="containsText" dxfId="8" priority="6" operator="containsText" text="Projector">
      <formula>NOT(ISERROR(SEARCH(("Projector"),(C3))))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82.13"/>
    <col customWidth="1" min="7" max="7" width="14.88"/>
    <col customWidth="1" min="8" max="8" width="49.88"/>
  </cols>
  <sheetData>
    <row r="1">
      <c r="A1" s="300"/>
      <c r="B1" s="302"/>
      <c r="C1" s="300"/>
      <c r="D1" s="300"/>
      <c r="E1" s="300"/>
      <c r="F1" s="303"/>
      <c r="G1" s="300"/>
      <c r="H1" s="300"/>
    </row>
    <row r="2">
      <c r="A2" s="300"/>
      <c r="B2" s="302"/>
      <c r="C2" s="300"/>
      <c r="D2" s="300"/>
      <c r="E2" s="300"/>
      <c r="F2" s="303"/>
      <c r="G2" s="300"/>
      <c r="H2" s="300"/>
    </row>
    <row r="3">
      <c r="A3" s="304" t="s">
        <v>235</v>
      </c>
      <c r="B3" s="306" t="s">
        <v>236</v>
      </c>
      <c r="C3" s="304" t="s">
        <v>237</v>
      </c>
      <c r="D3" s="304" t="s">
        <v>238</v>
      </c>
      <c r="E3" s="304" t="s">
        <v>239</v>
      </c>
      <c r="F3" s="307" t="s">
        <v>14</v>
      </c>
      <c r="G3" s="308" t="s">
        <v>15</v>
      </c>
      <c r="H3" s="304" t="s">
        <v>241</v>
      </c>
    </row>
    <row r="4">
      <c r="A4" s="310" t="s">
        <v>242</v>
      </c>
      <c r="B4" s="312" t="s">
        <v>243</v>
      </c>
      <c r="C4" s="310" t="s">
        <v>245</v>
      </c>
      <c r="D4" s="313">
        <v>1390.0</v>
      </c>
      <c r="E4" s="314">
        <v>30.0</v>
      </c>
      <c r="F4" s="317" t="str">
        <f>IFERROR(VLOOKUP(B4,Stock1!F:J,5,False),"")</f>
        <v/>
      </c>
      <c r="G4" s="318" t="str">
        <f t="array" ref="G4">_xlfn.XLOOKUP(B4,Stock2!F:F,Stock2!J:J,"")</f>
        <v/>
      </c>
      <c r="H4" s="310" t="s">
        <v>253</v>
      </c>
    </row>
    <row r="5">
      <c r="A5" s="310" t="s">
        <v>242</v>
      </c>
      <c r="B5" s="312" t="s">
        <v>254</v>
      </c>
      <c r="C5" s="310" t="s">
        <v>255</v>
      </c>
      <c r="D5" s="313">
        <v>1390.0</v>
      </c>
      <c r="E5" s="314">
        <v>30.0</v>
      </c>
      <c r="F5" s="317" t="str">
        <f>IFERROR(VLOOKUP(B5,Stock1!F:J,5,False),"")</f>
        <v/>
      </c>
      <c r="G5" s="318" t="str">
        <f t="array" ref="G5">_xlfn.XLOOKUP(B5,Stock2!F:F,Stock2!J:J,"")</f>
        <v/>
      </c>
      <c r="H5" s="310" t="s">
        <v>253</v>
      </c>
    </row>
    <row r="6">
      <c r="A6" s="310" t="s">
        <v>242</v>
      </c>
      <c r="B6" s="312" t="s">
        <v>258</v>
      </c>
      <c r="C6" s="310" t="s">
        <v>259</v>
      </c>
      <c r="D6" s="313">
        <v>1390.0</v>
      </c>
      <c r="E6" s="314">
        <v>30.0</v>
      </c>
      <c r="F6" s="317" t="str">
        <f>IFERROR(VLOOKUP(B6,Stock1!F:J,5,False),"")</f>
        <v/>
      </c>
      <c r="G6" s="318" t="str">
        <f t="array" ref="G6">_xlfn.XLOOKUP(B6,Stock2!F:F,Stock2!J:J,"")</f>
        <v/>
      </c>
      <c r="H6" s="310" t="s">
        <v>253</v>
      </c>
    </row>
    <row r="7">
      <c r="A7" s="321"/>
      <c r="B7" s="322"/>
      <c r="C7" s="321"/>
      <c r="D7" s="321"/>
      <c r="E7" s="321"/>
      <c r="F7" s="317" t="str">
        <f>IFERROR(VLOOKUP(B7,Stock1!F:J,5,False),"")</f>
        <v/>
      </c>
      <c r="G7" s="318" t="str">
        <f t="array" ref="G7">_xlfn.XLOOKUP(B7,Stock2!F:F,Stock2!J:J,"")</f>
        <v/>
      </c>
      <c r="H7" s="310" t="s">
        <v>262</v>
      </c>
    </row>
    <row r="8">
      <c r="A8" s="310" t="s">
        <v>263</v>
      </c>
      <c r="B8" s="312" t="s">
        <v>264</v>
      </c>
      <c r="C8" s="310" t="s">
        <v>265</v>
      </c>
      <c r="D8" s="313">
        <v>2670.0</v>
      </c>
      <c r="E8" s="314">
        <v>70.0</v>
      </c>
      <c r="F8" s="317" t="str">
        <f>IFERROR(VLOOKUP(B8,Stock1!F:J,5,False),"")</f>
        <v/>
      </c>
      <c r="G8" s="318" t="str">
        <f t="array" ref="G8">_xlfn.XLOOKUP(B8,Stock2!F:F,Stock2!J:J,"")</f>
        <v/>
      </c>
      <c r="H8" s="310" t="s">
        <v>253</v>
      </c>
    </row>
    <row r="9">
      <c r="A9" s="310" t="s">
        <v>263</v>
      </c>
      <c r="B9" s="312" t="s">
        <v>268</v>
      </c>
      <c r="C9" s="310" t="s">
        <v>269</v>
      </c>
      <c r="D9" s="313">
        <v>2670.0</v>
      </c>
      <c r="E9" s="314">
        <v>70.0</v>
      </c>
      <c r="F9" s="317" t="str">
        <f>IFERROR(VLOOKUP(B9,Stock1!F:J,5,False),"")</f>
        <v/>
      </c>
      <c r="G9" s="318" t="str">
        <f t="array" ref="G9">_xlfn.XLOOKUP(B9,Stock2!F:F,Stock2!J:J,"")</f>
        <v/>
      </c>
      <c r="H9" s="310" t="s">
        <v>253</v>
      </c>
    </row>
    <row r="10">
      <c r="A10" s="310" t="s">
        <v>263</v>
      </c>
      <c r="B10" s="312" t="s">
        <v>271</v>
      </c>
      <c r="C10" s="310" t="s">
        <v>272</v>
      </c>
      <c r="D10" s="313">
        <v>2670.0</v>
      </c>
      <c r="E10" s="314">
        <v>70.0</v>
      </c>
      <c r="F10" s="317" t="str">
        <f>IFERROR(VLOOKUP(B10,Stock1!F:J,5,False),"")</f>
        <v/>
      </c>
      <c r="G10" s="318" t="str">
        <f t="array" ref="G10">_xlfn.XLOOKUP(B10,Stock2!F:F,Stock2!J:J,"")</f>
        <v/>
      </c>
      <c r="H10" s="310" t="s">
        <v>253</v>
      </c>
    </row>
    <row r="11">
      <c r="A11" s="310" t="s">
        <v>263</v>
      </c>
      <c r="B11" s="312" t="s">
        <v>276</v>
      </c>
      <c r="C11" s="310" t="s">
        <v>277</v>
      </c>
      <c r="D11" s="313">
        <v>2670.0</v>
      </c>
      <c r="E11" s="314">
        <v>70.0</v>
      </c>
      <c r="F11" s="317" t="str">
        <f>IFERROR(VLOOKUP(B11,Stock1!F:J,5,False),"")</f>
        <v/>
      </c>
      <c r="G11" s="318" t="str">
        <f t="array" ref="G11">_xlfn.XLOOKUP(B11,Stock2!F:F,Stock2!J:J,"")</f>
        <v/>
      </c>
      <c r="H11" s="310" t="s">
        <v>253</v>
      </c>
    </row>
    <row r="12">
      <c r="A12" s="310" t="s">
        <v>263</v>
      </c>
      <c r="B12" s="312" t="s">
        <v>279</v>
      </c>
      <c r="C12" s="310" t="s">
        <v>280</v>
      </c>
      <c r="D12" s="313">
        <v>2670.0</v>
      </c>
      <c r="E12" s="314">
        <v>70.0</v>
      </c>
      <c r="F12" s="317" t="str">
        <f>IFERROR(VLOOKUP(B12,Stock1!F:J,5,False),"")</f>
        <v/>
      </c>
      <c r="G12" s="318" t="str">
        <f t="array" ref="G12">_xlfn.XLOOKUP(B12,Stock2!F:F,Stock2!J:J,"")</f>
        <v/>
      </c>
      <c r="H12" s="310" t="s">
        <v>253</v>
      </c>
    </row>
    <row r="13">
      <c r="A13" s="310" t="s">
        <v>263</v>
      </c>
      <c r="B13" s="312" t="s">
        <v>284</v>
      </c>
      <c r="C13" s="310" t="s">
        <v>285</v>
      </c>
      <c r="D13" s="313">
        <v>2670.0</v>
      </c>
      <c r="E13" s="314">
        <v>70.0</v>
      </c>
      <c r="F13" s="317" t="str">
        <f>IFERROR(VLOOKUP(B13,Stock1!F:J,5,False),"")</f>
        <v/>
      </c>
      <c r="G13" s="318" t="str">
        <f t="array" ref="G13">_xlfn.XLOOKUP(B13,Stock2!F:F,Stock2!J:J,"")</f>
        <v/>
      </c>
      <c r="H13" s="310" t="s">
        <v>253</v>
      </c>
    </row>
    <row r="14">
      <c r="A14" s="310" t="s">
        <v>263</v>
      </c>
      <c r="B14" s="312" t="s">
        <v>287</v>
      </c>
      <c r="C14" s="310" t="s">
        <v>288</v>
      </c>
      <c r="D14" s="313">
        <v>2670.0</v>
      </c>
      <c r="E14" s="314">
        <v>70.0</v>
      </c>
      <c r="F14" s="317" t="str">
        <f>IFERROR(VLOOKUP(B14,Stock1!F:J,5,False),"")</f>
        <v/>
      </c>
      <c r="G14" s="318" t="str">
        <f t="array" ref="G14">_xlfn.XLOOKUP(B14,Stock2!F:F,Stock2!J:J,"")</f>
        <v/>
      </c>
      <c r="H14" s="310" t="s">
        <v>253</v>
      </c>
    </row>
    <row r="15">
      <c r="A15" s="321"/>
      <c r="B15" s="322"/>
      <c r="C15" s="321"/>
      <c r="D15" s="321"/>
      <c r="E15" s="321"/>
      <c r="F15" s="317" t="str">
        <f>IFERROR(VLOOKUP(B15,Stock1!F:J,5,False),"")</f>
        <v/>
      </c>
      <c r="G15" s="318" t="str">
        <f t="array" ref="G15">_xlfn.XLOOKUP(B15,Stock2!F:F,Stock2!J:J,"")</f>
        <v/>
      </c>
      <c r="H15" s="321"/>
    </row>
    <row r="16">
      <c r="A16" s="310" t="s">
        <v>263</v>
      </c>
      <c r="B16" s="312" t="s">
        <v>291</v>
      </c>
      <c r="C16" s="310" t="s">
        <v>292</v>
      </c>
      <c r="D16" s="313">
        <v>4290.0</v>
      </c>
      <c r="E16" s="314">
        <v>70.0</v>
      </c>
      <c r="F16" s="317" t="str">
        <f>IFERROR(VLOOKUP(B16,Stock1!F:J,5,False),"")</f>
        <v/>
      </c>
      <c r="G16" s="318" t="str">
        <f t="array" ref="G16">_xlfn.XLOOKUP(B16,Stock2!F:F,Stock2!J:J,"")</f>
        <v/>
      </c>
      <c r="H16" s="310" t="s">
        <v>253</v>
      </c>
    </row>
    <row r="17">
      <c r="A17" s="321"/>
      <c r="B17" s="322"/>
      <c r="C17" s="321"/>
      <c r="D17" s="321"/>
      <c r="E17" s="321"/>
      <c r="F17" s="317" t="str">
        <f>IFERROR(VLOOKUP(B17,Stock1!F:J,5,False),"")</f>
        <v/>
      </c>
      <c r="G17" s="318" t="str">
        <f t="array" ref="G17">_xlfn.XLOOKUP(B17,Stock2!F:F,Stock2!J:J,"")</f>
        <v/>
      </c>
      <c r="H17" s="321"/>
    </row>
    <row r="18">
      <c r="A18" s="310" t="s">
        <v>295</v>
      </c>
      <c r="B18" s="312" t="s">
        <v>296</v>
      </c>
      <c r="C18" s="310" t="s">
        <v>297</v>
      </c>
      <c r="D18" s="314">
        <v>990.0</v>
      </c>
      <c r="E18" s="314">
        <v>50.0</v>
      </c>
      <c r="F18" s="317" t="str">
        <f>IFERROR(VLOOKUP(B18,Stock1!F:J,5,False),"")</f>
        <v/>
      </c>
      <c r="G18" s="318" t="str">
        <f t="array" ref="G18">_xlfn.XLOOKUP(B18,Stock2!F:F,Stock2!J:J,"")</f>
        <v/>
      </c>
      <c r="H18" s="310" t="s">
        <v>253</v>
      </c>
    </row>
    <row r="19">
      <c r="A19" s="321"/>
      <c r="B19" s="322"/>
      <c r="C19" s="321"/>
      <c r="D19" s="321"/>
      <c r="E19" s="321"/>
      <c r="F19" s="317" t="str">
        <f>IFERROR(VLOOKUP(B19,Stock1!F:J,5,False),"")</f>
        <v/>
      </c>
      <c r="G19" s="318" t="str">
        <f t="array" ref="G19">_xlfn.XLOOKUP(B19,Stock2!F:F,Stock2!J:J,"")</f>
        <v/>
      </c>
      <c r="H19" s="321"/>
    </row>
    <row r="20">
      <c r="A20" s="321"/>
      <c r="B20" s="322"/>
      <c r="C20" s="310" t="s">
        <v>303</v>
      </c>
      <c r="D20" s="321"/>
      <c r="E20" s="321"/>
      <c r="F20" s="317" t="str">
        <f>IFERROR(VLOOKUP(B20,Stock1!F:J,5,False),"")</f>
        <v/>
      </c>
      <c r="G20" s="318" t="str">
        <f t="array" ref="G20">_xlfn.XLOOKUP(B20,Stock2!F:F,Stock2!J:J,"")</f>
        <v/>
      </c>
      <c r="H20" s="321"/>
    </row>
    <row r="21">
      <c r="A21" s="310" t="s">
        <v>263</v>
      </c>
      <c r="B21" s="312" t="s">
        <v>304</v>
      </c>
      <c r="C21" s="310" t="s">
        <v>305</v>
      </c>
      <c r="D21" s="313">
        <v>1990.0</v>
      </c>
      <c r="E21" s="314">
        <v>70.0</v>
      </c>
      <c r="F21" s="317" t="str">
        <f>IFERROR(VLOOKUP(B21,Stock1!F:J,5,False),"")</f>
        <v/>
      </c>
      <c r="G21" s="318" t="str">
        <f t="array" ref="G21">_xlfn.XLOOKUP(B21,Stock2!F:F,Stock2!J:J,"")</f>
        <v/>
      </c>
      <c r="H21" s="310" t="s">
        <v>253</v>
      </c>
    </row>
    <row r="22">
      <c r="A22" s="310" t="s">
        <v>263</v>
      </c>
      <c r="B22" s="312" t="s">
        <v>308</v>
      </c>
      <c r="C22" s="310" t="s">
        <v>309</v>
      </c>
      <c r="D22" s="313">
        <v>1990.0</v>
      </c>
      <c r="E22" s="314">
        <v>70.0</v>
      </c>
      <c r="F22" s="317" t="str">
        <f>IFERROR(VLOOKUP(B22,Stock1!F:J,5,False),"")</f>
        <v/>
      </c>
      <c r="G22" s="318" t="str">
        <f t="array" ref="G22">_xlfn.XLOOKUP(B22,Stock2!F:F,Stock2!J:J,"")</f>
        <v/>
      </c>
      <c r="H22" s="310" t="s">
        <v>253</v>
      </c>
    </row>
    <row r="23">
      <c r="A23" s="310" t="s">
        <v>263</v>
      </c>
      <c r="B23" s="312" t="s">
        <v>311</v>
      </c>
      <c r="C23" s="310" t="s">
        <v>312</v>
      </c>
      <c r="D23" s="313">
        <v>1990.0</v>
      </c>
      <c r="E23" s="314">
        <v>70.0</v>
      </c>
      <c r="F23" s="317" t="str">
        <f>IFERROR(VLOOKUP(B23,Stock1!F:J,5,False),"")</f>
        <v/>
      </c>
      <c r="G23" s="318" t="str">
        <f t="array" ref="G23">_xlfn.XLOOKUP(B23,Stock2!F:F,Stock2!J:J,"")</f>
        <v/>
      </c>
      <c r="H23" s="310" t="s">
        <v>253</v>
      </c>
    </row>
    <row r="24">
      <c r="A24" s="310" t="s">
        <v>263</v>
      </c>
      <c r="B24" s="312" t="s">
        <v>314</v>
      </c>
      <c r="C24" s="310" t="s">
        <v>315</v>
      </c>
      <c r="D24" s="313">
        <v>1990.0</v>
      </c>
      <c r="E24" s="314">
        <v>70.0</v>
      </c>
      <c r="F24" s="317" t="str">
        <f>IFERROR(VLOOKUP(B24,Stock1!F:J,5,False),"")</f>
        <v/>
      </c>
      <c r="G24" s="318" t="str">
        <f t="array" ref="G24">_xlfn.XLOOKUP(B24,Stock2!F:F,Stock2!J:J,"")</f>
        <v/>
      </c>
      <c r="H24" s="310" t="s">
        <v>253</v>
      </c>
    </row>
    <row r="25">
      <c r="A25" s="321"/>
      <c r="B25" s="322"/>
      <c r="C25" s="321"/>
      <c r="D25" s="321"/>
      <c r="E25" s="321"/>
      <c r="F25" s="317" t="str">
        <f>IFERROR(VLOOKUP(B25,Stock1!F:J,5,False),"")</f>
        <v/>
      </c>
      <c r="G25" s="318" t="str">
        <f t="array" ref="G25">_xlfn.XLOOKUP(B25,Stock2!F:F,Stock2!J:J,"")</f>
        <v/>
      </c>
      <c r="H25" s="321"/>
    </row>
    <row r="26">
      <c r="A26" s="310" t="s">
        <v>316</v>
      </c>
      <c r="B26" s="312" t="s">
        <v>317</v>
      </c>
      <c r="C26" s="310" t="s">
        <v>318</v>
      </c>
      <c r="D26" s="313">
        <v>2490.0</v>
      </c>
      <c r="E26" s="314">
        <v>70.0</v>
      </c>
      <c r="F26" s="317" t="str">
        <f>IFERROR(VLOOKUP(B26,Stock1!F:J,5,False),"")</f>
        <v/>
      </c>
      <c r="G26" s="318" t="str">
        <f t="array" ref="G26">_xlfn.XLOOKUP(B26,Stock2!F:F,Stock2!J:J,"")</f>
        <v/>
      </c>
      <c r="H26" s="310" t="s">
        <v>253</v>
      </c>
    </row>
    <row r="27">
      <c r="A27" s="310" t="s">
        <v>316</v>
      </c>
      <c r="B27" s="312" t="s">
        <v>320</v>
      </c>
      <c r="C27" s="310" t="s">
        <v>321</v>
      </c>
      <c r="D27" s="313">
        <v>2490.0</v>
      </c>
      <c r="E27" s="314">
        <v>70.0</v>
      </c>
      <c r="F27" s="317" t="str">
        <f>IFERROR(VLOOKUP(B27,Stock1!F:J,5,False),"")</f>
        <v/>
      </c>
      <c r="G27" s="318" t="str">
        <f t="array" ref="G27">_xlfn.XLOOKUP(B27,Stock2!F:F,Stock2!J:J,"")</f>
        <v/>
      </c>
      <c r="H27" s="310" t="s">
        <v>253</v>
      </c>
    </row>
    <row r="28">
      <c r="A28" s="310" t="s">
        <v>316</v>
      </c>
      <c r="B28" s="312" t="s">
        <v>322</v>
      </c>
      <c r="C28" s="310" t="s">
        <v>323</v>
      </c>
      <c r="D28" s="313">
        <v>2490.0</v>
      </c>
      <c r="E28" s="314">
        <v>70.0</v>
      </c>
      <c r="F28" s="317" t="str">
        <f>IFERROR(VLOOKUP(B28,Stock1!F:J,5,False),"")</f>
        <v/>
      </c>
      <c r="G28" s="318" t="str">
        <f t="array" ref="G28">_xlfn.XLOOKUP(B28,Stock2!F:F,Stock2!J:J,"")</f>
        <v/>
      </c>
      <c r="H28" s="310" t="s">
        <v>253</v>
      </c>
    </row>
    <row r="29">
      <c r="A29" s="310" t="s">
        <v>316</v>
      </c>
      <c r="B29" s="312" t="s">
        <v>324</v>
      </c>
      <c r="C29" s="310" t="s">
        <v>325</v>
      </c>
      <c r="D29" s="313">
        <v>2490.0</v>
      </c>
      <c r="E29" s="314">
        <v>70.0</v>
      </c>
      <c r="F29" s="317" t="str">
        <f>IFERROR(VLOOKUP(B29,Stock1!F:J,5,False),"")</f>
        <v/>
      </c>
      <c r="G29" s="318" t="str">
        <f t="array" ref="G29">_xlfn.XLOOKUP(B29,Stock2!F:F,Stock2!J:J,"")</f>
        <v/>
      </c>
      <c r="H29" s="310" t="s">
        <v>253</v>
      </c>
    </row>
    <row r="30">
      <c r="A30" s="321"/>
      <c r="B30" s="322"/>
      <c r="C30" s="321"/>
      <c r="D30" s="321"/>
      <c r="E30" s="321"/>
      <c r="F30" s="317" t="str">
        <f>IFERROR(VLOOKUP(B30,Stock1!F:J,5,False),"")</f>
        <v/>
      </c>
      <c r="G30" s="318" t="str">
        <f t="array" ref="G30">_xlfn.XLOOKUP(B30,Stock2!F:F,Stock2!J:J,"")</f>
        <v/>
      </c>
      <c r="H30" s="321"/>
    </row>
    <row r="31">
      <c r="A31" s="310" t="s">
        <v>328</v>
      </c>
      <c r="B31" s="312" t="s">
        <v>329</v>
      </c>
      <c r="C31" s="310" t="s">
        <v>330</v>
      </c>
      <c r="D31" s="313">
        <v>2790.0</v>
      </c>
      <c r="E31" s="314">
        <v>70.0</v>
      </c>
      <c r="F31" s="317" t="str">
        <f>IFERROR(VLOOKUP(B31,Stock1!F:J,5,False),"")</f>
        <v/>
      </c>
      <c r="G31" s="318" t="str">
        <f t="array" ref="G31">_xlfn.XLOOKUP(B31,Stock2!F:F,Stock2!J:J,"")</f>
        <v/>
      </c>
      <c r="H31" s="310" t="s">
        <v>253</v>
      </c>
    </row>
    <row r="32">
      <c r="A32" s="310" t="s">
        <v>328</v>
      </c>
      <c r="B32" s="312" t="s">
        <v>331</v>
      </c>
      <c r="C32" s="310" t="s">
        <v>332</v>
      </c>
      <c r="D32" s="313">
        <v>2790.0</v>
      </c>
      <c r="E32" s="314">
        <v>70.0</v>
      </c>
      <c r="F32" s="317" t="str">
        <f>IFERROR(VLOOKUP(B32,Stock1!F:J,5,False),"")</f>
        <v/>
      </c>
      <c r="G32" s="318" t="str">
        <f t="array" ref="G32">_xlfn.XLOOKUP(B32,Stock2!F:F,Stock2!J:J,"")</f>
        <v/>
      </c>
      <c r="H32" s="310" t="s">
        <v>253</v>
      </c>
    </row>
    <row r="33">
      <c r="A33" s="321"/>
      <c r="B33" s="322"/>
      <c r="C33" s="321"/>
      <c r="D33" s="321"/>
      <c r="E33" s="321"/>
      <c r="F33" s="317" t="str">
        <f>IFERROR(VLOOKUP(B33,Stock1!F:J,5,False),"")</f>
        <v/>
      </c>
      <c r="G33" s="318" t="str">
        <f t="array" ref="G33">_xlfn.XLOOKUP(B33,Stock2!F:F,Stock2!J:J,"")</f>
        <v/>
      </c>
      <c r="H33" s="321"/>
    </row>
    <row r="34">
      <c r="A34" s="310" t="s">
        <v>316</v>
      </c>
      <c r="B34" s="312" t="s">
        <v>334</v>
      </c>
      <c r="C34" s="310" t="s">
        <v>335</v>
      </c>
      <c r="D34" s="313">
        <v>1590.0</v>
      </c>
      <c r="E34" s="314">
        <v>20.0</v>
      </c>
      <c r="F34" s="317" t="str">
        <f>IFERROR(VLOOKUP(B34,Stock1!F:J,5,False),"")</f>
        <v/>
      </c>
      <c r="G34" s="318" t="str">
        <f t="array" ref="G34">_xlfn.XLOOKUP(B34,Stock2!F:F,Stock2!J:J,"")</f>
        <v/>
      </c>
      <c r="H34" s="310" t="s">
        <v>336</v>
      </c>
    </row>
    <row r="35">
      <c r="A35" s="310" t="s">
        <v>316</v>
      </c>
      <c r="B35" s="312" t="s">
        <v>337</v>
      </c>
      <c r="C35" s="310" t="s">
        <v>338</v>
      </c>
      <c r="D35" s="313">
        <v>1490.0</v>
      </c>
      <c r="E35" s="314">
        <v>20.0</v>
      </c>
      <c r="F35" s="317" t="str">
        <f>IFERROR(VLOOKUP(B35,Stock1!F:J,5,False),"")</f>
        <v/>
      </c>
      <c r="G35" s="318" t="str">
        <f t="array" ref="G35">_xlfn.XLOOKUP(B35,Stock2!F:F,Stock2!J:J,"")</f>
        <v/>
      </c>
      <c r="H35" s="310" t="s">
        <v>340</v>
      </c>
    </row>
    <row r="36">
      <c r="A36" s="310" t="s">
        <v>316</v>
      </c>
      <c r="B36" s="312" t="s">
        <v>341</v>
      </c>
      <c r="C36" s="310" t="s">
        <v>342</v>
      </c>
      <c r="D36" s="313">
        <v>1590.0</v>
      </c>
      <c r="E36" s="314">
        <v>20.0</v>
      </c>
      <c r="F36" s="317" t="str">
        <f>IFERROR(VLOOKUP(B36,Stock1!F:J,5,False),"")</f>
        <v/>
      </c>
      <c r="G36" s="318" t="str">
        <f t="array" ref="G36">_xlfn.XLOOKUP(B36,Stock2!F:F,Stock2!J:J,"")</f>
        <v/>
      </c>
      <c r="H36" s="310" t="s">
        <v>336</v>
      </c>
    </row>
    <row r="37">
      <c r="A37" s="310" t="s">
        <v>316</v>
      </c>
      <c r="B37" s="312" t="s">
        <v>343</v>
      </c>
      <c r="C37" s="310" t="s">
        <v>344</v>
      </c>
      <c r="D37" s="313">
        <v>1590.0</v>
      </c>
      <c r="E37" s="314">
        <v>20.0</v>
      </c>
      <c r="F37" s="317" t="str">
        <f>IFERROR(VLOOKUP(B37,Stock1!F:J,5,False),"")</f>
        <v/>
      </c>
      <c r="G37" s="318" t="str">
        <f t="array" ref="G37">_xlfn.XLOOKUP(B37,Stock2!F:F,Stock2!J:J,"")</f>
        <v/>
      </c>
      <c r="H37" s="310" t="s">
        <v>336</v>
      </c>
    </row>
    <row r="38">
      <c r="A38" s="310" t="s">
        <v>316</v>
      </c>
      <c r="B38" s="312" t="s">
        <v>345</v>
      </c>
      <c r="C38" s="310" t="s">
        <v>346</v>
      </c>
      <c r="D38" s="313">
        <v>1490.0</v>
      </c>
      <c r="E38" s="314">
        <v>20.0</v>
      </c>
      <c r="F38" s="317" t="str">
        <f>IFERROR(VLOOKUP(B38,Stock1!F:J,5,False),"")</f>
        <v/>
      </c>
      <c r="G38" s="318" t="str">
        <f t="array" ref="G38">_xlfn.XLOOKUP(B38,Stock2!F:F,Stock2!J:J,"")</f>
        <v/>
      </c>
      <c r="H38" s="310" t="s">
        <v>336</v>
      </c>
    </row>
    <row r="39">
      <c r="A39" s="310" t="s">
        <v>316</v>
      </c>
      <c r="B39" s="312" t="s">
        <v>348</v>
      </c>
      <c r="C39" s="310" t="s">
        <v>349</v>
      </c>
      <c r="D39" s="313">
        <v>1590.0</v>
      </c>
      <c r="E39" s="314">
        <v>20.0</v>
      </c>
      <c r="F39" s="317" t="str">
        <f>IFERROR(VLOOKUP(B39,Stock1!F:J,5,False),"")</f>
        <v/>
      </c>
      <c r="G39" s="318" t="str">
        <f t="array" ref="G39">_xlfn.XLOOKUP(B39,Stock2!F:F,Stock2!J:J,"")</f>
        <v/>
      </c>
      <c r="H39" s="310" t="s">
        <v>336</v>
      </c>
    </row>
    <row r="40">
      <c r="A40" s="310" t="s">
        <v>316</v>
      </c>
      <c r="B40" s="312" t="s">
        <v>350</v>
      </c>
      <c r="C40" s="310" t="s">
        <v>351</v>
      </c>
      <c r="D40" s="313">
        <v>2590.0</v>
      </c>
      <c r="E40" s="314">
        <v>20.0</v>
      </c>
      <c r="F40" s="317" t="str">
        <f>IFERROR(VLOOKUP(B40,Stock1!F:J,5,False),"")</f>
        <v/>
      </c>
      <c r="G40" s="318" t="str">
        <f t="array" ref="G40">_xlfn.XLOOKUP(B40,Stock2!F:F,Stock2!J:J,"")</f>
        <v/>
      </c>
      <c r="H40" s="310" t="s">
        <v>336</v>
      </c>
    </row>
    <row r="41">
      <c r="A41" s="310" t="s">
        <v>316</v>
      </c>
      <c r="B41" s="312" t="s">
        <v>352</v>
      </c>
      <c r="C41" s="310" t="s">
        <v>354</v>
      </c>
      <c r="D41" s="313">
        <v>1590.0</v>
      </c>
      <c r="E41" s="314">
        <v>20.0</v>
      </c>
      <c r="F41" s="317" t="str">
        <f>IFERROR(VLOOKUP(B41,Stock1!F:J,5,False),"")</f>
        <v/>
      </c>
      <c r="G41" s="318" t="str">
        <f t="array" ref="G41">_xlfn.XLOOKUP(B41,Stock2!F:F,Stock2!J:J,"")</f>
        <v/>
      </c>
      <c r="H41" s="310" t="s">
        <v>336</v>
      </c>
    </row>
    <row r="42">
      <c r="A42" s="310" t="s">
        <v>316</v>
      </c>
      <c r="B42" s="312" t="s">
        <v>358</v>
      </c>
      <c r="C42" s="310" t="s">
        <v>359</v>
      </c>
      <c r="D42" s="313">
        <v>1490.0</v>
      </c>
      <c r="E42" s="314">
        <v>20.0</v>
      </c>
      <c r="F42" s="317" t="str">
        <f>IFERROR(VLOOKUP(B42,Stock1!F:J,5,False),"")</f>
        <v/>
      </c>
      <c r="G42" s="318" t="str">
        <f t="array" ref="G42">_xlfn.XLOOKUP(B42,Stock2!F:F,Stock2!J:J,"")</f>
        <v/>
      </c>
      <c r="H42" s="310" t="s">
        <v>336</v>
      </c>
    </row>
    <row r="43">
      <c r="A43" s="310" t="s">
        <v>316</v>
      </c>
      <c r="B43" s="312" t="s">
        <v>361</v>
      </c>
      <c r="C43" s="310" t="s">
        <v>362</v>
      </c>
      <c r="D43" s="313">
        <v>1590.0</v>
      </c>
      <c r="E43" s="314">
        <v>20.0</v>
      </c>
      <c r="F43" s="317" t="str">
        <f>IFERROR(VLOOKUP(B43,Stock1!F:J,5,False),"")</f>
        <v/>
      </c>
      <c r="G43" s="318" t="str">
        <f t="array" ref="G43">_xlfn.XLOOKUP(B43,Stock2!F:F,Stock2!J:J,"")</f>
        <v/>
      </c>
      <c r="H43" s="310" t="s">
        <v>336</v>
      </c>
    </row>
    <row r="44">
      <c r="A44" s="310" t="s">
        <v>316</v>
      </c>
      <c r="B44" s="312" t="s">
        <v>363</v>
      </c>
      <c r="C44" s="310" t="s">
        <v>364</v>
      </c>
      <c r="D44" s="313">
        <v>2590.0</v>
      </c>
      <c r="E44" s="314">
        <v>20.0</v>
      </c>
      <c r="F44" s="317" t="str">
        <f>IFERROR(VLOOKUP(B44,Stock1!F:J,5,False),"")</f>
        <v/>
      </c>
      <c r="G44" s="318" t="str">
        <f t="array" ref="G44">_xlfn.XLOOKUP(B44,Stock2!F:F,Stock2!J:J,"")</f>
        <v/>
      </c>
      <c r="H44" s="310" t="s">
        <v>336</v>
      </c>
    </row>
    <row r="45">
      <c r="A45" s="310" t="s">
        <v>316</v>
      </c>
      <c r="B45" s="312" t="s">
        <v>365</v>
      </c>
      <c r="C45" s="310" t="s">
        <v>366</v>
      </c>
      <c r="D45" s="313">
        <v>1590.0</v>
      </c>
      <c r="E45" s="314">
        <v>20.0</v>
      </c>
      <c r="F45" s="317" t="str">
        <f>IFERROR(VLOOKUP(B45,Stock1!F:J,5,False),"")</f>
        <v/>
      </c>
      <c r="G45" s="318" t="str">
        <f t="array" ref="G45">_xlfn.XLOOKUP(B45,Stock2!F:F,Stock2!J:J,"")</f>
        <v/>
      </c>
      <c r="H45" s="310" t="s">
        <v>336</v>
      </c>
    </row>
    <row r="46">
      <c r="A46" s="310" t="s">
        <v>316</v>
      </c>
      <c r="B46" s="312" t="s">
        <v>369</v>
      </c>
      <c r="C46" s="310" t="s">
        <v>370</v>
      </c>
      <c r="D46" s="313">
        <v>1490.0</v>
      </c>
      <c r="E46" s="314">
        <v>20.0</v>
      </c>
      <c r="F46" s="317" t="str">
        <f>IFERROR(VLOOKUP(B46,Stock1!F:J,5,False),"")</f>
        <v/>
      </c>
      <c r="G46" s="318" t="str">
        <f t="array" ref="G46">_xlfn.XLOOKUP(B46,Stock2!F:F,Stock2!J:J,"")</f>
        <v/>
      </c>
      <c r="H46" s="310" t="s">
        <v>336</v>
      </c>
    </row>
    <row r="47">
      <c r="A47" s="310" t="s">
        <v>316</v>
      </c>
      <c r="B47" s="312" t="s">
        <v>372</v>
      </c>
      <c r="C47" s="310" t="s">
        <v>373</v>
      </c>
      <c r="D47" s="313">
        <v>1590.0</v>
      </c>
      <c r="E47" s="314">
        <v>20.0</v>
      </c>
      <c r="F47" s="317" t="str">
        <f>IFERROR(VLOOKUP(B47,Stock1!F:J,5,False),"")</f>
        <v/>
      </c>
      <c r="G47" s="318" t="str">
        <f t="array" ref="G47">_xlfn.XLOOKUP(B47,Stock2!F:F,Stock2!J:J,"")</f>
        <v/>
      </c>
      <c r="H47" s="310" t="s">
        <v>336</v>
      </c>
    </row>
    <row r="48">
      <c r="A48" s="310" t="s">
        <v>316</v>
      </c>
      <c r="B48" s="312" t="s">
        <v>376</v>
      </c>
      <c r="C48" s="310" t="s">
        <v>377</v>
      </c>
      <c r="D48" s="313">
        <v>1590.0</v>
      </c>
      <c r="E48" s="314">
        <v>20.0</v>
      </c>
      <c r="F48" s="317" t="str">
        <f>IFERROR(VLOOKUP(B48,Stock1!F:J,5,False),"")</f>
        <v/>
      </c>
      <c r="G48" s="318" t="str">
        <f t="array" ref="G48">_xlfn.XLOOKUP(B48,Stock2!F:F,Stock2!J:J,"")</f>
        <v/>
      </c>
      <c r="H48" s="310" t="s">
        <v>336</v>
      </c>
    </row>
    <row r="49">
      <c r="A49" s="310" t="s">
        <v>316</v>
      </c>
      <c r="B49" s="312" t="s">
        <v>378</v>
      </c>
      <c r="C49" s="310" t="s">
        <v>379</v>
      </c>
      <c r="D49" s="313">
        <v>1390.0</v>
      </c>
      <c r="E49" s="314">
        <v>20.0</v>
      </c>
      <c r="F49" s="317" t="str">
        <f>IFERROR(VLOOKUP(B49,Stock1!F:J,5,False),"")</f>
        <v/>
      </c>
      <c r="G49" s="318" t="str">
        <f t="array" ref="G49">_xlfn.XLOOKUP(B49,Stock2!F:F,Stock2!J:J,"")</f>
        <v/>
      </c>
      <c r="H49" s="310" t="s">
        <v>336</v>
      </c>
    </row>
    <row r="50">
      <c r="A50" s="310" t="s">
        <v>316</v>
      </c>
      <c r="B50" s="312" t="s">
        <v>380</v>
      </c>
      <c r="C50" s="310" t="s">
        <v>382</v>
      </c>
      <c r="D50" s="313">
        <v>1590.0</v>
      </c>
      <c r="E50" s="314">
        <v>20.0</v>
      </c>
      <c r="F50" s="317" t="str">
        <f>IFERROR(VLOOKUP(B50,Stock1!F:J,5,False),"")</f>
        <v/>
      </c>
      <c r="G50" s="318" t="str">
        <f t="array" ref="G50">_xlfn.XLOOKUP(B50,Stock2!F:F,Stock2!J:J,"")</f>
        <v/>
      </c>
      <c r="H50" s="310" t="s">
        <v>336</v>
      </c>
    </row>
    <row r="51">
      <c r="A51" s="310" t="s">
        <v>316</v>
      </c>
      <c r="B51" s="312" t="s">
        <v>385</v>
      </c>
      <c r="C51" s="310" t="s">
        <v>387</v>
      </c>
      <c r="D51" s="313">
        <v>1590.0</v>
      </c>
      <c r="E51" s="314">
        <v>20.0</v>
      </c>
      <c r="F51" s="317" t="str">
        <f>IFERROR(VLOOKUP(B51,Stock1!F:J,5,False),"")</f>
        <v/>
      </c>
      <c r="G51" s="318" t="str">
        <f t="array" ref="G51">_xlfn.XLOOKUP(B51,Stock2!F:F,Stock2!J:J,"")</f>
        <v/>
      </c>
      <c r="H51" s="310" t="s">
        <v>336</v>
      </c>
    </row>
    <row r="52">
      <c r="A52" s="310" t="s">
        <v>316</v>
      </c>
      <c r="B52" s="312" t="s">
        <v>388</v>
      </c>
      <c r="C52" s="310" t="s">
        <v>389</v>
      </c>
      <c r="D52" s="313">
        <v>1590.0</v>
      </c>
      <c r="E52" s="314">
        <v>20.0</v>
      </c>
      <c r="F52" s="317" t="str">
        <f>IFERROR(VLOOKUP(B52,Stock1!F:J,5,False),"")</f>
        <v/>
      </c>
      <c r="G52" s="318" t="str">
        <f t="array" ref="G52">_xlfn.XLOOKUP(B52,Stock2!F:F,Stock2!J:J,"")</f>
        <v/>
      </c>
      <c r="H52" s="310" t="s">
        <v>336</v>
      </c>
    </row>
    <row r="53">
      <c r="A53" s="321"/>
      <c r="B53" s="322"/>
      <c r="C53" s="321"/>
      <c r="D53" s="321"/>
      <c r="E53" s="321"/>
      <c r="F53" s="317" t="str">
        <f>IFERROR(VLOOKUP(B53,Stock1!F:J,5,False),"")</f>
        <v/>
      </c>
      <c r="G53" s="318" t="str">
        <f t="array" ref="G53">_xlfn.XLOOKUP(B53,Stock2!F:F,Stock2!J:J,"")</f>
        <v/>
      </c>
      <c r="H53" s="321"/>
    </row>
    <row r="54">
      <c r="A54" s="310" t="s">
        <v>316</v>
      </c>
      <c r="B54" s="312" t="s">
        <v>334</v>
      </c>
      <c r="C54" s="310" t="s">
        <v>335</v>
      </c>
      <c r="D54" s="313">
        <v>1590.0</v>
      </c>
      <c r="E54" s="314">
        <v>40.0</v>
      </c>
      <c r="F54" s="317" t="str">
        <f>IFERROR(VLOOKUP(B54,Stock1!F:J,5,False),"")</f>
        <v/>
      </c>
      <c r="G54" s="318" t="str">
        <f t="array" ref="G54">_xlfn.XLOOKUP(B54,Stock2!F:F,Stock2!J:J,"")</f>
        <v/>
      </c>
      <c r="H54" s="310" t="s">
        <v>394</v>
      </c>
    </row>
    <row r="55">
      <c r="A55" s="310" t="s">
        <v>316</v>
      </c>
      <c r="B55" s="312" t="s">
        <v>337</v>
      </c>
      <c r="C55" s="310" t="s">
        <v>338</v>
      </c>
      <c r="D55" s="313">
        <v>1490.0</v>
      </c>
      <c r="E55" s="314">
        <v>40.0</v>
      </c>
      <c r="F55" s="317" t="str">
        <f>IFERROR(VLOOKUP(B55,Stock1!F:J,5,False),"")</f>
        <v/>
      </c>
      <c r="G55" s="318" t="str">
        <f t="array" ref="G55">_xlfn.XLOOKUP(B55,Stock2!F:F,Stock2!J:J,"")</f>
        <v/>
      </c>
      <c r="H55" s="310" t="s">
        <v>394</v>
      </c>
    </row>
    <row r="56">
      <c r="A56" s="310" t="s">
        <v>316</v>
      </c>
      <c r="B56" s="312" t="s">
        <v>341</v>
      </c>
      <c r="C56" s="310" t="s">
        <v>342</v>
      </c>
      <c r="D56" s="313">
        <v>1590.0</v>
      </c>
      <c r="E56" s="314">
        <v>40.0</v>
      </c>
      <c r="F56" s="317" t="str">
        <f>IFERROR(VLOOKUP(B56,Stock1!F:J,5,False),"")</f>
        <v/>
      </c>
      <c r="G56" s="318" t="str">
        <f t="array" ref="G56">_xlfn.XLOOKUP(B56,Stock2!F:F,Stock2!J:J,"")</f>
        <v/>
      </c>
      <c r="H56" s="310" t="s">
        <v>394</v>
      </c>
    </row>
    <row r="57">
      <c r="A57" s="310" t="s">
        <v>316</v>
      </c>
      <c r="B57" s="312" t="s">
        <v>343</v>
      </c>
      <c r="C57" s="310" t="s">
        <v>344</v>
      </c>
      <c r="D57" s="313">
        <v>1590.0</v>
      </c>
      <c r="E57" s="314">
        <v>40.0</v>
      </c>
      <c r="F57" s="317" t="str">
        <f>IFERROR(VLOOKUP(B57,Stock1!F:J,5,False),"")</f>
        <v/>
      </c>
      <c r="G57" s="318" t="str">
        <f t="array" ref="G57">_xlfn.XLOOKUP(B57,Stock2!F:F,Stock2!J:J,"")</f>
        <v/>
      </c>
      <c r="H57" s="310" t="s">
        <v>394</v>
      </c>
    </row>
    <row r="58">
      <c r="A58" s="310" t="s">
        <v>316</v>
      </c>
      <c r="B58" s="312" t="s">
        <v>345</v>
      </c>
      <c r="C58" s="310" t="s">
        <v>346</v>
      </c>
      <c r="D58" s="313">
        <v>1490.0</v>
      </c>
      <c r="E58" s="314">
        <v>40.0</v>
      </c>
      <c r="F58" s="317" t="str">
        <f>IFERROR(VLOOKUP(B58,Stock1!F:J,5,False),"")</f>
        <v/>
      </c>
      <c r="G58" s="318" t="str">
        <f t="array" ref="G58">_xlfn.XLOOKUP(B58,Stock2!F:F,Stock2!J:J,"")</f>
        <v/>
      </c>
      <c r="H58" s="310" t="s">
        <v>394</v>
      </c>
    </row>
    <row r="59">
      <c r="A59" s="310" t="s">
        <v>316</v>
      </c>
      <c r="B59" s="312" t="s">
        <v>348</v>
      </c>
      <c r="C59" s="310" t="s">
        <v>349</v>
      </c>
      <c r="D59" s="313">
        <v>1590.0</v>
      </c>
      <c r="E59" s="314">
        <v>40.0</v>
      </c>
      <c r="F59" s="317" t="str">
        <f>IFERROR(VLOOKUP(B59,Stock1!F:J,5,False),"")</f>
        <v/>
      </c>
      <c r="G59" s="318" t="str">
        <f t="array" ref="G59">_xlfn.XLOOKUP(B59,Stock2!F:F,Stock2!J:J,"")</f>
        <v/>
      </c>
      <c r="H59" s="310" t="s">
        <v>394</v>
      </c>
    </row>
    <row r="60">
      <c r="A60" s="310" t="s">
        <v>316</v>
      </c>
      <c r="B60" s="312" t="s">
        <v>350</v>
      </c>
      <c r="C60" s="310" t="s">
        <v>351</v>
      </c>
      <c r="D60" s="313">
        <v>2590.0</v>
      </c>
      <c r="E60" s="314">
        <v>40.0</v>
      </c>
      <c r="F60" s="317" t="str">
        <f>IFERROR(VLOOKUP(B60,Stock1!F:J,5,False),"")</f>
        <v/>
      </c>
      <c r="G60" s="318" t="str">
        <f t="array" ref="G60">_xlfn.XLOOKUP(B60,Stock2!F:F,Stock2!J:J,"")</f>
        <v/>
      </c>
      <c r="H60" s="310" t="s">
        <v>394</v>
      </c>
    </row>
    <row r="61">
      <c r="A61" s="310" t="s">
        <v>316</v>
      </c>
      <c r="B61" s="312" t="s">
        <v>352</v>
      </c>
      <c r="C61" s="310" t="s">
        <v>354</v>
      </c>
      <c r="D61" s="313">
        <v>1590.0</v>
      </c>
      <c r="E61" s="314">
        <v>40.0</v>
      </c>
      <c r="F61" s="317" t="str">
        <f>IFERROR(VLOOKUP(B61,Stock1!F:J,5,False),"")</f>
        <v/>
      </c>
      <c r="G61" s="318" t="str">
        <f t="array" ref="G61">_xlfn.XLOOKUP(B61,Stock2!F:F,Stock2!J:J,"")</f>
        <v/>
      </c>
      <c r="H61" s="310" t="s">
        <v>394</v>
      </c>
    </row>
    <row r="62">
      <c r="A62" s="310" t="s">
        <v>316</v>
      </c>
      <c r="B62" s="312" t="s">
        <v>358</v>
      </c>
      <c r="C62" s="310" t="s">
        <v>359</v>
      </c>
      <c r="D62" s="313">
        <v>1490.0</v>
      </c>
      <c r="E62" s="314">
        <v>40.0</v>
      </c>
      <c r="F62" s="317" t="str">
        <f>IFERROR(VLOOKUP(B62,Stock1!F:J,5,False),"")</f>
        <v/>
      </c>
      <c r="G62" s="318" t="str">
        <f t="array" ref="G62">_xlfn.XLOOKUP(B62,Stock2!F:F,Stock2!J:J,"")</f>
        <v/>
      </c>
      <c r="H62" s="310" t="s">
        <v>394</v>
      </c>
    </row>
    <row r="63">
      <c r="A63" s="310" t="s">
        <v>316</v>
      </c>
      <c r="B63" s="312" t="s">
        <v>361</v>
      </c>
      <c r="C63" s="310" t="s">
        <v>362</v>
      </c>
      <c r="D63" s="313">
        <v>1590.0</v>
      </c>
      <c r="E63" s="314">
        <v>40.0</v>
      </c>
      <c r="F63" s="317" t="str">
        <f>IFERROR(VLOOKUP(B63,Stock1!F:J,5,False),"")</f>
        <v/>
      </c>
      <c r="G63" s="318" t="str">
        <f t="array" ref="G63">_xlfn.XLOOKUP(B63,Stock2!F:F,Stock2!J:J,"")</f>
        <v/>
      </c>
      <c r="H63" s="310" t="s">
        <v>394</v>
      </c>
    </row>
    <row r="64">
      <c r="A64" s="310" t="s">
        <v>316</v>
      </c>
      <c r="B64" s="312" t="s">
        <v>363</v>
      </c>
      <c r="C64" s="310" t="s">
        <v>364</v>
      </c>
      <c r="D64" s="313">
        <v>2590.0</v>
      </c>
      <c r="E64" s="314">
        <v>40.0</v>
      </c>
      <c r="F64" s="317" t="str">
        <f>IFERROR(VLOOKUP(B64,Stock1!F:J,5,False),"")</f>
        <v/>
      </c>
      <c r="G64" s="318" t="str">
        <f t="array" ref="G64">_xlfn.XLOOKUP(B64,Stock2!F:F,Stock2!J:J,"")</f>
        <v/>
      </c>
      <c r="H64" s="310" t="s">
        <v>394</v>
      </c>
    </row>
    <row r="65">
      <c r="A65" s="310" t="s">
        <v>316</v>
      </c>
      <c r="B65" s="312" t="s">
        <v>365</v>
      </c>
      <c r="C65" s="310" t="s">
        <v>366</v>
      </c>
      <c r="D65" s="313">
        <v>1590.0</v>
      </c>
      <c r="E65" s="314">
        <v>40.0</v>
      </c>
      <c r="F65" s="317" t="str">
        <f>IFERROR(VLOOKUP(B65,Stock1!F:J,5,False),"")</f>
        <v/>
      </c>
      <c r="G65" s="318" t="str">
        <f t="array" ref="G65">_xlfn.XLOOKUP(B65,Stock2!F:F,Stock2!J:J,"")</f>
        <v/>
      </c>
      <c r="H65" s="310" t="s">
        <v>394</v>
      </c>
    </row>
    <row r="66">
      <c r="A66" s="310" t="s">
        <v>316</v>
      </c>
      <c r="B66" s="312" t="s">
        <v>369</v>
      </c>
      <c r="C66" s="310" t="s">
        <v>370</v>
      </c>
      <c r="D66" s="313">
        <v>1490.0</v>
      </c>
      <c r="E66" s="314">
        <v>40.0</v>
      </c>
      <c r="F66" s="317" t="str">
        <f>IFERROR(VLOOKUP(B66,Stock1!F:J,5,False),"")</f>
        <v/>
      </c>
      <c r="G66" s="318" t="str">
        <f t="array" ref="G66">_xlfn.XLOOKUP(B66,Stock2!F:F,Stock2!J:J,"")</f>
        <v/>
      </c>
      <c r="H66" s="310" t="s">
        <v>394</v>
      </c>
    </row>
    <row r="67">
      <c r="A67" s="310" t="s">
        <v>316</v>
      </c>
      <c r="B67" s="312" t="s">
        <v>372</v>
      </c>
      <c r="C67" s="310" t="s">
        <v>373</v>
      </c>
      <c r="D67" s="313">
        <v>1590.0</v>
      </c>
      <c r="E67" s="314">
        <v>40.0</v>
      </c>
      <c r="F67" s="317" t="str">
        <f>IFERROR(VLOOKUP(B67,Stock1!F:J,5,False),"")</f>
        <v/>
      </c>
      <c r="G67" s="318" t="str">
        <f t="array" ref="G67">_xlfn.XLOOKUP(B67,Stock2!F:F,Stock2!J:J,"")</f>
        <v/>
      </c>
      <c r="H67" s="310" t="s">
        <v>394</v>
      </c>
    </row>
    <row r="68">
      <c r="A68" s="310" t="s">
        <v>316</v>
      </c>
      <c r="B68" s="312" t="s">
        <v>376</v>
      </c>
      <c r="C68" s="310" t="s">
        <v>377</v>
      </c>
      <c r="D68" s="313">
        <v>1590.0</v>
      </c>
      <c r="E68" s="314">
        <v>40.0</v>
      </c>
      <c r="F68" s="317" t="str">
        <f>IFERROR(VLOOKUP(B68,Stock1!F:J,5,False),"")</f>
        <v/>
      </c>
      <c r="G68" s="318" t="str">
        <f t="array" ref="G68">_xlfn.XLOOKUP(B68,Stock2!F:F,Stock2!J:J,"")</f>
        <v/>
      </c>
      <c r="H68" s="310" t="s">
        <v>394</v>
      </c>
    </row>
    <row r="69">
      <c r="A69" s="310" t="s">
        <v>316</v>
      </c>
      <c r="B69" s="312" t="s">
        <v>378</v>
      </c>
      <c r="C69" s="310" t="s">
        <v>379</v>
      </c>
      <c r="D69" s="313">
        <v>1390.0</v>
      </c>
      <c r="E69" s="314">
        <v>40.0</v>
      </c>
      <c r="F69" s="317" t="str">
        <f>IFERROR(VLOOKUP(B69,Stock1!F:J,5,False),"")</f>
        <v/>
      </c>
      <c r="G69" s="318" t="str">
        <f t="array" ref="G69">_xlfn.XLOOKUP(B69,Stock2!F:F,Stock2!J:J,"")</f>
        <v/>
      </c>
      <c r="H69" s="310" t="s">
        <v>394</v>
      </c>
    </row>
    <row r="70">
      <c r="A70" s="310" t="s">
        <v>316</v>
      </c>
      <c r="B70" s="312" t="s">
        <v>380</v>
      </c>
      <c r="C70" s="310" t="s">
        <v>382</v>
      </c>
      <c r="D70" s="313">
        <v>1590.0</v>
      </c>
      <c r="E70" s="314">
        <v>40.0</v>
      </c>
      <c r="F70" s="317" t="str">
        <f>IFERROR(VLOOKUP(B70,Stock1!F:J,5,False),"")</f>
        <v/>
      </c>
      <c r="G70" s="318" t="str">
        <f t="array" ref="G70">_xlfn.XLOOKUP(B70,Stock2!F:F,Stock2!J:J,"")</f>
        <v/>
      </c>
      <c r="H70" s="310" t="s">
        <v>394</v>
      </c>
    </row>
    <row r="71">
      <c r="A71" s="310" t="s">
        <v>316</v>
      </c>
      <c r="B71" s="312" t="s">
        <v>385</v>
      </c>
      <c r="C71" s="310" t="s">
        <v>387</v>
      </c>
      <c r="D71" s="313">
        <v>1590.0</v>
      </c>
      <c r="E71" s="314">
        <v>40.0</v>
      </c>
      <c r="F71" s="317" t="str">
        <f>IFERROR(VLOOKUP(B71,Stock1!F:J,5,False),"")</f>
        <v/>
      </c>
      <c r="G71" s="318" t="str">
        <f t="array" ref="G71">_xlfn.XLOOKUP(B71,Stock2!F:F,Stock2!J:J,"")</f>
        <v/>
      </c>
      <c r="H71" s="310" t="s">
        <v>394</v>
      </c>
    </row>
    <row r="72">
      <c r="A72" s="310" t="s">
        <v>316</v>
      </c>
      <c r="B72" s="312" t="s">
        <v>388</v>
      </c>
      <c r="C72" s="310" t="s">
        <v>389</v>
      </c>
      <c r="D72" s="313">
        <v>1590.0</v>
      </c>
      <c r="E72" s="314">
        <v>40.0</v>
      </c>
      <c r="F72" s="317" t="str">
        <f>IFERROR(VLOOKUP(B72,Stock1!F:J,5,False),"")</f>
        <v/>
      </c>
      <c r="G72" s="318" t="str">
        <f t="array" ref="G72">_xlfn.XLOOKUP(B72,Stock2!F:F,Stock2!J:J,"")</f>
        <v/>
      </c>
      <c r="H72" s="310" t="s">
        <v>394</v>
      </c>
    </row>
    <row r="73">
      <c r="A73" s="321"/>
      <c r="B73" s="322"/>
      <c r="C73" s="310" t="s">
        <v>421</v>
      </c>
      <c r="D73" s="321"/>
      <c r="E73" s="321"/>
      <c r="F73" s="317" t="str">
        <f>IFERROR(VLOOKUP(B73,Stock1!F:J,5,False),"")</f>
        <v/>
      </c>
      <c r="G73" s="318" t="str">
        <f t="array" ref="G73">_xlfn.XLOOKUP(B73,Stock2!F:F,Stock2!J:J,"")</f>
        <v/>
      </c>
      <c r="H73" s="321"/>
    </row>
    <row r="74">
      <c r="A74" s="310" t="s">
        <v>424</v>
      </c>
      <c r="B74" s="312" t="s">
        <v>425</v>
      </c>
      <c r="C74" s="310" t="s">
        <v>426</v>
      </c>
      <c r="D74" s="314">
        <v>490.0</v>
      </c>
      <c r="E74" s="314">
        <v>20.0</v>
      </c>
      <c r="F74" s="317" t="str">
        <f>IFERROR(VLOOKUP(B74,Stock1!F:J,5,False),"")</f>
        <v/>
      </c>
      <c r="G74" s="318" t="str">
        <f t="array" ref="G74">_xlfn.XLOOKUP(B74,Stock2!F:F,Stock2!J:J,"")</f>
        <v/>
      </c>
      <c r="H74" s="310" t="s">
        <v>253</v>
      </c>
    </row>
    <row r="75">
      <c r="A75" s="310" t="s">
        <v>424</v>
      </c>
      <c r="B75" s="312" t="s">
        <v>429</v>
      </c>
      <c r="C75" s="310" t="s">
        <v>430</v>
      </c>
      <c r="D75" s="314">
        <v>490.0</v>
      </c>
      <c r="E75" s="314">
        <v>20.0</v>
      </c>
      <c r="F75" s="317" t="str">
        <f>IFERROR(VLOOKUP(B75,Stock1!F:J,5,False),"")</f>
        <v/>
      </c>
      <c r="G75" s="318" t="str">
        <f t="array" ref="G75">_xlfn.XLOOKUP(B75,Stock2!F:F,Stock2!J:J,"")</f>
        <v/>
      </c>
      <c r="H75" s="310" t="s">
        <v>253</v>
      </c>
    </row>
    <row r="76">
      <c r="A76" s="310" t="s">
        <v>424</v>
      </c>
      <c r="B76" s="312" t="s">
        <v>431</v>
      </c>
      <c r="C76" s="310" t="s">
        <v>432</v>
      </c>
      <c r="D76" s="314">
        <v>490.0</v>
      </c>
      <c r="E76" s="314">
        <v>20.0</v>
      </c>
      <c r="F76" s="317" t="str">
        <f>IFERROR(VLOOKUP(B76,Stock1!F:J,5,False),"")</f>
        <v/>
      </c>
      <c r="G76" s="318" t="str">
        <f t="array" ref="G76">_xlfn.XLOOKUP(B76,Stock2!F:F,Stock2!J:J,"")</f>
        <v/>
      </c>
      <c r="H76" s="310" t="s">
        <v>253</v>
      </c>
    </row>
    <row r="77">
      <c r="A77" s="310" t="s">
        <v>424</v>
      </c>
      <c r="B77" s="312" t="s">
        <v>431</v>
      </c>
      <c r="C77" s="310" t="s">
        <v>434</v>
      </c>
      <c r="D77" s="314">
        <v>490.0</v>
      </c>
      <c r="E77" s="314">
        <v>20.0</v>
      </c>
      <c r="F77" s="317" t="str">
        <f>IFERROR(VLOOKUP(B77,Stock1!F:J,5,False),"")</f>
        <v/>
      </c>
      <c r="G77" s="318" t="str">
        <f t="array" ref="G77">_xlfn.XLOOKUP(B77,Stock2!F:F,Stock2!J:J,"")</f>
        <v/>
      </c>
      <c r="H77" s="310" t="s">
        <v>253</v>
      </c>
    </row>
    <row r="78">
      <c r="A78" s="310" t="s">
        <v>424</v>
      </c>
      <c r="B78" s="312" t="s">
        <v>435</v>
      </c>
      <c r="C78" s="310" t="s">
        <v>436</v>
      </c>
      <c r="D78" s="314">
        <v>490.0</v>
      </c>
      <c r="E78" s="314">
        <v>20.0</v>
      </c>
      <c r="F78" s="317" t="str">
        <f>IFERROR(VLOOKUP(B78,Stock1!F:J,5,False),"")</f>
        <v/>
      </c>
      <c r="G78" s="318" t="str">
        <f t="array" ref="G78">_xlfn.XLOOKUP(B78,Stock2!F:F,Stock2!J:J,"")</f>
        <v/>
      </c>
      <c r="H78" s="310" t="s">
        <v>253</v>
      </c>
    </row>
    <row r="79">
      <c r="A79" s="321"/>
      <c r="B79" s="322"/>
      <c r="C79" s="310" t="s">
        <v>440</v>
      </c>
      <c r="D79" s="321"/>
      <c r="E79" s="321"/>
      <c r="F79" s="317" t="str">
        <f>IFERROR(VLOOKUP(B79,Stock1!F:J,5,False),"")</f>
        <v/>
      </c>
      <c r="G79" s="318" t="str">
        <f t="array" ref="G79">_xlfn.XLOOKUP(B79,Stock2!F:F,Stock2!J:J,"")</f>
        <v/>
      </c>
      <c r="H79" s="321"/>
    </row>
    <row r="80">
      <c r="A80" s="310" t="s">
        <v>316</v>
      </c>
      <c r="B80" s="312" t="s">
        <v>443</v>
      </c>
      <c r="C80" s="310" t="s">
        <v>445</v>
      </c>
      <c r="D80" s="314">
        <v>990.0</v>
      </c>
      <c r="E80" s="314">
        <v>70.0</v>
      </c>
      <c r="F80" s="317" t="str">
        <f>IFERROR(VLOOKUP(B80,Stock1!F:J,5,False),"")</f>
        <v/>
      </c>
      <c r="G80" s="318" t="str">
        <f t="array" ref="G80">_xlfn.XLOOKUP(B80,Stock2!F:F,Stock2!J:J,"")</f>
        <v/>
      </c>
      <c r="H80" s="310" t="s">
        <v>253</v>
      </c>
    </row>
    <row r="81">
      <c r="A81" s="310" t="s">
        <v>316</v>
      </c>
      <c r="B81" s="312" t="s">
        <v>446</v>
      </c>
      <c r="C81" s="310" t="s">
        <v>447</v>
      </c>
      <c r="D81" s="314">
        <v>990.0</v>
      </c>
      <c r="E81" s="314">
        <v>70.0</v>
      </c>
      <c r="F81" s="317" t="str">
        <f>IFERROR(VLOOKUP(B81,Stock1!F:J,5,False),"")</f>
        <v/>
      </c>
      <c r="G81" s="318" t="str">
        <f t="array" ref="G81">_xlfn.XLOOKUP(B81,Stock2!F:F,Stock2!J:J,"")</f>
        <v/>
      </c>
      <c r="H81" s="310" t="s">
        <v>253</v>
      </c>
    </row>
    <row r="82">
      <c r="A82" s="321"/>
      <c r="B82" s="322"/>
      <c r="C82" s="321"/>
      <c r="D82" s="321"/>
      <c r="E82" s="321"/>
      <c r="F82" s="317" t="str">
        <f>IFERROR(VLOOKUP(B82,Stock1!F:J,5,False),"")</f>
        <v/>
      </c>
      <c r="G82" s="318" t="str">
        <f t="array" ref="G82">_xlfn.XLOOKUP(B82,Stock2!F:F,Stock2!J:J,"")</f>
        <v/>
      </c>
      <c r="H82" s="321"/>
    </row>
    <row r="83">
      <c r="A83" s="321"/>
      <c r="B83" s="322"/>
      <c r="C83" s="310" t="s">
        <v>451</v>
      </c>
      <c r="D83" s="321"/>
      <c r="E83" s="321"/>
      <c r="F83" s="317" t="str">
        <f>IFERROR(VLOOKUP(B83,Stock1!F:J,5,False),"")</f>
        <v/>
      </c>
      <c r="G83" s="318" t="str">
        <f t="array" ref="G83">_xlfn.XLOOKUP(B83,Stock2!F:F,Stock2!J:J,"")</f>
        <v/>
      </c>
      <c r="H83" s="321"/>
    </row>
    <row r="84">
      <c r="A84" s="310" t="s">
        <v>452</v>
      </c>
      <c r="B84" s="312" t="s">
        <v>453</v>
      </c>
      <c r="C84" s="310" t="s">
        <v>454</v>
      </c>
      <c r="D84" s="321"/>
      <c r="E84" s="314">
        <v>10.0</v>
      </c>
      <c r="F84" s="317" t="str">
        <f>IFERROR(VLOOKUP(B84,Stock1!F:J,5,False),"")</f>
        <v/>
      </c>
      <c r="G84" s="318" t="str">
        <f t="array" ref="G84">_xlfn.XLOOKUP(B84,Stock2!F:F,Stock2!J:J,"")</f>
        <v/>
      </c>
      <c r="H84" s="310" t="s">
        <v>253</v>
      </c>
    </row>
    <row r="85">
      <c r="A85" s="310" t="s">
        <v>452</v>
      </c>
      <c r="B85" s="312" t="s">
        <v>457</v>
      </c>
      <c r="C85" s="310" t="s">
        <v>458</v>
      </c>
      <c r="D85" s="321"/>
      <c r="E85" s="314">
        <v>10.0</v>
      </c>
      <c r="F85" s="317" t="str">
        <f>IFERROR(VLOOKUP(B85,Stock1!F:J,5,False),"")</f>
        <v/>
      </c>
      <c r="G85" s="318" t="str">
        <f t="array" ref="G85">_xlfn.XLOOKUP(B85,Stock2!F:F,Stock2!J:J,"")</f>
        <v/>
      </c>
      <c r="H85" s="310" t="s">
        <v>253</v>
      </c>
    </row>
    <row r="86">
      <c r="A86" s="321"/>
      <c r="B86" s="322"/>
      <c r="C86" s="310" t="s">
        <v>460</v>
      </c>
      <c r="D86" s="321"/>
      <c r="E86" s="321"/>
      <c r="F86" s="317" t="str">
        <f>IFERROR(VLOOKUP(B86,Stock1!F:J,5,False),"")</f>
        <v/>
      </c>
      <c r="G86" s="318" t="str">
        <f t="array" ref="G86">_xlfn.XLOOKUP(B86,Stock2!F:F,Stock2!J:J,"")</f>
        <v/>
      </c>
      <c r="H86" s="321"/>
    </row>
    <row r="87">
      <c r="A87" s="310" t="s">
        <v>452</v>
      </c>
      <c r="B87" s="312" t="s">
        <v>461</v>
      </c>
      <c r="C87" s="310" t="s">
        <v>462</v>
      </c>
      <c r="D87" s="321"/>
      <c r="E87" s="314">
        <v>50.0</v>
      </c>
      <c r="F87" s="317" t="str">
        <f>IFERROR(VLOOKUP(B87,Stock1!F:J,5,False),"")</f>
        <v/>
      </c>
      <c r="G87" s="318" t="str">
        <f t="array" ref="G87">_xlfn.XLOOKUP(B87,Stock2!F:F,Stock2!J:J,"")</f>
        <v/>
      </c>
      <c r="H87" s="310" t="s">
        <v>253</v>
      </c>
    </row>
    <row r="88">
      <c r="A88" s="310" t="s">
        <v>452</v>
      </c>
      <c r="B88" s="312" t="s">
        <v>464</v>
      </c>
      <c r="C88" s="310" t="s">
        <v>465</v>
      </c>
      <c r="D88" s="321"/>
      <c r="E88" s="314">
        <v>50.0</v>
      </c>
      <c r="F88" s="317" t="str">
        <f>IFERROR(VLOOKUP(B88,Stock1!F:J,5,False),"")</f>
        <v/>
      </c>
      <c r="G88" s="318" t="str">
        <f t="array" ref="G88">_xlfn.XLOOKUP(B88,Stock2!F:F,Stock2!J:J,"")</f>
        <v/>
      </c>
      <c r="H88" s="310" t="s">
        <v>253</v>
      </c>
    </row>
    <row r="89">
      <c r="A89" s="310" t="s">
        <v>452</v>
      </c>
      <c r="B89" s="312" t="s">
        <v>466</v>
      </c>
      <c r="C89" s="310" t="s">
        <v>467</v>
      </c>
      <c r="D89" s="321"/>
      <c r="E89" s="314">
        <v>50.0</v>
      </c>
      <c r="F89" s="317" t="str">
        <f>IFERROR(VLOOKUP(B89,Stock1!F:J,5,False),"")</f>
        <v/>
      </c>
      <c r="G89" s="318" t="str">
        <f t="array" ref="G89">_xlfn.XLOOKUP(B89,Stock2!F:F,Stock2!J:J,"")</f>
        <v/>
      </c>
      <c r="H89" s="310" t="s">
        <v>253</v>
      </c>
    </row>
    <row r="90">
      <c r="A90" s="310" t="s">
        <v>452</v>
      </c>
      <c r="B90" s="312" t="s">
        <v>469</v>
      </c>
      <c r="C90" s="310" t="s">
        <v>470</v>
      </c>
      <c r="D90" s="321"/>
      <c r="E90" s="314">
        <v>50.0</v>
      </c>
      <c r="F90" s="317" t="str">
        <f>IFERROR(VLOOKUP(B90,Stock1!F:J,5,False),"")</f>
        <v/>
      </c>
      <c r="G90" s="318" t="str">
        <f t="array" ref="G90">_xlfn.XLOOKUP(B90,Stock2!F:F,Stock2!J:J,"")</f>
        <v/>
      </c>
      <c r="H90" s="310" t="s">
        <v>253</v>
      </c>
    </row>
    <row r="91">
      <c r="A91" s="310" t="s">
        <v>452</v>
      </c>
      <c r="B91" s="312" t="s">
        <v>472</v>
      </c>
      <c r="C91" s="310" t="s">
        <v>473</v>
      </c>
      <c r="D91" s="321"/>
      <c r="E91" s="314">
        <v>50.0</v>
      </c>
      <c r="F91" s="317" t="str">
        <f>IFERROR(VLOOKUP(B91,Stock1!F:J,5,False),"")</f>
        <v/>
      </c>
      <c r="G91" s="318" t="str">
        <f t="array" ref="G91">_xlfn.XLOOKUP(B91,Stock2!F:F,Stock2!J:J,"")</f>
        <v/>
      </c>
      <c r="H91" s="310" t="s">
        <v>253</v>
      </c>
    </row>
    <row r="92">
      <c r="A92" s="310" t="s">
        <v>452</v>
      </c>
      <c r="B92" s="312" t="s">
        <v>474</v>
      </c>
      <c r="C92" s="310" t="s">
        <v>475</v>
      </c>
      <c r="D92" s="321"/>
      <c r="E92" s="314">
        <v>50.0</v>
      </c>
      <c r="F92" s="317" t="str">
        <f>IFERROR(VLOOKUP(B92,Stock1!F:J,5,False),"")</f>
        <v/>
      </c>
      <c r="G92" s="318" t="str">
        <f t="array" ref="G92">_xlfn.XLOOKUP(B92,Stock2!F:F,Stock2!J:J,"")</f>
        <v/>
      </c>
      <c r="H92" s="310" t="s">
        <v>253</v>
      </c>
    </row>
    <row r="93">
      <c r="A93" s="310" t="s">
        <v>452</v>
      </c>
      <c r="B93" s="312" t="s">
        <v>478</v>
      </c>
      <c r="C93" s="310" t="s">
        <v>479</v>
      </c>
      <c r="D93" s="321"/>
      <c r="E93" s="314">
        <v>50.0</v>
      </c>
      <c r="F93" s="317" t="str">
        <f>IFERROR(VLOOKUP(B93,Stock1!F:J,5,False),"")</f>
        <v/>
      </c>
      <c r="G93" s="318" t="str">
        <f t="array" ref="G93">_xlfn.XLOOKUP(B93,Stock2!F:F,Stock2!J:J,"")</f>
        <v/>
      </c>
      <c r="H93" s="310" t="s">
        <v>253</v>
      </c>
    </row>
    <row r="94">
      <c r="A94" s="310" t="s">
        <v>452</v>
      </c>
      <c r="B94" s="312" t="s">
        <v>480</v>
      </c>
      <c r="C94" s="310" t="s">
        <v>481</v>
      </c>
      <c r="D94" s="321"/>
      <c r="E94" s="314">
        <v>50.0</v>
      </c>
      <c r="F94" s="317" t="str">
        <f>IFERROR(VLOOKUP(B94,Stock1!F:J,5,False),"")</f>
        <v/>
      </c>
      <c r="G94" s="318" t="str">
        <f t="array" ref="G94">_xlfn.XLOOKUP(B94,Stock2!F:F,Stock2!J:J,"")</f>
        <v/>
      </c>
      <c r="H94" s="310" t="s">
        <v>253</v>
      </c>
    </row>
    <row r="95">
      <c r="A95" s="310" t="s">
        <v>452</v>
      </c>
      <c r="B95" s="312" t="s">
        <v>482</v>
      </c>
      <c r="C95" s="310" t="s">
        <v>483</v>
      </c>
      <c r="D95" s="321"/>
      <c r="E95" s="314">
        <v>50.0</v>
      </c>
      <c r="F95" s="317" t="str">
        <f>IFERROR(VLOOKUP(B95,Stock1!F:J,5,False),"")</f>
        <v/>
      </c>
      <c r="G95" s="318" t="str">
        <f t="array" ref="G95">_xlfn.XLOOKUP(B95,Stock2!F:F,Stock2!J:J,"")</f>
        <v/>
      </c>
      <c r="H95" s="310" t="s">
        <v>253</v>
      </c>
    </row>
    <row r="96">
      <c r="A96" s="321"/>
      <c r="B96" s="322"/>
      <c r="C96" s="310" t="s">
        <v>484</v>
      </c>
      <c r="D96" s="321"/>
      <c r="E96" s="321"/>
      <c r="F96" s="317" t="str">
        <f>IFERROR(VLOOKUP(B96,Stock1!F:J,5,False),"")</f>
        <v/>
      </c>
      <c r="G96" s="318" t="str">
        <f t="array" ref="G96">_xlfn.XLOOKUP(B96,Stock2!F:F,Stock2!J:J,"")</f>
        <v/>
      </c>
      <c r="H96" s="321"/>
    </row>
    <row r="97">
      <c r="A97" s="310" t="s">
        <v>452</v>
      </c>
      <c r="B97" s="312" t="s">
        <v>487</v>
      </c>
      <c r="C97" s="310" t="s">
        <v>488</v>
      </c>
      <c r="D97" s="321"/>
      <c r="E97" s="314">
        <v>60.0</v>
      </c>
      <c r="F97" s="317" t="str">
        <f>IFERROR(VLOOKUP(B97,Stock1!F:J,5,False),"")</f>
        <v/>
      </c>
      <c r="G97" s="318" t="str">
        <f t="array" ref="G97">_xlfn.XLOOKUP(B97,Stock2!F:F,Stock2!J:J,"")</f>
        <v/>
      </c>
      <c r="H97" s="310" t="s">
        <v>253</v>
      </c>
    </row>
    <row r="98">
      <c r="A98" s="310" t="s">
        <v>452</v>
      </c>
      <c r="B98" s="312" t="s">
        <v>489</v>
      </c>
      <c r="C98" s="310" t="s">
        <v>490</v>
      </c>
      <c r="D98" s="321"/>
      <c r="E98" s="314">
        <v>60.0</v>
      </c>
      <c r="F98" s="317" t="str">
        <f>IFERROR(VLOOKUP(B98,Stock1!F:J,5,False),"")</f>
        <v/>
      </c>
      <c r="G98" s="318" t="str">
        <f t="array" ref="G98">_xlfn.XLOOKUP(B98,Stock2!F:F,Stock2!J:J,"")</f>
        <v/>
      </c>
      <c r="H98" s="310" t="s">
        <v>253</v>
      </c>
    </row>
    <row r="99">
      <c r="A99" s="310" t="s">
        <v>452</v>
      </c>
      <c r="B99" s="312" t="s">
        <v>492</v>
      </c>
      <c r="C99" s="310" t="s">
        <v>493</v>
      </c>
      <c r="D99" s="321"/>
      <c r="E99" s="314">
        <v>60.0</v>
      </c>
      <c r="F99" s="317" t="str">
        <f>IFERROR(VLOOKUP(B99,Stock1!F:J,5,False),"")</f>
        <v/>
      </c>
      <c r="G99" s="318" t="str">
        <f t="array" ref="G99">_xlfn.XLOOKUP(B99,Stock2!F:F,Stock2!J:J,"")</f>
        <v/>
      </c>
      <c r="H99" s="310" t="s">
        <v>253</v>
      </c>
    </row>
    <row r="100">
      <c r="A100" s="321"/>
      <c r="B100" s="322"/>
      <c r="C100" s="310" t="s">
        <v>495</v>
      </c>
      <c r="D100" s="321"/>
      <c r="E100" s="321"/>
      <c r="F100" s="317" t="str">
        <f>IFERROR(VLOOKUP(B100,Stock1!F:J,5,False),"")</f>
        <v/>
      </c>
      <c r="G100" s="318" t="str">
        <f t="array" ref="G100">_xlfn.XLOOKUP(B100,Stock2!F:F,Stock2!J:J,"")</f>
        <v/>
      </c>
      <c r="H100" s="321"/>
    </row>
    <row r="101">
      <c r="A101" s="310" t="s">
        <v>496</v>
      </c>
      <c r="B101" s="312" t="s">
        <v>497</v>
      </c>
      <c r="C101" s="310" t="s">
        <v>498</v>
      </c>
      <c r="D101" s="321"/>
      <c r="E101" s="314">
        <v>200.0</v>
      </c>
      <c r="F101" s="317" t="str">
        <f>IFERROR(VLOOKUP(B101,Stock1!F:J,5,False),"")</f>
        <v/>
      </c>
      <c r="G101" s="318" t="str">
        <f t="array" ref="G101">_xlfn.XLOOKUP(B101,Stock2!F:F,Stock2!J:J,"")</f>
        <v/>
      </c>
      <c r="H101" s="310" t="s">
        <v>253</v>
      </c>
    </row>
    <row r="102">
      <c r="A102" s="310" t="s">
        <v>496</v>
      </c>
      <c r="B102" s="312" t="s">
        <v>499</v>
      </c>
      <c r="C102" s="310" t="s">
        <v>501</v>
      </c>
      <c r="D102" s="321"/>
      <c r="E102" s="314">
        <v>200.0</v>
      </c>
      <c r="F102" s="317" t="str">
        <f>IFERROR(VLOOKUP(B102,Stock1!F:J,5,False),"")</f>
        <v/>
      </c>
      <c r="G102" s="318" t="str">
        <f t="array" ref="G102">_xlfn.XLOOKUP(B102,Stock2!F:F,Stock2!J:J,"")</f>
        <v/>
      </c>
      <c r="H102" s="310" t="s">
        <v>253</v>
      </c>
    </row>
    <row r="103">
      <c r="A103" s="310" t="s">
        <v>496</v>
      </c>
      <c r="B103" s="312" t="s">
        <v>502</v>
      </c>
      <c r="C103" s="310" t="s">
        <v>503</v>
      </c>
      <c r="D103" s="321"/>
      <c r="E103" s="314">
        <v>150.0</v>
      </c>
      <c r="F103" s="317" t="str">
        <f>IFERROR(VLOOKUP(B103,Stock1!F:J,5,False),"")</f>
        <v/>
      </c>
      <c r="G103" s="318" t="str">
        <f t="array" ref="G103">_xlfn.XLOOKUP(B103,Stock2!F:F,Stock2!J:J,"")</f>
        <v/>
      </c>
      <c r="H103" s="310" t="s">
        <v>253</v>
      </c>
    </row>
    <row r="104">
      <c r="A104" s="310" t="s">
        <v>496</v>
      </c>
      <c r="B104" s="312" t="s">
        <v>504</v>
      </c>
      <c r="C104" s="310" t="s">
        <v>505</v>
      </c>
      <c r="D104" s="321"/>
      <c r="E104" s="314">
        <v>150.0</v>
      </c>
      <c r="F104" s="317" t="str">
        <f>IFERROR(VLOOKUP(B104,Stock1!F:J,5,False),"")</f>
        <v/>
      </c>
      <c r="G104" s="318" t="str">
        <f t="array" ref="G104">_xlfn.XLOOKUP(B104,Stock2!F:F,Stock2!J:J,"")</f>
        <v/>
      </c>
      <c r="H104" s="310" t="s">
        <v>253</v>
      </c>
    </row>
    <row r="105">
      <c r="A105" s="321"/>
      <c r="B105" s="322"/>
      <c r="C105" s="310" t="s">
        <v>507</v>
      </c>
      <c r="D105" s="321"/>
      <c r="E105" s="321"/>
      <c r="F105" s="317" t="str">
        <f>IFERROR(VLOOKUP(B105,Stock1!F:J,5,False),"")</f>
        <v/>
      </c>
      <c r="G105" s="318" t="str">
        <f t="array" ref="G105">_xlfn.XLOOKUP(B105,Stock2!F:F,Stock2!J:J,"")</f>
        <v/>
      </c>
      <c r="H105" s="321"/>
    </row>
    <row r="106">
      <c r="A106" s="310" t="s">
        <v>496</v>
      </c>
      <c r="B106" s="312" t="s">
        <v>508</v>
      </c>
      <c r="C106" s="310" t="s">
        <v>509</v>
      </c>
      <c r="D106" s="321"/>
      <c r="E106" s="314">
        <v>60.0</v>
      </c>
      <c r="F106" s="317" t="str">
        <f>IFERROR(VLOOKUP(B106,Stock1!F:J,5,False),"")</f>
        <v/>
      </c>
      <c r="G106" s="318">
        <f t="array" ref="G106">_xlfn.XLOOKUP(B106,Stock2!F:F,Stock2!J:J,"")</f>
        <v>19</v>
      </c>
      <c r="H106" s="310" t="s">
        <v>253</v>
      </c>
    </row>
    <row r="107">
      <c r="A107" s="310" t="s">
        <v>496</v>
      </c>
      <c r="B107" s="312" t="s">
        <v>512</v>
      </c>
      <c r="C107" s="310" t="s">
        <v>513</v>
      </c>
      <c r="D107" s="321"/>
      <c r="E107" s="314">
        <v>60.0</v>
      </c>
      <c r="F107" s="317" t="str">
        <f>IFERROR(VLOOKUP(B107,Stock1!F:J,5,False),"")</f>
        <v/>
      </c>
      <c r="G107" s="318">
        <f t="array" ref="G107">_xlfn.XLOOKUP(B107,Stock2!F:F,Stock2!J:J,"")</f>
        <v>4</v>
      </c>
      <c r="H107" s="310" t="s">
        <v>253</v>
      </c>
    </row>
    <row r="108">
      <c r="A108" s="310" t="s">
        <v>496</v>
      </c>
      <c r="B108" s="312" t="s">
        <v>516</v>
      </c>
      <c r="C108" s="310" t="s">
        <v>517</v>
      </c>
      <c r="D108" s="321"/>
      <c r="E108" s="314">
        <v>60.0</v>
      </c>
      <c r="F108" s="317" t="str">
        <f>IFERROR(VLOOKUP(B108,Stock1!F:J,5,False),"")</f>
        <v/>
      </c>
      <c r="G108" s="318" t="str">
        <f t="array" ref="G108">_xlfn.XLOOKUP(B108,Stock2!F:F,Stock2!J:J,"")</f>
        <v/>
      </c>
      <c r="H108" s="310" t="s">
        <v>253</v>
      </c>
    </row>
    <row r="109">
      <c r="A109" s="310" t="s">
        <v>496</v>
      </c>
      <c r="B109" s="312" t="s">
        <v>518</v>
      </c>
      <c r="C109" s="310" t="s">
        <v>519</v>
      </c>
      <c r="D109" s="321"/>
      <c r="E109" s="314">
        <v>60.0</v>
      </c>
      <c r="F109" s="317" t="str">
        <f>IFERROR(VLOOKUP(B109,Stock1!F:J,5,False),"")</f>
        <v/>
      </c>
      <c r="G109" s="318" t="str">
        <f t="array" ref="G109">_xlfn.XLOOKUP(B109,Stock2!F:F,Stock2!J:J,"")</f>
        <v/>
      </c>
      <c r="H109" s="310" t="s">
        <v>253</v>
      </c>
    </row>
    <row r="110">
      <c r="A110" s="321"/>
      <c r="B110" s="322"/>
      <c r="C110" s="310" t="s">
        <v>521</v>
      </c>
      <c r="D110" s="321"/>
      <c r="E110" s="321"/>
      <c r="F110" s="317" t="str">
        <f>IFERROR(VLOOKUP(B110,Stock1!F:J,5,False),"")</f>
        <v/>
      </c>
      <c r="G110" s="318" t="str">
        <f t="array" ref="G110">_xlfn.XLOOKUP(B110,Stock2!F:F,Stock2!J:J,"")</f>
        <v/>
      </c>
      <c r="H110" s="321"/>
    </row>
    <row r="111">
      <c r="A111" s="310" t="s">
        <v>496</v>
      </c>
      <c r="B111" s="312" t="s">
        <v>523</v>
      </c>
      <c r="C111" s="310" t="s">
        <v>524</v>
      </c>
      <c r="D111" s="321"/>
      <c r="E111" s="314">
        <v>50.0</v>
      </c>
      <c r="F111" s="317" t="str">
        <f>IFERROR(VLOOKUP(B111,Stock1!F:J,5,False),"")</f>
        <v/>
      </c>
      <c r="G111" s="318" t="str">
        <f t="array" ref="G111">_xlfn.XLOOKUP(B111,Stock2!F:F,Stock2!J:J,"")</f>
        <v/>
      </c>
      <c r="H111" s="310" t="s">
        <v>253</v>
      </c>
    </row>
    <row r="112">
      <c r="A112" s="310" t="s">
        <v>496</v>
      </c>
      <c r="B112" s="312" t="s">
        <v>526</v>
      </c>
      <c r="C112" s="310" t="s">
        <v>527</v>
      </c>
      <c r="D112" s="321"/>
      <c r="E112" s="314">
        <v>50.0</v>
      </c>
      <c r="F112" s="317" t="str">
        <f>IFERROR(VLOOKUP(B112,Stock1!F:J,5,False),"")</f>
        <v/>
      </c>
      <c r="G112" s="318" t="str">
        <f t="array" ref="G112">_xlfn.XLOOKUP(B112,Stock2!F:F,Stock2!J:J,"")</f>
        <v/>
      </c>
      <c r="H112" s="310" t="s">
        <v>253</v>
      </c>
    </row>
    <row r="113">
      <c r="A113" s="310" t="s">
        <v>496</v>
      </c>
      <c r="B113" s="312" t="s">
        <v>529</v>
      </c>
      <c r="C113" s="310" t="s">
        <v>530</v>
      </c>
      <c r="D113" s="321"/>
      <c r="E113" s="314">
        <v>50.0</v>
      </c>
      <c r="F113" s="317" t="str">
        <f>IFERROR(VLOOKUP(B113,Stock1!F:J,5,False),"")</f>
        <v/>
      </c>
      <c r="G113" s="318" t="str">
        <f t="array" ref="G113">_xlfn.XLOOKUP(B113,Stock2!F:F,Stock2!J:J,"")</f>
        <v/>
      </c>
      <c r="H113" s="310" t="s">
        <v>253</v>
      </c>
    </row>
    <row r="114">
      <c r="A114" s="310" t="s">
        <v>496</v>
      </c>
      <c r="B114" s="312" t="s">
        <v>532</v>
      </c>
      <c r="C114" s="310" t="s">
        <v>533</v>
      </c>
      <c r="D114" s="321"/>
      <c r="E114" s="314">
        <v>50.0</v>
      </c>
      <c r="F114" s="317" t="str">
        <f>IFERROR(VLOOKUP(B114,Stock1!F:J,5,False),"")</f>
        <v/>
      </c>
      <c r="G114" s="318" t="str">
        <f t="array" ref="G114">_xlfn.XLOOKUP(B114,Stock2!F:F,Stock2!J:J,"")</f>
        <v/>
      </c>
      <c r="H114" s="310" t="s">
        <v>253</v>
      </c>
    </row>
    <row r="115">
      <c r="A115" s="310" t="s">
        <v>496</v>
      </c>
      <c r="B115" s="312" t="s">
        <v>534</v>
      </c>
      <c r="C115" s="310" t="s">
        <v>535</v>
      </c>
      <c r="D115" s="321"/>
      <c r="E115" s="314">
        <v>50.0</v>
      </c>
      <c r="F115" s="317" t="str">
        <f>IFERROR(VLOOKUP(B115,Stock1!F:J,5,False),"")</f>
        <v/>
      </c>
      <c r="G115" s="318">
        <f t="array" ref="G115">_xlfn.XLOOKUP(B115,Stock2!F:F,Stock2!J:J,"")</f>
        <v>11</v>
      </c>
      <c r="H115" s="310" t="s">
        <v>253</v>
      </c>
    </row>
    <row r="116">
      <c r="A116" s="310" t="s">
        <v>496</v>
      </c>
      <c r="B116" s="312" t="s">
        <v>539</v>
      </c>
      <c r="C116" s="310" t="s">
        <v>540</v>
      </c>
      <c r="D116" s="321"/>
      <c r="E116" s="314">
        <v>50.0</v>
      </c>
      <c r="F116" s="317" t="str">
        <f>IFERROR(VLOOKUP(B116,Stock1!F:J,5,False),"")</f>
        <v/>
      </c>
      <c r="G116" s="318" t="str">
        <f t="array" ref="G116">_xlfn.XLOOKUP(B116,Stock2!F:F,Stock2!J:J,"")</f>
        <v/>
      </c>
      <c r="H116" s="310" t="s">
        <v>253</v>
      </c>
    </row>
    <row r="117">
      <c r="A117" s="310" t="s">
        <v>496</v>
      </c>
      <c r="B117" s="312" t="s">
        <v>543</v>
      </c>
      <c r="C117" s="310" t="s">
        <v>544</v>
      </c>
      <c r="D117" s="321"/>
      <c r="E117" s="314">
        <v>50.0</v>
      </c>
      <c r="F117" s="317" t="str">
        <f>IFERROR(VLOOKUP(B117,Stock1!F:J,5,False),"")</f>
        <v/>
      </c>
      <c r="G117" s="318" t="str">
        <f t="array" ref="G117">_xlfn.XLOOKUP(B117,Stock2!F:F,Stock2!J:J,"")</f>
        <v/>
      </c>
      <c r="H117" s="310" t="s">
        <v>253</v>
      </c>
    </row>
    <row r="118">
      <c r="A118" s="310" t="s">
        <v>496</v>
      </c>
      <c r="B118" s="312" t="s">
        <v>546</v>
      </c>
      <c r="C118" s="310" t="s">
        <v>547</v>
      </c>
      <c r="D118" s="321"/>
      <c r="E118" s="314">
        <v>50.0</v>
      </c>
      <c r="F118" s="317">
        <f>IFERROR(VLOOKUP(B118,Stock1!F:J,5,False),"")</f>
        <v>1</v>
      </c>
      <c r="G118" s="318">
        <f t="array" ref="G118">_xlfn.XLOOKUP(B118,Stock2!F:F,Stock2!J:J,"")</f>
        <v>2</v>
      </c>
      <c r="H118" s="310" t="s">
        <v>253</v>
      </c>
    </row>
    <row r="119">
      <c r="A119" s="310" t="s">
        <v>496</v>
      </c>
      <c r="B119" s="312" t="s">
        <v>549</v>
      </c>
      <c r="C119" s="310" t="s">
        <v>550</v>
      </c>
      <c r="D119" s="321"/>
      <c r="E119" s="314">
        <v>50.0</v>
      </c>
      <c r="F119" s="317" t="str">
        <f>IFERROR(VLOOKUP(B119,Stock1!F:J,5,False),"")</f>
        <v/>
      </c>
      <c r="G119" s="318">
        <f t="array" ref="G119">_xlfn.XLOOKUP(B119,Stock2!F:F,Stock2!J:J,"")</f>
        <v>2</v>
      </c>
      <c r="H119" s="310" t="s">
        <v>253</v>
      </c>
    </row>
    <row r="120">
      <c r="A120" s="310" t="s">
        <v>496</v>
      </c>
      <c r="B120" s="312" t="s">
        <v>552</v>
      </c>
      <c r="C120" s="310" t="s">
        <v>553</v>
      </c>
      <c r="D120" s="321"/>
      <c r="E120" s="314">
        <v>50.0</v>
      </c>
      <c r="F120" s="317">
        <f>IFERROR(VLOOKUP(B120,Stock1!F:J,5,False),"")</f>
        <v>10</v>
      </c>
      <c r="G120" s="318">
        <f t="array" ref="G120">_xlfn.XLOOKUP(B120,Stock2!F:F,Stock2!J:J,"")</f>
        <v>16</v>
      </c>
      <c r="H120" s="310" t="s">
        <v>253</v>
      </c>
    </row>
    <row r="121">
      <c r="A121" s="310" t="s">
        <v>496</v>
      </c>
      <c r="B121" s="312" t="s">
        <v>555</v>
      </c>
      <c r="C121" s="310" t="s">
        <v>556</v>
      </c>
      <c r="D121" s="321"/>
      <c r="E121" s="314">
        <v>50.0</v>
      </c>
      <c r="F121" s="317">
        <f>IFERROR(VLOOKUP(B121,Stock1!F:J,5,False),"")</f>
        <v>3</v>
      </c>
      <c r="G121" s="318">
        <f t="array" ref="G121">_xlfn.XLOOKUP(B121,Stock2!F:F,Stock2!J:J,"")</f>
        <v>5</v>
      </c>
      <c r="H121" s="310" t="s">
        <v>253</v>
      </c>
    </row>
    <row r="122">
      <c r="A122" s="310" t="s">
        <v>496</v>
      </c>
      <c r="B122" s="312" t="s">
        <v>558</v>
      </c>
      <c r="C122" s="310" t="s">
        <v>559</v>
      </c>
      <c r="D122" s="321"/>
      <c r="E122" s="314">
        <v>50.0</v>
      </c>
      <c r="F122" s="317" t="str">
        <f>IFERROR(VLOOKUP(B122,Stock1!F:J,5,False),"")</f>
        <v/>
      </c>
      <c r="G122" s="318" t="str">
        <f t="array" ref="G122">_xlfn.XLOOKUP(B122,Stock2!F:F,Stock2!J:J,"")</f>
        <v/>
      </c>
      <c r="H122" s="310" t="s">
        <v>253</v>
      </c>
    </row>
    <row r="123">
      <c r="A123" s="310" t="s">
        <v>496</v>
      </c>
      <c r="B123" s="312" t="s">
        <v>561</v>
      </c>
      <c r="C123" s="310" t="s">
        <v>562</v>
      </c>
      <c r="D123" s="321"/>
      <c r="E123" s="314">
        <v>50.0</v>
      </c>
      <c r="F123" s="317" t="str">
        <f>IFERROR(VLOOKUP(B123,Stock1!F:J,5,False),"")</f>
        <v/>
      </c>
      <c r="G123" s="318" t="str">
        <f t="array" ref="G123">_xlfn.XLOOKUP(B123,Stock2!F:F,Stock2!J:J,"")</f>
        <v/>
      </c>
      <c r="H123" s="310" t="s">
        <v>253</v>
      </c>
    </row>
    <row r="124">
      <c r="A124" s="310" t="s">
        <v>496</v>
      </c>
      <c r="B124" s="312" t="s">
        <v>563</v>
      </c>
      <c r="C124" s="310" t="s">
        <v>564</v>
      </c>
      <c r="D124" s="321"/>
      <c r="E124" s="314">
        <v>50.0</v>
      </c>
      <c r="F124" s="317" t="str">
        <f>IFERROR(VLOOKUP(B124,Stock1!F:J,5,False),"")</f>
        <v/>
      </c>
      <c r="G124" s="318" t="str">
        <f t="array" ref="G124">_xlfn.XLOOKUP(B124,Stock2!F:F,Stock2!J:J,"")</f>
        <v/>
      </c>
      <c r="H124" s="310" t="s">
        <v>253</v>
      </c>
    </row>
    <row r="125">
      <c r="A125" s="310" t="s">
        <v>496</v>
      </c>
      <c r="B125" s="312" t="s">
        <v>566</v>
      </c>
      <c r="C125" s="310" t="s">
        <v>567</v>
      </c>
      <c r="D125" s="321"/>
      <c r="E125" s="314">
        <v>50.0</v>
      </c>
      <c r="F125" s="317" t="str">
        <f>IFERROR(VLOOKUP(B125,Stock1!F:J,5,False),"")</f>
        <v/>
      </c>
      <c r="G125" s="318" t="str">
        <f t="array" ref="G125">_xlfn.XLOOKUP(B125,Stock2!F:F,Stock2!J:J,"")</f>
        <v/>
      </c>
      <c r="H125" s="310" t="s">
        <v>253</v>
      </c>
    </row>
    <row r="126">
      <c r="A126" s="310" t="s">
        <v>496</v>
      </c>
      <c r="B126" s="312" t="s">
        <v>569</v>
      </c>
      <c r="C126" s="310" t="s">
        <v>570</v>
      </c>
      <c r="D126" s="321"/>
      <c r="E126" s="314">
        <v>50.0</v>
      </c>
      <c r="F126" s="317" t="str">
        <f>IFERROR(VLOOKUP(B126,Stock1!F:J,5,False),"")</f>
        <v/>
      </c>
      <c r="G126" s="318" t="str">
        <f t="array" ref="G126">_xlfn.XLOOKUP(B126,Stock2!F:F,Stock2!J:J,"")</f>
        <v/>
      </c>
      <c r="H126" s="310" t="s">
        <v>253</v>
      </c>
    </row>
    <row r="127">
      <c r="A127" s="310" t="s">
        <v>496</v>
      </c>
      <c r="B127" s="312" t="s">
        <v>573</v>
      </c>
      <c r="C127" s="310" t="s">
        <v>574</v>
      </c>
      <c r="D127" s="321"/>
      <c r="E127" s="314">
        <v>50.0</v>
      </c>
      <c r="F127" s="317" t="str">
        <f>IFERROR(VLOOKUP(B127,Stock1!F:J,5,False),"")</f>
        <v/>
      </c>
      <c r="G127" s="318">
        <f t="array" ref="G127">_xlfn.XLOOKUP(B127,Stock2!F:F,Stock2!J:J,"")</f>
        <v>1</v>
      </c>
      <c r="H127" s="310" t="s">
        <v>253</v>
      </c>
    </row>
    <row r="128">
      <c r="A128" s="310" t="s">
        <v>496</v>
      </c>
      <c r="B128" s="312" t="s">
        <v>577</v>
      </c>
      <c r="C128" s="310" t="s">
        <v>578</v>
      </c>
      <c r="D128" s="321"/>
      <c r="E128" s="314">
        <v>40.0</v>
      </c>
      <c r="F128" s="317" t="str">
        <f>IFERROR(VLOOKUP(B128,Stock1!F:J,5,False),"")</f>
        <v/>
      </c>
      <c r="G128" s="318" t="str">
        <f t="array" ref="G128">_xlfn.XLOOKUP(B128,Stock2!F:F,Stock2!J:J,"")</f>
        <v/>
      </c>
      <c r="H128" s="310" t="s">
        <v>253</v>
      </c>
    </row>
    <row r="129">
      <c r="A129" s="310" t="s">
        <v>496</v>
      </c>
      <c r="B129" s="312" t="s">
        <v>580</v>
      </c>
      <c r="C129" s="310" t="s">
        <v>581</v>
      </c>
      <c r="D129" s="321"/>
      <c r="E129" s="314">
        <v>40.0</v>
      </c>
      <c r="F129" s="317" t="str">
        <f>IFERROR(VLOOKUP(B129,Stock1!F:J,5,False),"")</f>
        <v/>
      </c>
      <c r="G129" s="318" t="str">
        <f t="array" ref="G129">_xlfn.XLOOKUP(B129,Stock2!F:F,Stock2!J:J,"")</f>
        <v/>
      </c>
      <c r="H129" s="310" t="s">
        <v>253</v>
      </c>
    </row>
    <row r="130">
      <c r="A130" s="310" t="s">
        <v>496</v>
      </c>
      <c r="B130" s="312" t="s">
        <v>583</v>
      </c>
      <c r="C130" s="310" t="s">
        <v>584</v>
      </c>
      <c r="D130" s="321"/>
      <c r="E130" s="314">
        <v>40.0</v>
      </c>
      <c r="F130" s="317" t="str">
        <f>IFERROR(VLOOKUP(B130,Stock1!F:J,5,False),"")</f>
        <v/>
      </c>
      <c r="G130" s="318" t="str">
        <f t="array" ref="G130">_xlfn.XLOOKUP(B130,Stock2!F:F,Stock2!J:J,"")</f>
        <v/>
      </c>
      <c r="H130" s="310" t="s">
        <v>253</v>
      </c>
    </row>
    <row r="131">
      <c r="A131" s="310" t="s">
        <v>496</v>
      </c>
      <c r="B131" s="312" t="s">
        <v>587</v>
      </c>
      <c r="C131" s="310" t="s">
        <v>588</v>
      </c>
      <c r="D131" s="321"/>
      <c r="E131" s="314">
        <v>40.0</v>
      </c>
      <c r="F131" s="317" t="str">
        <f>IFERROR(VLOOKUP(B131,Stock1!F:J,5,False),"")</f>
        <v/>
      </c>
      <c r="G131" s="318" t="str">
        <f t="array" ref="G131">_xlfn.XLOOKUP(B131,Stock2!F:F,Stock2!J:J,"")</f>
        <v/>
      </c>
      <c r="H131" s="310" t="s">
        <v>253</v>
      </c>
    </row>
    <row r="132">
      <c r="A132" s="310" t="s">
        <v>496</v>
      </c>
      <c r="B132" s="312" t="s">
        <v>590</v>
      </c>
      <c r="C132" s="310" t="s">
        <v>591</v>
      </c>
      <c r="D132" s="321"/>
      <c r="E132" s="314">
        <v>40.0</v>
      </c>
      <c r="F132" s="317">
        <f>IFERROR(VLOOKUP(B132,Stock1!F:J,5,False),"")</f>
        <v>7</v>
      </c>
      <c r="G132" s="318">
        <f t="array" ref="G132">_xlfn.XLOOKUP(B132,Stock2!F:F,Stock2!J:J,"")</f>
        <v>3</v>
      </c>
      <c r="H132" s="310" t="s">
        <v>253</v>
      </c>
    </row>
    <row r="133">
      <c r="A133" s="310" t="s">
        <v>496</v>
      </c>
      <c r="B133" s="312" t="s">
        <v>592</v>
      </c>
      <c r="C133" s="310" t="s">
        <v>593</v>
      </c>
      <c r="D133" s="321"/>
      <c r="E133" s="314">
        <v>40.0</v>
      </c>
      <c r="F133" s="317" t="str">
        <f>IFERROR(VLOOKUP(B133,Stock1!F:J,5,False),"")</f>
        <v/>
      </c>
      <c r="G133" s="318" t="str">
        <f t="array" ref="G133">_xlfn.XLOOKUP(B133,Stock2!F:F,Stock2!J:J,"")</f>
        <v/>
      </c>
      <c r="H133" s="310" t="s">
        <v>253</v>
      </c>
    </row>
    <row r="134">
      <c r="A134" s="310" t="s">
        <v>496</v>
      </c>
      <c r="B134" s="312" t="s">
        <v>596</v>
      </c>
      <c r="C134" s="310" t="s">
        <v>597</v>
      </c>
      <c r="D134" s="321"/>
      <c r="E134" s="314">
        <v>40.0</v>
      </c>
      <c r="F134" s="317" t="str">
        <f>IFERROR(VLOOKUP(B134,Stock1!F:J,5,False),"")</f>
        <v/>
      </c>
      <c r="G134" s="318" t="str">
        <f t="array" ref="G134">_xlfn.XLOOKUP(B134,Stock2!F:F,Stock2!J:J,"")</f>
        <v/>
      </c>
      <c r="H134" s="310" t="s">
        <v>253</v>
      </c>
    </row>
    <row r="135">
      <c r="A135" s="310" t="s">
        <v>496</v>
      </c>
      <c r="B135" s="312" t="s">
        <v>599</v>
      </c>
      <c r="C135" s="310" t="s">
        <v>600</v>
      </c>
      <c r="D135" s="321"/>
      <c r="E135" s="314">
        <v>40.0</v>
      </c>
      <c r="F135" s="317" t="str">
        <f>IFERROR(VLOOKUP(B135,Stock1!F:J,5,False),"")</f>
        <v/>
      </c>
      <c r="G135" s="318" t="str">
        <f t="array" ref="G135">_xlfn.XLOOKUP(B135,Stock2!F:F,Stock2!J:J,"")</f>
        <v/>
      </c>
      <c r="H135" s="310" t="s">
        <v>253</v>
      </c>
    </row>
    <row r="136">
      <c r="A136" s="310" t="s">
        <v>496</v>
      </c>
      <c r="B136" s="312" t="s">
        <v>602</v>
      </c>
      <c r="C136" s="310" t="s">
        <v>603</v>
      </c>
      <c r="D136" s="321"/>
      <c r="E136" s="314">
        <v>10.0</v>
      </c>
      <c r="F136" s="317" t="str">
        <f>IFERROR(VLOOKUP(B136,Stock1!F:J,5,False),"")</f>
        <v/>
      </c>
      <c r="G136" s="318" t="str">
        <f t="array" ref="G136">_xlfn.XLOOKUP(B136,Stock2!F:F,Stock2!J:J,"")</f>
        <v/>
      </c>
      <c r="H136" s="310" t="s">
        <v>253</v>
      </c>
    </row>
    <row r="137">
      <c r="A137" s="310" t="s">
        <v>496</v>
      </c>
      <c r="B137" s="312" t="s">
        <v>606</v>
      </c>
      <c r="C137" s="310" t="s">
        <v>607</v>
      </c>
      <c r="D137" s="321"/>
      <c r="E137" s="314">
        <v>10.0</v>
      </c>
      <c r="F137" s="317" t="str">
        <f>IFERROR(VLOOKUP(B137,Stock1!F:J,5,False),"")</f>
        <v/>
      </c>
      <c r="G137" s="318" t="str">
        <f t="array" ref="G137">_xlfn.XLOOKUP(B137,Stock2!F:F,Stock2!J:J,"")</f>
        <v/>
      </c>
      <c r="H137" s="310" t="s">
        <v>253</v>
      </c>
    </row>
    <row r="138">
      <c r="A138" s="310" t="s">
        <v>496</v>
      </c>
      <c r="B138" s="312" t="s">
        <v>611</v>
      </c>
      <c r="C138" s="310" t="s">
        <v>612</v>
      </c>
      <c r="D138" s="321"/>
      <c r="E138" s="314">
        <v>10.0</v>
      </c>
      <c r="F138" s="317" t="str">
        <f>IFERROR(VLOOKUP(B138,Stock1!F:J,5,False),"")</f>
        <v/>
      </c>
      <c r="G138" s="318" t="str">
        <f t="array" ref="G138">_xlfn.XLOOKUP(B138,Stock2!F:F,Stock2!J:J,"")</f>
        <v/>
      </c>
      <c r="H138" s="310" t="s">
        <v>253</v>
      </c>
    </row>
    <row r="139">
      <c r="A139" s="310" t="s">
        <v>496</v>
      </c>
      <c r="B139" s="312" t="s">
        <v>613</v>
      </c>
      <c r="C139" s="310" t="s">
        <v>614</v>
      </c>
      <c r="D139" s="321"/>
      <c r="E139" s="314">
        <v>10.0</v>
      </c>
      <c r="F139" s="317" t="str">
        <f>IFERROR(VLOOKUP(B139,Stock1!F:J,5,False),"")</f>
        <v/>
      </c>
      <c r="G139" s="318">
        <f t="array" ref="G139">_xlfn.XLOOKUP(B139,Stock2!F:F,Stock2!J:J,"")</f>
        <v>1</v>
      </c>
      <c r="H139" s="310" t="s">
        <v>253</v>
      </c>
    </row>
    <row r="140">
      <c r="A140" s="310" t="s">
        <v>496</v>
      </c>
      <c r="B140" s="312" t="s">
        <v>616</v>
      </c>
      <c r="C140" s="310" t="s">
        <v>617</v>
      </c>
      <c r="D140" s="321"/>
      <c r="E140" s="314">
        <v>10.0</v>
      </c>
      <c r="F140" s="317">
        <f>IFERROR(VLOOKUP(B140,Stock1!F:J,5,False),"")</f>
        <v>4</v>
      </c>
      <c r="G140" s="318">
        <f t="array" ref="G140">_xlfn.XLOOKUP(B140,Stock2!F:F,Stock2!J:J,"")</f>
        <v>13</v>
      </c>
      <c r="H140" s="310" t="s">
        <v>253</v>
      </c>
    </row>
    <row r="141">
      <c r="A141" s="310" t="s">
        <v>496</v>
      </c>
      <c r="B141" s="312" t="s">
        <v>620</v>
      </c>
      <c r="C141" s="310" t="s">
        <v>621</v>
      </c>
      <c r="D141" s="321"/>
      <c r="E141" s="314">
        <v>10.0</v>
      </c>
      <c r="F141" s="317">
        <f>IFERROR(VLOOKUP(B141,Stock1!F:J,5,False),"")</f>
        <v>9</v>
      </c>
      <c r="G141" s="318">
        <f t="array" ref="G141">_xlfn.XLOOKUP(B141,Stock2!F:F,Stock2!J:J,"")</f>
        <v>12</v>
      </c>
      <c r="H141" s="310" t="s">
        <v>253</v>
      </c>
    </row>
    <row r="142">
      <c r="A142" s="310" t="s">
        <v>496</v>
      </c>
      <c r="B142" s="312" t="s">
        <v>622</v>
      </c>
      <c r="C142" s="310" t="s">
        <v>623</v>
      </c>
      <c r="D142" s="321"/>
      <c r="E142" s="314">
        <v>30.0</v>
      </c>
      <c r="F142" s="317">
        <f>IFERROR(VLOOKUP(B142,Stock1!F:J,5,False),"")</f>
        <v>1</v>
      </c>
      <c r="G142" s="318">
        <f t="array" ref="G142">_xlfn.XLOOKUP(B142,Stock2!F:F,Stock2!J:J,"")</f>
        <v>4</v>
      </c>
      <c r="H142" s="310" t="s">
        <v>253</v>
      </c>
    </row>
    <row r="143">
      <c r="A143" s="310" t="s">
        <v>496</v>
      </c>
      <c r="B143" s="312" t="s">
        <v>625</v>
      </c>
      <c r="C143" s="310" t="s">
        <v>626</v>
      </c>
      <c r="D143" s="321"/>
      <c r="E143" s="314">
        <v>30.0</v>
      </c>
      <c r="F143" s="317" t="str">
        <f>IFERROR(VLOOKUP(B143,Stock1!F:J,5,False),"")</f>
        <v/>
      </c>
      <c r="G143" s="318" t="str">
        <f t="array" ref="G143">_xlfn.XLOOKUP(B143,Stock2!F:F,Stock2!J:J,"")</f>
        <v/>
      </c>
      <c r="H143" s="310" t="s">
        <v>253</v>
      </c>
    </row>
    <row r="144">
      <c r="A144" s="310" t="s">
        <v>496</v>
      </c>
      <c r="B144" s="312" t="s">
        <v>629</v>
      </c>
      <c r="C144" s="310" t="s">
        <v>630</v>
      </c>
      <c r="D144" s="321"/>
      <c r="E144" s="314">
        <v>20.0</v>
      </c>
      <c r="F144" s="317">
        <f>IFERROR(VLOOKUP(B144,Stock1!F:J,5,False),"")</f>
        <v>9</v>
      </c>
      <c r="G144" s="318">
        <f t="array" ref="G144">_xlfn.XLOOKUP(B144,Stock2!F:F,Stock2!J:J,"")</f>
        <v>2</v>
      </c>
      <c r="H144" s="310" t="s">
        <v>253</v>
      </c>
    </row>
    <row r="145">
      <c r="A145" s="310" t="s">
        <v>496</v>
      </c>
      <c r="B145" s="312" t="s">
        <v>631</v>
      </c>
      <c r="C145" s="310" t="s">
        <v>632</v>
      </c>
      <c r="D145" s="321"/>
      <c r="E145" s="314">
        <v>20.0</v>
      </c>
      <c r="F145" s="317">
        <f>IFERROR(VLOOKUP(B145,Stock1!F:J,5,False),"")</f>
        <v>5</v>
      </c>
      <c r="G145" s="318">
        <f t="array" ref="G145">_xlfn.XLOOKUP(B145,Stock2!F:F,Stock2!J:J,"")</f>
        <v>2</v>
      </c>
      <c r="H145" s="310" t="s">
        <v>253</v>
      </c>
    </row>
    <row r="146">
      <c r="A146" s="310" t="s">
        <v>496</v>
      </c>
      <c r="B146" s="312" t="s">
        <v>633</v>
      </c>
      <c r="C146" s="310" t="s">
        <v>634</v>
      </c>
      <c r="D146" s="321"/>
      <c r="E146" s="314">
        <v>20.0</v>
      </c>
      <c r="F146" s="317">
        <f>IFERROR(VLOOKUP(B146,Stock1!F:J,5,False),"")</f>
        <v>6</v>
      </c>
      <c r="G146" s="318">
        <f t="array" ref="G146">_xlfn.XLOOKUP(B146,Stock2!F:F,Stock2!J:J,"")</f>
        <v>4</v>
      </c>
      <c r="H146" s="310" t="s">
        <v>253</v>
      </c>
    </row>
    <row r="147">
      <c r="A147" s="310" t="s">
        <v>496</v>
      </c>
      <c r="B147" s="312" t="s">
        <v>637</v>
      </c>
      <c r="C147" s="310" t="s">
        <v>639</v>
      </c>
      <c r="D147" s="321"/>
      <c r="E147" s="314">
        <v>30.0</v>
      </c>
      <c r="F147" s="317">
        <f>IFERROR(VLOOKUP(B147,Stock1!F:J,5,False),"")</f>
        <v>6</v>
      </c>
      <c r="G147" s="318">
        <f t="array" ref="G147">_xlfn.XLOOKUP(B147,Stock2!F:F,Stock2!J:J,"")</f>
        <v>2</v>
      </c>
      <c r="H147" s="310" t="s">
        <v>253</v>
      </c>
    </row>
    <row r="148">
      <c r="A148" s="321"/>
      <c r="B148" s="322"/>
      <c r="C148" s="321"/>
      <c r="D148" s="321"/>
      <c r="E148" s="321"/>
      <c r="F148" s="317" t="str">
        <f>IFERROR(VLOOKUP(B148,Stock1!F:J,5,False),"")</f>
        <v/>
      </c>
      <c r="G148" s="318" t="str">
        <f t="array" ref="G148">_xlfn.XLOOKUP(B148,Stock2!F:F,Stock2!J:J,"")</f>
        <v/>
      </c>
      <c r="H148" s="321"/>
    </row>
    <row r="149">
      <c r="A149" s="310" t="s">
        <v>496</v>
      </c>
      <c r="B149" s="312" t="s">
        <v>641</v>
      </c>
      <c r="C149" s="310" t="s">
        <v>642</v>
      </c>
      <c r="D149" s="321"/>
      <c r="E149" s="314">
        <v>10.0</v>
      </c>
      <c r="F149" s="317" t="str">
        <f>IFERROR(VLOOKUP(B149,Stock1!F:J,5,False),"")</f>
        <v/>
      </c>
      <c r="G149" s="318" t="str">
        <f t="array" ref="G149">_xlfn.XLOOKUP(B149,Stock2!F:F,Stock2!J:J,"")</f>
        <v/>
      </c>
      <c r="H149" s="310" t="s">
        <v>253</v>
      </c>
    </row>
    <row r="150">
      <c r="A150" s="310" t="s">
        <v>496</v>
      </c>
      <c r="B150" s="312" t="s">
        <v>644</v>
      </c>
      <c r="C150" s="310" t="s">
        <v>645</v>
      </c>
      <c r="D150" s="321"/>
      <c r="E150" s="314">
        <v>10.0</v>
      </c>
      <c r="F150" s="317" t="str">
        <f>IFERROR(VLOOKUP(B150,Stock1!F:J,5,False),"")</f>
        <v/>
      </c>
      <c r="G150" s="318" t="str">
        <f t="array" ref="G150">_xlfn.XLOOKUP(B150,Stock2!F:F,Stock2!J:J,"")</f>
        <v/>
      </c>
      <c r="H150" s="310" t="s">
        <v>253</v>
      </c>
    </row>
    <row r="151">
      <c r="A151" s="310" t="s">
        <v>496</v>
      </c>
      <c r="B151" s="312" t="s">
        <v>647</v>
      </c>
      <c r="C151" s="310" t="s">
        <v>648</v>
      </c>
      <c r="D151" s="321"/>
      <c r="E151" s="314">
        <v>10.0</v>
      </c>
      <c r="F151" s="317" t="str">
        <f>IFERROR(VLOOKUP(B151,Stock1!F:J,5,False),"")</f>
        <v/>
      </c>
      <c r="G151" s="318" t="str">
        <f t="array" ref="G151">_xlfn.XLOOKUP(B151,Stock2!F:F,Stock2!J:J,"")</f>
        <v/>
      </c>
      <c r="H151" s="310" t="s">
        <v>253</v>
      </c>
    </row>
    <row r="152">
      <c r="A152" s="310" t="s">
        <v>496</v>
      </c>
      <c r="B152" s="312" t="s">
        <v>649</v>
      </c>
      <c r="C152" s="310" t="s">
        <v>650</v>
      </c>
      <c r="D152" s="321"/>
      <c r="E152" s="314">
        <v>10.0</v>
      </c>
      <c r="F152" s="317" t="str">
        <f>IFERROR(VLOOKUP(B152,Stock1!F:J,5,False),"")</f>
        <v/>
      </c>
      <c r="G152" s="318" t="str">
        <f t="array" ref="G152">_xlfn.XLOOKUP(B152,Stock2!F:F,Stock2!J:J,"")</f>
        <v/>
      </c>
      <c r="H152" s="310" t="s">
        <v>253</v>
      </c>
    </row>
    <row r="153">
      <c r="A153" s="321"/>
      <c r="B153" s="322"/>
      <c r="C153" s="321"/>
      <c r="D153" s="321"/>
      <c r="E153" s="321"/>
      <c r="F153" s="317" t="str">
        <f>IFERROR(VLOOKUP(B153,Stock1!F:J,5,False),"")</f>
        <v/>
      </c>
      <c r="G153" s="318" t="str">
        <f t="array" ref="G153">_xlfn.XLOOKUP(B153,Stock2!F:F,Stock2!J:J,"")</f>
        <v/>
      </c>
      <c r="H153" s="321"/>
    </row>
    <row r="154">
      <c r="A154" s="310" t="s">
        <v>496</v>
      </c>
      <c r="B154" s="312" t="s">
        <v>652</v>
      </c>
      <c r="C154" s="310" t="s">
        <v>653</v>
      </c>
      <c r="D154" s="321"/>
      <c r="E154" s="314">
        <v>30.0</v>
      </c>
      <c r="F154" s="317" t="str">
        <f>IFERROR(VLOOKUP(B154,Stock1!F:J,5,False),"")</f>
        <v/>
      </c>
      <c r="G154" s="318" t="str">
        <f t="array" ref="G154">_xlfn.XLOOKUP(B154,Stock2!F:F,Stock2!J:J,"")</f>
        <v/>
      </c>
      <c r="H154" s="310" t="s">
        <v>253</v>
      </c>
    </row>
    <row r="155">
      <c r="A155" s="310" t="s">
        <v>496</v>
      </c>
      <c r="B155" s="312" t="s">
        <v>654</v>
      </c>
      <c r="C155" s="310" t="s">
        <v>655</v>
      </c>
      <c r="D155" s="321"/>
      <c r="E155" s="314">
        <v>30.0</v>
      </c>
      <c r="F155" s="317" t="str">
        <f>IFERROR(VLOOKUP(B155,Stock1!F:J,5,False),"")</f>
        <v/>
      </c>
      <c r="G155" s="318" t="str">
        <f t="array" ref="G155">_xlfn.XLOOKUP(B155,Stock2!F:F,Stock2!J:J,"")</f>
        <v/>
      </c>
      <c r="H155" s="310" t="s">
        <v>253</v>
      </c>
    </row>
    <row r="156">
      <c r="A156" s="310" t="s">
        <v>496</v>
      </c>
      <c r="B156" s="312" t="s">
        <v>656</v>
      </c>
      <c r="C156" s="310" t="s">
        <v>657</v>
      </c>
      <c r="D156" s="321"/>
      <c r="E156" s="314">
        <v>30.0</v>
      </c>
      <c r="F156" s="317" t="str">
        <f>IFERROR(VLOOKUP(B156,Stock1!F:J,5,False),"")</f>
        <v/>
      </c>
      <c r="G156" s="318" t="str">
        <f t="array" ref="G156">_xlfn.XLOOKUP(B156,Stock2!F:F,Stock2!J:J,"")</f>
        <v/>
      </c>
      <c r="H156" s="310" t="s">
        <v>253</v>
      </c>
    </row>
    <row r="157">
      <c r="A157" s="310" t="s">
        <v>496</v>
      </c>
      <c r="B157" s="312" t="s">
        <v>660</v>
      </c>
      <c r="C157" s="310" t="s">
        <v>661</v>
      </c>
      <c r="D157" s="321"/>
      <c r="E157" s="314">
        <v>30.0</v>
      </c>
      <c r="F157" s="317" t="str">
        <f>IFERROR(VLOOKUP(B157,Stock1!F:J,5,False),"")</f>
        <v/>
      </c>
      <c r="G157" s="318" t="str">
        <f t="array" ref="G157">_xlfn.XLOOKUP(B157,Stock2!F:F,Stock2!J:J,"")</f>
        <v/>
      </c>
      <c r="H157" s="310" t="s">
        <v>253</v>
      </c>
    </row>
    <row r="158">
      <c r="A158" s="310" t="s">
        <v>496</v>
      </c>
      <c r="B158" s="312" t="s">
        <v>662</v>
      </c>
      <c r="C158" s="310" t="s">
        <v>663</v>
      </c>
      <c r="D158" s="321"/>
      <c r="E158" s="314">
        <v>30.0</v>
      </c>
      <c r="F158" s="317" t="str">
        <f>IFERROR(VLOOKUP(B158,Stock1!F:J,5,False),"")</f>
        <v/>
      </c>
      <c r="G158" s="318" t="str">
        <f t="array" ref="G158">_xlfn.XLOOKUP(B158,Stock2!F:F,Stock2!J:J,"")</f>
        <v/>
      </c>
      <c r="H158" s="310" t="s">
        <v>253</v>
      </c>
    </row>
    <row r="159">
      <c r="A159" s="310" t="s">
        <v>496</v>
      </c>
      <c r="B159" s="312" t="s">
        <v>665</v>
      </c>
      <c r="C159" s="310" t="s">
        <v>666</v>
      </c>
      <c r="D159" s="321"/>
      <c r="E159" s="314">
        <v>30.0</v>
      </c>
      <c r="F159" s="317" t="str">
        <f>IFERROR(VLOOKUP(B159,Stock1!F:J,5,False),"")</f>
        <v/>
      </c>
      <c r="G159" s="318" t="str">
        <f t="array" ref="G159">_xlfn.XLOOKUP(B159,Stock2!F:F,Stock2!J:J,"")</f>
        <v/>
      </c>
      <c r="H159" s="310" t="s">
        <v>253</v>
      </c>
    </row>
    <row r="160">
      <c r="A160" s="310" t="s">
        <v>496</v>
      </c>
      <c r="B160" s="312" t="s">
        <v>670</v>
      </c>
      <c r="C160" s="310" t="s">
        <v>671</v>
      </c>
      <c r="D160" s="321"/>
      <c r="E160" s="314">
        <v>30.0</v>
      </c>
      <c r="F160" s="317" t="str">
        <f>IFERROR(VLOOKUP(B160,Stock1!F:J,5,False),"")</f>
        <v/>
      </c>
      <c r="G160" s="318" t="str">
        <f t="array" ref="G160">_xlfn.XLOOKUP(B160,Stock2!F:F,Stock2!J:J,"")</f>
        <v/>
      </c>
      <c r="H160" s="310" t="s">
        <v>253</v>
      </c>
    </row>
    <row r="161">
      <c r="A161" s="310" t="s">
        <v>496</v>
      </c>
      <c r="B161" s="312" t="s">
        <v>672</v>
      </c>
      <c r="C161" s="310" t="s">
        <v>673</v>
      </c>
      <c r="D161" s="321"/>
      <c r="E161" s="314">
        <v>30.0</v>
      </c>
      <c r="F161" s="317" t="str">
        <f>IFERROR(VLOOKUP(B161,Stock1!F:J,5,False),"")</f>
        <v/>
      </c>
      <c r="G161" s="318" t="str">
        <f t="array" ref="G161">_xlfn.XLOOKUP(B161,Stock2!F:F,Stock2!J:J,"")</f>
        <v/>
      </c>
      <c r="H161" s="310" t="s">
        <v>253</v>
      </c>
    </row>
    <row r="162">
      <c r="A162" s="310" t="s">
        <v>496</v>
      </c>
      <c r="B162" s="312" t="s">
        <v>674</v>
      </c>
      <c r="C162" s="310" t="s">
        <v>675</v>
      </c>
      <c r="D162" s="321"/>
      <c r="E162" s="314">
        <v>20.0</v>
      </c>
      <c r="F162" s="317" t="str">
        <f>IFERROR(VLOOKUP(B162,Stock1!F:J,5,False),"")</f>
        <v/>
      </c>
      <c r="G162" s="318" t="str">
        <f t="array" ref="G162">_xlfn.XLOOKUP(B162,Stock2!F:F,Stock2!J:J,"")</f>
        <v/>
      </c>
      <c r="H162" s="310" t="s">
        <v>253</v>
      </c>
    </row>
    <row r="163">
      <c r="A163" s="310" t="s">
        <v>496</v>
      </c>
      <c r="B163" s="312" t="s">
        <v>677</v>
      </c>
      <c r="C163" s="310" t="s">
        <v>678</v>
      </c>
      <c r="D163" s="321"/>
      <c r="E163" s="314">
        <v>20.0</v>
      </c>
      <c r="F163" s="317" t="str">
        <f>IFERROR(VLOOKUP(B163,Stock1!F:J,5,False),"")</f>
        <v/>
      </c>
      <c r="G163" s="318" t="str">
        <f t="array" ref="G163">_xlfn.XLOOKUP(B163,Stock2!F:F,Stock2!J:J,"")</f>
        <v/>
      </c>
      <c r="H163" s="310" t="s">
        <v>253</v>
      </c>
    </row>
    <row r="164">
      <c r="A164" s="310" t="s">
        <v>496</v>
      </c>
      <c r="B164" s="312" t="s">
        <v>679</v>
      </c>
      <c r="C164" s="310" t="s">
        <v>680</v>
      </c>
      <c r="D164" s="321"/>
      <c r="E164" s="314">
        <v>10.0</v>
      </c>
      <c r="F164" s="317" t="str">
        <f>IFERROR(VLOOKUP(B164,Stock1!F:J,5,False),"")</f>
        <v/>
      </c>
      <c r="G164" s="318" t="str">
        <f t="array" ref="G164">_xlfn.XLOOKUP(B164,Stock2!F:F,Stock2!J:J,"")</f>
        <v/>
      </c>
      <c r="H164" s="310" t="s">
        <v>253</v>
      </c>
    </row>
    <row r="165">
      <c r="A165" s="310" t="s">
        <v>496</v>
      </c>
      <c r="B165" s="312" t="s">
        <v>681</v>
      </c>
      <c r="C165" s="310" t="s">
        <v>682</v>
      </c>
      <c r="D165" s="321"/>
      <c r="E165" s="314">
        <v>10.0</v>
      </c>
      <c r="F165" s="317" t="str">
        <f>IFERROR(VLOOKUP(B165,Stock1!F:J,5,False),"")</f>
        <v/>
      </c>
      <c r="G165" s="318" t="str">
        <f t="array" ref="G165">_xlfn.XLOOKUP(B165,Stock2!F:F,Stock2!J:J,"")</f>
        <v/>
      </c>
      <c r="H165" s="310" t="s">
        <v>253</v>
      </c>
    </row>
    <row r="166">
      <c r="A166" s="310" t="s">
        <v>496</v>
      </c>
      <c r="B166" s="312" t="s">
        <v>684</v>
      </c>
      <c r="C166" s="310" t="s">
        <v>685</v>
      </c>
      <c r="D166" s="321"/>
      <c r="E166" s="314">
        <v>10.0</v>
      </c>
      <c r="F166" s="317" t="str">
        <f>IFERROR(VLOOKUP(B166,Stock1!F:J,5,False),"")</f>
        <v/>
      </c>
      <c r="G166" s="318" t="str">
        <f t="array" ref="G166">_xlfn.XLOOKUP(B166,Stock2!F:F,Stock2!J:J,"")</f>
        <v/>
      </c>
      <c r="H166" s="310" t="s">
        <v>253</v>
      </c>
    </row>
    <row r="167">
      <c r="A167" s="310" t="s">
        <v>496</v>
      </c>
      <c r="B167" s="312" t="s">
        <v>687</v>
      </c>
      <c r="C167" s="310" t="s">
        <v>688</v>
      </c>
      <c r="D167" s="321"/>
      <c r="E167" s="314">
        <v>10.0</v>
      </c>
      <c r="F167" s="317" t="str">
        <f>IFERROR(VLOOKUP(B167,Stock1!F:J,5,False),"")</f>
        <v/>
      </c>
      <c r="G167" s="318" t="str">
        <f t="array" ref="G167">_xlfn.XLOOKUP(B167,Stock2!F:F,Stock2!J:J,"")</f>
        <v/>
      </c>
      <c r="H167" s="310" t="s">
        <v>253</v>
      </c>
    </row>
    <row r="168">
      <c r="A168" s="310" t="s">
        <v>496</v>
      </c>
      <c r="B168" s="312" t="s">
        <v>690</v>
      </c>
      <c r="C168" s="310" t="s">
        <v>691</v>
      </c>
      <c r="D168" s="321"/>
      <c r="E168" s="314">
        <v>10.0</v>
      </c>
      <c r="F168" s="317" t="str">
        <f>IFERROR(VLOOKUP(B168,Stock1!F:J,5,False),"")</f>
        <v/>
      </c>
      <c r="G168" s="318" t="str">
        <f t="array" ref="G168">_xlfn.XLOOKUP(B168,Stock2!F:F,Stock2!J:J,"")</f>
        <v/>
      </c>
      <c r="H168" s="310" t="s">
        <v>253</v>
      </c>
    </row>
    <row r="169">
      <c r="A169" s="310" t="s">
        <v>496</v>
      </c>
      <c r="B169" s="312" t="s">
        <v>693</v>
      </c>
      <c r="C169" s="310" t="s">
        <v>694</v>
      </c>
      <c r="D169" s="321"/>
      <c r="E169" s="314">
        <v>10.0</v>
      </c>
      <c r="F169" s="317" t="str">
        <f>IFERROR(VLOOKUP(B169,Stock1!F:J,5,False),"")</f>
        <v/>
      </c>
      <c r="G169" s="318" t="str">
        <f t="array" ref="G169">_xlfn.XLOOKUP(B169,Stock2!F:F,Stock2!J:J,"")</f>
        <v/>
      </c>
      <c r="H169" s="310" t="s">
        <v>253</v>
      </c>
    </row>
    <row r="170">
      <c r="A170" s="321"/>
      <c r="B170" s="322"/>
      <c r="C170" s="321"/>
      <c r="D170" s="321"/>
      <c r="E170" s="321"/>
      <c r="F170" s="317" t="str">
        <f>IFERROR(VLOOKUP(B170,Stock1!F:J,5,False),"")</f>
        <v/>
      </c>
      <c r="G170" s="318" t="str">
        <f t="array" ref="G170">_xlfn.XLOOKUP(B170,Stock2!F:F,Stock2!J:J,"")</f>
        <v/>
      </c>
      <c r="H170" s="321"/>
    </row>
    <row r="171">
      <c r="A171" s="310" t="s">
        <v>496</v>
      </c>
      <c r="B171" s="312" t="s">
        <v>696</v>
      </c>
      <c r="C171" s="310" t="s">
        <v>697</v>
      </c>
      <c r="D171" s="321"/>
      <c r="E171" s="314">
        <v>10.0</v>
      </c>
      <c r="F171" s="317" t="str">
        <f>IFERROR(VLOOKUP(B171,Stock1!F:J,5,False),"")</f>
        <v/>
      </c>
      <c r="G171" s="318" t="str">
        <f t="array" ref="G171">_xlfn.XLOOKUP(B171,Stock2!F:F,Stock2!J:J,"")</f>
        <v/>
      </c>
      <c r="H171" s="310" t="s">
        <v>253</v>
      </c>
    </row>
    <row r="172">
      <c r="A172" s="310" t="s">
        <v>496</v>
      </c>
      <c r="B172" s="312" t="s">
        <v>698</v>
      </c>
      <c r="C172" s="310" t="s">
        <v>699</v>
      </c>
      <c r="D172" s="321"/>
      <c r="E172" s="314">
        <v>10.0</v>
      </c>
      <c r="F172" s="317" t="str">
        <f>IFERROR(VLOOKUP(B172,Stock1!F:J,5,False),"")</f>
        <v/>
      </c>
      <c r="G172" s="318" t="str">
        <f t="array" ref="G172">_xlfn.XLOOKUP(B172,Stock2!F:F,Stock2!J:J,"")</f>
        <v/>
      </c>
      <c r="H172" s="310" t="s">
        <v>253</v>
      </c>
    </row>
    <row r="173">
      <c r="A173" s="310" t="s">
        <v>496</v>
      </c>
      <c r="B173" s="312" t="s">
        <v>700</v>
      </c>
      <c r="C173" s="310" t="s">
        <v>701</v>
      </c>
      <c r="D173" s="321"/>
      <c r="E173" s="314">
        <v>10.0</v>
      </c>
      <c r="F173" s="317" t="str">
        <f>IFERROR(VLOOKUP(B173,Stock1!F:J,5,False),"")</f>
        <v/>
      </c>
      <c r="G173" s="318" t="str">
        <f t="array" ref="G173">_xlfn.XLOOKUP(B173,Stock2!F:F,Stock2!J:J,"")</f>
        <v/>
      </c>
      <c r="H173" s="310" t="s">
        <v>253</v>
      </c>
    </row>
    <row r="174">
      <c r="A174" s="321"/>
      <c r="B174" s="322"/>
      <c r="C174" s="321"/>
      <c r="D174" s="321"/>
      <c r="E174" s="321"/>
      <c r="F174" s="317" t="str">
        <f>IFERROR(VLOOKUP(B174,Stock1!F:J,5,False),"")</f>
        <v/>
      </c>
      <c r="G174" s="318" t="str">
        <f t="array" ref="G174">_xlfn.XLOOKUP(B174,Stock2!F:F,Stock2!J:J,"")</f>
        <v/>
      </c>
      <c r="H174" s="321"/>
    </row>
    <row r="175">
      <c r="A175" s="321"/>
      <c r="B175" s="322"/>
      <c r="C175" s="321"/>
      <c r="D175" s="321"/>
      <c r="E175" s="321"/>
      <c r="F175" s="317" t="str">
        <f>IFERROR(VLOOKUP(B175,Stock1!F:J,5,False),"")</f>
        <v/>
      </c>
      <c r="G175" s="318" t="str">
        <f t="array" ref="G175">_xlfn.XLOOKUP(B175,Stock2!F:F,Stock2!J:J,"")</f>
        <v/>
      </c>
      <c r="H175" s="321"/>
    </row>
    <row r="176">
      <c r="A176" s="310" t="s">
        <v>723</v>
      </c>
      <c r="B176" s="312" t="s">
        <v>724</v>
      </c>
      <c r="C176" s="310" t="s">
        <v>725</v>
      </c>
      <c r="D176" s="313">
        <v>1090.0</v>
      </c>
      <c r="E176" s="314">
        <v>50.0</v>
      </c>
      <c r="F176" s="317" t="str">
        <f>IFERROR(VLOOKUP(B176,Stock1!F:J,5,False),"")</f>
        <v/>
      </c>
      <c r="G176" s="318" t="str">
        <f t="array" ref="G176">_xlfn.XLOOKUP(B176,Stock2!F:F,Stock2!J:J,"")</f>
        <v/>
      </c>
      <c r="H176" s="310" t="s">
        <v>253</v>
      </c>
    </row>
    <row r="177">
      <c r="A177" s="310" t="s">
        <v>723</v>
      </c>
      <c r="B177" s="312" t="s">
        <v>726</v>
      </c>
      <c r="C177" s="310" t="s">
        <v>727</v>
      </c>
      <c r="D177" s="313">
        <v>1290.0</v>
      </c>
      <c r="E177" s="314">
        <v>50.0</v>
      </c>
      <c r="F177" s="317" t="str">
        <f>IFERROR(VLOOKUP(B177,Stock1!F:J,5,False),"")</f>
        <v/>
      </c>
      <c r="G177" s="318" t="str">
        <f t="array" ref="G177">_xlfn.XLOOKUP(B177,Stock2!F:F,Stock2!J:J,"")</f>
        <v/>
      </c>
      <c r="H177" s="310" t="s">
        <v>253</v>
      </c>
    </row>
    <row r="178">
      <c r="A178" s="310" t="s">
        <v>723</v>
      </c>
      <c r="B178" s="312" t="s">
        <v>729</v>
      </c>
      <c r="C178" s="310" t="s">
        <v>730</v>
      </c>
      <c r="D178" s="313">
        <v>1290.0</v>
      </c>
      <c r="E178" s="314">
        <v>50.0</v>
      </c>
      <c r="F178" s="317" t="str">
        <f>IFERROR(VLOOKUP(B178,Stock1!F:J,5,False),"")</f>
        <v/>
      </c>
      <c r="G178" s="318" t="str">
        <f t="array" ref="G178">_xlfn.XLOOKUP(B178,Stock2!F:F,Stock2!J:J,"")</f>
        <v/>
      </c>
      <c r="H178" s="310" t="s">
        <v>253</v>
      </c>
    </row>
    <row r="179">
      <c r="A179" s="310" t="s">
        <v>723</v>
      </c>
      <c r="B179" s="312" t="s">
        <v>731</v>
      </c>
      <c r="C179" s="310" t="s">
        <v>732</v>
      </c>
      <c r="D179" s="314">
        <v>990.0</v>
      </c>
      <c r="E179" s="314">
        <v>50.0</v>
      </c>
      <c r="F179" s="317" t="str">
        <f>IFERROR(VLOOKUP(B179,Stock1!F:J,5,False),"")</f>
        <v/>
      </c>
      <c r="G179" s="318" t="str">
        <f t="array" ref="G179">_xlfn.XLOOKUP(B179,Stock2!F:F,Stock2!J:J,"")</f>
        <v/>
      </c>
      <c r="H179" s="310" t="s">
        <v>253</v>
      </c>
    </row>
    <row r="180">
      <c r="A180" s="310" t="s">
        <v>723</v>
      </c>
      <c r="B180" s="312" t="s">
        <v>734</v>
      </c>
      <c r="C180" s="310" t="s">
        <v>735</v>
      </c>
      <c r="D180" s="314">
        <v>990.0</v>
      </c>
      <c r="E180" s="314">
        <v>50.0</v>
      </c>
      <c r="F180" s="317" t="str">
        <f>IFERROR(VLOOKUP(B180,Stock1!F:J,5,False),"")</f>
        <v/>
      </c>
      <c r="G180" s="318" t="str">
        <f t="array" ref="G180">_xlfn.XLOOKUP(B180,Stock2!F:F,Stock2!J:J,"")</f>
        <v/>
      </c>
      <c r="H180" s="310" t="s">
        <v>253</v>
      </c>
    </row>
    <row r="181">
      <c r="A181" s="310" t="s">
        <v>723</v>
      </c>
      <c r="B181" s="312" t="s">
        <v>736</v>
      </c>
      <c r="C181" s="310" t="s">
        <v>737</v>
      </c>
      <c r="D181" s="314">
        <v>990.0</v>
      </c>
      <c r="E181" s="314">
        <v>50.0</v>
      </c>
      <c r="F181" s="317" t="str">
        <f>IFERROR(VLOOKUP(B181,Stock1!F:J,5,False),"")</f>
        <v/>
      </c>
      <c r="G181" s="318" t="str">
        <f t="array" ref="G181">_xlfn.XLOOKUP(B181,Stock2!F:F,Stock2!J:J,"")</f>
        <v/>
      </c>
      <c r="H181" s="310" t="s">
        <v>253</v>
      </c>
    </row>
    <row r="182">
      <c r="A182" s="310" t="s">
        <v>723</v>
      </c>
      <c r="B182" s="312" t="s">
        <v>740</v>
      </c>
      <c r="C182" s="310" t="s">
        <v>741</v>
      </c>
      <c r="D182" s="314">
        <v>990.0</v>
      </c>
      <c r="E182" s="314">
        <v>50.0</v>
      </c>
      <c r="F182" s="317" t="str">
        <f>IFERROR(VLOOKUP(B182,Stock1!F:J,5,False),"")</f>
        <v/>
      </c>
      <c r="G182" s="318" t="str">
        <f t="array" ref="G182">_xlfn.XLOOKUP(B182,Stock2!F:F,Stock2!J:J,"")</f>
        <v/>
      </c>
      <c r="H182" s="310" t="s">
        <v>253</v>
      </c>
    </row>
    <row r="183">
      <c r="A183" s="310" t="s">
        <v>723</v>
      </c>
      <c r="B183" s="312" t="s">
        <v>744</v>
      </c>
      <c r="C183" s="310" t="s">
        <v>745</v>
      </c>
      <c r="D183" s="314">
        <v>990.0</v>
      </c>
      <c r="E183" s="314">
        <v>50.0</v>
      </c>
      <c r="F183" s="317" t="str">
        <f>IFERROR(VLOOKUP(B183,Stock1!F:J,5,False),"")</f>
        <v/>
      </c>
      <c r="G183" s="318" t="str">
        <f t="array" ref="G183">_xlfn.XLOOKUP(B183,Stock2!F:F,Stock2!J:J,"")</f>
        <v/>
      </c>
      <c r="H183" s="310" t="s">
        <v>253</v>
      </c>
    </row>
    <row r="184">
      <c r="A184" s="310" t="s">
        <v>723</v>
      </c>
      <c r="B184" s="312" t="s">
        <v>747</v>
      </c>
      <c r="C184" s="310" t="s">
        <v>748</v>
      </c>
      <c r="D184" s="314">
        <v>990.0</v>
      </c>
      <c r="E184" s="314">
        <v>50.0</v>
      </c>
      <c r="F184" s="317" t="str">
        <f>IFERROR(VLOOKUP(B184,Stock1!F:J,5,False),"")</f>
        <v/>
      </c>
      <c r="G184" s="318" t="str">
        <f t="array" ref="G184">_xlfn.XLOOKUP(B184,Stock2!F:F,Stock2!J:J,"")</f>
        <v/>
      </c>
      <c r="H184" s="310" t="s">
        <v>253</v>
      </c>
    </row>
    <row r="185">
      <c r="A185" s="310" t="s">
        <v>723</v>
      </c>
      <c r="B185" s="312" t="s">
        <v>751</v>
      </c>
      <c r="C185" s="310" t="s">
        <v>752</v>
      </c>
      <c r="D185" s="314">
        <v>990.0</v>
      </c>
      <c r="E185" s="314">
        <v>50.0</v>
      </c>
      <c r="F185" s="317" t="str">
        <f>IFERROR(VLOOKUP(B185,Stock1!F:J,5,False),"")</f>
        <v/>
      </c>
      <c r="G185" s="318" t="str">
        <f t="array" ref="G185">_xlfn.XLOOKUP(B185,Stock2!F:F,Stock2!J:J,"")</f>
        <v/>
      </c>
      <c r="H185" s="310" t="s">
        <v>253</v>
      </c>
    </row>
    <row r="186">
      <c r="A186" s="310" t="s">
        <v>723</v>
      </c>
      <c r="B186" s="312" t="s">
        <v>754</v>
      </c>
      <c r="C186" s="310" t="s">
        <v>755</v>
      </c>
      <c r="D186" s="314">
        <v>990.0</v>
      </c>
      <c r="E186" s="314">
        <v>50.0</v>
      </c>
      <c r="F186" s="317" t="str">
        <f>IFERROR(VLOOKUP(B186,Stock1!F:J,5,False),"")</f>
        <v/>
      </c>
      <c r="G186" s="318" t="str">
        <f t="array" ref="G186">_xlfn.XLOOKUP(B186,Stock2!F:F,Stock2!J:J,"")</f>
        <v/>
      </c>
      <c r="H186" s="310" t="s">
        <v>253</v>
      </c>
    </row>
    <row r="187">
      <c r="A187" s="310" t="s">
        <v>723</v>
      </c>
      <c r="B187" s="312" t="s">
        <v>758</v>
      </c>
      <c r="C187" s="310" t="s">
        <v>759</v>
      </c>
      <c r="D187" s="314">
        <v>790.0</v>
      </c>
      <c r="E187" s="314">
        <v>50.0</v>
      </c>
      <c r="F187" s="317" t="str">
        <f>IFERROR(VLOOKUP(B187,Stock1!F:J,5,False),"")</f>
        <v/>
      </c>
      <c r="G187" s="318" t="str">
        <f t="array" ref="G187">_xlfn.XLOOKUP(B187,Stock2!F:F,Stock2!J:J,"")</f>
        <v/>
      </c>
      <c r="H187" s="310" t="s">
        <v>253</v>
      </c>
    </row>
    <row r="188">
      <c r="A188" s="310" t="s">
        <v>723</v>
      </c>
      <c r="B188" s="312" t="s">
        <v>761</v>
      </c>
      <c r="C188" s="310" t="s">
        <v>762</v>
      </c>
      <c r="D188" s="314">
        <v>790.0</v>
      </c>
      <c r="E188" s="314">
        <v>50.0</v>
      </c>
      <c r="F188" s="317" t="str">
        <f>IFERROR(VLOOKUP(B188,Stock1!F:J,5,False),"")</f>
        <v/>
      </c>
      <c r="G188" s="318" t="str">
        <f t="array" ref="G188">_xlfn.XLOOKUP(B188,Stock2!F:F,Stock2!J:J,"")</f>
        <v/>
      </c>
      <c r="H188" s="310" t="s">
        <v>253</v>
      </c>
    </row>
    <row r="189">
      <c r="A189" s="310" t="s">
        <v>723</v>
      </c>
      <c r="B189" s="312" t="s">
        <v>764</v>
      </c>
      <c r="C189" s="310" t="s">
        <v>765</v>
      </c>
      <c r="D189" s="314">
        <v>790.0</v>
      </c>
      <c r="E189" s="314">
        <v>50.0</v>
      </c>
      <c r="F189" s="317" t="str">
        <f>IFERROR(VLOOKUP(B189,Stock1!F:J,5,False),"")</f>
        <v/>
      </c>
      <c r="G189" s="318" t="str">
        <f t="array" ref="G189">_xlfn.XLOOKUP(B189,Stock2!F:F,Stock2!J:J,"")</f>
        <v/>
      </c>
      <c r="H189" s="310" t="s">
        <v>253</v>
      </c>
    </row>
    <row r="190">
      <c r="A190" s="310" t="s">
        <v>723</v>
      </c>
      <c r="B190" s="312" t="s">
        <v>770</v>
      </c>
      <c r="C190" s="310" t="s">
        <v>771</v>
      </c>
      <c r="D190" s="314">
        <v>790.0</v>
      </c>
      <c r="E190" s="314">
        <v>50.0</v>
      </c>
      <c r="F190" s="317" t="str">
        <f>IFERROR(VLOOKUP(B190,Stock1!F:J,5,False),"")</f>
        <v/>
      </c>
      <c r="G190" s="318" t="str">
        <f t="array" ref="G190">_xlfn.XLOOKUP(B190,Stock2!F:F,Stock2!J:J,"")</f>
        <v/>
      </c>
      <c r="H190" s="310" t="s">
        <v>253</v>
      </c>
    </row>
    <row r="191">
      <c r="A191" s="310" t="s">
        <v>723</v>
      </c>
      <c r="B191" s="312" t="s">
        <v>776</v>
      </c>
      <c r="C191" s="310" t="s">
        <v>777</v>
      </c>
      <c r="D191" s="314">
        <v>790.0</v>
      </c>
      <c r="E191" s="314">
        <v>50.0</v>
      </c>
      <c r="F191" s="317" t="str">
        <f>IFERROR(VLOOKUP(B191,Stock1!F:J,5,False),"")</f>
        <v/>
      </c>
      <c r="G191" s="318" t="str">
        <f t="array" ref="G191">_xlfn.XLOOKUP(B191,Stock2!F:F,Stock2!J:J,"")</f>
        <v/>
      </c>
      <c r="H191" s="310" t="s">
        <v>253</v>
      </c>
    </row>
    <row r="192">
      <c r="A192" s="310" t="s">
        <v>723</v>
      </c>
      <c r="B192" s="312" t="s">
        <v>779</v>
      </c>
      <c r="C192" s="310" t="s">
        <v>780</v>
      </c>
      <c r="D192" s="314">
        <v>890.0</v>
      </c>
      <c r="E192" s="314">
        <v>50.0</v>
      </c>
      <c r="F192" s="317" t="str">
        <f>IFERROR(VLOOKUP(B192,Stock1!F:J,5,False),"")</f>
        <v/>
      </c>
      <c r="G192" s="318" t="str">
        <f t="array" ref="G192">_xlfn.XLOOKUP(B192,Stock2!F:F,Stock2!J:J,"")</f>
        <v/>
      </c>
      <c r="H192" s="310" t="s">
        <v>253</v>
      </c>
    </row>
    <row r="193">
      <c r="A193" s="310" t="s">
        <v>723</v>
      </c>
      <c r="B193" s="312" t="s">
        <v>781</v>
      </c>
      <c r="C193" s="310" t="s">
        <v>782</v>
      </c>
      <c r="D193" s="313">
        <v>1590.0</v>
      </c>
      <c r="E193" s="314">
        <v>50.0</v>
      </c>
      <c r="F193" s="317" t="str">
        <f>IFERROR(VLOOKUP(B193,Stock1!F:J,5,False),"")</f>
        <v/>
      </c>
      <c r="G193" s="318" t="str">
        <f t="array" ref="G193">_xlfn.XLOOKUP(B193,Stock2!F:F,Stock2!J:J,"")</f>
        <v/>
      </c>
      <c r="H193" s="310" t="s">
        <v>253</v>
      </c>
    </row>
    <row r="194">
      <c r="A194" s="310" t="s">
        <v>723</v>
      </c>
      <c r="B194" s="312" t="s">
        <v>785</v>
      </c>
      <c r="C194" s="310" t="s">
        <v>786</v>
      </c>
      <c r="D194" s="313">
        <v>1590.0</v>
      </c>
      <c r="E194" s="314">
        <v>50.0</v>
      </c>
      <c r="F194" s="317" t="str">
        <f>IFERROR(VLOOKUP(B194,Stock1!F:J,5,False),"")</f>
        <v/>
      </c>
      <c r="G194" s="318" t="str">
        <f t="array" ref="G194">_xlfn.XLOOKUP(B194,Stock2!F:F,Stock2!J:J,"")</f>
        <v/>
      </c>
      <c r="H194" s="310" t="s">
        <v>253</v>
      </c>
    </row>
    <row r="195">
      <c r="A195" s="310" t="s">
        <v>723</v>
      </c>
      <c r="B195" s="312" t="s">
        <v>788</v>
      </c>
      <c r="C195" s="310" t="s">
        <v>789</v>
      </c>
      <c r="D195" s="313">
        <v>1290.0</v>
      </c>
      <c r="E195" s="314">
        <v>50.0</v>
      </c>
      <c r="F195" s="317" t="str">
        <f>IFERROR(VLOOKUP(B195,Stock1!F:J,5,False),"")</f>
        <v/>
      </c>
      <c r="G195" s="318" t="str">
        <f t="array" ref="G195">_xlfn.XLOOKUP(B195,Stock2!F:F,Stock2!J:J,"")</f>
        <v/>
      </c>
      <c r="H195" s="310" t="s">
        <v>253</v>
      </c>
    </row>
    <row r="196">
      <c r="A196" s="310" t="s">
        <v>723</v>
      </c>
      <c r="B196" s="312" t="s">
        <v>791</v>
      </c>
      <c r="C196" s="310" t="s">
        <v>792</v>
      </c>
      <c r="D196" s="313">
        <v>1290.0</v>
      </c>
      <c r="E196" s="314">
        <v>50.0</v>
      </c>
      <c r="F196" s="317" t="str">
        <f>IFERROR(VLOOKUP(B196,Stock1!F:J,5,False),"")</f>
        <v/>
      </c>
      <c r="G196" s="318" t="str">
        <f t="array" ref="G196">_xlfn.XLOOKUP(B196,Stock2!F:F,Stock2!J:J,"")</f>
        <v/>
      </c>
      <c r="H196" s="310" t="s">
        <v>253</v>
      </c>
    </row>
    <row r="197">
      <c r="A197" s="310" t="s">
        <v>723</v>
      </c>
      <c r="B197" s="312" t="s">
        <v>793</v>
      </c>
      <c r="C197" s="310" t="s">
        <v>794</v>
      </c>
      <c r="D197" s="313">
        <v>1290.0</v>
      </c>
      <c r="E197" s="314">
        <v>50.0</v>
      </c>
      <c r="F197" s="317" t="str">
        <f>IFERROR(VLOOKUP(B197,Stock1!F:J,5,False),"")</f>
        <v/>
      </c>
      <c r="G197" s="318" t="str">
        <f t="array" ref="G197">_xlfn.XLOOKUP(B197,Stock2!F:F,Stock2!J:J,"")</f>
        <v/>
      </c>
      <c r="H197" s="310" t="s">
        <v>253</v>
      </c>
    </row>
    <row r="198">
      <c r="A198" s="310" t="s">
        <v>723</v>
      </c>
      <c r="B198" s="312" t="s">
        <v>796</v>
      </c>
      <c r="C198" s="310" t="s">
        <v>798</v>
      </c>
      <c r="D198" s="313">
        <v>1290.0</v>
      </c>
      <c r="E198" s="314">
        <v>50.0</v>
      </c>
      <c r="F198" s="317" t="str">
        <f>IFERROR(VLOOKUP(B198,Stock1!F:J,5,False),"")</f>
        <v/>
      </c>
      <c r="G198" s="318" t="str">
        <f t="array" ref="G198">_xlfn.XLOOKUP(B198,Stock2!F:F,Stock2!J:J,"")</f>
        <v/>
      </c>
      <c r="H198" s="310" t="s">
        <v>253</v>
      </c>
    </row>
    <row r="199">
      <c r="A199" s="310" t="s">
        <v>723</v>
      </c>
      <c r="B199" s="312" t="s">
        <v>799</v>
      </c>
      <c r="C199" s="310" t="s">
        <v>800</v>
      </c>
      <c r="D199" s="313">
        <v>1290.0</v>
      </c>
      <c r="E199" s="314">
        <v>50.0</v>
      </c>
      <c r="F199" s="317" t="str">
        <f>IFERROR(VLOOKUP(B199,Stock1!F:J,5,False),"")</f>
        <v/>
      </c>
      <c r="G199" s="318" t="str">
        <f t="array" ref="G199">_xlfn.XLOOKUP(B199,Stock2!F:F,Stock2!J:J,"")</f>
        <v/>
      </c>
      <c r="H199" s="310" t="s">
        <v>253</v>
      </c>
    </row>
    <row r="200">
      <c r="A200" s="310" t="s">
        <v>723</v>
      </c>
      <c r="B200" s="312" t="s">
        <v>801</v>
      </c>
      <c r="C200" s="310" t="s">
        <v>802</v>
      </c>
      <c r="D200" s="313">
        <v>1290.0</v>
      </c>
      <c r="E200" s="314">
        <v>50.0</v>
      </c>
      <c r="F200" s="317" t="str">
        <f>IFERROR(VLOOKUP(B200,Stock1!F:J,5,False),"")</f>
        <v/>
      </c>
      <c r="G200" s="318" t="str">
        <f t="array" ref="G200">_xlfn.XLOOKUP(B200,Stock2!F:F,Stock2!J:J,"")</f>
        <v/>
      </c>
      <c r="H200" s="310" t="s">
        <v>253</v>
      </c>
    </row>
    <row r="201">
      <c r="A201" s="310" t="s">
        <v>723</v>
      </c>
      <c r="B201" s="312" t="s">
        <v>806</v>
      </c>
      <c r="C201" s="310" t="s">
        <v>807</v>
      </c>
      <c r="D201" s="313">
        <v>1290.0</v>
      </c>
      <c r="E201" s="314">
        <v>50.0</v>
      </c>
      <c r="F201" s="317" t="str">
        <f>IFERROR(VLOOKUP(B201,Stock1!F:J,5,False),"")</f>
        <v/>
      </c>
      <c r="G201" s="318" t="str">
        <f t="array" ref="G201">_xlfn.XLOOKUP(B201,Stock2!F:F,Stock2!J:J,"")</f>
        <v/>
      </c>
      <c r="H201" s="310" t="s">
        <v>253</v>
      </c>
    </row>
    <row r="202">
      <c r="A202" s="310" t="s">
        <v>723</v>
      </c>
      <c r="B202" s="312" t="s">
        <v>808</v>
      </c>
      <c r="C202" s="310" t="s">
        <v>809</v>
      </c>
      <c r="D202" s="313">
        <v>1290.0</v>
      </c>
      <c r="E202" s="314">
        <v>50.0</v>
      </c>
      <c r="F202" s="317" t="str">
        <f>IFERROR(VLOOKUP(B202,Stock1!F:J,5,False),"")</f>
        <v/>
      </c>
      <c r="G202" s="318" t="str">
        <f t="array" ref="G202">_xlfn.XLOOKUP(B202,Stock2!F:F,Stock2!J:J,"")</f>
        <v/>
      </c>
      <c r="H202" s="310" t="s">
        <v>253</v>
      </c>
    </row>
    <row r="203">
      <c r="A203" s="310" t="s">
        <v>723</v>
      </c>
      <c r="B203" s="312" t="s">
        <v>810</v>
      </c>
      <c r="C203" s="310" t="s">
        <v>811</v>
      </c>
      <c r="D203" s="314">
        <v>590.0</v>
      </c>
      <c r="E203" s="314">
        <v>20.0</v>
      </c>
      <c r="F203" s="317" t="str">
        <f>IFERROR(VLOOKUP(B203,Stock1!F:J,5,False),"")</f>
        <v/>
      </c>
      <c r="G203" s="318" t="str">
        <f t="array" ref="G203">_xlfn.XLOOKUP(B203,Stock2!F:F,Stock2!J:J,"")</f>
        <v/>
      </c>
      <c r="H203" s="310" t="s">
        <v>253</v>
      </c>
    </row>
    <row r="204">
      <c r="A204" s="310" t="s">
        <v>723</v>
      </c>
      <c r="B204" s="312" t="s">
        <v>814</v>
      </c>
      <c r="C204" s="310" t="s">
        <v>815</v>
      </c>
      <c r="D204" s="314">
        <v>590.0</v>
      </c>
      <c r="E204" s="314">
        <v>20.0</v>
      </c>
      <c r="F204" s="317" t="str">
        <f>IFERROR(VLOOKUP(B204,Stock1!F:J,5,False),"")</f>
        <v/>
      </c>
      <c r="G204" s="318" t="str">
        <f t="array" ref="G204">_xlfn.XLOOKUP(B204,Stock2!F:F,Stock2!J:J,"")</f>
        <v/>
      </c>
      <c r="H204" s="310" t="s">
        <v>253</v>
      </c>
    </row>
    <row r="205">
      <c r="A205" s="310" t="s">
        <v>723</v>
      </c>
      <c r="B205" s="312" t="s">
        <v>816</v>
      </c>
      <c r="C205" s="310" t="s">
        <v>817</v>
      </c>
      <c r="D205" s="314">
        <v>690.0</v>
      </c>
      <c r="E205" s="314">
        <v>20.0</v>
      </c>
      <c r="F205" s="317" t="str">
        <f>IFERROR(VLOOKUP(B205,Stock1!F:J,5,False),"")</f>
        <v/>
      </c>
      <c r="G205" s="318" t="str">
        <f t="array" ref="G205">_xlfn.XLOOKUP(B205,Stock2!F:F,Stock2!J:J,"")</f>
        <v/>
      </c>
      <c r="H205" s="310" t="s">
        <v>253</v>
      </c>
    </row>
    <row r="206">
      <c r="A206" s="310" t="s">
        <v>723</v>
      </c>
      <c r="B206" s="312" t="s">
        <v>820</v>
      </c>
      <c r="C206" s="310" t="s">
        <v>821</v>
      </c>
      <c r="D206" s="314">
        <v>490.0</v>
      </c>
      <c r="E206" s="314">
        <v>20.0</v>
      </c>
      <c r="F206" s="317" t="str">
        <f>IFERROR(VLOOKUP(B206,Stock1!F:J,5,False),"")</f>
        <v/>
      </c>
      <c r="G206" s="318" t="str">
        <f t="array" ref="G206">_xlfn.XLOOKUP(B206,Stock2!F:F,Stock2!J:J,"")</f>
        <v/>
      </c>
      <c r="H206" s="310" t="s">
        <v>253</v>
      </c>
    </row>
    <row r="207">
      <c r="A207" s="310" t="s">
        <v>723</v>
      </c>
      <c r="B207" s="312" t="s">
        <v>822</v>
      </c>
      <c r="C207" s="310" t="s">
        <v>823</v>
      </c>
      <c r="D207" s="314">
        <v>490.0</v>
      </c>
      <c r="E207" s="314">
        <v>20.0</v>
      </c>
      <c r="F207" s="317" t="str">
        <f>IFERROR(VLOOKUP(B207,Stock1!F:J,5,False),"")</f>
        <v/>
      </c>
      <c r="G207" s="318" t="str">
        <f t="array" ref="G207">_xlfn.XLOOKUP(B207,Stock2!F:F,Stock2!J:J,"")</f>
        <v/>
      </c>
      <c r="H207" s="310" t="s">
        <v>253</v>
      </c>
    </row>
    <row r="208">
      <c r="A208" s="310" t="s">
        <v>723</v>
      </c>
      <c r="B208" s="312" t="s">
        <v>825</v>
      </c>
      <c r="C208" s="310" t="s">
        <v>826</v>
      </c>
      <c r="D208" s="314">
        <v>590.0</v>
      </c>
      <c r="E208" s="314">
        <v>20.0</v>
      </c>
      <c r="F208" s="317" t="str">
        <f>IFERROR(VLOOKUP(B208,Stock1!F:J,5,False),"")</f>
        <v/>
      </c>
      <c r="G208" s="318" t="str">
        <f t="array" ref="G208">_xlfn.XLOOKUP(B208,Stock2!F:F,Stock2!J:J,"")</f>
        <v/>
      </c>
      <c r="H208" s="310" t="s">
        <v>253</v>
      </c>
    </row>
    <row r="209">
      <c r="A209" s="310" t="s">
        <v>723</v>
      </c>
      <c r="B209" s="312" t="s">
        <v>831</v>
      </c>
      <c r="C209" s="310" t="s">
        <v>832</v>
      </c>
      <c r="D209" s="314">
        <v>590.0</v>
      </c>
      <c r="E209" s="314">
        <v>20.0</v>
      </c>
      <c r="F209" s="317" t="str">
        <f>IFERROR(VLOOKUP(B209,Stock1!F:J,5,False),"")</f>
        <v/>
      </c>
      <c r="G209" s="318" t="str">
        <f t="array" ref="G209">_xlfn.XLOOKUP(B209,Stock2!F:F,Stock2!J:J,"")</f>
        <v/>
      </c>
      <c r="H209" s="310" t="s">
        <v>253</v>
      </c>
    </row>
    <row r="210">
      <c r="A210" s="310" t="s">
        <v>723</v>
      </c>
      <c r="B210" s="312" t="s">
        <v>836</v>
      </c>
      <c r="C210" s="310" t="s">
        <v>837</v>
      </c>
      <c r="D210" s="314">
        <v>390.0</v>
      </c>
      <c r="E210" s="314">
        <v>20.0</v>
      </c>
      <c r="F210" s="317" t="str">
        <f>IFERROR(VLOOKUP(B210,Stock1!F:J,5,False),"")</f>
        <v/>
      </c>
      <c r="G210" s="318" t="str">
        <f t="array" ref="G210">_xlfn.XLOOKUP(B210,Stock2!F:F,Stock2!J:J,"")</f>
        <v/>
      </c>
      <c r="H210" s="310" t="s">
        <v>253</v>
      </c>
    </row>
    <row r="211">
      <c r="A211" s="310" t="s">
        <v>723</v>
      </c>
      <c r="B211" s="312" t="s">
        <v>838</v>
      </c>
      <c r="C211" s="310" t="s">
        <v>839</v>
      </c>
      <c r="D211" s="314">
        <v>390.0</v>
      </c>
      <c r="E211" s="314">
        <v>20.0</v>
      </c>
      <c r="F211" s="317" t="str">
        <f>IFERROR(VLOOKUP(B211,Stock1!F:J,5,False),"")</f>
        <v/>
      </c>
      <c r="G211" s="318">
        <f t="array" ref="G211">_xlfn.XLOOKUP(B211,Stock2!F:F,Stock2!J:J,"")</f>
        <v>2</v>
      </c>
      <c r="H211" s="310" t="s">
        <v>253</v>
      </c>
    </row>
    <row r="212">
      <c r="A212" s="310" t="s">
        <v>723</v>
      </c>
      <c r="B212" s="312" t="s">
        <v>843</v>
      </c>
      <c r="C212" s="310" t="s">
        <v>844</v>
      </c>
      <c r="D212" s="314">
        <v>490.0</v>
      </c>
      <c r="E212" s="314">
        <v>20.0</v>
      </c>
      <c r="F212" s="317" t="str">
        <f>IFERROR(VLOOKUP(B212,Stock1!F:J,5,False),"")</f>
        <v/>
      </c>
      <c r="G212" s="318">
        <f t="array" ref="G212">_xlfn.XLOOKUP(B212,Stock2!F:F,Stock2!J:J,"")</f>
        <v>2</v>
      </c>
      <c r="H212" s="310" t="s">
        <v>253</v>
      </c>
    </row>
    <row r="213">
      <c r="A213" s="310" t="s">
        <v>723</v>
      </c>
      <c r="B213" s="312" t="s">
        <v>845</v>
      </c>
      <c r="C213" s="310" t="s">
        <v>846</v>
      </c>
      <c r="D213" s="314">
        <v>490.0</v>
      </c>
      <c r="E213" s="314">
        <v>20.0</v>
      </c>
      <c r="F213" s="317" t="str">
        <f>IFERROR(VLOOKUP(B213,Stock1!F:J,5,False),"")</f>
        <v/>
      </c>
      <c r="G213" s="318">
        <f t="array" ref="G213">_xlfn.XLOOKUP(B213,Stock2!F:F,Stock2!J:J,"")</f>
        <v>2</v>
      </c>
      <c r="H213" s="310" t="s">
        <v>253</v>
      </c>
    </row>
    <row r="214">
      <c r="A214" s="310" t="s">
        <v>723</v>
      </c>
      <c r="B214" s="312" t="s">
        <v>848</v>
      </c>
      <c r="C214" s="310" t="s">
        <v>849</v>
      </c>
      <c r="D214" s="313">
        <v>1790.0</v>
      </c>
      <c r="E214" s="314">
        <v>150.0</v>
      </c>
      <c r="F214" s="317" t="str">
        <f>IFERROR(VLOOKUP(B214,Stock1!F:J,5,False),"")</f>
        <v/>
      </c>
      <c r="G214" s="318" t="str">
        <f t="array" ref="G214">_xlfn.XLOOKUP(B214,Stock2!F:F,Stock2!J:J,"")</f>
        <v/>
      </c>
      <c r="H214" s="310" t="s">
        <v>253</v>
      </c>
    </row>
    <row r="215">
      <c r="A215" s="310" t="s">
        <v>723</v>
      </c>
      <c r="B215" s="312" t="s">
        <v>851</v>
      </c>
      <c r="C215" s="310" t="s">
        <v>852</v>
      </c>
      <c r="D215" s="313">
        <v>1890.0</v>
      </c>
      <c r="E215" s="314">
        <v>150.0</v>
      </c>
      <c r="F215" s="317" t="str">
        <f>IFERROR(VLOOKUP(B215,Stock1!F:J,5,False),"")</f>
        <v/>
      </c>
      <c r="G215" s="318" t="str">
        <f t="array" ref="G215">_xlfn.XLOOKUP(B215,Stock2!F:F,Stock2!J:J,"")</f>
        <v/>
      </c>
      <c r="H215" s="310" t="s">
        <v>253</v>
      </c>
    </row>
    <row r="216">
      <c r="A216" s="310" t="s">
        <v>723</v>
      </c>
      <c r="B216" s="312" t="s">
        <v>855</v>
      </c>
      <c r="C216" s="310" t="s">
        <v>856</v>
      </c>
      <c r="D216" s="313">
        <v>1890.0</v>
      </c>
      <c r="E216" s="314">
        <v>150.0</v>
      </c>
      <c r="F216" s="317" t="str">
        <f>IFERROR(VLOOKUP(B216,Stock1!F:J,5,False),"")</f>
        <v/>
      </c>
      <c r="G216" s="318" t="str">
        <f t="array" ref="G216">_xlfn.XLOOKUP(B216,Stock2!F:F,Stock2!J:J,"")</f>
        <v/>
      </c>
      <c r="H216" s="310" t="s">
        <v>253</v>
      </c>
    </row>
    <row r="217">
      <c r="A217" s="310" t="s">
        <v>723</v>
      </c>
      <c r="B217" s="312" t="s">
        <v>858</v>
      </c>
      <c r="C217" s="310" t="s">
        <v>859</v>
      </c>
      <c r="D217" s="313">
        <v>1890.0</v>
      </c>
      <c r="E217" s="314">
        <v>150.0</v>
      </c>
      <c r="F217" s="317" t="str">
        <f>IFERROR(VLOOKUP(B217,Stock1!F:J,5,False),"")</f>
        <v/>
      </c>
      <c r="G217" s="318" t="str">
        <f t="array" ref="G217">_xlfn.XLOOKUP(B217,Stock2!F:F,Stock2!J:J,"")</f>
        <v/>
      </c>
      <c r="H217" s="310" t="s">
        <v>253</v>
      </c>
    </row>
    <row r="218">
      <c r="A218" s="310" t="s">
        <v>723</v>
      </c>
      <c r="B218" s="312" t="s">
        <v>863</v>
      </c>
      <c r="C218" s="310" t="s">
        <v>864</v>
      </c>
      <c r="D218" s="313">
        <v>1990.0</v>
      </c>
      <c r="E218" s="314">
        <v>150.0</v>
      </c>
      <c r="F218" s="317" t="str">
        <f>IFERROR(VLOOKUP(B218,Stock1!F:J,5,False),"")</f>
        <v/>
      </c>
      <c r="G218" s="318" t="str">
        <f t="array" ref="G218">_xlfn.XLOOKUP(B218,Stock2!F:F,Stock2!J:J,"")</f>
        <v/>
      </c>
      <c r="H218" s="310" t="s">
        <v>253</v>
      </c>
    </row>
    <row r="219">
      <c r="A219" s="310" t="s">
        <v>723</v>
      </c>
      <c r="B219" s="312" t="s">
        <v>865</v>
      </c>
      <c r="C219" s="310" t="s">
        <v>866</v>
      </c>
      <c r="D219" s="313">
        <v>1990.0</v>
      </c>
      <c r="E219" s="314">
        <v>150.0</v>
      </c>
      <c r="F219" s="317" t="str">
        <f>IFERROR(VLOOKUP(B219,Stock1!F:J,5,False),"")</f>
        <v/>
      </c>
      <c r="G219" s="318" t="str">
        <f t="array" ref="G219">_xlfn.XLOOKUP(B219,Stock2!F:F,Stock2!J:J,"")</f>
        <v/>
      </c>
      <c r="H219" s="310" t="s">
        <v>253</v>
      </c>
    </row>
    <row r="220">
      <c r="A220" s="310" t="s">
        <v>723</v>
      </c>
      <c r="B220" s="312" t="s">
        <v>869</v>
      </c>
      <c r="C220" s="310" t="s">
        <v>870</v>
      </c>
      <c r="D220" s="313">
        <v>1690.0</v>
      </c>
      <c r="E220" s="314">
        <v>150.0</v>
      </c>
      <c r="F220" s="317" t="str">
        <f>IFERROR(VLOOKUP(B220,Stock1!F:J,5,False),"")</f>
        <v/>
      </c>
      <c r="G220" s="318" t="str">
        <f t="array" ref="G220">_xlfn.XLOOKUP(B220,Stock2!F:F,Stock2!J:J,"")</f>
        <v/>
      </c>
      <c r="H220" s="310" t="s">
        <v>253</v>
      </c>
    </row>
    <row r="221">
      <c r="A221" s="310" t="s">
        <v>723</v>
      </c>
      <c r="B221" s="312" t="s">
        <v>871</v>
      </c>
      <c r="C221" s="310" t="s">
        <v>872</v>
      </c>
      <c r="D221" s="314">
        <v>490.0</v>
      </c>
      <c r="E221" s="314">
        <v>20.0</v>
      </c>
      <c r="F221" s="317" t="str">
        <f>IFERROR(VLOOKUP(B221,Stock1!F:J,5,False),"")</f>
        <v/>
      </c>
      <c r="G221" s="318" t="str">
        <f t="array" ref="G221">_xlfn.XLOOKUP(B221,Stock2!F:F,Stock2!J:J,"")</f>
        <v/>
      </c>
      <c r="H221" s="310" t="s">
        <v>253</v>
      </c>
    </row>
    <row r="222">
      <c r="A222" s="310" t="s">
        <v>723</v>
      </c>
      <c r="B222" s="312" t="s">
        <v>876</v>
      </c>
      <c r="C222" s="310" t="s">
        <v>877</v>
      </c>
      <c r="D222" s="314">
        <v>590.0</v>
      </c>
      <c r="E222" s="314">
        <v>20.0</v>
      </c>
      <c r="F222" s="317" t="str">
        <f>IFERROR(VLOOKUP(B222,Stock1!F:J,5,False),"")</f>
        <v/>
      </c>
      <c r="G222" s="318" t="str">
        <f t="array" ref="G222">_xlfn.XLOOKUP(B222,Stock2!F:F,Stock2!J:J,"")</f>
        <v/>
      </c>
      <c r="H222" s="310" t="s">
        <v>253</v>
      </c>
    </row>
    <row r="223">
      <c r="A223" s="310" t="s">
        <v>723</v>
      </c>
      <c r="B223" s="312" t="s">
        <v>879</v>
      </c>
      <c r="C223" s="310" t="s">
        <v>880</v>
      </c>
      <c r="D223" s="313">
        <v>1590.0</v>
      </c>
      <c r="E223" s="314">
        <v>50.0</v>
      </c>
      <c r="F223" s="317" t="str">
        <f>IFERROR(VLOOKUP(B223,Stock1!F:J,5,False),"")</f>
        <v/>
      </c>
      <c r="G223" s="318" t="str">
        <f t="array" ref="G223">_xlfn.XLOOKUP(B223,Stock2!F:F,Stock2!J:J,"")</f>
        <v/>
      </c>
      <c r="H223" s="310" t="s">
        <v>253</v>
      </c>
    </row>
    <row r="224">
      <c r="A224" s="310" t="s">
        <v>723</v>
      </c>
      <c r="B224" s="406" t="s">
        <v>884</v>
      </c>
      <c r="C224" s="310" t="s">
        <v>886</v>
      </c>
      <c r="D224" s="314">
        <v>290.0</v>
      </c>
      <c r="E224" s="314">
        <v>50.0</v>
      </c>
      <c r="F224" s="317">
        <f>IFERROR(VLOOKUP(B224,Stock1!F:J,5,False),"")</f>
        <v>32</v>
      </c>
      <c r="G224" s="318" t="str">
        <f t="array" ref="G224">_xlfn.XLOOKUP(B224,Stock2!F:F,Stock2!J:J,"")</f>
        <v/>
      </c>
      <c r="H224" s="310" t="s">
        <v>253</v>
      </c>
    </row>
    <row r="225">
      <c r="A225" s="310" t="s">
        <v>723</v>
      </c>
      <c r="B225" s="312" t="s">
        <v>888</v>
      </c>
      <c r="C225" s="310" t="s">
        <v>889</v>
      </c>
      <c r="D225" s="314">
        <v>290.0</v>
      </c>
      <c r="E225" s="314">
        <v>50.0</v>
      </c>
      <c r="F225" s="317">
        <f>IFERROR(VLOOKUP(B225,Stock1!F:J,5,False),"")</f>
        <v>32</v>
      </c>
      <c r="G225" s="318" t="str">
        <f t="array" ref="G225">_xlfn.XLOOKUP(B225,Stock2!F:F,Stock2!J:J,"")</f>
        <v/>
      </c>
      <c r="H225" s="310" t="s">
        <v>253</v>
      </c>
    </row>
    <row r="226">
      <c r="A226" s="310" t="s">
        <v>723</v>
      </c>
      <c r="B226" s="312" t="s">
        <v>894</v>
      </c>
      <c r="C226" s="310" t="s">
        <v>895</v>
      </c>
      <c r="D226" s="314">
        <v>890.0</v>
      </c>
      <c r="E226" s="314">
        <v>20.0</v>
      </c>
      <c r="F226" s="317" t="str">
        <f>IFERROR(VLOOKUP(B226,Stock1!F:J,5,False),"")</f>
        <v/>
      </c>
      <c r="G226" s="318" t="str">
        <f t="array" ref="G226">_xlfn.XLOOKUP(B226,Stock2!F:F,Stock2!J:J,"")</f>
        <v/>
      </c>
      <c r="H226" s="310" t="s">
        <v>253</v>
      </c>
    </row>
    <row r="227">
      <c r="A227" s="310" t="s">
        <v>723</v>
      </c>
      <c r="B227" s="312" t="s">
        <v>896</v>
      </c>
      <c r="C227" s="310" t="s">
        <v>897</v>
      </c>
      <c r="D227" s="314">
        <v>890.0</v>
      </c>
      <c r="E227" s="314">
        <v>20.0</v>
      </c>
      <c r="F227" s="317" t="str">
        <f>IFERROR(VLOOKUP(B227,Stock1!F:J,5,False),"")</f>
        <v/>
      </c>
      <c r="G227" s="318" t="str">
        <f t="array" ref="G227">_xlfn.XLOOKUP(B227,Stock2!F:F,Stock2!J:J,"")</f>
        <v/>
      </c>
      <c r="H227" s="310" t="s">
        <v>253</v>
      </c>
    </row>
    <row r="228">
      <c r="A228" s="310" t="s">
        <v>723</v>
      </c>
      <c r="B228" s="312" t="s">
        <v>902</v>
      </c>
      <c r="C228" s="310" t="s">
        <v>903</v>
      </c>
      <c r="D228" s="314">
        <v>490.0</v>
      </c>
      <c r="E228" s="314">
        <v>20.0</v>
      </c>
      <c r="F228" s="317" t="str">
        <f>IFERROR(VLOOKUP(B228,Stock1!F:J,5,False),"")</f>
        <v/>
      </c>
      <c r="G228" s="318" t="str">
        <f t="array" ref="G228">_xlfn.XLOOKUP(B228,Stock2!F:F,Stock2!J:J,"")</f>
        <v/>
      </c>
      <c r="H228" s="310" t="s">
        <v>253</v>
      </c>
    </row>
    <row r="229">
      <c r="A229" s="310" t="s">
        <v>723</v>
      </c>
      <c r="B229" s="312" t="s">
        <v>904</v>
      </c>
      <c r="C229" s="310" t="s">
        <v>905</v>
      </c>
      <c r="D229" s="314">
        <v>690.0</v>
      </c>
      <c r="E229" s="314">
        <v>20.0</v>
      </c>
      <c r="F229" s="317" t="str">
        <f>IFERROR(VLOOKUP(B229,Stock1!F:J,5,False),"")</f>
        <v/>
      </c>
      <c r="G229" s="318" t="str">
        <f t="array" ref="G229">_xlfn.XLOOKUP(B229,Stock2!F:F,Stock2!J:J,"")</f>
        <v/>
      </c>
      <c r="H229" s="310" t="s">
        <v>253</v>
      </c>
    </row>
    <row r="230">
      <c r="A230" s="310" t="s">
        <v>723</v>
      </c>
      <c r="B230" s="312" t="s">
        <v>908</v>
      </c>
      <c r="C230" s="310" t="s">
        <v>909</v>
      </c>
      <c r="D230" s="313">
        <v>1490.0</v>
      </c>
      <c r="E230" s="314">
        <v>20.0</v>
      </c>
      <c r="F230" s="317" t="str">
        <f>IFERROR(VLOOKUP(B230,Stock1!F:J,5,False),"")</f>
        <v/>
      </c>
      <c r="G230" s="318" t="str">
        <f t="array" ref="G230">_xlfn.XLOOKUP(B230,Stock2!F:F,Stock2!J:J,"")</f>
        <v/>
      </c>
      <c r="H230" s="310" t="s">
        <v>253</v>
      </c>
    </row>
    <row r="231">
      <c r="A231" s="310" t="s">
        <v>723</v>
      </c>
      <c r="B231" s="312" t="s">
        <v>910</v>
      </c>
      <c r="C231" s="310" t="s">
        <v>911</v>
      </c>
      <c r="D231" s="314">
        <v>390.0</v>
      </c>
      <c r="E231" s="314">
        <v>50.0</v>
      </c>
      <c r="F231" s="317" t="str">
        <f>IFERROR(VLOOKUP(B231,Stock1!F:J,5,False),"")</f>
        <v/>
      </c>
      <c r="G231" s="318" t="str">
        <f t="array" ref="G231">_xlfn.XLOOKUP(B231,Stock2!F:F,Stock2!J:J,"")</f>
        <v/>
      </c>
      <c r="H231" s="310" t="s">
        <v>253</v>
      </c>
    </row>
    <row r="232">
      <c r="A232" s="310" t="s">
        <v>723</v>
      </c>
      <c r="B232" s="312" t="s">
        <v>914</v>
      </c>
      <c r="C232" s="310" t="s">
        <v>915</v>
      </c>
      <c r="D232" s="314">
        <v>390.0</v>
      </c>
      <c r="E232" s="314">
        <v>50.0</v>
      </c>
      <c r="F232" s="317" t="str">
        <f>IFERROR(VLOOKUP(B232,Stock1!F:J,5,False),"")</f>
        <v/>
      </c>
      <c r="G232" s="318" t="str">
        <f t="array" ref="G232">_xlfn.XLOOKUP(B232,Stock2!F:F,Stock2!J:J,"")</f>
        <v/>
      </c>
      <c r="H232" s="310" t="s">
        <v>253</v>
      </c>
    </row>
    <row r="233">
      <c r="A233" s="310" t="s">
        <v>723</v>
      </c>
      <c r="B233" s="312" t="s">
        <v>917</v>
      </c>
      <c r="C233" s="310" t="s">
        <v>918</v>
      </c>
      <c r="D233" s="314">
        <v>390.0</v>
      </c>
      <c r="E233" s="314">
        <v>50.0</v>
      </c>
      <c r="F233" s="317" t="str">
        <f>IFERROR(VLOOKUP(B233,Stock1!F:J,5,False),"")</f>
        <v/>
      </c>
      <c r="G233" s="318" t="str">
        <f t="array" ref="G233">_xlfn.XLOOKUP(B233,Stock2!F:F,Stock2!J:J,"")</f>
        <v/>
      </c>
      <c r="H233" s="310" t="s">
        <v>253</v>
      </c>
    </row>
    <row r="234">
      <c r="A234" s="310" t="s">
        <v>723</v>
      </c>
      <c r="B234" s="312" t="s">
        <v>920</v>
      </c>
      <c r="C234" s="310" t="s">
        <v>921</v>
      </c>
      <c r="D234" s="314">
        <v>390.0</v>
      </c>
      <c r="E234" s="314">
        <v>50.0</v>
      </c>
      <c r="F234" s="317" t="str">
        <f>IFERROR(VLOOKUP(B234,Stock1!F:J,5,False),"")</f>
        <v/>
      </c>
      <c r="G234" s="318" t="str">
        <f t="array" ref="G234">_xlfn.XLOOKUP(B234,Stock2!F:F,Stock2!J:J,"")</f>
        <v/>
      </c>
      <c r="H234" s="310" t="s">
        <v>253</v>
      </c>
    </row>
    <row r="235">
      <c r="A235" s="310" t="s">
        <v>723</v>
      </c>
      <c r="B235" s="312" t="s">
        <v>923</v>
      </c>
      <c r="C235" s="310" t="s">
        <v>924</v>
      </c>
      <c r="D235" s="314">
        <v>390.0</v>
      </c>
      <c r="E235" s="314">
        <v>50.0</v>
      </c>
      <c r="F235" s="317" t="str">
        <f>IFERROR(VLOOKUP(B235,Stock1!F:J,5,False),"")</f>
        <v/>
      </c>
      <c r="G235" s="318" t="str">
        <f t="array" ref="G235">_xlfn.XLOOKUP(B235,Stock2!F:F,Stock2!J:J,"")</f>
        <v/>
      </c>
      <c r="H235" s="310" t="s">
        <v>253</v>
      </c>
    </row>
    <row r="236">
      <c r="A236" s="310" t="s">
        <v>723</v>
      </c>
      <c r="B236" s="312" t="s">
        <v>926</v>
      </c>
      <c r="C236" s="310" t="s">
        <v>927</v>
      </c>
      <c r="D236" s="314">
        <v>390.0</v>
      </c>
      <c r="E236" s="314">
        <v>50.0</v>
      </c>
      <c r="F236" s="317" t="str">
        <f>IFERROR(VLOOKUP(B236,Stock1!F:J,5,False),"")</f>
        <v/>
      </c>
      <c r="G236" s="318" t="str">
        <f t="array" ref="G236">_xlfn.XLOOKUP(B236,Stock2!F:F,Stock2!J:J,"")</f>
        <v/>
      </c>
      <c r="H236" s="310" t="s">
        <v>253</v>
      </c>
    </row>
    <row r="237">
      <c r="A237" s="310" t="s">
        <v>723</v>
      </c>
      <c r="B237" s="312" t="s">
        <v>929</v>
      </c>
      <c r="C237" s="310" t="s">
        <v>931</v>
      </c>
      <c r="D237" s="314">
        <v>390.0</v>
      </c>
      <c r="E237" s="314">
        <v>50.0</v>
      </c>
      <c r="F237" s="317" t="str">
        <f>IFERROR(VLOOKUP(B237,Stock1!F:J,5,False),"")</f>
        <v/>
      </c>
      <c r="G237" s="318" t="str">
        <f t="array" ref="G237">_xlfn.XLOOKUP(B237,Stock2!F:F,Stock2!J:J,"")</f>
        <v/>
      </c>
      <c r="H237" s="310" t="s">
        <v>253</v>
      </c>
    </row>
    <row r="238">
      <c r="A238" s="310" t="s">
        <v>723</v>
      </c>
      <c r="B238" s="312" t="s">
        <v>934</v>
      </c>
      <c r="C238" s="310" t="s">
        <v>935</v>
      </c>
      <c r="D238" s="314">
        <v>390.0</v>
      </c>
      <c r="E238" s="314">
        <v>50.0</v>
      </c>
      <c r="F238" s="317" t="str">
        <f>IFERROR(VLOOKUP(B238,Stock1!F:J,5,False),"")</f>
        <v/>
      </c>
      <c r="G238" s="318" t="str">
        <f t="array" ref="G238">_xlfn.XLOOKUP(B238,Stock2!F:F,Stock2!J:J,"")</f>
        <v/>
      </c>
      <c r="H238" s="310" t="s">
        <v>253</v>
      </c>
    </row>
    <row r="239">
      <c r="A239" s="310" t="s">
        <v>723</v>
      </c>
      <c r="B239" s="312" t="s">
        <v>936</v>
      </c>
      <c r="C239" s="310" t="s">
        <v>937</v>
      </c>
      <c r="D239" s="314">
        <v>590.0</v>
      </c>
      <c r="E239" s="314">
        <v>50.0</v>
      </c>
      <c r="F239" s="317" t="str">
        <f>IFERROR(VLOOKUP(B239,Stock1!F:J,5,False),"")</f>
        <v/>
      </c>
      <c r="G239" s="318">
        <f t="array" ref="G239">_xlfn.XLOOKUP(B239,Stock2!F:F,Stock2!J:J,"")</f>
        <v>5</v>
      </c>
      <c r="H239" s="310" t="s">
        <v>253</v>
      </c>
    </row>
    <row r="240">
      <c r="A240" s="310" t="s">
        <v>723</v>
      </c>
      <c r="B240" s="312" t="s">
        <v>940</v>
      </c>
      <c r="C240" s="310" t="s">
        <v>941</v>
      </c>
      <c r="D240" s="314">
        <v>590.0</v>
      </c>
      <c r="E240" s="314">
        <v>50.0</v>
      </c>
      <c r="F240" s="317" t="str">
        <f>IFERROR(VLOOKUP(B240,Stock1!F:J,5,False),"")</f>
        <v/>
      </c>
      <c r="G240" s="318">
        <f t="array" ref="G240">_xlfn.XLOOKUP(B240,Stock2!F:F,Stock2!J:J,"")</f>
        <v>5</v>
      </c>
      <c r="H240" s="310" t="s">
        <v>253</v>
      </c>
    </row>
    <row r="241">
      <c r="A241" s="310" t="s">
        <v>723</v>
      </c>
      <c r="B241" s="312" t="s">
        <v>943</v>
      </c>
      <c r="C241" s="310" t="s">
        <v>944</v>
      </c>
      <c r="D241" s="314">
        <v>390.0</v>
      </c>
      <c r="E241" s="314">
        <v>20.0</v>
      </c>
      <c r="F241" s="317" t="str">
        <f>IFERROR(VLOOKUP(B241,Stock1!F:J,5,False),"")</f>
        <v/>
      </c>
      <c r="G241" s="318" t="str">
        <f t="array" ref="G241">_xlfn.XLOOKUP(B241,Stock2!F:F,Stock2!J:J,"")</f>
        <v/>
      </c>
      <c r="H241" s="310" t="s">
        <v>253</v>
      </c>
    </row>
    <row r="242">
      <c r="A242" s="310" t="s">
        <v>723</v>
      </c>
      <c r="B242" s="312" t="s">
        <v>946</v>
      </c>
      <c r="C242" s="310" t="s">
        <v>947</v>
      </c>
      <c r="D242" s="314">
        <v>390.0</v>
      </c>
      <c r="E242" s="314">
        <v>20.0</v>
      </c>
      <c r="F242" s="317" t="str">
        <f>IFERROR(VLOOKUP(B242,Stock1!F:J,5,False),"")</f>
        <v/>
      </c>
      <c r="G242" s="318" t="str">
        <f t="array" ref="G242">_xlfn.XLOOKUP(B242,Stock2!F:F,Stock2!J:J,"")</f>
        <v/>
      </c>
      <c r="H242" s="310" t="s">
        <v>253</v>
      </c>
    </row>
    <row r="243">
      <c r="A243" s="310" t="s">
        <v>723</v>
      </c>
      <c r="B243" s="312" t="s">
        <v>949</v>
      </c>
      <c r="C243" s="310" t="s">
        <v>950</v>
      </c>
      <c r="D243" s="314">
        <v>390.0</v>
      </c>
      <c r="E243" s="314">
        <v>20.0</v>
      </c>
      <c r="F243" s="317" t="str">
        <f>IFERROR(VLOOKUP(B243,Stock1!F:J,5,False),"")</f>
        <v/>
      </c>
      <c r="G243" s="318" t="str">
        <f t="array" ref="G243">_xlfn.XLOOKUP(B243,Stock2!F:F,Stock2!J:J,"")</f>
        <v/>
      </c>
      <c r="H243" s="310" t="s">
        <v>253</v>
      </c>
    </row>
    <row r="244">
      <c r="A244" s="310" t="s">
        <v>723</v>
      </c>
      <c r="B244" s="312" t="s">
        <v>952</v>
      </c>
      <c r="C244" s="310" t="s">
        <v>953</v>
      </c>
      <c r="D244" s="314">
        <v>390.0</v>
      </c>
      <c r="E244" s="314">
        <v>20.0</v>
      </c>
      <c r="F244" s="317" t="str">
        <f>IFERROR(VLOOKUP(B244,Stock1!F:J,5,False),"")</f>
        <v/>
      </c>
      <c r="G244" s="318" t="str">
        <f t="array" ref="G244">_xlfn.XLOOKUP(B244,Stock2!F:F,Stock2!J:J,"")</f>
        <v/>
      </c>
      <c r="H244" s="310" t="s">
        <v>253</v>
      </c>
    </row>
    <row r="245">
      <c r="A245" s="310" t="s">
        <v>723</v>
      </c>
      <c r="B245" s="312" t="s">
        <v>957</v>
      </c>
      <c r="C245" s="310" t="s">
        <v>958</v>
      </c>
      <c r="D245" s="314">
        <v>290.0</v>
      </c>
      <c r="E245" s="314">
        <v>20.0</v>
      </c>
      <c r="F245" s="317" t="str">
        <f>IFERROR(VLOOKUP(B245,Stock1!F:J,5,False),"")</f>
        <v/>
      </c>
      <c r="G245" s="318" t="str">
        <f t="array" ref="G245">_xlfn.XLOOKUP(B245,Stock2!F:F,Stock2!J:J,"")</f>
        <v/>
      </c>
      <c r="H245" s="310" t="s">
        <v>253</v>
      </c>
    </row>
    <row r="246">
      <c r="A246" s="310" t="s">
        <v>723</v>
      </c>
      <c r="B246" s="312" t="s">
        <v>959</v>
      </c>
      <c r="C246" s="310" t="s">
        <v>960</v>
      </c>
      <c r="D246" s="313">
        <v>1290.0</v>
      </c>
      <c r="E246" s="314">
        <v>50.0</v>
      </c>
      <c r="F246" s="317" t="str">
        <f>IFERROR(VLOOKUP(B246,Stock1!F:J,5,False),"")</f>
        <v/>
      </c>
      <c r="G246" s="318" t="str">
        <f t="array" ref="G246">_xlfn.XLOOKUP(B246,Stock2!F:F,Stock2!J:J,"")</f>
        <v/>
      </c>
      <c r="H246" s="310" t="s">
        <v>253</v>
      </c>
    </row>
    <row r="247">
      <c r="A247" s="310" t="s">
        <v>723</v>
      </c>
      <c r="B247" s="312" t="s">
        <v>963</v>
      </c>
      <c r="C247" s="310" t="s">
        <v>964</v>
      </c>
      <c r="D247" s="313">
        <v>1290.0</v>
      </c>
      <c r="E247" s="314">
        <v>50.0</v>
      </c>
      <c r="F247" s="317" t="str">
        <f>IFERROR(VLOOKUP(B247,Stock1!F:J,5,False),"")</f>
        <v/>
      </c>
      <c r="G247" s="318" t="str">
        <f t="array" ref="G247">_xlfn.XLOOKUP(B247,Stock2!F:F,Stock2!J:J,"")</f>
        <v/>
      </c>
      <c r="H247" s="310" t="s">
        <v>253</v>
      </c>
    </row>
    <row r="248">
      <c r="A248" s="310" t="s">
        <v>723</v>
      </c>
      <c r="B248" s="312" t="s">
        <v>967</v>
      </c>
      <c r="C248" s="310" t="s">
        <v>968</v>
      </c>
      <c r="D248" s="313">
        <v>1390.0</v>
      </c>
      <c r="E248" s="314">
        <v>50.0</v>
      </c>
      <c r="F248" s="317" t="str">
        <f>IFERROR(VLOOKUP(B248,Stock1!F:J,5,False),"")</f>
        <v/>
      </c>
      <c r="G248" s="318" t="str">
        <f t="array" ref="G248">_xlfn.XLOOKUP(B248,Stock2!F:F,Stock2!J:J,"")</f>
        <v/>
      </c>
      <c r="H248" s="310" t="s">
        <v>253</v>
      </c>
    </row>
    <row r="249">
      <c r="A249" s="310" t="s">
        <v>723</v>
      </c>
      <c r="B249" s="312" t="s">
        <v>971</v>
      </c>
      <c r="C249" s="310" t="s">
        <v>972</v>
      </c>
      <c r="D249" s="314">
        <v>490.0</v>
      </c>
      <c r="E249" s="314">
        <v>50.0</v>
      </c>
      <c r="F249" s="317" t="str">
        <f>IFERROR(VLOOKUP(B249,Stock1!F:J,5,False),"")</f>
        <v/>
      </c>
      <c r="G249" s="318" t="str">
        <f t="array" ref="G249">_xlfn.XLOOKUP(B249,Stock2!F:F,Stock2!J:J,"")</f>
        <v/>
      </c>
      <c r="H249" s="310" t="s">
        <v>253</v>
      </c>
    </row>
    <row r="250">
      <c r="A250" s="310" t="s">
        <v>723</v>
      </c>
      <c r="B250" s="312" t="s">
        <v>974</v>
      </c>
      <c r="C250" s="310" t="s">
        <v>975</v>
      </c>
      <c r="D250" s="314">
        <v>590.0</v>
      </c>
      <c r="E250" s="314">
        <v>50.0</v>
      </c>
      <c r="F250" s="317" t="str">
        <f>IFERROR(VLOOKUP(B250,Stock1!F:J,5,False),"")</f>
        <v/>
      </c>
      <c r="G250" s="318" t="str">
        <f t="array" ref="G250">_xlfn.XLOOKUP(B250,Stock2!F:F,Stock2!J:J,"")</f>
        <v/>
      </c>
      <c r="H250" s="310" t="s">
        <v>253</v>
      </c>
    </row>
    <row r="251">
      <c r="A251" s="310" t="s">
        <v>723</v>
      </c>
      <c r="B251" s="312" t="s">
        <v>978</v>
      </c>
      <c r="C251" s="310" t="s">
        <v>979</v>
      </c>
      <c r="D251" s="314">
        <v>590.0</v>
      </c>
      <c r="E251" s="314">
        <v>50.0</v>
      </c>
      <c r="F251" s="317" t="str">
        <f>IFERROR(VLOOKUP(B251,Stock1!F:J,5,False),"")</f>
        <v/>
      </c>
      <c r="G251" s="318" t="str">
        <f t="array" ref="G251">_xlfn.XLOOKUP(B251,Stock2!F:F,Stock2!J:J,"")</f>
        <v/>
      </c>
      <c r="H251" s="310" t="s">
        <v>253</v>
      </c>
    </row>
    <row r="252">
      <c r="A252" s="310" t="s">
        <v>723</v>
      </c>
      <c r="B252" s="312" t="s">
        <v>980</v>
      </c>
      <c r="C252" s="310" t="s">
        <v>981</v>
      </c>
      <c r="D252" s="314">
        <v>690.0</v>
      </c>
      <c r="E252" s="314">
        <v>50.0</v>
      </c>
      <c r="F252" s="317" t="str">
        <f>IFERROR(VLOOKUP(B252,Stock1!F:J,5,False),"")</f>
        <v/>
      </c>
      <c r="G252" s="318" t="str">
        <f t="array" ref="G252">_xlfn.XLOOKUP(B252,Stock2!F:F,Stock2!J:J,"")</f>
        <v/>
      </c>
      <c r="H252" s="310" t="s">
        <v>253</v>
      </c>
    </row>
    <row r="253">
      <c r="A253" s="310" t="s">
        <v>723</v>
      </c>
      <c r="B253" s="312" t="s">
        <v>983</v>
      </c>
      <c r="C253" s="310" t="s">
        <v>984</v>
      </c>
      <c r="D253" s="313">
        <v>1290.0</v>
      </c>
      <c r="E253" s="314">
        <v>50.0</v>
      </c>
      <c r="F253" s="317" t="str">
        <f>IFERROR(VLOOKUP(B253,Stock1!F:J,5,False),"")</f>
        <v/>
      </c>
      <c r="G253" s="318" t="str">
        <f t="array" ref="G253">_xlfn.XLOOKUP(B253,Stock2!F:F,Stock2!J:J,"")</f>
        <v/>
      </c>
      <c r="H253" s="310" t="s">
        <v>253</v>
      </c>
    </row>
    <row r="254">
      <c r="A254" s="310" t="s">
        <v>723</v>
      </c>
      <c r="B254" s="312" t="s">
        <v>987</v>
      </c>
      <c r="C254" s="310" t="s">
        <v>988</v>
      </c>
      <c r="D254" s="314">
        <v>590.0</v>
      </c>
      <c r="E254" s="314">
        <v>50.0</v>
      </c>
      <c r="F254" s="317" t="str">
        <f>IFERROR(VLOOKUP(B254,Stock1!F:J,5,False),"")</f>
        <v/>
      </c>
      <c r="G254" s="318" t="str">
        <f t="array" ref="G254">_xlfn.XLOOKUP(B254,Stock2!F:F,Stock2!J:J,"")</f>
        <v/>
      </c>
      <c r="H254" s="310" t="s">
        <v>253</v>
      </c>
    </row>
    <row r="255">
      <c r="A255" s="310" t="s">
        <v>723</v>
      </c>
      <c r="B255" s="312" t="s">
        <v>990</v>
      </c>
      <c r="C255" s="310" t="s">
        <v>991</v>
      </c>
      <c r="D255" s="314">
        <v>590.0</v>
      </c>
      <c r="E255" s="314">
        <v>50.0</v>
      </c>
      <c r="F255" s="317" t="str">
        <f>IFERROR(VLOOKUP(B255,Stock1!F:J,5,False),"")</f>
        <v/>
      </c>
      <c r="G255" s="318" t="str">
        <f t="array" ref="G255">_xlfn.XLOOKUP(B255,Stock2!F:F,Stock2!J:J,"")</f>
        <v/>
      </c>
      <c r="H255" s="310" t="s">
        <v>253</v>
      </c>
    </row>
    <row r="256">
      <c r="A256" s="310" t="s">
        <v>723</v>
      </c>
      <c r="B256" s="312" t="s">
        <v>992</v>
      </c>
      <c r="C256" s="310" t="s">
        <v>993</v>
      </c>
      <c r="D256" s="314">
        <v>299.0</v>
      </c>
      <c r="E256" s="314">
        <v>50.0</v>
      </c>
      <c r="F256" s="317" t="str">
        <f>IFERROR(VLOOKUP(B256,Stock1!F:J,5,False),"")</f>
        <v/>
      </c>
      <c r="G256" s="318">
        <f t="array" ref="G256">_xlfn.XLOOKUP(B256,Stock2!F:F,Stock2!J:J,"")</f>
        <v>5</v>
      </c>
      <c r="H256" s="310" t="s">
        <v>253</v>
      </c>
    </row>
    <row r="257">
      <c r="A257" s="310" t="s">
        <v>723</v>
      </c>
      <c r="B257" s="312" t="s">
        <v>997</v>
      </c>
      <c r="C257" s="310" t="s">
        <v>998</v>
      </c>
      <c r="D257" s="314">
        <v>299.0</v>
      </c>
      <c r="E257" s="314">
        <v>50.0</v>
      </c>
      <c r="F257" s="317" t="str">
        <f>IFERROR(VLOOKUP(B257,Stock1!F:J,5,False),"")</f>
        <v/>
      </c>
      <c r="G257" s="318" t="str">
        <f t="array" ref="G257">_xlfn.XLOOKUP(B257,Stock2!F:F,Stock2!J:J,"")</f>
        <v/>
      </c>
      <c r="H257" s="310" t="s">
        <v>253</v>
      </c>
    </row>
    <row r="258">
      <c r="A258" s="310" t="s">
        <v>723</v>
      </c>
      <c r="B258" s="312" t="s">
        <v>999</v>
      </c>
      <c r="C258" s="310" t="s">
        <v>1000</v>
      </c>
      <c r="D258" s="314">
        <v>299.0</v>
      </c>
      <c r="E258" s="314">
        <v>50.0</v>
      </c>
      <c r="F258" s="317" t="str">
        <f>IFERROR(VLOOKUP(B258,Stock1!F:J,5,False),"")</f>
        <v/>
      </c>
      <c r="G258" s="318" t="str">
        <f t="array" ref="G258">_xlfn.XLOOKUP(B258,Stock2!F:F,Stock2!J:J,"")</f>
        <v/>
      </c>
      <c r="H258" s="310" t="s">
        <v>253</v>
      </c>
    </row>
    <row r="259">
      <c r="A259" s="310" t="s">
        <v>723</v>
      </c>
      <c r="B259" s="312" t="s">
        <v>1003</v>
      </c>
      <c r="C259" s="310" t="s">
        <v>1004</v>
      </c>
      <c r="D259" s="314">
        <v>299.0</v>
      </c>
      <c r="E259" s="314">
        <v>50.0</v>
      </c>
      <c r="F259" s="317" t="str">
        <f>IFERROR(VLOOKUP(B259,Stock1!F:J,5,False),"")</f>
        <v/>
      </c>
      <c r="G259" s="318" t="str">
        <f t="array" ref="G259">_xlfn.XLOOKUP(B259,Stock2!F:F,Stock2!J:J,"")</f>
        <v/>
      </c>
      <c r="H259" s="310" t="s">
        <v>253</v>
      </c>
    </row>
    <row r="260">
      <c r="A260" s="310" t="s">
        <v>723</v>
      </c>
      <c r="B260" s="312" t="s">
        <v>1006</v>
      </c>
      <c r="C260" s="310" t="s">
        <v>1007</v>
      </c>
      <c r="D260" s="314">
        <v>490.0</v>
      </c>
      <c r="E260" s="314">
        <v>50.0</v>
      </c>
      <c r="F260" s="317" t="str">
        <f>IFERROR(VLOOKUP(B260,Stock1!F:J,5,False),"")</f>
        <v/>
      </c>
      <c r="G260" s="318" t="str">
        <f t="array" ref="G260">_xlfn.XLOOKUP(B260,Stock2!F:F,Stock2!J:J,"")</f>
        <v/>
      </c>
      <c r="H260" s="310" t="s">
        <v>253</v>
      </c>
    </row>
    <row r="261">
      <c r="A261" s="310" t="s">
        <v>723</v>
      </c>
      <c r="B261" s="312" t="s">
        <v>1008</v>
      </c>
      <c r="C261" s="310" t="s">
        <v>1009</v>
      </c>
      <c r="D261" s="314">
        <v>590.0</v>
      </c>
      <c r="E261" s="314">
        <v>50.0</v>
      </c>
      <c r="F261" s="317" t="str">
        <f>IFERROR(VLOOKUP(B261,Stock1!F:J,5,False),"")</f>
        <v/>
      </c>
      <c r="G261" s="318" t="str">
        <f t="array" ref="G261">_xlfn.XLOOKUP(B261,Stock2!F:F,Stock2!J:J,"")</f>
        <v/>
      </c>
      <c r="H261" s="310" t="s">
        <v>253</v>
      </c>
    </row>
    <row r="262">
      <c r="A262" s="310" t="s">
        <v>723</v>
      </c>
      <c r="B262" s="312" t="s">
        <v>1013</v>
      </c>
      <c r="C262" s="310" t="s">
        <v>1014</v>
      </c>
      <c r="D262" s="314">
        <v>490.0</v>
      </c>
      <c r="E262" s="314">
        <v>50.0</v>
      </c>
      <c r="F262" s="317" t="str">
        <f>IFERROR(VLOOKUP(B262,Stock1!F:J,5,False),"")</f>
        <v/>
      </c>
      <c r="G262" s="318">
        <f t="array" ref="G262">_xlfn.XLOOKUP(B262,Stock2!F:F,Stock2!J:J,"")</f>
        <v>5</v>
      </c>
      <c r="H262" s="310" t="s">
        <v>253</v>
      </c>
    </row>
    <row r="263">
      <c r="A263" s="310" t="s">
        <v>723</v>
      </c>
      <c r="B263" s="312" t="s">
        <v>1016</v>
      </c>
      <c r="C263" s="310" t="s">
        <v>1017</v>
      </c>
      <c r="D263" s="314">
        <v>590.0</v>
      </c>
      <c r="E263" s="314">
        <v>50.0</v>
      </c>
      <c r="F263" s="317">
        <f>IFERROR(VLOOKUP(B263,Stock1!F:J,5,False),"")</f>
        <v>4</v>
      </c>
      <c r="G263" s="318">
        <f t="array" ref="G263">_xlfn.XLOOKUP(B263,Stock2!F:F,Stock2!J:J,"")</f>
        <v>5</v>
      </c>
      <c r="H263" s="310" t="s">
        <v>253</v>
      </c>
    </row>
    <row r="264">
      <c r="A264" s="310" t="s">
        <v>723</v>
      </c>
      <c r="B264" s="312" t="s">
        <v>1019</v>
      </c>
      <c r="C264" s="310" t="s">
        <v>1020</v>
      </c>
      <c r="D264" s="314">
        <v>490.0</v>
      </c>
      <c r="E264" s="314">
        <v>50.0</v>
      </c>
      <c r="F264" s="317" t="str">
        <f>IFERROR(VLOOKUP(B264,Stock1!F:J,5,False),"")</f>
        <v/>
      </c>
      <c r="G264" s="318">
        <f t="array" ref="G264">_xlfn.XLOOKUP(B264,Stock2!F:F,Stock2!J:J,"")</f>
        <v>5</v>
      </c>
      <c r="H264" s="310" t="s">
        <v>253</v>
      </c>
    </row>
    <row r="265">
      <c r="A265" s="310" t="s">
        <v>723</v>
      </c>
      <c r="B265" s="312" t="s">
        <v>1023</v>
      </c>
      <c r="C265" s="310" t="s">
        <v>1024</v>
      </c>
      <c r="D265" s="314">
        <v>990.0</v>
      </c>
      <c r="E265" s="314">
        <v>50.0</v>
      </c>
      <c r="F265" s="317" t="str">
        <f>IFERROR(VLOOKUP(B265,Stock1!F:J,5,False),"")</f>
        <v/>
      </c>
      <c r="G265" s="318" t="str">
        <f t="array" ref="G265">_xlfn.XLOOKUP(B265,Stock2!F:F,Stock2!J:J,"")</f>
        <v/>
      </c>
      <c r="H265" s="310" t="s">
        <v>253</v>
      </c>
    </row>
    <row r="266">
      <c r="A266" s="310" t="s">
        <v>723</v>
      </c>
      <c r="B266" s="312" t="s">
        <v>1025</v>
      </c>
      <c r="C266" s="310" t="s">
        <v>1026</v>
      </c>
      <c r="D266" s="314">
        <v>990.0</v>
      </c>
      <c r="E266" s="314">
        <v>50.0</v>
      </c>
      <c r="F266" s="317" t="str">
        <f>IFERROR(VLOOKUP(B266,Stock1!F:J,5,False),"")</f>
        <v/>
      </c>
      <c r="G266" s="318" t="str">
        <f t="array" ref="G266">_xlfn.XLOOKUP(B266,Stock2!F:F,Stock2!J:J,"")</f>
        <v/>
      </c>
      <c r="H266" s="310" t="s">
        <v>253</v>
      </c>
    </row>
    <row r="267">
      <c r="A267" s="310" t="s">
        <v>723</v>
      </c>
      <c r="B267" s="312" t="s">
        <v>1028</v>
      </c>
      <c r="C267" s="310" t="s">
        <v>1029</v>
      </c>
      <c r="D267" s="313">
        <v>1190.0</v>
      </c>
      <c r="E267" s="314">
        <v>50.0</v>
      </c>
      <c r="F267" s="317" t="str">
        <f>IFERROR(VLOOKUP(B267,Stock1!F:J,5,False),"")</f>
        <v/>
      </c>
      <c r="G267" s="318" t="str">
        <f t="array" ref="G267">_xlfn.XLOOKUP(B267,Stock2!F:F,Stock2!J:J,"")</f>
        <v/>
      </c>
      <c r="H267" s="310" t="s">
        <v>253</v>
      </c>
    </row>
    <row r="268">
      <c r="A268" s="310" t="s">
        <v>723</v>
      </c>
      <c r="B268" s="312" t="s">
        <v>1031</v>
      </c>
      <c r="C268" s="310" t="s">
        <v>1032</v>
      </c>
      <c r="D268" s="314">
        <v>690.0</v>
      </c>
      <c r="E268" s="314">
        <v>50.0</v>
      </c>
      <c r="F268" s="317" t="str">
        <f>IFERROR(VLOOKUP(B268,Stock1!F:J,5,False),"")</f>
        <v/>
      </c>
      <c r="G268" s="318" t="str">
        <f t="array" ref="G268">_xlfn.XLOOKUP(B268,Stock2!F:F,Stock2!J:J,"")</f>
        <v/>
      </c>
      <c r="H268" s="310" t="s">
        <v>253</v>
      </c>
    </row>
    <row r="269">
      <c r="A269" s="310" t="s">
        <v>723</v>
      </c>
      <c r="B269" s="312" t="s">
        <v>1033</v>
      </c>
      <c r="C269" s="310" t="s">
        <v>1034</v>
      </c>
      <c r="D269" s="314">
        <v>690.0</v>
      </c>
      <c r="E269" s="314">
        <v>50.0</v>
      </c>
      <c r="F269" s="317" t="str">
        <f>IFERROR(VLOOKUP(B269,Stock1!F:J,5,False),"")</f>
        <v/>
      </c>
      <c r="G269" s="318" t="str">
        <f t="array" ref="G269">_xlfn.XLOOKUP(B269,Stock2!F:F,Stock2!J:J,"")</f>
        <v/>
      </c>
      <c r="H269" s="310" t="s">
        <v>253</v>
      </c>
    </row>
    <row r="270">
      <c r="A270" s="310" t="s">
        <v>723</v>
      </c>
      <c r="B270" s="312" t="s">
        <v>1039</v>
      </c>
      <c r="C270" s="310" t="s">
        <v>1040</v>
      </c>
      <c r="D270" s="313">
        <v>1390.0</v>
      </c>
      <c r="E270" s="314">
        <v>50.0</v>
      </c>
      <c r="F270" s="317" t="str">
        <f>IFERROR(VLOOKUP(B270,Stock1!F:J,5,False),"")</f>
        <v/>
      </c>
      <c r="G270" s="318" t="str">
        <f t="array" ref="G270">_xlfn.XLOOKUP(B270,Stock2!F:F,Stock2!J:J,"")</f>
        <v/>
      </c>
      <c r="H270" s="310" t="s">
        <v>253</v>
      </c>
    </row>
    <row r="271">
      <c r="A271" s="310" t="s">
        <v>723</v>
      </c>
      <c r="B271" s="312" t="s">
        <v>1042</v>
      </c>
      <c r="C271" s="310" t="s">
        <v>1043</v>
      </c>
      <c r="D271" s="313">
        <v>1590.0</v>
      </c>
      <c r="E271" s="314">
        <v>50.0</v>
      </c>
      <c r="F271" s="317" t="str">
        <f>IFERROR(VLOOKUP(B271,Stock1!F:J,5,False),"")</f>
        <v/>
      </c>
      <c r="G271" s="318" t="str">
        <f t="array" ref="G271">_xlfn.XLOOKUP(B271,Stock2!F:F,Stock2!J:J,"")</f>
        <v/>
      </c>
      <c r="H271" s="310" t="s">
        <v>253</v>
      </c>
    </row>
    <row r="272">
      <c r="A272" s="310" t="s">
        <v>723</v>
      </c>
      <c r="B272" s="312" t="s">
        <v>1045</v>
      </c>
      <c r="C272" s="310" t="s">
        <v>1047</v>
      </c>
      <c r="D272" s="313">
        <v>1390.0</v>
      </c>
      <c r="E272" s="314">
        <v>50.0</v>
      </c>
      <c r="F272" s="317" t="str">
        <f>IFERROR(VLOOKUP(B272,Stock1!F:J,5,False),"")</f>
        <v/>
      </c>
      <c r="G272" s="318" t="str">
        <f t="array" ref="G272">_xlfn.XLOOKUP(B272,Stock2!F:F,Stock2!J:J,"")</f>
        <v/>
      </c>
      <c r="H272" s="310" t="s">
        <v>253</v>
      </c>
    </row>
    <row r="273">
      <c r="A273" s="310" t="s">
        <v>723</v>
      </c>
      <c r="B273" s="312" t="s">
        <v>1048</v>
      </c>
      <c r="C273" s="310" t="s">
        <v>1049</v>
      </c>
      <c r="D273" s="313">
        <v>1590.0</v>
      </c>
      <c r="E273" s="314">
        <v>50.0</v>
      </c>
      <c r="F273" s="317" t="str">
        <f>IFERROR(VLOOKUP(B273,Stock1!F:J,5,False),"")</f>
        <v/>
      </c>
      <c r="G273" s="318" t="str">
        <f t="array" ref="G273">_xlfn.XLOOKUP(B273,Stock2!F:F,Stock2!J:J,"")</f>
        <v/>
      </c>
      <c r="H273" s="310" t="s">
        <v>253</v>
      </c>
    </row>
    <row r="274">
      <c r="A274" s="310" t="s">
        <v>723</v>
      </c>
      <c r="B274" s="312" t="s">
        <v>1051</v>
      </c>
      <c r="C274" s="310" t="s">
        <v>1052</v>
      </c>
      <c r="D274" s="314">
        <v>299.0</v>
      </c>
      <c r="E274" s="314">
        <v>50.0</v>
      </c>
      <c r="F274" s="317" t="str">
        <f>IFERROR(VLOOKUP(B274,Stock1!F:J,5,False),"")</f>
        <v/>
      </c>
      <c r="G274" s="318" t="str">
        <f t="array" ref="G274">_xlfn.XLOOKUP(B274,Stock2!F:F,Stock2!J:J,"")</f>
        <v/>
      </c>
      <c r="H274" s="310" t="s">
        <v>253</v>
      </c>
    </row>
    <row r="275">
      <c r="A275" s="310" t="s">
        <v>723</v>
      </c>
      <c r="B275" s="312" t="s">
        <v>1055</v>
      </c>
      <c r="C275" s="310" t="s">
        <v>1056</v>
      </c>
      <c r="D275" s="314">
        <v>299.0</v>
      </c>
      <c r="E275" s="314">
        <v>50.0</v>
      </c>
      <c r="F275" s="317" t="str">
        <f>IFERROR(VLOOKUP(B275,Stock1!F:J,5,False),"")</f>
        <v/>
      </c>
      <c r="G275" s="318" t="str">
        <f t="array" ref="G275">_xlfn.XLOOKUP(B275,Stock2!F:F,Stock2!J:J,"")</f>
        <v/>
      </c>
      <c r="H275" s="310" t="s">
        <v>253</v>
      </c>
    </row>
    <row r="276">
      <c r="A276" s="310" t="s">
        <v>723</v>
      </c>
      <c r="B276" s="312" t="s">
        <v>1057</v>
      </c>
      <c r="C276" s="310" t="s">
        <v>1059</v>
      </c>
      <c r="D276" s="314">
        <v>290.0</v>
      </c>
      <c r="E276" s="314">
        <v>50.0</v>
      </c>
      <c r="F276" s="317" t="str">
        <f>IFERROR(VLOOKUP(B276,Stock1!F:J,5,False),"")</f>
        <v/>
      </c>
      <c r="G276" s="318" t="str">
        <f t="array" ref="G276">_xlfn.XLOOKUP(B276,Stock2!F:F,Stock2!J:J,"")</f>
        <v/>
      </c>
      <c r="H276" s="310" t="s">
        <v>253</v>
      </c>
    </row>
    <row r="277">
      <c r="A277" s="310" t="s">
        <v>723</v>
      </c>
      <c r="B277" s="312" t="s">
        <v>1061</v>
      </c>
      <c r="C277" s="310" t="s">
        <v>1062</v>
      </c>
      <c r="D277" s="314">
        <v>290.0</v>
      </c>
      <c r="E277" s="314">
        <v>50.0</v>
      </c>
      <c r="F277" s="317" t="str">
        <f>IFERROR(VLOOKUP(B277,Stock1!F:J,5,False),"")</f>
        <v/>
      </c>
      <c r="G277" s="318" t="str">
        <f t="array" ref="G277">_xlfn.XLOOKUP(B277,Stock2!F:F,Stock2!J:J,"")</f>
        <v/>
      </c>
      <c r="H277" s="310" t="s">
        <v>253</v>
      </c>
    </row>
    <row r="278">
      <c r="B278" s="429"/>
      <c r="F278" s="317" t="str">
        <f>IFERROR(VLOOKUP(B278,Stock1!F:J,5,False),"")</f>
        <v/>
      </c>
      <c r="G278" s="318" t="str">
        <f t="array" ref="G278">_xlfn.XLOOKUP(B278,Stock2!F:F,Stock2!J:J,"")</f>
        <v/>
      </c>
    </row>
    <row r="279">
      <c r="B279" s="429"/>
      <c r="F279" s="317" t="str">
        <f>IFERROR(VLOOKUP(B279,Stock1!F:J,5,False),"")</f>
        <v/>
      </c>
      <c r="G279" s="318" t="str">
        <f t="array" ref="G279">_xlfn.XLOOKUP(B279,Stock2!F:F,Stock2!J:J,"")</f>
        <v/>
      </c>
    </row>
    <row r="280">
      <c r="B280" s="429"/>
      <c r="F280" s="317" t="str">
        <f>IFERROR(VLOOKUP(B280,Stock1!F:J,5,False),"")</f>
        <v/>
      </c>
      <c r="G280" s="318" t="str">
        <f t="array" ref="G280">_xlfn.XLOOKUP(B280,Stock2!F:F,Stock2!J:J,"")</f>
        <v/>
      </c>
    </row>
    <row r="281">
      <c r="B281" s="429"/>
      <c r="F281" s="317" t="str">
        <f>IFERROR(VLOOKUP(B281,Stock1!F:J,5,False),"")</f>
        <v/>
      </c>
      <c r="G281" s="318" t="str">
        <f t="array" ref="G281">_xlfn.XLOOKUP(B281,Stock2!F:F,Stock2!J:J,"")</f>
        <v/>
      </c>
    </row>
    <row r="282">
      <c r="B282" s="429"/>
      <c r="F282" s="317" t="str">
        <f>IFERROR(VLOOKUP(B282,Stock1!F:J,5,False),"")</f>
        <v/>
      </c>
      <c r="G282" s="318" t="str">
        <f t="array" ref="G282">_xlfn.XLOOKUP(B282,Stock2!F:F,Stock2!J:J,"")</f>
        <v/>
      </c>
    </row>
    <row r="283">
      <c r="B283" s="429"/>
      <c r="F283" s="317" t="str">
        <f>IFERROR(VLOOKUP(B283,Stock1!F:J,5,False),"")</f>
        <v/>
      </c>
      <c r="G283" s="318" t="str">
        <f t="array" ref="G283">_xlfn.XLOOKUP(B283,Stock2!F:F,Stock2!J:J,"")</f>
        <v/>
      </c>
    </row>
    <row r="284">
      <c r="B284" s="429"/>
      <c r="F284" s="317" t="str">
        <f>IFERROR(VLOOKUP(B284,Stock1!F:J,5,False),"")</f>
        <v/>
      </c>
      <c r="G284" s="318" t="str">
        <f t="array" ref="G284">_xlfn.XLOOKUP(B284,Stock2!F:F,Stock2!J:J,"")</f>
        <v/>
      </c>
    </row>
    <row r="285">
      <c r="B285" s="429"/>
      <c r="F285" s="317" t="str">
        <f>IFERROR(VLOOKUP(B285,Stock1!F:J,5,False),"")</f>
        <v/>
      </c>
      <c r="G285" s="318" t="str">
        <f t="array" ref="G285">_xlfn.XLOOKUP(B285,Stock2!F:F,Stock2!J:J,"")</f>
        <v/>
      </c>
    </row>
    <row r="286">
      <c r="B286" s="429"/>
      <c r="F286" s="317" t="str">
        <f>IFERROR(VLOOKUP(B286,Stock1!F:J,5,False),"")</f>
        <v/>
      </c>
      <c r="G286" s="318" t="str">
        <f t="array" ref="G286">_xlfn.XLOOKUP(B286,Stock2!F:F,Stock2!J:J,"")</f>
        <v/>
      </c>
    </row>
    <row r="287">
      <c r="B287" s="429"/>
      <c r="F287" s="317" t="str">
        <f>IFERROR(VLOOKUP(B287,Stock1!F:J,5,False),"")</f>
        <v/>
      </c>
      <c r="G287" s="318" t="str">
        <f t="array" ref="G287">_xlfn.XLOOKUP(B287,Stock2!F:F,Stock2!J:J,"")</f>
        <v/>
      </c>
    </row>
    <row r="288">
      <c r="B288" s="429"/>
      <c r="F288" s="317" t="str">
        <f>IFERROR(VLOOKUP(B288,Stock1!F:J,5,False),"")</f>
        <v/>
      </c>
      <c r="G288" s="318" t="str">
        <f t="array" ref="G288">_xlfn.XLOOKUP(B288,Stock2!F:F,Stock2!J:J,"")</f>
        <v/>
      </c>
    </row>
    <row r="289">
      <c r="B289" s="429"/>
      <c r="F289" s="317" t="str">
        <f>IFERROR(VLOOKUP(B289,Stock1!F:J,5,False),"")</f>
        <v/>
      </c>
      <c r="G289" s="318" t="str">
        <f t="array" ref="G289">_xlfn.XLOOKUP(B289,Stock2!F:F,Stock2!J:J,"")</f>
        <v/>
      </c>
    </row>
    <row r="290">
      <c r="B290" s="429"/>
      <c r="F290" s="317" t="str">
        <f>IFERROR(VLOOKUP(B290,Stock1!F:J,5,False),"")</f>
        <v/>
      </c>
      <c r="G290" s="318" t="str">
        <f t="array" ref="G290">_xlfn.XLOOKUP(B290,Stock2!F:F,Stock2!J:J,"")</f>
        <v/>
      </c>
    </row>
    <row r="291">
      <c r="B291" s="429"/>
      <c r="F291" s="317" t="str">
        <f>IFERROR(VLOOKUP(B291,Stock1!F:J,5,False),"")</f>
        <v/>
      </c>
      <c r="G291" s="318" t="str">
        <f t="array" ref="G291">_xlfn.XLOOKUP(B291,Stock2!F:F,Stock2!J:J,"")</f>
        <v/>
      </c>
    </row>
    <row r="292">
      <c r="B292" s="429"/>
      <c r="F292" s="317" t="str">
        <f>IFERROR(VLOOKUP(B292,Stock1!F:J,5,False),"")</f>
        <v/>
      </c>
      <c r="G292" s="318" t="str">
        <f t="array" ref="G292">_xlfn.XLOOKUP(B292,Stock2!F:F,Stock2!J:J,"")</f>
        <v/>
      </c>
    </row>
    <row r="293">
      <c r="B293" s="429"/>
      <c r="F293" s="317" t="str">
        <f>IFERROR(VLOOKUP(B293,Stock1!F:J,5,False),"")</f>
        <v/>
      </c>
      <c r="G293" s="318" t="str">
        <f t="array" ref="G293">_xlfn.XLOOKUP(B293,Stock2!F:F,Stock2!J:J,"")</f>
        <v/>
      </c>
    </row>
    <row r="294">
      <c r="B294" s="429"/>
      <c r="F294" s="317" t="str">
        <f>IFERROR(VLOOKUP(B294,Stock1!F:J,5,False),"")</f>
        <v/>
      </c>
      <c r="G294" s="318" t="str">
        <f t="array" ref="G294">_xlfn.XLOOKUP(B294,Stock2!F:F,Stock2!J:J,"")</f>
        <v/>
      </c>
    </row>
    <row r="295">
      <c r="B295" s="429"/>
      <c r="F295" s="317" t="str">
        <f>IFERROR(VLOOKUP(B295,Stock1!F:J,5,False),"")</f>
        <v/>
      </c>
      <c r="G295" s="318" t="str">
        <f t="array" ref="G295">_xlfn.XLOOKUP(B295,Stock2!F:F,Stock2!J:J,"")</f>
        <v/>
      </c>
    </row>
    <row r="296">
      <c r="B296" s="429"/>
      <c r="F296" s="317" t="str">
        <f>IFERROR(VLOOKUP(B296,Stock1!F:J,5,False),"")</f>
        <v/>
      </c>
      <c r="G296" s="318" t="str">
        <f t="array" ref="G296">_xlfn.XLOOKUP(B296,Stock2!F:F,Stock2!J:J,"")</f>
        <v/>
      </c>
    </row>
    <row r="297">
      <c r="B297" s="429"/>
      <c r="F297" s="317" t="str">
        <f>IFERROR(VLOOKUP(B297,Stock1!F:J,5,False),"")</f>
        <v/>
      </c>
      <c r="G297" s="318" t="str">
        <f t="array" ref="G297">_xlfn.XLOOKUP(B297,Stock2!F:F,Stock2!J:J,"")</f>
        <v/>
      </c>
    </row>
    <row r="298">
      <c r="B298" s="429"/>
      <c r="F298" s="317" t="str">
        <f>IFERROR(VLOOKUP(B298,Stock1!F:J,5,False),"")</f>
        <v/>
      </c>
      <c r="G298" s="318" t="str">
        <f t="array" ref="G298">_xlfn.XLOOKUP(B298,Stock2!F:F,Stock2!J:J,"")</f>
        <v/>
      </c>
    </row>
    <row r="299">
      <c r="B299" s="429"/>
      <c r="F299" s="317" t="str">
        <f>IFERROR(VLOOKUP(B299,Stock1!F:J,5,False),"")</f>
        <v/>
      </c>
      <c r="G299" s="318" t="str">
        <f t="array" ref="G299">_xlfn.XLOOKUP(B299,Stock2!F:F,Stock2!J:J,"")</f>
        <v/>
      </c>
    </row>
    <row r="300">
      <c r="B300" s="429"/>
      <c r="F300" s="317" t="str">
        <f>IFERROR(VLOOKUP(B300,Stock1!F:J,5,False),"")</f>
        <v/>
      </c>
      <c r="G300" s="318" t="str">
        <f t="array" ref="G300">_xlfn.XLOOKUP(B300,Stock2!F:F,Stock2!J:J,"")</f>
        <v/>
      </c>
    </row>
    <row r="301">
      <c r="B301" s="429"/>
      <c r="F301" s="317" t="str">
        <f>IFERROR(VLOOKUP(B301,Stock1!F:J,5,False),"")</f>
        <v/>
      </c>
      <c r="G301" s="318" t="str">
        <f t="array" ref="G301">_xlfn.XLOOKUP(B301,Stock2!F:F,Stock2!J:J,"")</f>
        <v/>
      </c>
    </row>
    <row r="302">
      <c r="B302" s="429"/>
      <c r="F302" s="317" t="str">
        <f>IFERROR(VLOOKUP(B302,Stock1!F:J,5,False),"")</f>
        <v/>
      </c>
      <c r="G302" s="318" t="str">
        <f t="array" ref="G302">_xlfn.XLOOKUP(B302,Stock2!F:F,Stock2!J:J,"")</f>
        <v/>
      </c>
    </row>
    <row r="303">
      <c r="B303" s="429"/>
      <c r="F303" s="317" t="str">
        <f>IFERROR(VLOOKUP(B303,Stock1!F:J,5,False),"")</f>
        <v/>
      </c>
      <c r="G303" s="318" t="str">
        <f t="array" ref="G303">_xlfn.XLOOKUP(B303,Stock2!F:F,Stock2!J:J,"")</f>
        <v/>
      </c>
    </row>
    <row r="304">
      <c r="B304" s="429"/>
      <c r="F304" s="317" t="str">
        <f>IFERROR(VLOOKUP(B304,Stock1!F:J,5,False),"")</f>
        <v/>
      </c>
      <c r="G304" s="318" t="str">
        <f t="array" ref="G304">_xlfn.XLOOKUP(B304,Stock2!F:F,Stock2!J:J,"")</f>
        <v/>
      </c>
    </row>
    <row r="305">
      <c r="B305" s="429"/>
      <c r="F305" s="317" t="str">
        <f>IFERROR(VLOOKUP(B305,Stock1!F:J,5,False),"")</f>
        <v/>
      </c>
      <c r="G305" s="318" t="str">
        <f t="array" ref="G305">_xlfn.XLOOKUP(B305,Stock2!F:F,Stock2!J:J,"")</f>
        <v/>
      </c>
    </row>
    <row r="306">
      <c r="B306" s="429"/>
      <c r="F306" s="317" t="str">
        <f>IFERROR(VLOOKUP(B306,Stock1!F:J,5,False),"")</f>
        <v/>
      </c>
      <c r="G306" s="318" t="str">
        <f t="array" ref="G306">_xlfn.XLOOKUP(B306,Stock2!F:F,Stock2!J:J,"")</f>
        <v/>
      </c>
    </row>
    <row r="307">
      <c r="B307" s="429"/>
      <c r="F307" s="317" t="str">
        <f>IFERROR(VLOOKUP(B307,Stock1!F:J,5,False),"")</f>
        <v/>
      </c>
      <c r="G307" s="318" t="str">
        <f t="array" ref="G307">_xlfn.XLOOKUP(B307,Stock2!F:F,Stock2!J:J,"")</f>
        <v/>
      </c>
    </row>
    <row r="308">
      <c r="B308" s="429"/>
      <c r="F308" s="317" t="str">
        <f>IFERROR(VLOOKUP(B308,Stock1!F:J,5,False),"")</f>
        <v/>
      </c>
      <c r="G308" s="318" t="str">
        <f t="array" ref="G308">_xlfn.XLOOKUP(B308,Stock2!F:F,Stock2!J:J,"")</f>
        <v/>
      </c>
    </row>
    <row r="309">
      <c r="B309" s="429"/>
      <c r="F309" s="317" t="str">
        <f>IFERROR(VLOOKUP(B309,Stock1!F:J,5,False),"")</f>
        <v/>
      </c>
      <c r="G309" s="318" t="str">
        <f t="array" ref="G309">_xlfn.XLOOKUP(B309,Stock2!F:F,Stock2!J:J,"")</f>
        <v/>
      </c>
    </row>
    <row r="310">
      <c r="B310" s="429"/>
      <c r="F310" s="317" t="str">
        <f>IFERROR(VLOOKUP(B310,Stock1!F:J,5,False),"")</f>
        <v/>
      </c>
      <c r="G310" s="318" t="str">
        <f t="array" ref="G310">_xlfn.XLOOKUP(B310,Stock2!F:F,Stock2!J:J,"")</f>
        <v/>
      </c>
    </row>
    <row r="311">
      <c r="B311" s="429"/>
      <c r="F311" s="317" t="str">
        <f>IFERROR(VLOOKUP(B311,Stock1!F:J,5,False),"")</f>
        <v/>
      </c>
      <c r="G311" s="318" t="str">
        <f t="array" ref="G311">_xlfn.XLOOKUP(B311,Stock2!F:F,Stock2!J:J,"")</f>
        <v/>
      </c>
    </row>
    <row r="312">
      <c r="B312" s="429"/>
      <c r="F312" s="317" t="str">
        <f>IFERROR(VLOOKUP(B312,Stock1!F:J,5,False),"")</f>
        <v/>
      </c>
      <c r="G312" s="318" t="str">
        <f t="array" ref="G312">_xlfn.XLOOKUP(B312,Stock2!F:F,Stock2!J:J,"")</f>
        <v/>
      </c>
    </row>
    <row r="313">
      <c r="B313" s="429"/>
      <c r="F313" s="317" t="str">
        <f>IFERROR(VLOOKUP(B313,Stock1!F:J,5,False),"")</f>
        <v/>
      </c>
      <c r="G313" s="318" t="str">
        <f t="array" ref="G313">_xlfn.XLOOKUP(B313,Stock2!F:F,Stock2!J:J,"")</f>
        <v/>
      </c>
    </row>
    <row r="314">
      <c r="B314" s="429"/>
      <c r="F314" s="317" t="str">
        <f>IFERROR(VLOOKUP(B314,Stock1!F:J,5,False),"")</f>
        <v/>
      </c>
      <c r="G314" s="318" t="str">
        <f t="array" ref="G314">_xlfn.XLOOKUP(B314,Stock2!F:F,Stock2!J:J,"")</f>
        <v/>
      </c>
    </row>
    <row r="315">
      <c r="B315" s="429"/>
      <c r="F315" s="317" t="str">
        <f>IFERROR(VLOOKUP(B315,Stock1!F:J,5,False),"")</f>
        <v/>
      </c>
      <c r="G315" s="318" t="str">
        <f t="array" ref="G315">_xlfn.XLOOKUP(B315,Stock2!F:F,Stock2!J:J,"")</f>
        <v/>
      </c>
    </row>
    <row r="316">
      <c r="B316" s="429"/>
      <c r="F316" s="317" t="str">
        <f>IFERROR(VLOOKUP(B316,Stock1!F:J,5,False),"")</f>
        <v/>
      </c>
      <c r="G316" s="318" t="str">
        <f t="array" ref="G316">_xlfn.XLOOKUP(B316,Stock2!F:F,Stock2!J:J,"")</f>
        <v/>
      </c>
    </row>
    <row r="317">
      <c r="B317" s="429"/>
      <c r="F317" s="317" t="str">
        <f>IFERROR(VLOOKUP(B317,Stock1!F:J,5,False),"")</f>
        <v/>
      </c>
      <c r="G317" s="318" t="str">
        <f t="array" ref="G317">_xlfn.XLOOKUP(B317,Stock2!F:F,Stock2!J:J,"")</f>
        <v/>
      </c>
    </row>
    <row r="318">
      <c r="B318" s="429"/>
      <c r="F318" s="317" t="str">
        <f>IFERROR(VLOOKUP(B318,Stock1!F:J,5,False),"")</f>
        <v/>
      </c>
      <c r="G318" s="318" t="str">
        <f t="array" ref="G318">_xlfn.XLOOKUP(B318,Stock2!F:F,Stock2!J:J,"")</f>
        <v/>
      </c>
    </row>
    <row r="319">
      <c r="B319" s="429"/>
      <c r="F319" s="317" t="str">
        <f>IFERROR(VLOOKUP(B319,Stock1!F:J,5,False),"")</f>
        <v/>
      </c>
      <c r="G319" s="318" t="str">
        <f t="array" ref="G319">_xlfn.XLOOKUP(B319,Stock2!F:F,Stock2!J:J,"")</f>
        <v/>
      </c>
    </row>
    <row r="320">
      <c r="B320" s="429"/>
      <c r="F320" s="317" t="str">
        <f>IFERROR(VLOOKUP(B320,Stock1!F:J,5,False),"")</f>
        <v/>
      </c>
      <c r="G320" s="318" t="str">
        <f t="array" ref="G320">_xlfn.XLOOKUP(B320,Stock2!F:F,Stock2!J:J,"")</f>
        <v/>
      </c>
    </row>
    <row r="321">
      <c r="B321" s="429"/>
      <c r="F321" s="317" t="str">
        <f>IFERROR(VLOOKUP(B321,Stock1!F:J,5,False),"")</f>
        <v/>
      </c>
      <c r="G321" s="318" t="str">
        <f t="array" ref="G321">_xlfn.XLOOKUP(B321,Stock2!F:F,Stock2!J:J,"")</f>
        <v/>
      </c>
    </row>
    <row r="322">
      <c r="B322" s="429"/>
      <c r="F322" s="317" t="str">
        <f>IFERROR(VLOOKUP(B322,Stock1!F:J,5,False),"")</f>
        <v/>
      </c>
      <c r="G322" s="318" t="str">
        <f t="array" ref="G322">_xlfn.XLOOKUP(B322,Stock2!F:F,Stock2!J:J,"")</f>
        <v/>
      </c>
    </row>
    <row r="323">
      <c r="B323" s="429"/>
      <c r="F323" s="317" t="str">
        <f>IFERROR(VLOOKUP(B323,Stock1!F:J,5,False),"")</f>
        <v/>
      </c>
      <c r="G323" s="318" t="str">
        <f t="array" ref="G323">_xlfn.XLOOKUP(B323,Stock2!F:F,Stock2!J:J,"")</f>
        <v/>
      </c>
    </row>
    <row r="324">
      <c r="B324" s="429"/>
      <c r="F324" s="317" t="str">
        <f>IFERROR(VLOOKUP(B324,Stock1!F:J,5,False),"")</f>
        <v/>
      </c>
      <c r="G324" s="318" t="str">
        <f t="array" ref="G324">_xlfn.XLOOKUP(B324,Stock2!F:F,Stock2!J:J,"")</f>
        <v/>
      </c>
    </row>
    <row r="325">
      <c r="B325" s="429"/>
      <c r="F325" s="317" t="str">
        <f>IFERROR(VLOOKUP(B325,Stock1!F:J,5,False),"")</f>
        <v/>
      </c>
      <c r="G325" s="318" t="str">
        <f t="array" ref="G325">_xlfn.XLOOKUP(B325,Stock2!F:F,Stock2!J:J,"")</f>
        <v/>
      </c>
    </row>
    <row r="326">
      <c r="B326" s="429"/>
      <c r="F326" s="317" t="str">
        <f>IFERROR(VLOOKUP(B326,Stock1!F:J,5,False),"")</f>
        <v/>
      </c>
      <c r="G326" s="318" t="str">
        <f t="array" ref="G326">_xlfn.XLOOKUP(B326,Stock2!F:F,Stock2!J:J,"")</f>
        <v/>
      </c>
    </row>
    <row r="327">
      <c r="B327" s="429"/>
      <c r="F327" s="317" t="str">
        <f>IFERROR(VLOOKUP(B327,Stock1!F:J,5,False),"")</f>
        <v/>
      </c>
      <c r="G327" s="318" t="str">
        <f t="array" ref="G327">_xlfn.XLOOKUP(B327,Stock2!F:F,Stock2!J:J,"")</f>
        <v/>
      </c>
    </row>
    <row r="328">
      <c r="B328" s="429"/>
      <c r="F328" s="317" t="str">
        <f>IFERROR(VLOOKUP(B328,Stock1!F:J,5,False),"")</f>
        <v/>
      </c>
      <c r="G328" s="318" t="str">
        <f t="array" ref="G328">_xlfn.XLOOKUP(B328,Stock2!F:F,Stock2!J:J,"")</f>
        <v/>
      </c>
    </row>
    <row r="329">
      <c r="B329" s="429"/>
      <c r="F329" s="317" t="str">
        <f>IFERROR(VLOOKUP(B329,Stock1!F:J,5,False),"")</f>
        <v/>
      </c>
      <c r="G329" s="318" t="str">
        <f t="array" ref="G329">_xlfn.XLOOKUP(B329,Stock2!F:F,Stock2!J:J,"")</f>
        <v/>
      </c>
    </row>
    <row r="330">
      <c r="B330" s="429"/>
      <c r="F330" s="317" t="str">
        <f>IFERROR(VLOOKUP(B330,Stock1!F:J,5,False),"")</f>
        <v/>
      </c>
      <c r="G330" s="318" t="str">
        <f t="array" ref="G330">_xlfn.XLOOKUP(B330,Stock2!F:F,Stock2!J:J,"")</f>
        <v/>
      </c>
    </row>
    <row r="331">
      <c r="B331" s="429"/>
      <c r="F331" s="317" t="str">
        <f>IFERROR(VLOOKUP(B331,Stock1!F:J,5,False),"")</f>
        <v/>
      </c>
      <c r="G331" s="318" t="str">
        <f t="array" ref="G331">_xlfn.XLOOKUP(B331,Stock2!F:F,Stock2!J:J,"")</f>
        <v/>
      </c>
    </row>
    <row r="332">
      <c r="B332" s="429"/>
      <c r="F332" s="317" t="str">
        <f>IFERROR(VLOOKUP(B332,Stock1!F:J,5,False),"")</f>
        <v/>
      </c>
      <c r="G332" s="318" t="str">
        <f t="array" ref="G332">_xlfn.XLOOKUP(B332,Stock2!F:F,Stock2!J:J,"")</f>
        <v/>
      </c>
    </row>
    <row r="333">
      <c r="B333" s="429"/>
      <c r="F333" s="317" t="str">
        <f>IFERROR(VLOOKUP(B333,Stock1!F:J,5,False),"")</f>
        <v/>
      </c>
      <c r="G333" s="318" t="str">
        <f t="array" ref="G333">_xlfn.XLOOKUP(B333,Stock2!F:F,Stock2!J:J,"")</f>
        <v/>
      </c>
    </row>
    <row r="334">
      <c r="B334" s="429"/>
      <c r="F334" s="317" t="str">
        <f>IFERROR(VLOOKUP(B334,Stock1!F:J,5,False),"")</f>
        <v/>
      </c>
      <c r="G334" s="318" t="str">
        <f t="array" ref="G334">_xlfn.XLOOKUP(B334,Stock2!F:F,Stock2!J:J,"")</f>
        <v/>
      </c>
    </row>
    <row r="335">
      <c r="B335" s="429"/>
      <c r="F335" s="317" t="str">
        <f>IFERROR(VLOOKUP(B335,Stock1!F:J,5,False),"")</f>
        <v/>
      </c>
      <c r="G335" s="318" t="str">
        <f t="array" ref="G335">_xlfn.XLOOKUP(B335,Stock2!F:F,Stock2!J:J,"")</f>
        <v/>
      </c>
    </row>
    <row r="336">
      <c r="B336" s="429"/>
      <c r="F336" s="317" t="str">
        <f>IFERROR(VLOOKUP(B336,Stock1!F:J,5,False),"")</f>
        <v/>
      </c>
      <c r="G336" s="318" t="str">
        <f t="array" ref="G336">_xlfn.XLOOKUP(B336,Stock2!F:F,Stock2!J:J,"")</f>
        <v/>
      </c>
    </row>
    <row r="337">
      <c r="B337" s="429"/>
      <c r="F337" s="317" t="str">
        <f>IFERROR(VLOOKUP(B337,Stock1!F:J,5,False),"")</f>
        <v/>
      </c>
      <c r="G337" s="318" t="str">
        <f t="array" ref="G337">_xlfn.XLOOKUP(B337,Stock2!F:F,Stock2!J:J,"")</f>
        <v/>
      </c>
    </row>
    <row r="338">
      <c r="B338" s="429"/>
      <c r="F338" s="317" t="str">
        <f>IFERROR(VLOOKUP(B338,Stock1!F:J,5,False),"")</f>
        <v/>
      </c>
      <c r="G338" s="318" t="str">
        <f t="array" ref="G338">_xlfn.XLOOKUP(B338,Stock2!F:F,Stock2!J:J,"")</f>
        <v/>
      </c>
    </row>
    <row r="339">
      <c r="B339" s="429"/>
      <c r="F339" s="317" t="str">
        <f>IFERROR(VLOOKUP(B339,Stock1!F:J,5,False),"")</f>
        <v/>
      </c>
      <c r="G339" s="318" t="str">
        <f t="array" ref="G339">_xlfn.XLOOKUP(B339,Stock2!F:F,Stock2!J:J,"")</f>
        <v/>
      </c>
    </row>
    <row r="340">
      <c r="B340" s="429"/>
      <c r="F340" s="317" t="str">
        <f>IFERROR(VLOOKUP(B340,Stock1!F:J,5,False),"")</f>
        <v/>
      </c>
      <c r="G340" s="318" t="str">
        <f t="array" ref="G340">_xlfn.XLOOKUP(B340,Stock2!F:F,Stock2!J:J,"")</f>
        <v/>
      </c>
    </row>
    <row r="341">
      <c r="B341" s="429"/>
      <c r="F341" s="317" t="str">
        <f>IFERROR(VLOOKUP(B341,Stock1!F:J,5,False),"")</f>
        <v/>
      </c>
      <c r="G341" s="318" t="str">
        <f t="array" ref="G341">_xlfn.XLOOKUP(B341,Stock2!F:F,Stock2!J:J,"")</f>
        <v/>
      </c>
    </row>
    <row r="342">
      <c r="B342" s="429"/>
      <c r="F342" s="317" t="str">
        <f>IFERROR(VLOOKUP(B342,Stock1!F:J,5,False),"")</f>
        <v/>
      </c>
      <c r="G342" s="318" t="str">
        <f t="array" ref="G342">_xlfn.XLOOKUP(B342,Stock2!F:F,Stock2!J:J,"")</f>
        <v/>
      </c>
    </row>
    <row r="343">
      <c r="B343" s="429"/>
      <c r="F343" s="317" t="str">
        <f>IFERROR(VLOOKUP(B343,Stock1!F:J,5,False),"")</f>
        <v/>
      </c>
      <c r="G343" s="318" t="str">
        <f t="array" ref="G343">_xlfn.XLOOKUP(B343,Stock2!F:F,Stock2!J:J,"")</f>
        <v/>
      </c>
    </row>
    <row r="344">
      <c r="B344" s="429"/>
      <c r="F344" s="317" t="str">
        <f>IFERROR(VLOOKUP(B344,Stock1!F:J,5,False),"")</f>
        <v/>
      </c>
      <c r="G344" s="318" t="str">
        <f t="array" ref="G344">_xlfn.XLOOKUP(B344,Stock2!F:F,Stock2!J:J,"")</f>
        <v/>
      </c>
    </row>
    <row r="345">
      <c r="B345" s="429"/>
      <c r="F345" s="317" t="str">
        <f>IFERROR(VLOOKUP(B345,Stock1!F:J,5,False),"")</f>
        <v/>
      </c>
      <c r="G345" s="318" t="str">
        <f t="array" ref="G345">_xlfn.XLOOKUP(B345,Stock2!F:F,Stock2!J:J,"")</f>
        <v/>
      </c>
    </row>
    <row r="346">
      <c r="B346" s="429"/>
      <c r="F346" s="317" t="str">
        <f>IFERROR(VLOOKUP(B346,Stock1!F:J,5,False),"")</f>
        <v/>
      </c>
      <c r="G346" s="318" t="str">
        <f t="array" ref="G346">_xlfn.XLOOKUP(B346,Stock2!F:F,Stock2!J:J,"")</f>
        <v/>
      </c>
    </row>
    <row r="347">
      <c r="B347" s="429"/>
      <c r="F347" s="317" t="str">
        <f>IFERROR(VLOOKUP(B347,Stock1!F:J,5,False),"")</f>
        <v/>
      </c>
      <c r="G347" s="318" t="str">
        <f t="array" ref="G347">_xlfn.XLOOKUP(B347,Stock2!F:F,Stock2!J:J,"")</f>
        <v/>
      </c>
    </row>
    <row r="348">
      <c r="B348" s="429"/>
      <c r="F348" s="317" t="str">
        <f>IFERROR(VLOOKUP(B348,Stock1!F:J,5,False),"")</f>
        <v/>
      </c>
      <c r="G348" s="318" t="str">
        <f t="array" ref="G348">_xlfn.XLOOKUP(B348,Stock2!F:F,Stock2!J:J,"")</f>
        <v/>
      </c>
    </row>
    <row r="349">
      <c r="B349" s="429"/>
      <c r="F349" s="317" t="str">
        <f>IFERROR(VLOOKUP(B349,Stock1!F:J,5,False),"")</f>
        <v/>
      </c>
      <c r="G349" s="318" t="str">
        <f t="array" ref="G349">_xlfn.XLOOKUP(B349,Stock2!F:F,Stock2!J:J,"")</f>
        <v/>
      </c>
    </row>
    <row r="350">
      <c r="B350" s="429"/>
      <c r="F350" s="317" t="str">
        <f>IFERROR(VLOOKUP(B350,Stock1!F:J,5,False),"")</f>
        <v/>
      </c>
      <c r="G350" s="318" t="str">
        <f t="array" ref="G350">_xlfn.XLOOKUP(B350,Stock2!F:F,Stock2!J:J,"")</f>
        <v/>
      </c>
    </row>
    <row r="351">
      <c r="B351" s="429"/>
      <c r="F351" s="317" t="str">
        <f>IFERROR(VLOOKUP(B351,Stock1!F:J,5,False),"")</f>
        <v/>
      </c>
      <c r="G351" s="318" t="str">
        <f t="array" ref="G351">_xlfn.XLOOKUP(B351,Stock2!F:F,Stock2!J:J,"")</f>
        <v/>
      </c>
    </row>
    <row r="352">
      <c r="B352" s="429"/>
      <c r="F352" s="317" t="str">
        <f>IFERROR(VLOOKUP(B352,Stock1!F:J,5,False),"")</f>
        <v/>
      </c>
      <c r="G352" s="318" t="str">
        <f t="array" ref="G352">_xlfn.XLOOKUP(B352,Stock2!F:F,Stock2!J:J,"")</f>
        <v/>
      </c>
    </row>
    <row r="353">
      <c r="B353" s="429"/>
      <c r="F353" s="317" t="str">
        <f>IFERROR(VLOOKUP(B353,Stock1!F:J,5,False),"")</f>
        <v/>
      </c>
      <c r="G353" s="318" t="str">
        <f t="array" ref="G353">_xlfn.XLOOKUP(B353,Stock2!F:F,Stock2!J:J,"")</f>
        <v/>
      </c>
    </row>
    <row r="354">
      <c r="B354" s="429"/>
      <c r="F354" s="317" t="str">
        <f>IFERROR(VLOOKUP(B354,Stock1!F:J,5,False),"")</f>
        <v/>
      </c>
      <c r="G354" s="318" t="str">
        <f t="array" ref="G354">_xlfn.XLOOKUP(B354,Stock2!F:F,Stock2!J:J,"")</f>
        <v/>
      </c>
    </row>
    <row r="355">
      <c r="B355" s="429"/>
      <c r="F355" s="317" t="str">
        <f>IFERROR(VLOOKUP(B355,Stock1!F:J,5,False),"")</f>
        <v/>
      </c>
      <c r="G355" s="318" t="str">
        <f t="array" ref="G355">_xlfn.XLOOKUP(B355,Stock2!F:F,Stock2!J:J,"")</f>
        <v/>
      </c>
    </row>
    <row r="356">
      <c r="B356" s="429"/>
      <c r="F356" s="317" t="str">
        <f>IFERROR(VLOOKUP(B356,Stock1!F:J,5,False),"")</f>
        <v/>
      </c>
      <c r="G356" s="318" t="str">
        <f t="array" ref="G356">_xlfn.XLOOKUP(B356,Stock2!F:F,Stock2!J:J,"")</f>
        <v/>
      </c>
    </row>
    <row r="357">
      <c r="B357" s="429"/>
      <c r="F357" s="317" t="str">
        <f>IFERROR(VLOOKUP(B357,Stock1!F:J,5,False),"")</f>
        <v/>
      </c>
      <c r="G357" s="318" t="str">
        <f t="array" ref="G357">_xlfn.XLOOKUP(B357,Stock2!F:F,Stock2!J:J,"")</f>
        <v/>
      </c>
    </row>
    <row r="358">
      <c r="B358" s="429"/>
      <c r="F358" s="317" t="str">
        <f>IFERROR(VLOOKUP(B358,Stock1!F:J,5,False),"")</f>
        <v/>
      </c>
      <c r="G358" s="318" t="str">
        <f t="array" ref="G358">_xlfn.XLOOKUP(B358,Stock2!F:F,Stock2!J:J,"")</f>
        <v/>
      </c>
    </row>
    <row r="359">
      <c r="B359" s="429"/>
      <c r="F359" s="317" t="str">
        <f>IFERROR(VLOOKUP(B359,Stock1!F:J,5,False),"")</f>
        <v/>
      </c>
      <c r="G359" s="318" t="str">
        <f t="array" ref="G359">_xlfn.XLOOKUP(B359,Stock2!F:F,Stock2!J:J,"")</f>
        <v/>
      </c>
    </row>
    <row r="360">
      <c r="B360" s="429"/>
      <c r="F360" s="317" t="str">
        <f>IFERROR(VLOOKUP(B360,Stock1!F:J,5,False),"")</f>
        <v/>
      </c>
      <c r="G360" s="318" t="str">
        <f t="array" ref="G360">_xlfn.XLOOKUP(B360,Stock2!F:F,Stock2!J:J,"")</f>
        <v/>
      </c>
    </row>
    <row r="361">
      <c r="B361" s="429"/>
      <c r="F361" s="317" t="str">
        <f>IFERROR(VLOOKUP(B361,Stock1!F:J,5,False),"")</f>
        <v/>
      </c>
      <c r="G361" s="318" t="str">
        <f t="array" ref="G361">_xlfn.XLOOKUP(B361,Stock2!F:F,Stock2!J:J,"")</f>
        <v/>
      </c>
    </row>
    <row r="362">
      <c r="B362" s="429"/>
      <c r="F362" s="317" t="str">
        <f>IFERROR(VLOOKUP(B362,Stock1!F:J,5,False),"")</f>
        <v/>
      </c>
      <c r="G362" s="318" t="str">
        <f t="array" ref="G362">_xlfn.XLOOKUP(B362,Stock2!F:F,Stock2!J:J,"")</f>
        <v/>
      </c>
    </row>
    <row r="363">
      <c r="B363" s="429"/>
      <c r="F363" s="317" t="str">
        <f>IFERROR(VLOOKUP(B363,Stock1!F:J,5,False),"")</f>
        <v/>
      </c>
      <c r="G363" s="318" t="str">
        <f t="array" ref="G363">_xlfn.XLOOKUP(B363,Stock2!F:F,Stock2!J:J,"")</f>
        <v/>
      </c>
    </row>
    <row r="364">
      <c r="B364" s="429"/>
      <c r="F364" s="317" t="str">
        <f>IFERROR(VLOOKUP(B364,Stock1!F:J,5,False),"")</f>
        <v/>
      </c>
      <c r="G364" s="318" t="str">
        <f t="array" ref="G364">_xlfn.XLOOKUP(B364,Stock2!F:F,Stock2!J:J,"")</f>
        <v/>
      </c>
    </row>
    <row r="365">
      <c r="B365" s="429"/>
      <c r="F365" s="317" t="str">
        <f>IFERROR(VLOOKUP(B365,Stock1!F:J,5,False),"")</f>
        <v/>
      </c>
      <c r="G365" s="318" t="str">
        <f t="array" ref="G365">_xlfn.XLOOKUP(B365,Stock2!F:F,Stock2!J:J,"")</f>
        <v/>
      </c>
    </row>
    <row r="366">
      <c r="B366" s="429"/>
      <c r="F366" s="317" t="str">
        <f>IFERROR(VLOOKUP(B366,Stock1!F:J,5,False),"")</f>
        <v/>
      </c>
      <c r="G366" s="318" t="str">
        <f t="array" ref="G366">_xlfn.XLOOKUP(B366,Stock2!F:F,Stock2!J:J,"")</f>
        <v/>
      </c>
    </row>
    <row r="367">
      <c r="B367" s="429"/>
      <c r="F367" s="317" t="str">
        <f>IFERROR(VLOOKUP(B367,Stock1!F:J,5,False),"")</f>
        <v/>
      </c>
      <c r="G367" s="318" t="str">
        <f t="array" ref="G367">_xlfn.XLOOKUP(B367,Stock2!F:F,Stock2!J:J,"")</f>
        <v/>
      </c>
    </row>
    <row r="368">
      <c r="B368" s="429"/>
      <c r="F368" s="317" t="str">
        <f>IFERROR(VLOOKUP(B368,Stock1!F:J,5,False),"")</f>
        <v/>
      </c>
      <c r="G368" s="318" t="str">
        <f t="array" ref="G368">_xlfn.XLOOKUP(B368,Stock2!F:F,Stock2!J:J,"")</f>
        <v/>
      </c>
    </row>
    <row r="369">
      <c r="B369" s="429"/>
      <c r="F369" s="317" t="str">
        <f>IFERROR(VLOOKUP(B369,Stock1!F:J,5,False),"")</f>
        <v/>
      </c>
      <c r="G369" s="318" t="str">
        <f t="array" ref="G369">_xlfn.XLOOKUP(B369,Stock2!F:F,Stock2!J:J,"")</f>
        <v/>
      </c>
    </row>
    <row r="370">
      <c r="B370" s="429"/>
      <c r="F370" s="317" t="str">
        <f>IFERROR(VLOOKUP(B370,Stock1!F:J,5,False),"")</f>
        <v/>
      </c>
      <c r="G370" s="318" t="str">
        <f t="array" ref="G370">_xlfn.XLOOKUP(B370,Stock2!F:F,Stock2!J:J,"")</f>
        <v/>
      </c>
    </row>
    <row r="371">
      <c r="B371" s="429"/>
      <c r="F371" s="317" t="str">
        <f>IFERROR(VLOOKUP(B371,Stock1!F:J,5,False),"")</f>
        <v/>
      </c>
      <c r="G371" s="318" t="str">
        <f t="array" ref="G371">_xlfn.XLOOKUP(B371,Stock2!F:F,Stock2!J:J,"")</f>
        <v/>
      </c>
    </row>
    <row r="372">
      <c r="B372" s="429"/>
      <c r="F372" s="317" t="str">
        <f>IFERROR(VLOOKUP(B372,Stock1!F:J,5,False),"")</f>
        <v/>
      </c>
      <c r="G372" s="318" t="str">
        <f t="array" ref="G372">_xlfn.XLOOKUP(B372,Stock2!F:F,Stock2!J:J,"")</f>
        <v/>
      </c>
    </row>
    <row r="373">
      <c r="B373" s="429"/>
      <c r="F373" s="317" t="str">
        <f>IFERROR(VLOOKUP(B373,Stock1!F:J,5,False),"")</f>
        <v/>
      </c>
      <c r="G373" s="318" t="str">
        <f t="array" ref="G373">_xlfn.XLOOKUP(B373,Stock2!F:F,Stock2!J:J,"")</f>
        <v/>
      </c>
    </row>
    <row r="374">
      <c r="B374" s="429"/>
      <c r="F374" s="317" t="str">
        <f>IFERROR(VLOOKUP(B374,Stock1!F:J,5,False),"")</f>
        <v/>
      </c>
      <c r="G374" s="318" t="str">
        <f t="array" ref="G374">_xlfn.XLOOKUP(B374,Stock2!F:F,Stock2!J:J,"")</f>
        <v/>
      </c>
    </row>
    <row r="375">
      <c r="B375" s="429"/>
      <c r="F375" s="317" t="str">
        <f>IFERROR(VLOOKUP(B375,Stock1!F:J,5,False),"")</f>
        <v/>
      </c>
      <c r="G375" s="318" t="str">
        <f t="array" ref="G375">_xlfn.XLOOKUP(B375,Stock2!F:F,Stock2!J:J,"")</f>
        <v/>
      </c>
    </row>
    <row r="376">
      <c r="B376" s="429"/>
      <c r="F376" s="317" t="str">
        <f>IFERROR(VLOOKUP(B376,Stock1!F:J,5,False),"")</f>
        <v/>
      </c>
      <c r="G376" s="318" t="str">
        <f t="array" ref="G376">_xlfn.XLOOKUP(B376,Stock2!F:F,Stock2!J:J,"")</f>
        <v/>
      </c>
    </row>
    <row r="377">
      <c r="B377" s="429"/>
      <c r="F377" s="317" t="str">
        <f>IFERROR(VLOOKUP(B377,Stock1!F:J,5,False),"")</f>
        <v/>
      </c>
      <c r="G377" s="318" t="str">
        <f t="array" ref="G377">_xlfn.XLOOKUP(B377,Stock2!F:F,Stock2!J:J,"")</f>
        <v/>
      </c>
    </row>
    <row r="378">
      <c r="B378" s="429"/>
      <c r="F378" s="317" t="str">
        <f>IFERROR(VLOOKUP(B378,Stock1!F:J,5,False),"")</f>
        <v/>
      </c>
      <c r="G378" s="318" t="str">
        <f t="array" ref="G378">_xlfn.XLOOKUP(B378,Stock2!F:F,Stock2!J:J,"")</f>
        <v/>
      </c>
    </row>
    <row r="379">
      <c r="B379" s="429"/>
      <c r="F379" s="317" t="str">
        <f>IFERROR(VLOOKUP(B379,Stock1!F:J,5,False),"")</f>
        <v/>
      </c>
      <c r="G379" s="318" t="str">
        <f t="array" ref="G379">_xlfn.XLOOKUP(B379,Stock2!F:F,Stock2!J:J,"")</f>
        <v/>
      </c>
    </row>
    <row r="380">
      <c r="B380" s="429"/>
      <c r="F380" s="317" t="str">
        <f>IFERROR(VLOOKUP(B380,Stock1!F:J,5,False),"")</f>
        <v/>
      </c>
      <c r="G380" s="318" t="str">
        <f t="array" ref="G380">_xlfn.XLOOKUP(B380,Stock2!F:F,Stock2!J:J,"")</f>
        <v/>
      </c>
    </row>
    <row r="381">
      <c r="B381" s="429"/>
      <c r="F381" s="317" t="str">
        <f>IFERROR(VLOOKUP(B381,Stock1!F:J,5,False),"")</f>
        <v/>
      </c>
      <c r="G381" s="318" t="str">
        <f t="array" ref="G381">_xlfn.XLOOKUP(B381,Stock2!F:F,Stock2!J:J,"")</f>
        <v/>
      </c>
    </row>
    <row r="382">
      <c r="B382" s="429"/>
      <c r="F382" s="317" t="str">
        <f>IFERROR(VLOOKUP(B382,Stock1!F:J,5,False),"")</f>
        <v/>
      </c>
      <c r="G382" s="318" t="str">
        <f t="array" ref="G382">_xlfn.XLOOKUP(B382,Stock2!F:F,Stock2!J:J,"")</f>
        <v/>
      </c>
    </row>
    <row r="383">
      <c r="B383" s="429"/>
      <c r="F383" s="317" t="str">
        <f>IFERROR(VLOOKUP(B383,Stock1!F:J,5,False),"")</f>
        <v/>
      </c>
      <c r="G383" s="318" t="str">
        <f t="array" ref="G383">_xlfn.XLOOKUP(B383,Stock2!F:F,Stock2!J:J,"")</f>
        <v/>
      </c>
    </row>
    <row r="384">
      <c r="B384" s="429"/>
      <c r="F384" s="317" t="str">
        <f>IFERROR(VLOOKUP(B384,Stock1!F:J,5,False),"")</f>
        <v/>
      </c>
      <c r="G384" s="318" t="str">
        <f t="array" ref="G384">_xlfn.XLOOKUP(B384,Stock2!F:F,Stock2!J:J,"")</f>
        <v/>
      </c>
    </row>
    <row r="385">
      <c r="B385" s="429"/>
      <c r="F385" s="317" t="str">
        <f>IFERROR(VLOOKUP(B385,Stock1!F:J,5,False),"")</f>
        <v/>
      </c>
      <c r="G385" s="318" t="str">
        <f t="array" ref="G385">_xlfn.XLOOKUP(B385,Stock2!F:F,Stock2!J:J,"")</f>
        <v/>
      </c>
    </row>
    <row r="386">
      <c r="B386" s="429"/>
      <c r="F386" s="317" t="str">
        <f>IFERROR(VLOOKUP(B386,Stock1!F:J,5,False),"")</f>
        <v/>
      </c>
      <c r="G386" s="318" t="str">
        <f t="array" ref="G386">_xlfn.XLOOKUP(B386,Stock2!F:F,Stock2!J:J,"")</f>
        <v/>
      </c>
    </row>
    <row r="387">
      <c r="B387" s="429"/>
      <c r="F387" s="317" t="str">
        <f>IFERROR(VLOOKUP(B387,Stock1!F:J,5,False),"")</f>
        <v/>
      </c>
      <c r="G387" s="318" t="str">
        <f t="array" ref="G387">_xlfn.XLOOKUP(B387,Stock2!F:F,Stock2!J:J,"")</f>
        <v/>
      </c>
    </row>
    <row r="388">
      <c r="B388" s="429"/>
      <c r="F388" s="317" t="str">
        <f>IFERROR(VLOOKUP(B388,Stock1!F:J,5,False),"")</f>
        <v/>
      </c>
      <c r="G388" s="318" t="str">
        <f t="array" ref="G388">_xlfn.XLOOKUP(B388,Stock2!F:F,Stock2!J:J,"")</f>
        <v/>
      </c>
    </row>
    <row r="389">
      <c r="B389" s="429"/>
      <c r="F389" s="317" t="str">
        <f>IFERROR(VLOOKUP(B389,Stock1!F:J,5,False),"")</f>
        <v/>
      </c>
      <c r="G389" s="318" t="str">
        <f t="array" ref="G389">_xlfn.XLOOKUP(B389,Stock2!F:F,Stock2!J:J,"")</f>
        <v/>
      </c>
    </row>
    <row r="390">
      <c r="B390" s="429"/>
      <c r="F390" s="317" t="str">
        <f>IFERROR(VLOOKUP(B390,Stock1!F:J,5,False),"")</f>
        <v/>
      </c>
      <c r="G390" s="318" t="str">
        <f t="array" ref="G390">_xlfn.XLOOKUP(B390,Stock2!F:F,Stock2!J:J,"")</f>
        <v/>
      </c>
    </row>
    <row r="391">
      <c r="B391" s="429"/>
      <c r="F391" s="317" t="str">
        <f>IFERROR(VLOOKUP(B391,Stock1!F:J,5,False),"")</f>
        <v/>
      </c>
      <c r="G391" s="318" t="str">
        <f t="array" ref="G391">_xlfn.XLOOKUP(B391,Stock2!F:F,Stock2!J:J,"")</f>
        <v/>
      </c>
    </row>
    <row r="392">
      <c r="B392" s="429"/>
      <c r="F392" s="317" t="str">
        <f>IFERROR(VLOOKUP(B392,Stock1!F:J,5,False),"")</f>
        <v/>
      </c>
      <c r="G392" s="318" t="str">
        <f t="array" ref="G392">_xlfn.XLOOKUP(B392,Stock2!F:F,Stock2!J:J,"")</f>
        <v/>
      </c>
    </row>
    <row r="393">
      <c r="B393" s="429"/>
      <c r="F393" s="317" t="str">
        <f>IFERROR(VLOOKUP(B393,Stock1!F:J,5,False),"")</f>
        <v/>
      </c>
      <c r="G393" s="318" t="str">
        <f t="array" ref="G393">_xlfn.XLOOKUP(B393,Stock2!F:F,Stock2!J:J,"")</f>
        <v/>
      </c>
    </row>
    <row r="394">
      <c r="B394" s="429"/>
      <c r="F394" s="317" t="str">
        <f>IFERROR(VLOOKUP(B394,Stock1!F:J,5,False),"")</f>
        <v/>
      </c>
      <c r="G394" s="318" t="str">
        <f t="array" ref="G394">_xlfn.XLOOKUP(B394,Stock2!F:F,Stock2!J:J,"")</f>
        <v/>
      </c>
    </row>
    <row r="395">
      <c r="B395" s="429"/>
      <c r="F395" s="317" t="str">
        <f>IFERROR(VLOOKUP(B395,Stock1!F:J,5,False),"")</f>
        <v/>
      </c>
      <c r="G395" s="318" t="str">
        <f t="array" ref="G395">_xlfn.XLOOKUP(B395,Stock2!F:F,Stock2!J:J,"")</f>
        <v/>
      </c>
    </row>
    <row r="396">
      <c r="B396" s="429"/>
      <c r="F396" s="317" t="str">
        <f>IFERROR(VLOOKUP(B396,Stock1!F:J,5,False),"")</f>
        <v/>
      </c>
      <c r="G396" s="318" t="str">
        <f t="array" ref="G396">_xlfn.XLOOKUP(B396,Stock2!F:F,Stock2!J:J,"")</f>
        <v/>
      </c>
    </row>
    <row r="397">
      <c r="B397" s="429"/>
      <c r="F397" s="317" t="str">
        <f>IFERROR(VLOOKUP(B397,Stock1!F:J,5,False),"")</f>
        <v/>
      </c>
      <c r="G397" s="318" t="str">
        <f t="array" ref="G397">_xlfn.XLOOKUP(B397,Stock2!F:F,Stock2!J:J,"")</f>
        <v/>
      </c>
    </row>
    <row r="398">
      <c r="B398" s="429"/>
      <c r="F398" s="317" t="str">
        <f>IFERROR(VLOOKUP(B398,Stock1!F:J,5,False),"")</f>
        <v/>
      </c>
      <c r="G398" s="318" t="str">
        <f t="array" ref="G398">_xlfn.XLOOKUP(B398,Stock2!F:F,Stock2!J:J,"")</f>
        <v/>
      </c>
    </row>
    <row r="399">
      <c r="B399" s="429"/>
      <c r="F399" s="317" t="str">
        <f>IFERROR(VLOOKUP(B399,Stock1!F:J,5,False),"")</f>
        <v/>
      </c>
      <c r="G399" s="318" t="str">
        <f t="array" ref="G399">_xlfn.XLOOKUP(B399,Stock2!F:F,Stock2!J:J,"")</f>
        <v/>
      </c>
    </row>
    <row r="400">
      <c r="B400" s="429"/>
      <c r="F400" s="317" t="str">
        <f>IFERROR(VLOOKUP(B400,Stock1!F:J,5,False),"")</f>
        <v/>
      </c>
      <c r="G400" s="318" t="str">
        <f t="array" ref="G400">_xlfn.XLOOKUP(B400,Stock2!F:F,Stock2!J:J,"")</f>
        <v/>
      </c>
    </row>
    <row r="401">
      <c r="B401" s="429"/>
      <c r="F401" s="317" t="str">
        <f>IFERROR(VLOOKUP(B401,Stock1!F:J,5,False),"")</f>
        <v/>
      </c>
      <c r="G401" s="318" t="str">
        <f t="array" ref="G401">_xlfn.XLOOKUP(B401,Stock2!F:F,Stock2!J:J,"")</f>
        <v/>
      </c>
    </row>
    <row r="402">
      <c r="B402" s="429"/>
      <c r="F402" s="317" t="str">
        <f>IFERROR(VLOOKUP(B402,Stock1!F:J,5,False),"")</f>
        <v/>
      </c>
      <c r="G402" s="318" t="str">
        <f t="array" ref="G402">_xlfn.XLOOKUP(B402,Stock2!F:F,Stock2!J:J,"")</f>
        <v/>
      </c>
    </row>
    <row r="403">
      <c r="B403" s="429"/>
      <c r="F403" s="317" t="str">
        <f>IFERROR(VLOOKUP(B403,Stock1!F:J,5,False),"")</f>
        <v/>
      </c>
      <c r="G403" s="318" t="str">
        <f t="array" ref="G403">_xlfn.XLOOKUP(B403,Stock2!F:F,Stock2!J:J,"")</f>
        <v/>
      </c>
    </row>
    <row r="404">
      <c r="B404" s="429"/>
      <c r="F404" s="317" t="str">
        <f>IFERROR(VLOOKUP(B404,Stock1!F:J,5,False),"")</f>
        <v/>
      </c>
      <c r="G404" s="318" t="str">
        <f t="array" ref="G404">_xlfn.XLOOKUP(B404,Stock2!F:F,Stock2!J:J,"")</f>
        <v/>
      </c>
    </row>
    <row r="405">
      <c r="B405" s="429"/>
      <c r="F405" s="317" t="str">
        <f>IFERROR(VLOOKUP(B405,Stock1!F:J,5,False),"")</f>
        <v/>
      </c>
      <c r="G405" s="318" t="str">
        <f t="array" ref="G405">_xlfn.XLOOKUP(B405,Stock2!F:F,Stock2!J:J,"")</f>
        <v/>
      </c>
    </row>
    <row r="406">
      <c r="B406" s="429"/>
      <c r="F406" s="317" t="str">
        <f>IFERROR(VLOOKUP(B406,Stock1!F:J,5,False),"")</f>
        <v/>
      </c>
      <c r="G406" s="318" t="str">
        <f t="array" ref="G406">_xlfn.XLOOKUP(B406,Stock2!F:F,Stock2!J:J,"")</f>
        <v/>
      </c>
    </row>
    <row r="407">
      <c r="B407" s="429"/>
      <c r="F407" s="317" t="str">
        <f>IFERROR(VLOOKUP(B407,Stock1!F:J,5,False),"")</f>
        <v/>
      </c>
      <c r="G407" s="318" t="str">
        <f t="array" ref="G407">_xlfn.XLOOKUP(B407,Stock2!F:F,Stock2!J:J,"")</f>
        <v/>
      </c>
    </row>
    <row r="408">
      <c r="B408" s="429"/>
      <c r="F408" s="317" t="str">
        <f>IFERROR(VLOOKUP(B408,Stock1!F:J,5,False),"")</f>
        <v/>
      </c>
      <c r="G408" s="318" t="str">
        <f t="array" ref="G408">_xlfn.XLOOKUP(B408,Stock2!F:F,Stock2!J:J,"")</f>
        <v/>
      </c>
    </row>
    <row r="409">
      <c r="B409" s="429"/>
      <c r="F409" s="317" t="str">
        <f>IFERROR(VLOOKUP(B409,Stock1!F:J,5,False),"")</f>
        <v/>
      </c>
      <c r="G409" s="318" t="str">
        <f t="array" ref="G409">_xlfn.XLOOKUP(B409,Stock2!F:F,Stock2!J:J,"")</f>
        <v/>
      </c>
    </row>
    <row r="410">
      <c r="B410" s="429"/>
      <c r="F410" s="317" t="str">
        <f>IFERROR(VLOOKUP(B410,Stock1!F:J,5,False),"")</f>
        <v/>
      </c>
      <c r="G410" s="318" t="str">
        <f t="array" ref="G410">_xlfn.XLOOKUP(B410,Stock2!F:F,Stock2!J:J,"")</f>
        <v/>
      </c>
    </row>
    <row r="411">
      <c r="B411" s="429"/>
      <c r="F411" s="317" t="str">
        <f>IFERROR(VLOOKUP(B411,Stock1!F:J,5,False),"")</f>
        <v/>
      </c>
      <c r="G411" s="318" t="str">
        <f t="array" ref="G411">_xlfn.XLOOKUP(B411,Stock2!F:F,Stock2!J:J,"")</f>
        <v/>
      </c>
    </row>
    <row r="412">
      <c r="B412" s="429"/>
      <c r="F412" s="317" t="str">
        <f>IFERROR(VLOOKUP(B412,Stock1!F:J,5,False),"")</f>
        <v/>
      </c>
      <c r="G412" s="318" t="str">
        <f t="array" ref="G412">_xlfn.XLOOKUP(B412,Stock2!F:F,Stock2!J:J,"")</f>
        <v/>
      </c>
    </row>
    <row r="413">
      <c r="B413" s="429"/>
      <c r="F413" s="317" t="str">
        <f>IFERROR(VLOOKUP(B413,Stock1!F:J,5,False),"")</f>
        <v/>
      </c>
      <c r="G413" s="318" t="str">
        <f t="array" ref="G413">_xlfn.XLOOKUP(B413,Stock2!F:F,Stock2!J:J,"")</f>
        <v/>
      </c>
    </row>
    <row r="414">
      <c r="B414" s="429"/>
      <c r="F414" s="317" t="str">
        <f>IFERROR(VLOOKUP(B414,Stock1!F:J,5,False),"")</f>
        <v/>
      </c>
      <c r="G414" s="318" t="str">
        <f t="array" ref="G414">_xlfn.XLOOKUP(B414,Stock2!F:F,Stock2!J:J,"")</f>
        <v/>
      </c>
    </row>
    <row r="415">
      <c r="B415" s="429"/>
      <c r="F415" s="317" t="str">
        <f>IFERROR(VLOOKUP(B415,Stock1!F:J,5,False),"")</f>
        <v/>
      </c>
      <c r="G415" s="318" t="str">
        <f t="array" ref="G415">_xlfn.XLOOKUP(B415,Stock2!F:F,Stock2!J:J,"")</f>
        <v/>
      </c>
    </row>
    <row r="416">
      <c r="B416" s="429"/>
      <c r="F416" s="317" t="str">
        <f>IFERROR(VLOOKUP(B416,Stock1!F:J,5,False),"")</f>
        <v/>
      </c>
      <c r="G416" s="318" t="str">
        <f t="array" ref="G416">_xlfn.XLOOKUP(B416,Stock2!F:F,Stock2!J:J,"")</f>
        <v/>
      </c>
    </row>
    <row r="417">
      <c r="B417" s="429"/>
      <c r="F417" s="317" t="str">
        <f>IFERROR(VLOOKUP(B417,Stock1!F:J,5,False),"")</f>
        <v/>
      </c>
      <c r="G417" s="318" t="str">
        <f t="array" ref="G417">_xlfn.XLOOKUP(B417,Stock2!F:F,Stock2!J:J,"")</f>
        <v/>
      </c>
    </row>
    <row r="418">
      <c r="B418" s="429"/>
      <c r="F418" s="317" t="str">
        <f>IFERROR(VLOOKUP(B418,Stock1!F:J,5,False),"")</f>
        <v/>
      </c>
      <c r="G418" s="318" t="str">
        <f t="array" ref="G418">_xlfn.XLOOKUP(B418,Stock2!F:F,Stock2!J:J,"")</f>
        <v/>
      </c>
    </row>
    <row r="419">
      <c r="B419" s="429"/>
      <c r="F419" s="317" t="str">
        <f>IFERROR(VLOOKUP(B419,Stock1!F:J,5,False),"")</f>
        <v/>
      </c>
      <c r="G419" s="318" t="str">
        <f t="array" ref="G419">_xlfn.XLOOKUP(B419,Stock2!F:F,Stock2!J:J,"")</f>
        <v/>
      </c>
    </row>
    <row r="420">
      <c r="B420" s="429"/>
      <c r="F420" s="317" t="str">
        <f>IFERROR(VLOOKUP(B420,Stock1!F:J,5,False),"")</f>
        <v/>
      </c>
      <c r="G420" s="318" t="str">
        <f t="array" ref="G420">_xlfn.XLOOKUP(B420,Stock2!F:F,Stock2!J:J,"")</f>
        <v/>
      </c>
    </row>
    <row r="421">
      <c r="B421" s="429"/>
      <c r="F421" s="317" t="str">
        <f>IFERROR(VLOOKUP(B421,Stock1!F:J,5,False),"")</f>
        <v/>
      </c>
      <c r="G421" s="318" t="str">
        <f t="array" ref="G421">_xlfn.XLOOKUP(B421,Stock2!F:F,Stock2!J:J,"")</f>
        <v/>
      </c>
    </row>
    <row r="422">
      <c r="B422" s="429"/>
      <c r="F422" s="317" t="str">
        <f>IFERROR(VLOOKUP(B422,Stock1!F:J,5,False),"")</f>
        <v/>
      </c>
      <c r="G422" s="318" t="str">
        <f t="array" ref="G422">_xlfn.XLOOKUP(B422,Stock2!F:F,Stock2!J:J,"")</f>
        <v/>
      </c>
    </row>
    <row r="423">
      <c r="B423" s="429"/>
      <c r="F423" s="317" t="str">
        <f>IFERROR(VLOOKUP(B423,Stock1!F:J,5,False),"")</f>
        <v/>
      </c>
      <c r="G423" s="318" t="str">
        <f t="array" ref="G423">_xlfn.XLOOKUP(B423,Stock2!F:F,Stock2!J:J,"")</f>
        <v/>
      </c>
    </row>
    <row r="424">
      <c r="B424" s="429"/>
      <c r="F424" s="317" t="str">
        <f>IFERROR(VLOOKUP(B424,Stock1!F:J,5,False),"")</f>
        <v/>
      </c>
      <c r="G424" s="318" t="str">
        <f t="array" ref="G424">_xlfn.XLOOKUP(B424,Stock2!F:F,Stock2!J:J,"")</f>
        <v/>
      </c>
    </row>
    <row r="425">
      <c r="B425" s="429"/>
      <c r="F425" s="317" t="str">
        <f>IFERROR(VLOOKUP(B425,Stock1!F:J,5,False),"")</f>
        <v/>
      </c>
      <c r="G425" s="318" t="str">
        <f t="array" ref="G425">_xlfn.XLOOKUP(B425,Stock2!F:F,Stock2!J:J,"")</f>
        <v/>
      </c>
    </row>
    <row r="426">
      <c r="B426" s="429"/>
      <c r="F426" s="317" t="str">
        <f>IFERROR(VLOOKUP(B426,Stock1!F:J,5,False),"")</f>
        <v/>
      </c>
      <c r="G426" s="318" t="str">
        <f t="array" ref="G426">_xlfn.XLOOKUP(B426,Stock2!F:F,Stock2!J:J,"")</f>
        <v/>
      </c>
    </row>
    <row r="427">
      <c r="B427" s="429"/>
      <c r="F427" s="317" t="str">
        <f>IFERROR(VLOOKUP(B427,Stock1!F:J,5,False),"")</f>
        <v/>
      </c>
      <c r="G427" s="318" t="str">
        <f t="array" ref="G427">_xlfn.XLOOKUP(B427,Stock2!F:F,Stock2!J:J,"")</f>
        <v/>
      </c>
    </row>
    <row r="428">
      <c r="B428" s="429"/>
      <c r="F428" s="317" t="str">
        <f>IFERROR(VLOOKUP(B428,Stock1!F:J,5,False),"")</f>
        <v/>
      </c>
      <c r="G428" s="318" t="str">
        <f t="array" ref="G428">_xlfn.XLOOKUP(B428,Stock2!F:F,Stock2!J:J,"")</f>
        <v/>
      </c>
    </row>
    <row r="429">
      <c r="B429" s="429"/>
      <c r="F429" s="317" t="str">
        <f>IFERROR(VLOOKUP(B429,Stock1!F:J,5,False),"")</f>
        <v/>
      </c>
      <c r="G429" s="318" t="str">
        <f t="array" ref="G429">_xlfn.XLOOKUP(B429,Stock2!F:F,Stock2!J:J,"")</f>
        <v/>
      </c>
    </row>
    <row r="430">
      <c r="B430" s="429"/>
      <c r="F430" s="317" t="str">
        <f>IFERROR(VLOOKUP(B430,Stock1!F:J,5,False),"")</f>
        <v/>
      </c>
      <c r="G430" s="318" t="str">
        <f t="array" ref="G430">_xlfn.XLOOKUP(B430,Stock2!F:F,Stock2!J:J,"")</f>
        <v/>
      </c>
    </row>
    <row r="431">
      <c r="B431" s="429"/>
      <c r="F431" s="317" t="str">
        <f>IFERROR(VLOOKUP(B431,Stock1!F:J,5,False),"")</f>
        <v/>
      </c>
      <c r="G431" s="318" t="str">
        <f t="array" ref="G431">_xlfn.XLOOKUP(B431,Stock2!F:F,Stock2!J:J,"")</f>
        <v/>
      </c>
    </row>
    <row r="432">
      <c r="B432" s="429"/>
      <c r="F432" s="317" t="str">
        <f>IFERROR(VLOOKUP(B432,Stock1!F:J,5,False),"")</f>
        <v/>
      </c>
      <c r="G432" s="318" t="str">
        <f t="array" ref="G432">_xlfn.XLOOKUP(B432,Stock2!F:F,Stock2!J:J,"")</f>
        <v/>
      </c>
    </row>
    <row r="433">
      <c r="B433" s="429"/>
      <c r="F433" s="317" t="str">
        <f>IFERROR(VLOOKUP(B433,Stock1!F:J,5,False),"")</f>
        <v/>
      </c>
      <c r="G433" s="318" t="str">
        <f t="array" ref="G433">_xlfn.XLOOKUP(B433,Stock2!F:F,Stock2!J:J,"")</f>
        <v/>
      </c>
    </row>
    <row r="434">
      <c r="B434" s="429"/>
      <c r="F434" s="317" t="str">
        <f>IFERROR(VLOOKUP(B434,Stock1!F:J,5,False),"")</f>
        <v/>
      </c>
      <c r="G434" s="318" t="str">
        <f t="array" ref="G434">_xlfn.XLOOKUP(B434,Stock2!F:F,Stock2!J:J,"")</f>
        <v/>
      </c>
    </row>
    <row r="435">
      <c r="B435" s="429"/>
      <c r="F435" s="317" t="str">
        <f>IFERROR(VLOOKUP(B435,Stock1!F:J,5,False),"")</f>
        <v/>
      </c>
      <c r="G435" s="318" t="str">
        <f t="array" ref="G435">_xlfn.XLOOKUP(B435,Stock2!F:F,Stock2!J:J,"")</f>
        <v/>
      </c>
    </row>
    <row r="436">
      <c r="B436" s="429"/>
      <c r="F436" s="317" t="str">
        <f>IFERROR(VLOOKUP(B436,Stock1!F:J,5,False),"")</f>
        <v/>
      </c>
      <c r="G436" s="318" t="str">
        <f t="array" ref="G436">_xlfn.XLOOKUP(B436,Stock2!F:F,Stock2!J:J,"")</f>
        <v/>
      </c>
    </row>
    <row r="437">
      <c r="B437" s="429"/>
      <c r="F437" s="317" t="str">
        <f>IFERROR(VLOOKUP(B437,Stock1!F:J,5,False),"")</f>
        <v/>
      </c>
      <c r="G437" s="318" t="str">
        <f t="array" ref="G437">_xlfn.XLOOKUP(B437,Stock2!F:F,Stock2!J:J,"")</f>
        <v/>
      </c>
    </row>
    <row r="438">
      <c r="B438" s="429"/>
      <c r="F438" s="317" t="str">
        <f>IFERROR(VLOOKUP(B438,Stock1!F:J,5,False),"")</f>
        <v/>
      </c>
      <c r="G438" s="318" t="str">
        <f t="array" ref="G438">_xlfn.XLOOKUP(B438,Stock2!F:F,Stock2!J:J,"")</f>
        <v/>
      </c>
    </row>
    <row r="439">
      <c r="B439" s="429"/>
      <c r="F439" s="317" t="str">
        <f>IFERROR(VLOOKUP(B439,Stock1!F:J,5,False),"")</f>
        <v/>
      </c>
      <c r="G439" s="318" t="str">
        <f t="array" ref="G439">_xlfn.XLOOKUP(B439,Stock2!F:F,Stock2!J:J,"")</f>
        <v/>
      </c>
    </row>
    <row r="440">
      <c r="B440" s="429"/>
      <c r="F440" s="317" t="str">
        <f>IFERROR(VLOOKUP(B440,Stock1!F:J,5,False),"")</f>
        <v/>
      </c>
      <c r="G440" s="318" t="str">
        <f t="array" ref="G440">_xlfn.XLOOKUP(B440,Stock2!F:F,Stock2!J:J,"")</f>
        <v/>
      </c>
    </row>
    <row r="441">
      <c r="B441" s="429"/>
      <c r="F441" s="317" t="str">
        <f>IFERROR(VLOOKUP(B441,Stock1!F:J,5,False),"")</f>
        <v/>
      </c>
      <c r="G441" s="318" t="str">
        <f t="array" ref="G441">_xlfn.XLOOKUP(B441,Stock2!F:F,Stock2!J:J,"")</f>
        <v/>
      </c>
    </row>
    <row r="442">
      <c r="B442" s="429"/>
      <c r="F442" s="317" t="str">
        <f>IFERROR(VLOOKUP(B442,Stock1!F:J,5,False),"")</f>
        <v/>
      </c>
      <c r="G442" s="318" t="str">
        <f t="array" ref="G442">_xlfn.XLOOKUP(B442,Stock2!F:F,Stock2!J:J,"")</f>
        <v/>
      </c>
    </row>
    <row r="443">
      <c r="B443" s="429"/>
      <c r="F443" s="317" t="str">
        <f>IFERROR(VLOOKUP(B443,Stock1!F:J,5,False),"")</f>
        <v/>
      </c>
      <c r="G443" s="318" t="str">
        <f t="array" ref="G443">_xlfn.XLOOKUP(B443,Stock2!F:F,Stock2!J:J,"")</f>
        <v/>
      </c>
    </row>
    <row r="444">
      <c r="B444" s="429"/>
      <c r="F444" s="317" t="str">
        <f>IFERROR(VLOOKUP(B444,Stock1!F:J,5,False),"")</f>
        <v/>
      </c>
      <c r="G444" s="318" t="str">
        <f t="array" ref="G444">_xlfn.XLOOKUP(B444,Stock2!F:F,Stock2!J:J,"")</f>
        <v/>
      </c>
    </row>
    <row r="445">
      <c r="B445" s="429"/>
      <c r="F445" s="317" t="str">
        <f>IFERROR(VLOOKUP(B445,Stock1!F:J,5,False),"")</f>
        <v/>
      </c>
      <c r="G445" s="318" t="str">
        <f t="array" ref="G445">_xlfn.XLOOKUP(B445,Stock2!F:F,Stock2!J:J,"")</f>
        <v/>
      </c>
    </row>
    <row r="446">
      <c r="B446" s="429"/>
      <c r="F446" s="317" t="str">
        <f>IFERROR(VLOOKUP(B446,Stock1!F:J,5,False),"")</f>
        <v/>
      </c>
      <c r="G446" s="318" t="str">
        <f t="array" ref="G446">_xlfn.XLOOKUP(B446,Stock2!F:F,Stock2!J:J,"")</f>
        <v/>
      </c>
    </row>
    <row r="447">
      <c r="B447" s="429"/>
      <c r="F447" s="317" t="str">
        <f>IFERROR(VLOOKUP(B447,Stock1!F:J,5,False),"")</f>
        <v/>
      </c>
      <c r="G447" s="318" t="str">
        <f t="array" ref="G447">_xlfn.XLOOKUP(B447,Stock2!F:F,Stock2!J:J,"")</f>
        <v/>
      </c>
    </row>
    <row r="448">
      <c r="B448" s="429"/>
      <c r="F448" s="317" t="str">
        <f>IFERROR(VLOOKUP(B448,Stock1!F:J,5,False),"")</f>
        <v/>
      </c>
      <c r="G448" s="318" t="str">
        <f t="array" ref="G448">_xlfn.XLOOKUP(B448,Stock2!F:F,Stock2!J:J,"")</f>
        <v/>
      </c>
    </row>
    <row r="449">
      <c r="B449" s="429"/>
      <c r="F449" s="317" t="str">
        <f>IFERROR(VLOOKUP(B449,Stock1!F:J,5,False),"")</f>
        <v/>
      </c>
      <c r="G449" s="318" t="str">
        <f t="array" ref="G449">_xlfn.XLOOKUP(B449,Stock2!F:F,Stock2!J:J,"")</f>
        <v/>
      </c>
    </row>
    <row r="450">
      <c r="B450" s="429"/>
      <c r="F450" s="317" t="str">
        <f>IFERROR(VLOOKUP(B450,Stock1!F:J,5,False),"")</f>
        <v/>
      </c>
      <c r="G450" s="318" t="str">
        <f t="array" ref="G450">_xlfn.XLOOKUP(B450,Stock2!F:F,Stock2!J:J,"")</f>
        <v/>
      </c>
    </row>
    <row r="451">
      <c r="B451" s="429"/>
      <c r="F451" s="317" t="str">
        <f>IFERROR(VLOOKUP(B451,Stock1!F:J,5,False),"")</f>
        <v/>
      </c>
      <c r="G451" s="318" t="str">
        <f t="array" ref="G451">_xlfn.XLOOKUP(B451,Stock2!F:F,Stock2!J:J,"")</f>
        <v/>
      </c>
    </row>
    <row r="452">
      <c r="B452" s="429"/>
      <c r="F452" s="317" t="str">
        <f>IFERROR(VLOOKUP(B452,Stock1!F:J,5,False),"")</f>
        <v/>
      </c>
      <c r="G452" s="318" t="str">
        <f t="array" ref="G452">_xlfn.XLOOKUP(B452,Stock2!F:F,Stock2!J:J,"")</f>
        <v/>
      </c>
    </row>
    <row r="453">
      <c r="B453" s="429"/>
      <c r="F453" s="317" t="str">
        <f>IFERROR(VLOOKUP(B453,Stock1!F:J,5,False),"")</f>
        <v/>
      </c>
      <c r="G453" s="318" t="str">
        <f t="array" ref="G453">_xlfn.XLOOKUP(B453,Stock2!F:F,Stock2!J:J,"")</f>
        <v/>
      </c>
    </row>
    <row r="454">
      <c r="B454" s="429"/>
      <c r="F454" s="317" t="str">
        <f>IFERROR(VLOOKUP(B454,Stock1!F:J,5,False),"")</f>
        <v/>
      </c>
      <c r="G454" s="318" t="str">
        <f t="array" ref="G454">_xlfn.XLOOKUP(B454,Stock2!F:F,Stock2!J:J,"")</f>
        <v/>
      </c>
    </row>
    <row r="455">
      <c r="B455" s="429"/>
      <c r="F455" s="317" t="str">
        <f>IFERROR(VLOOKUP(B455,Stock1!F:J,5,False),"")</f>
        <v/>
      </c>
      <c r="G455" s="318" t="str">
        <f t="array" ref="G455">_xlfn.XLOOKUP(B455,Stock2!F:F,Stock2!J:J,"")</f>
        <v/>
      </c>
    </row>
    <row r="456">
      <c r="B456" s="429"/>
      <c r="F456" s="317" t="str">
        <f>IFERROR(VLOOKUP(B456,Stock1!F:J,5,False),"")</f>
        <v/>
      </c>
      <c r="G456" s="318" t="str">
        <f t="array" ref="G456">_xlfn.XLOOKUP(B456,Stock2!F:F,Stock2!J:J,"")</f>
        <v/>
      </c>
    </row>
    <row r="457">
      <c r="B457" s="429"/>
      <c r="F457" s="317" t="str">
        <f>IFERROR(VLOOKUP(B457,Stock1!F:J,5,False),"")</f>
        <v/>
      </c>
      <c r="G457" s="318" t="str">
        <f t="array" ref="G457">_xlfn.XLOOKUP(B457,Stock2!F:F,Stock2!J:J,"")</f>
        <v/>
      </c>
    </row>
    <row r="458">
      <c r="B458" s="429"/>
      <c r="F458" s="317" t="str">
        <f>IFERROR(VLOOKUP(B458,Stock1!F:J,5,False),"")</f>
        <v/>
      </c>
      <c r="G458" s="318" t="str">
        <f t="array" ref="G458">_xlfn.XLOOKUP(B458,Stock2!F:F,Stock2!J:J,"")</f>
        <v/>
      </c>
    </row>
    <row r="459">
      <c r="B459" s="429"/>
      <c r="F459" s="317" t="str">
        <f>IFERROR(VLOOKUP(B459,Stock1!F:J,5,False),"")</f>
        <v/>
      </c>
      <c r="G459" s="318" t="str">
        <f t="array" ref="G459">_xlfn.XLOOKUP(B459,Stock2!F:F,Stock2!J:J,"")</f>
        <v/>
      </c>
    </row>
    <row r="460">
      <c r="B460" s="429"/>
      <c r="F460" s="317" t="str">
        <f>IFERROR(VLOOKUP(B460,Stock1!F:J,5,False),"")</f>
        <v/>
      </c>
      <c r="G460" s="318" t="str">
        <f t="array" ref="G460">_xlfn.XLOOKUP(B460,Stock2!F:F,Stock2!J:J,"")</f>
        <v/>
      </c>
    </row>
    <row r="461">
      <c r="B461" s="429"/>
      <c r="F461" s="317" t="str">
        <f>IFERROR(VLOOKUP(B461,Stock1!F:J,5,False),"")</f>
        <v/>
      </c>
      <c r="G461" s="318" t="str">
        <f t="array" ref="G461">_xlfn.XLOOKUP(B461,Stock2!F:F,Stock2!J:J,"")</f>
        <v/>
      </c>
    </row>
    <row r="462">
      <c r="B462" s="429"/>
      <c r="F462" s="317" t="str">
        <f>IFERROR(VLOOKUP(B462,Stock1!F:J,5,False),"")</f>
        <v/>
      </c>
      <c r="G462" s="318" t="str">
        <f t="array" ref="G462">_xlfn.XLOOKUP(B462,Stock2!F:F,Stock2!J:J,"")</f>
        <v/>
      </c>
    </row>
    <row r="463">
      <c r="B463" s="429"/>
      <c r="F463" s="317" t="str">
        <f>IFERROR(VLOOKUP(B463,Stock1!F:J,5,False),"")</f>
        <v/>
      </c>
      <c r="G463" s="318" t="str">
        <f t="array" ref="G463">_xlfn.XLOOKUP(B463,Stock2!F:F,Stock2!J:J,"")</f>
        <v/>
      </c>
    </row>
    <row r="464">
      <c r="B464" s="429"/>
      <c r="F464" s="317" t="str">
        <f>IFERROR(VLOOKUP(B464,Stock1!F:J,5,False),"")</f>
        <v/>
      </c>
      <c r="G464" s="318" t="str">
        <f t="array" ref="G464">_xlfn.XLOOKUP(B464,Stock2!F:F,Stock2!J:J,"")</f>
        <v/>
      </c>
    </row>
    <row r="465">
      <c r="B465" s="429"/>
      <c r="F465" s="317" t="str">
        <f>IFERROR(VLOOKUP(B465,Stock1!F:J,5,False),"")</f>
        <v/>
      </c>
      <c r="G465" s="318" t="str">
        <f t="array" ref="G465">_xlfn.XLOOKUP(B465,Stock2!F:F,Stock2!J:J,"")</f>
        <v/>
      </c>
    </row>
    <row r="466">
      <c r="B466" s="429"/>
      <c r="F466" s="317" t="str">
        <f>IFERROR(VLOOKUP(B466,Stock1!F:J,5,False),"")</f>
        <v/>
      </c>
      <c r="G466" s="318" t="str">
        <f t="array" ref="G466">_xlfn.XLOOKUP(B466,Stock2!F:F,Stock2!J:J,"")</f>
        <v/>
      </c>
    </row>
    <row r="467">
      <c r="B467" s="429"/>
      <c r="F467" s="317" t="str">
        <f>IFERROR(VLOOKUP(B467,Stock1!F:J,5,False),"")</f>
        <v/>
      </c>
      <c r="G467" s="318" t="str">
        <f t="array" ref="G467">_xlfn.XLOOKUP(B467,Stock2!F:F,Stock2!J:J,"")</f>
        <v/>
      </c>
    </row>
    <row r="468">
      <c r="B468" s="429"/>
      <c r="F468" s="317" t="str">
        <f>IFERROR(VLOOKUP(B468,Stock1!F:J,5,False),"")</f>
        <v/>
      </c>
      <c r="G468" s="318" t="str">
        <f t="array" ref="G468">_xlfn.XLOOKUP(B468,Stock2!F:F,Stock2!J:J,"")</f>
        <v/>
      </c>
    </row>
    <row r="469">
      <c r="B469" s="429"/>
      <c r="F469" s="317" t="str">
        <f>IFERROR(VLOOKUP(B469,Stock1!F:J,5,False),"")</f>
        <v/>
      </c>
      <c r="G469" s="318" t="str">
        <f t="array" ref="G469">_xlfn.XLOOKUP(B469,Stock2!F:F,Stock2!J:J,"")</f>
        <v/>
      </c>
    </row>
    <row r="470">
      <c r="B470" s="429"/>
      <c r="F470" s="317" t="str">
        <f>IFERROR(VLOOKUP(B470,Stock1!F:J,5,False),"")</f>
        <v/>
      </c>
      <c r="G470" s="318" t="str">
        <f t="array" ref="G470">_xlfn.XLOOKUP(B470,Stock2!F:F,Stock2!J:J,"")</f>
        <v/>
      </c>
    </row>
    <row r="471">
      <c r="B471" s="429"/>
      <c r="F471" s="317" t="str">
        <f>IFERROR(VLOOKUP(B471,Stock1!F:J,5,False),"")</f>
        <v/>
      </c>
      <c r="G471" s="318" t="str">
        <f t="array" ref="G471">_xlfn.XLOOKUP(B471,Stock2!F:F,Stock2!J:J,"")</f>
        <v/>
      </c>
    </row>
    <row r="472">
      <c r="B472" s="429"/>
      <c r="F472" s="317" t="str">
        <f>IFERROR(VLOOKUP(B472,Stock1!F:J,5,False),"")</f>
        <v/>
      </c>
      <c r="G472" s="318" t="str">
        <f t="array" ref="G472">_xlfn.XLOOKUP(B472,Stock2!F:F,Stock2!J:J,"")</f>
        <v/>
      </c>
    </row>
    <row r="473">
      <c r="B473" s="429"/>
      <c r="F473" s="317" t="str">
        <f>IFERROR(VLOOKUP(B473,Stock1!F:J,5,False),"")</f>
        <v/>
      </c>
      <c r="G473" s="318" t="str">
        <f t="array" ref="G473">_xlfn.XLOOKUP(B473,Stock2!F:F,Stock2!J:J,"")</f>
        <v/>
      </c>
    </row>
    <row r="474">
      <c r="B474" s="429"/>
      <c r="F474" s="317" t="str">
        <f>IFERROR(VLOOKUP(B474,Stock1!F:J,5,False),"")</f>
        <v/>
      </c>
      <c r="G474" s="318" t="str">
        <f t="array" ref="G474">_xlfn.XLOOKUP(B474,Stock2!F:F,Stock2!J:J,"")</f>
        <v/>
      </c>
    </row>
    <row r="475">
      <c r="B475" s="429"/>
      <c r="F475" s="317" t="str">
        <f>IFERROR(VLOOKUP(B475,Stock1!F:J,5,False),"")</f>
        <v/>
      </c>
      <c r="G475" s="318" t="str">
        <f t="array" ref="G475">_xlfn.XLOOKUP(B475,Stock2!F:F,Stock2!J:J,"")</f>
        <v/>
      </c>
    </row>
    <row r="476">
      <c r="B476" s="429"/>
      <c r="F476" s="317" t="str">
        <f>IFERROR(VLOOKUP(B476,Stock1!F:J,5,False),"")</f>
        <v/>
      </c>
      <c r="G476" s="318" t="str">
        <f t="array" ref="G476">_xlfn.XLOOKUP(B476,Stock2!F:F,Stock2!J:J,"")</f>
        <v/>
      </c>
    </row>
    <row r="477">
      <c r="B477" s="429"/>
      <c r="F477" s="317" t="str">
        <f>IFERROR(VLOOKUP(B477,Stock1!F:J,5,False),"")</f>
        <v/>
      </c>
      <c r="G477" s="318" t="str">
        <f t="array" ref="G477">_xlfn.XLOOKUP(B477,Stock2!F:F,Stock2!J:J,"")</f>
        <v/>
      </c>
    </row>
    <row r="478">
      <c r="B478" s="429"/>
      <c r="F478" s="317" t="str">
        <f>IFERROR(VLOOKUP(B478,Stock1!F:J,5,False),"")</f>
        <v/>
      </c>
      <c r="G478" s="318" t="str">
        <f t="array" ref="G478">_xlfn.XLOOKUP(B478,Stock2!F:F,Stock2!J:J,"")</f>
        <v/>
      </c>
    </row>
    <row r="479">
      <c r="B479" s="429"/>
      <c r="F479" s="317" t="str">
        <f>IFERROR(VLOOKUP(B479,Stock1!F:J,5,False),"")</f>
        <v/>
      </c>
      <c r="G479" s="318" t="str">
        <f t="array" ref="G479">_xlfn.XLOOKUP(B479,Stock2!F:F,Stock2!J:J,"")</f>
        <v/>
      </c>
    </row>
    <row r="480">
      <c r="B480" s="429"/>
      <c r="F480" s="317" t="str">
        <f>IFERROR(VLOOKUP(B480,Stock1!F:J,5,False),"")</f>
        <v/>
      </c>
      <c r="G480" s="318" t="str">
        <f t="array" ref="G480">_xlfn.XLOOKUP(B480,Stock2!F:F,Stock2!J:J,"")</f>
        <v/>
      </c>
    </row>
    <row r="481">
      <c r="B481" s="429"/>
      <c r="F481" s="317" t="str">
        <f>IFERROR(VLOOKUP(B481,Stock1!F:J,5,False),"")</f>
        <v/>
      </c>
      <c r="G481" s="318" t="str">
        <f t="array" ref="G481">_xlfn.XLOOKUP(B481,Stock2!F:F,Stock2!J:J,"")</f>
        <v/>
      </c>
    </row>
    <row r="482">
      <c r="B482" s="429"/>
      <c r="F482" s="317" t="str">
        <f>IFERROR(VLOOKUP(B482,Stock1!F:J,5,False),"")</f>
        <v/>
      </c>
      <c r="G482" s="318" t="str">
        <f t="array" ref="G482">_xlfn.XLOOKUP(B482,Stock2!F:F,Stock2!J:J,"")</f>
        <v/>
      </c>
    </row>
    <row r="483">
      <c r="B483" s="429"/>
      <c r="F483" s="317" t="str">
        <f>IFERROR(VLOOKUP(B483,Stock1!F:J,5,False),"")</f>
        <v/>
      </c>
      <c r="G483" s="318" t="str">
        <f t="array" ref="G483">_xlfn.XLOOKUP(B483,Stock2!F:F,Stock2!J:J,"")</f>
        <v/>
      </c>
    </row>
    <row r="484">
      <c r="B484" s="429"/>
      <c r="F484" s="317" t="str">
        <f>IFERROR(VLOOKUP(B484,Stock1!F:J,5,False),"")</f>
        <v/>
      </c>
      <c r="G484" s="318" t="str">
        <f t="array" ref="G484">_xlfn.XLOOKUP(B484,Stock2!F:F,Stock2!J:J,"")</f>
        <v/>
      </c>
    </row>
    <row r="485">
      <c r="B485" s="429"/>
      <c r="F485" s="317" t="str">
        <f>IFERROR(VLOOKUP(B485,Stock1!F:J,5,False),"")</f>
        <v/>
      </c>
      <c r="G485" s="318" t="str">
        <f t="array" ref="G485">_xlfn.XLOOKUP(B485,Stock2!F:F,Stock2!J:J,"")</f>
        <v/>
      </c>
    </row>
    <row r="486">
      <c r="B486" s="429"/>
      <c r="F486" s="317" t="str">
        <f>IFERROR(VLOOKUP(B486,Stock1!F:J,5,False),"")</f>
        <v/>
      </c>
      <c r="G486" s="318" t="str">
        <f t="array" ref="G486">_xlfn.XLOOKUP(B486,Stock2!F:F,Stock2!J:J,"")</f>
        <v/>
      </c>
    </row>
    <row r="487">
      <c r="B487" s="429"/>
      <c r="F487" s="317" t="str">
        <f>IFERROR(VLOOKUP(B487,Stock1!F:J,5,False),"")</f>
        <v/>
      </c>
      <c r="G487" s="318" t="str">
        <f t="array" ref="G487">_xlfn.XLOOKUP(B487,Stock2!F:F,Stock2!J:J,"")</f>
        <v/>
      </c>
    </row>
    <row r="488">
      <c r="B488" s="429"/>
      <c r="F488" s="317" t="str">
        <f>IFERROR(VLOOKUP(B488,Stock1!F:J,5,False),"")</f>
        <v/>
      </c>
      <c r="G488" s="318" t="str">
        <f t="array" ref="G488">_xlfn.XLOOKUP(B488,Stock2!F:F,Stock2!J:J,"")</f>
        <v/>
      </c>
    </row>
    <row r="489">
      <c r="B489" s="429"/>
      <c r="F489" s="317" t="str">
        <f>IFERROR(VLOOKUP(B489,Stock1!F:J,5,False),"")</f>
        <v/>
      </c>
      <c r="G489" s="318" t="str">
        <f t="array" ref="G489">_xlfn.XLOOKUP(B489,Stock2!F:F,Stock2!J:J,"")</f>
        <v/>
      </c>
    </row>
    <row r="490">
      <c r="B490" s="429"/>
      <c r="F490" s="317" t="str">
        <f>IFERROR(VLOOKUP(B490,Stock1!F:J,5,False),"")</f>
        <v/>
      </c>
      <c r="G490" s="318" t="str">
        <f t="array" ref="G490">_xlfn.XLOOKUP(B490,Stock2!F:F,Stock2!J:J,"")</f>
        <v/>
      </c>
    </row>
    <row r="491">
      <c r="B491" s="429"/>
      <c r="F491" s="317" t="str">
        <f>IFERROR(VLOOKUP(B491,Stock1!F:J,5,False),"")</f>
        <v/>
      </c>
      <c r="G491" s="318" t="str">
        <f t="array" ref="G491">_xlfn.XLOOKUP(B491,Stock2!F:F,Stock2!J:J,"")</f>
        <v/>
      </c>
    </row>
    <row r="492">
      <c r="B492" s="429"/>
      <c r="F492" s="317" t="str">
        <f>IFERROR(VLOOKUP(B492,Stock1!F:J,5,False),"")</f>
        <v/>
      </c>
      <c r="G492" s="318" t="str">
        <f t="array" ref="G492">_xlfn.XLOOKUP(B492,Stock2!F:F,Stock2!J:J,"")</f>
        <v/>
      </c>
    </row>
    <row r="493">
      <c r="B493" s="429"/>
      <c r="F493" s="317" t="str">
        <f>IFERROR(VLOOKUP(B493,Stock1!F:J,5,False),"")</f>
        <v/>
      </c>
      <c r="G493" s="318" t="str">
        <f t="array" ref="G493">_xlfn.XLOOKUP(B493,Stock2!F:F,Stock2!J:J,"")</f>
        <v/>
      </c>
    </row>
    <row r="494">
      <c r="B494" s="429"/>
      <c r="F494" s="317" t="str">
        <f>IFERROR(VLOOKUP(B494,Stock1!F:J,5,False),"")</f>
        <v/>
      </c>
      <c r="G494" s="318" t="str">
        <f t="array" ref="G494">_xlfn.XLOOKUP(B494,Stock2!F:F,Stock2!J:J,"")</f>
        <v/>
      </c>
    </row>
    <row r="495">
      <c r="B495" s="429"/>
      <c r="F495" s="317" t="str">
        <f>IFERROR(VLOOKUP(B495,Stock1!F:J,5,False),"")</f>
        <v/>
      </c>
      <c r="G495" s="318" t="str">
        <f t="array" ref="G495">_xlfn.XLOOKUP(B495,Stock2!F:F,Stock2!J:J,"")</f>
        <v/>
      </c>
    </row>
    <row r="496">
      <c r="B496" s="429"/>
      <c r="F496" s="317" t="str">
        <f>IFERROR(VLOOKUP(B496,Stock1!F:J,5,False),"")</f>
        <v/>
      </c>
      <c r="G496" s="318" t="str">
        <f t="array" ref="G496">_xlfn.XLOOKUP(B496,Stock2!F:F,Stock2!J:J,"")</f>
        <v/>
      </c>
    </row>
    <row r="497">
      <c r="B497" s="429"/>
      <c r="F497" s="317" t="str">
        <f>IFERROR(VLOOKUP(B497,Stock1!F:J,5,False),"")</f>
        <v/>
      </c>
      <c r="G497" s="318" t="str">
        <f t="array" ref="G497">_xlfn.XLOOKUP(B497,Stock2!F:F,Stock2!J:J,"")</f>
        <v/>
      </c>
    </row>
    <row r="498">
      <c r="B498" s="429"/>
      <c r="F498" s="317" t="str">
        <f>IFERROR(VLOOKUP(B498,Stock1!F:J,5,False),"")</f>
        <v/>
      </c>
      <c r="G498" s="318" t="str">
        <f t="array" ref="G498">_xlfn.XLOOKUP(B498,Stock2!F:F,Stock2!J:J,"")</f>
        <v/>
      </c>
    </row>
    <row r="499">
      <c r="B499" s="429"/>
      <c r="F499" s="317" t="str">
        <f>IFERROR(VLOOKUP(B499,Stock1!F:J,5,False),"")</f>
        <v/>
      </c>
      <c r="G499" s="318" t="str">
        <f t="array" ref="G499">_xlfn.XLOOKUP(B499,Stock2!F:F,Stock2!J:J,"")</f>
        <v/>
      </c>
    </row>
    <row r="500">
      <c r="B500" s="429"/>
      <c r="F500" s="317" t="str">
        <f>IFERROR(VLOOKUP(B500,Stock1!F:J,5,False),"")</f>
        <v/>
      </c>
      <c r="G500" s="318" t="str">
        <f t="array" ref="G500">_xlfn.XLOOKUP(B500,Stock2!F:F,Stock2!J:J,"")</f>
        <v/>
      </c>
    </row>
    <row r="501">
      <c r="B501" s="429"/>
      <c r="F501" s="317" t="str">
        <f>IFERROR(VLOOKUP(B501,Stock1!F:J,5,False),"")</f>
        <v/>
      </c>
      <c r="G501" s="318" t="str">
        <f t="array" ref="G501">_xlfn.XLOOKUP(B501,Stock2!F:F,Stock2!J:J,"")</f>
        <v/>
      </c>
    </row>
    <row r="502">
      <c r="B502" s="429"/>
      <c r="F502" s="317" t="str">
        <f>IFERROR(VLOOKUP(B502,Stock1!F:J,5,False),"")</f>
        <v/>
      </c>
      <c r="G502" s="318" t="str">
        <f t="array" ref="G502">_xlfn.XLOOKUP(B502,Stock2!F:F,Stock2!J:J,"")</f>
        <v/>
      </c>
    </row>
    <row r="503">
      <c r="B503" s="429"/>
      <c r="F503" s="317" t="str">
        <f>IFERROR(VLOOKUP(B503,Stock1!F:J,5,False),"")</f>
        <v/>
      </c>
      <c r="G503" s="318" t="str">
        <f t="array" ref="G503">_xlfn.XLOOKUP(B503,Stock2!F:F,Stock2!J:J,"")</f>
        <v/>
      </c>
    </row>
    <row r="504">
      <c r="B504" s="429"/>
      <c r="F504" s="317" t="str">
        <f>IFERROR(VLOOKUP(B504,Stock1!F:J,5,False),"")</f>
        <v/>
      </c>
      <c r="G504" s="318" t="str">
        <f t="array" ref="G504">_xlfn.XLOOKUP(B504,Stock2!F:F,Stock2!J:J,"")</f>
        <v/>
      </c>
    </row>
    <row r="505">
      <c r="B505" s="429"/>
      <c r="F505" s="317" t="str">
        <f>IFERROR(VLOOKUP(B505,Stock1!F:J,5,False),"")</f>
        <v/>
      </c>
      <c r="G505" s="318" t="str">
        <f t="array" ref="G505">_xlfn.XLOOKUP(B505,Stock2!F:F,Stock2!J:J,"")</f>
        <v/>
      </c>
    </row>
    <row r="506">
      <c r="B506" s="429"/>
      <c r="F506" s="317" t="str">
        <f>IFERROR(VLOOKUP(B506,Stock1!F:J,5,False),"")</f>
        <v/>
      </c>
      <c r="G506" s="318" t="str">
        <f t="array" ref="G506">_xlfn.XLOOKUP(B506,Stock2!F:F,Stock2!J:J,"")</f>
        <v/>
      </c>
    </row>
    <row r="507">
      <c r="B507" s="429"/>
      <c r="F507" s="317" t="str">
        <f>IFERROR(VLOOKUP(B507,Stock1!F:J,5,False),"")</f>
        <v/>
      </c>
      <c r="G507" s="318" t="str">
        <f t="array" ref="G507">_xlfn.XLOOKUP(B507,Stock2!F:F,Stock2!J:J,"")</f>
        <v/>
      </c>
    </row>
    <row r="508">
      <c r="B508" s="429"/>
      <c r="F508" s="317" t="str">
        <f>IFERROR(VLOOKUP(B508,Stock1!F:J,5,False),"")</f>
        <v/>
      </c>
      <c r="G508" s="318" t="str">
        <f t="array" ref="G508">_xlfn.XLOOKUP(B508,Stock2!F:F,Stock2!J:J,"")</f>
        <v/>
      </c>
    </row>
    <row r="509">
      <c r="B509" s="429"/>
      <c r="F509" s="317" t="str">
        <f>IFERROR(VLOOKUP(B509,Stock1!F:J,5,False),"")</f>
        <v/>
      </c>
      <c r="G509" s="318" t="str">
        <f t="array" ref="G509">_xlfn.XLOOKUP(B509,Stock2!F:F,Stock2!J:J,"")</f>
        <v/>
      </c>
    </row>
    <row r="510">
      <c r="B510" s="429"/>
      <c r="F510" s="317" t="str">
        <f>IFERROR(VLOOKUP(B510,Stock1!F:J,5,False),"")</f>
        <v/>
      </c>
      <c r="G510" s="318" t="str">
        <f t="array" ref="G510">_xlfn.XLOOKUP(B510,Stock2!F:F,Stock2!J:J,"")</f>
        <v/>
      </c>
    </row>
    <row r="511">
      <c r="B511" s="429"/>
      <c r="F511" s="317" t="str">
        <f>IFERROR(VLOOKUP(B511,Stock1!F:J,5,False),"")</f>
        <v/>
      </c>
      <c r="G511" s="318" t="str">
        <f t="array" ref="G511">_xlfn.XLOOKUP(B511,Stock2!F:F,Stock2!J:J,"")</f>
        <v/>
      </c>
    </row>
    <row r="512">
      <c r="B512" s="429"/>
      <c r="F512" s="317" t="str">
        <f>IFERROR(VLOOKUP(B512,Stock1!F:J,5,False),"")</f>
        <v/>
      </c>
      <c r="G512" s="318" t="str">
        <f t="array" ref="G512">_xlfn.XLOOKUP(B512,Stock2!F:F,Stock2!J:J,"")</f>
        <v/>
      </c>
    </row>
    <row r="513">
      <c r="B513" s="429"/>
      <c r="F513" s="317" t="str">
        <f>IFERROR(VLOOKUP(B513,Stock1!F:J,5,False),"")</f>
        <v/>
      </c>
      <c r="G513" s="318" t="str">
        <f t="array" ref="G513">_xlfn.XLOOKUP(B513,Stock2!F:F,Stock2!J:J,"")</f>
        <v/>
      </c>
    </row>
    <row r="514">
      <c r="B514" s="429"/>
      <c r="F514" s="317" t="str">
        <f>IFERROR(VLOOKUP(B514,Stock1!F:J,5,False),"")</f>
        <v/>
      </c>
      <c r="G514" s="318" t="str">
        <f t="array" ref="G514">_xlfn.XLOOKUP(B514,Stock2!F:F,Stock2!J:J,"")</f>
        <v/>
      </c>
    </row>
    <row r="515">
      <c r="B515" s="429"/>
      <c r="F515" s="317" t="str">
        <f>IFERROR(VLOOKUP(B515,Stock1!F:J,5,False),"")</f>
        <v/>
      </c>
      <c r="G515" s="318" t="str">
        <f t="array" ref="G515">_xlfn.XLOOKUP(B515,Stock2!F:F,Stock2!J:J,"")</f>
        <v/>
      </c>
    </row>
    <row r="516">
      <c r="B516" s="429"/>
      <c r="F516" s="317" t="str">
        <f>IFERROR(VLOOKUP(B516,Stock1!F:J,5,False),"")</f>
        <v/>
      </c>
      <c r="G516" s="318" t="str">
        <f t="array" ref="G516">_xlfn.XLOOKUP(B516,Stock2!F:F,Stock2!J:J,"")</f>
        <v/>
      </c>
    </row>
    <row r="517">
      <c r="B517" s="429"/>
      <c r="F517" s="317" t="str">
        <f>IFERROR(VLOOKUP(B517,Stock1!F:J,5,False),"")</f>
        <v/>
      </c>
      <c r="G517" s="318" t="str">
        <f t="array" ref="G517">_xlfn.XLOOKUP(B517,Stock2!F:F,Stock2!J:J,"")</f>
        <v/>
      </c>
    </row>
    <row r="518">
      <c r="B518" s="429"/>
      <c r="F518" s="317" t="str">
        <f>IFERROR(VLOOKUP(B518,Stock1!F:J,5,False),"")</f>
        <v/>
      </c>
      <c r="G518" s="318" t="str">
        <f t="array" ref="G518">_xlfn.XLOOKUP(B518,Stock2!F:F,Stock2!J:J,"")</f>
        <v/>
      </c>
    </row>
    <row r="519">
      <c r="B519" s="429"/>
      <c r="F519" s="317" t="str">
        <f>IFERROR(VLOOKUP(B519,Stock1!F:J,5,False),"")</f>
        <v/>
      </c>
      <c r="G519" s="318" t="str">
        <f t="array" ref="G519">_xlfn.XLOOKUP(B519,Stock2!F:F,Stock2!J:J,"")</f>
        <v/>
      </c>
    </row>
    <row r="520">
      <c r="B520" s="429"/>
      <c r="F520" s="317" t="str">
        <f>IFERROR(VLOOKUP(B520,Stock1!F:J,5,False),"")</f>
        <v/>
      </c>
      <c r="G520" s="318" t="str">
        <f t="array" ref="G520">_xlfn.XLOOKUP(B520,Stock2!F:F,Stock2!J:J,"")</f>
        <v/>
      </c>
    </row>
    <row r="521">
      <c r="B521" s="429"/>
      <c r="F521" s="317" t="str">
        <f>IFERROR(VLOOKUP(B521,Stock1!F:J,5,False),"")</f>
        <v/>
      </c>
      <c r="G521" s="318" t="str">
        <f t="array" ref="G521">_xlfn.XLOOKUP(B521,Stock2!F:F,Stock2!J:J,"")</f>
        <v/>
      </c>
    </row>
    <row r="522">
      <c r="B522" s="429"/>
      <c r="F522" s="317" t="str">
        <f>IFERROR(VLOOKUP(B522,Stock1!F:J,5,False),"")</f>
        <v/>
      </c>
      <c r="G522" s="318" t="str">
        <f t="array" ref="G522">_xlfn.XLOOKUP(B522,Stock2!F:F,Stock2!J:J,"")</f>
        <v/>
      </c>
    </row>
    <row r="523">
      <c r="B523" s="429"/>
      <c r="F523" s="317" t="str">
        <f>IFERROR(VLOOKUP(B523,Stock1!F:J,5,False),"")</f>
        <v/>
      </c>
      <c r="G523" s="318" t="str">
        <f t="array" ref="G523">_xlfn.XLOOKUP(B523,Stock2!F:F,Stock2!J:J,"")</f>
        <v/>
      </c>
    </row>
    <row r="524">
      <c r="B524" s="429"/>
      <c r="F524" s="317" t="str">
        <f>IFERROR(VLOOKUP(B524,Stock1!F:J,5,False),"")</f>
        <v/>
      </c>
      <c r="G524" s="318" t="str">
        <f t="array" ref="G524">_xlfn.XLOOKUP(B524,Stock2!F:F,Stock2!J:J,"")</f>
        <v/>
      </c>
    </row>
    <row r="525">
      <c r="B525" s="429"/>
      <c r="F525" s="317" t="str">
        <f>IFERROR(VLOOKUP(B525,Stock1!F:J,5,False),"")</f>
        <v/>
      </c>
      <c r="G525" s="318" t="str">
        <f t="array" ref="G525">_xlfn.XLOOKUP(B525,Stock2!F:F,Stock2!J:J,"")</f>
        <v/>
      </c>
    </row>
    <row r="526">
      <c r="B526" s="429"/>
      <c r="F526" s="317" t="str">
        <f>IFERROR(VLOOKUP(B526,Stock1!F:J,5,False),"")</f>
        <v/>
      </c>
      <c r="G526" s="318" t="str">
        <f t="array" ref="G526">_xlfn.XLOOKUP(B526,Stock2!F:F,Stock2!J:J,"")</f>
        <v/>
      </c>
    </row>
    <row r="527">
      <c r="B527" s="429"/>
      <c r="F527" s="317" t="str">
        <f>IFERROR(VLOOKUP(B527,Stock1!F:J,5,False),"")</f>
        <v/>
      </c>
      <c r="G527" s="318" t="str">
        <f t="array" ref="G527">_xlfn.XLOOKUP(B527,Stock2!F:F,Stock2!J:J,"")</f>
        <v/>
      </c>
    </row>
    <row r="528">
      <c r="B528" s="429"/>
      <c r="F528" s="317" t="str">
        <f>IFERROR(VLOOKUP(B528,Stock1!F:J,5,False),"")</f>
        <v/>
      </c>
      <c r="G528" s="318" t="str">
        <f t="array" ref="G528">_xlfn.XLOOKUP(B528,Stock2!F:F,Stock2!J:J,"")</f>
        <v/>
      </c>
    </row>
    <row r="529">
      <c r="B529" s="429"/>
      <c r="F529" s="317" t="str">
        <f>IFERROR(VLOOKUP(B529,Stock1!F:J,5,False),"")</f>
        <v/>
      </c>
      <c r="G529" s="318" t="str">
        <f t="array" ref="G529">_xlfn.XLOOKUP(B529,Stock2!F:F,Stock2!J:J,"")</f>
        <v/>
      </c>
    </row>
    <row r="530">
      <c r="B530" s="429"/>
      <c r="F530" s="317" t="str">
        <f>IFERROR(VLOOKUP(B530,Stock1!F:J,5,False),"")</f>
        <v/>
      </c>
      <c r="G530" s="318" t="str">
        <f t="array" ref="G530">_xlfn.XLOOKUP(B530,Stock2!F:F,Stock2!J:J,"")</f>
        <v/>
      </c>
    </row>
    <row r="531">
      <c r="B531" s="429"/>
      <c r="F531" s="317" t="str">
        <f>IFERROR(VLOOKUP(B531,Stock1!F:J,5,False),"")</f>
        <v/>
      </c>
      <c r="G531" s="318" t="str">
        <f t="array" ref="G531">_xlfn.XLOOKUP(B531,Stock2!F:F,Stock2!J:J,"")</f>
        <v/>
      </c>
    </row>
    <row r="532">
      <c r="B532" s="429"/>
      <c r="F532" s="317" t="str">
        <f>IFERROR(VLOOKUP(B532,Stock1!F:J,5,False),"")</f>
        <v/>
      </c>
      <c r="G532" s="318" t="str">
        <f t="array" ref="G532">_xlfn.XLOOKUP(B532,Stock2!F:F,Stock2!J:J,"")</f>
        <v/>
      </c>
    </row>
    <row r="533">
      <c r="B533" s="429"/>
      <c r="F533" s="317" t="str">
        <f>IFERROR(VLOOKUP(B533,Stock1!F:J,5,False),"")</f>
        <v/>
      </c>
      <c r="G533" s="318" t="str">
        <f t="array" ref="G533">_xlfn.XLOOKUP(B533,Stock2!F:F,Stock2!J:J,"")</f>
        <v/>
      </c>
    </row>
    <row r="534">
      <c r="B534" s="429"/>
      <c r="F534" s="317" t="str">
        <f>IFERROR(VLOOKUP(B534,Stock1!F:J,5,False),"")</f>
        <v/>
      </c>
      <c r="G534" s="318" t="str">
        <f t="array" ref="G534">_xlfn.XLOOKUP(B534,Stock2!F:F,Stock2!J:J,"")</f>
        <v/>
      </c>
    </row>
    <row r="535">
      <c r="B535" s="429"/>
      <c r="F535" s="317" t="str">
        <f>IFERROR(VLOOKUP(B535,Stock1!F:J,5,False),"")</f>
        <v/>
      </c>
      <c r="G535" s="318" t="str">
        <f t="array" ref="G535">_xlfn.XLOOKUP(B535,Stock2!F:F,Stock2!J:J,"")</f>
        <v/>
      </c>
    </row>
    <row r="536">
      <c r="B536" s="429"/>
      <c r="F536" s="317" t="str">
        <f>IFERROR(VLOOKUP(B536,Stock1!F:J,5,False),"")</f>
        <v/>
      </c>
      <c r="G536" s="318" t="str">
        <f t="array" ref="G536">_xlfn.XLOOKUP(B536,Stock2!F:F,Stock2!J:J,"")</f>
        <v/>
      </c>
    </row>
    <row r="537">
      <c r="B537" s="429"/>
      <c r="F537" s="317" t="str">
        <f>IFERROR(VLOOKUP(B537,Stock1!F:J,5,False),"")</f>
        <v/>
      </c>
      <c r="G537" s="318" t="str">
        <f t="array" ref="G537">_xlfn.XLOOKUP(B537,Stock2!F:F,Stock2!J:J,"")</f>
        <v/>
      </c>
    </row>
    <row r="538">
      <c r="B538" s="429"/>
      <c r="F538" s="317" t="str">
        <f>IFERROR(VLOOKUP(B538,Stock1!F:J,5,False),"")</f>
        <v/>
      </c>
      <c r="G538" s="318" t="str">
        <f t="array" ref="G538">_xlfn.XLOOKUP(B538,Stock2!F:F,Stock2!J:J,"")</f>
        <v/>
      </c>
    </row>
    <row r="539">
      <c r="B539" s="429"/>
      <c r="F539" s="317" t="str">
        <f>IFERROR(VLOOKUP(B539,Stock1!F:J,5,False),"")</f>
        <v/>
      </c>
      <c r="G539" s="318" t="str">
        <f t="array" ref="G539">_xlfn.XLOOKUP(B539,Stock2!F:F,Stock2!J:J,"")</f>
        <v/>
      </c>
    </row>
    <row r="540">
      <c r="B540" s="429"/>
      <c r="F540" s="317" t="str">
        <f>IFERROR(VLOOKUP(B540,Stock1!F:J,5,False),"")</f>
        <v/>
      </c>
      <c r="G540" s="318" t="str">
        <f t="array" ref="G540">_xlfn.XLOOKUP(B540,Stock2!F:F,Stock2!J:J,"")</f>
        <v/>
      </c>
    </row>
    <row r="541">
      <c r="B541" s="429"/>
      <c r="F541" s="317" t="str">
        <f>IFERROR(VLOOKUP(B541,Stock1!F:J,5,False),"")</f>
        <v/>
      </c>
      <c r="G541" s="318" t="str">
        <f t="array" ref="G541">_xlfn.XLOOKUP(B541,Stock2!F:F,Stock2!J:J,"")</f>
        <v/>
      </c>
    </row>
    <row r="542">
      <c r="B542" s="429"/>
      <c r="F542" s="317" t="str">
        <f>IFERROR(VLOOKUP(B542,Stock1!F:J,5,False),"")</f>
        <v/>
      </c>
      <c r="G542" s="318" t="str">
        <f t="array" ref="G542">_xlfn.XLOOKUP(B542,Stock2!F:F,Stock2!J:J,"")</f>
        <v/>
      </c>
    </row>
    <row r="543">
      <c r="B543" s="429"/>
      <c r="F543" s="317" t="str">
        <f>IFERROR(VLOOKUP(B543,Stock1!F:J,5,False),"")</f>
        <v/>
      </c>
      <c r="G543" s="318" t="str">
        <f t="array" ref="G543">_xlfn.XLOOKUP(B543,Stock2!F:F,Stock2!J:J,"")</f>
        <v/>
      </c>
    </row>
    <row r="544">
      <c r="B544" s="429"/>
      <c r="F544" s="317" t="str">
        <f>IFERROR(VLOOKUP(B544,Stock1!F:J,5,False),"")</f>
        <v/>
      </c>
      <c r="G544" s="318" t="str">
        <f t="array" ref="G544">_xlfn.XLOOKUP(B544,Stock2!F:F,Stock2!J:J,"")</f>
        <v/>
      </c>
    </row>
    <row r="545">
      <c r="B545" s="429"/>
      <c r="F545" s="317" t="str">
        <f>IFERROR(VLOOKUP(B545,Stock1!F:J,5,False),"")</f>
        <v/>
      </c>
      <c r="G545" s="318" t="str">
        <f t="array" ref="G545">_xlfn.XLOOKUP(B545,Stock2!F:F,Stock2!J:J,"")</f>
        <v/>
      </c>
    </row>
    <row r="546">
      <c r="B546" s="429"/>
      <c r="F546" s="317" t="str">
        <f>IFERROR(VLOOKUP(B546,Stock1!F:J,5,False),"")</f>
        <v/>
      </c>
      <c r="G546" s="318" t="str">
        <f t="array" ref="G546">_xlfn.XLOOKUP(B546,Stock2!F:F,Stock2!J:J,"")</f>
        <v/>
      </c>
    </row>
    <row r="547">
      <c r="B547" s="429"/>
      <c r="F547" s="317" t="str">
        <f>IFERROR(VLOOKUP(B547,Stock1!F:J,5,False),"")</f>
        <v/>
      </c>
      <c r="G547" s="318" t="str">
        <f t="array" ref="G547">_xlfn.XLOOKUP(B547,Stock2!F:F,Stock2!J:J,"")</f>
        <v/>
      </c>
    </row>
    <row r="548">
      <c r="B548" s="429"/>
      <c r="F548" s="317" t="str">
        <f>IFERROR(VLOOKUP(B548,Stock1!F:J,5,False),"")</f>
        <v/>
      </c>
      <c r="G548" s="318" t="str">
        <f t="array" ref="G548">_xlfn.XLOOKUP(B548,Stock2!F:F,Stock2!J:J,"")</f>
        <v/>
      </c>
    </row>
    <row r="549">
      <c r="B549" s="429"/>
      <c r="F549" s="317" t="str">
        <f>IFERROR(VLOOKUP(B549,Stock1!F:J,5,False),"")</f>
        <v/>
      </c>
      <c r="G549" s="318" t="str">
        <f t="array" ref="G549">_xlfn.XLOOKUP(B549,Stock2!F:F,Stock2!J:J,"")</f>
        <v/>
      </c>
    </row>
    <row r="550">
      <c r="B550" s="429"/>
      <c r="F550" s="317" t="str">
        <f>IFERROR(VLOOKUP(B550,Stock1!F:J,5,False),"")</f>
        <v/>
      </c>
      <c r="G550" s="318" t="str">
        <f t="array" ref="G550">_xlfn.XLOOKUP(B550,Stock2!F:F,Stock2!J:J,"")</f>
        <v/>
      </c>
    </row>
    <row r="551">
      <c r="B551" s="429"/>
      <c r="F551" s="317" t="str">
        <f>IFERROR(VLOOKUP(B551,Stock1!F:J,5,False),"")</f>
        <v/>
      </c>
      <c r="G551" s="318" t="str">
        <f t="array" ref="G551">_xlfn.XLOOKUP(B551,Stock2!F:F,Stock2!J:J,"")</f>
        <v/>
      </c>
    </row>
    <row r="552">
      <c r="B552" s="429"/>
      <c r="F552" s="317" t="str">
        <f>IFERROR(VLOOKUP(B552,Stock1!F:J,5,False),"")</f>
        <v/>
      </c>
      <c r="G552" s="318" t="str">
        <f t="array" ref="G552">_xlfn.XLOOKUP(B552,Stock2!F:F,Stock2!J:J,"")</f>
        <v/>
      </c>
    </row>
    <row r="553">
      <c r="B553" s="429"/>
      <c r="F553" s="317" t="str">
        <f>IFERROR(VLOOKUP(B553,Stock1!F:J,5,False),"")</f>
        <v/>
      </c>
      <c r="G553" s="318" t="str">
        <f t="array" ref="G553">_xlfn.XLOOKUP(B553,Stock2!F:F,Stock2!J:J,"")</f>
        <v/>
      </c>
    </row>
    <row r="554">
      <c r="B554" s="429"/>
      <c r="F554" s="317" t="str">
        <f>IFERROR(VLOOKUP(B554,Stock1!F:J,5,False),"")</f>
        <v/>
      </c>
      <c r="G554" s="318" t="str">
        <f t="array" ref="G554">_xlfn.XLOOKUP(B554,Stock2!F:F,Stock2!J:J,"")</f>
        <v/>
      </c>
    </row>
    <row r="555">
      <c r="B555" s="429"/>
      <c r="F555" s="317" t="str">
        <f>IFERROR(VLOOKUP(B555,Stock1!F:J,5,False),"")</f>
        <v/>
      </c>
      <c r="G555" s="318" t="str">
        <f t="array" ref="G555">_xlfn.XLOOKUP(B555,Stock2!F:F,Stock2!J:J,"")</f>
        <v/>
      </c>
    </row>
    <row r="556">
      <c r="B556" s="429"/>
      <c r="F556" s="317" t="str">
        <f>IFERROR(VLOOKUP(B556,Stock1!F:J,5,False),"")</f>
        <v/>
      </c>
      <c r="G556" s="318" t="str">
        <f t="array" ref="G556">_xlfn.XLOOKUP(B556,Stock2!F:F,Stock2!J:J,"")</f>
        <v/>
      </c>
    </row>
    <row r="557">
      <c r="B557" s="429"/>
      <c r="F557" s="317" t="str">
        <f>IFERROR(VLOOKUP(B557,Stock1!F:J,5,False),"")</f>
        <v/>
      </c>
      <c r="G557" s="318" t="str">
        <f t="array" ref="G557">_xlfn.XLOOKUP(B557,Stock2!F:F,Stock2!J:J,"")</f>
        <v/>
      </c>
    </row>
    <row r="558">
      <c r="B558" s="429"/>
      <c r="F558" s="317" t="str">
        <f>IFERROR(VLOOKUP(B558,Stock1!F:J,5,False),"")</f>
        <v/>
      </c>
      <c r="G558" s="318" t="str">
        <f t="array" ref="G558">_xlfn.XLOOKUP(B558,Stock2!F:F,Stock2!J:J,"")</f>
        <v/>
      </c>
    </row>
    <row r="559">
      <c r="B559" s="429"/>
      <c r="F559" s="317" t="str">
        <f>IFERROR(VLOOKUP(B559,Stock1!F:J,5,False),"")</f>
        <v/>
      </c>
      <c r="G559" s="318" t="str">
        <f t="array" ref="G559">_xlfn.XLOOKUP(B559,Stock2!F:F,Stock2!J:J,"")</f>
        <v/>
      </c>
    </row>
    <row r="560">
      <c r="B560" s="429"/>
      <c r="F560" s="317" t="str">
        <f>IFERROR(VLOOKUP(B560,Stock1!F:J,5,False),"")</f>
        <v/>
      </c>
      <c r="G560" s="318" t="str">
        <f t="array" ref="G560">_xlfn.XLOOKUP(B560,Stock2!F:F,Stock2!J:J,"")</f>
        <v/>
      </c>
    </row>
    <row r="561">
      <c r="B561" s="429"/>
      <c r="F561" s="317" t="str">
        <f>IFERROR(VLOOKUP(B561,Stock1!F:J,5,False),"")</f>
        <v/>
      </c>
      <c r="G561" s="318" t="str">
        <f t="array" ref="G561">_xlfn.XLOOKUP(B561,Stock2!F:F,Stock2!J:J,"")</f>
        <v/>
      </c>
    </row>
    <row r="562">
      <c r="B562" s="429"/>
      <c r="F562" s="317" t="str">
        <f>IFERROR(VLOOKUP(B562,Stock1!F:J,5,False),"")</f>
        <v/>
      </c>
      <c r="G562" s="318" t="str">
        <f t="array" ref="G562">_xlfn.XLOOKUP(B562,Stock2!F:F,Stock2!J:J,"")</f>
        <v/>
      </c>
    </row>
    <row r="563">
      <c r="B563" s="429"/>
      <c r="F563" s="317" t="str">
        <f>IFERROR(VLOOKUP(B563,Stock1!F:J,5,False),"")</f>
        <v/>
      </c>
      <c r="G563" s="318" t="str">
        <f t="array" ref="G563">_xlfn.XLOOKUP(B563,Stock2!F:F,Stock2!J:J,"")</f>
        <v/>
      </c>
    </row>
    <row r="564">
      <c r="B564" s="429"/>
      <c r="F564" s="317" t="str">
        <f>IFERROR(VLOOKUP(B564,Stock1!F:J,5,False),"")</f>
        <v/>
      </c>
      <c r="G564" s="318" t="str">
        <f t="array" ref="G564">_xlfn.XLOOKUP(B564,Stock2!F:F,Stock2!J:J,"")</f>
        <v/>
      </c>
    </row>
    <row r="565">
      <c r="B565" s="429"/>
      <c r="F565" s="317" t="str">
        <f>IFERROR(VLOOKUP(B565,Stock1!F:J,5,False),"")</f>
        <v/>
      </c>
      <c r="G565" s="318" t="str">
        <f t="array" ref="G565">_xlfn.XLOOKUP(B565,Stock2!F:F,Stock2!J:J,"")</f>
        <v/>
      </c>
    </row>
    <row r="566">
      <c r="B566" s="429"/>
      <c r="F566" s="317" t="str">
        <f>IFERROR(VLOOKUP(B566,Stock1!F:J,5,False),"")</f>
        <v/>
      </c>
      <c r="G566" s="318" t="str">
        <f t="array" ref="G566">_xlfn.XLOOKUP(B566,Stock2!F:F,Stock2!J:J,"")</f>
        <v/>
      </c>
    </row>
    <row r="567">
      <c r="B567" s="429"/>
      <c r="F567" s="317" t="str">
        <f>IFERROR(VLOOKUP(B567,Stock1!F:J,5,False),"")</f>
        <v/>
      </c>
      <c r="G567" s="318" t="str">
        <f t="array" ref="G567">_xlfn.XLOOKUP(B567,Stock2!F:F,Stock2!J:J,"")</f>
        <v/>
      </c>
    </row>
    <row r="568">
      <c r="B568" s="429"/>
      <c r="F568" s="317" t="str">
        <f>IFERROR(VLOOKUP(B568,Stock1!F:J,5,False),"")</f>
        <v/>
      </c>
      <c r="G568" s="318" t="str">
        <f t="array" ref="G568">_xlfn.XLOOKUP(B568,Stock2!F:F,Stock2!J:J,"")</f>
        <v/>
      </c>
    </row>
    <row r="569">
      <c r="B569" s="429"/>
      <c r="F569" s="317" t="str">
        <f>IFERROR(VLOOKUP(B569,Stock1!F:J,5,False),"")</f>
        <v/>
      </c>
      <c r="G569" s="318" t="str">
        <f t="array" ref="G569">_xlfn.XLOOKUP(B569,Stock2!F:F,Stock2!J:J,"")</f>
        <v/>
      </c>
    </row>
    <row r="570">
      <c r="B570" s="429"/>
      <c r="F570" s="317" t="str">
        <f>IFERROR(VLOOKUP(B570,Stock1!F:J,5,False),"")</f>
        <v/>
      </c>
      <c r="G570" s="318" t="str">
        <f t="array" ref="G570">_xlfn.XLOOKUP(B570,Stock2!F:F,Stock2!J:J,"")</f>
        <v/>
      </c>
    </row>
    <row r="571">
      <c r="B571" s="429"/>
      <c r="F571" s="317" t="str">
        <f>IFERROR(VLOOKUP(B571,Stock1!F:J,5,False),"")</f>
        <v/>
      </c>
      <c r="G571" s="318" t="str">
        <f t="array" ref="G571">_xlfn.XLOOKUP(B571,Stock2!F:F,Stock2!J:J,"")</f>
        <v/>
      </c>
    </row>
    <row r="572">
      <c r="B572" s="429"/>
      <c r="F572" s="317" t="str">
        <f>IFERROR(VLOOKUP(B572,Stock1!F:J,5,False),"")</f>
        <v/>
      </c>
      <c r="G572" s="318" t="str">
        <f t="array" ref="G572">_xlfn.XLOOKUP(B572,Stock2!F:F,Stock2!J:J,"")</f>
        <v/>
      </c>
    </row>
    <row r="573">
      <c r="B573" s="429"/>
      <c r="F573" s="317" t="str">
        <f>IFERROR(VLOOKUP(B573,Stock1!F:J,5,False),"")</f>
        <v/>
      </c>
      <c r="G573" s="318" t="str">
        <f t="array" ref="G573">_xlfn.XLOOKUP(B573,Stock2!F:F,Stock2!J:J,"")</f>
        <v/>
      </c>
    </row>
    <row r="574">
      <c r="B574" s="429"/>
      <c r="F574" s="317" t="str">
        <f>IFERROR(VLOOKUP(B574,Stock1!F:J,5,False),"")</f>
        <v/>
      </c>
      <c r="G574" s="318" t="str">
        <f t="array" ref="G574">_xlfn.XLOOKUP(B574,Stock2!F:F,Stock2!J:J,"")</f>
        <v/>
      </c>
    </row>
    <row r="575">
      <c r="B575" s="429"/>
      <c r="F575" s="317" t="str">
        <f>IFERROR(VLOOKUP(B575,Stock1!F:J,5,False),"")</f>
        <v/>
      </c>
      <c r="G575" s="318" t="str">
        <f t="array" ref="G575">_xlfn.XLOOKUP(B575,Stock2!F:F,Stock2!J:J,"")</f>
        <v/>
      </c>
    </row>
    <row r="576">
      <c r="B576" s="429"/>
      <c r="F576" s="317" t="str">
        <f>IFERROR(VLOOKUP(B576,Stock1!F:J,5,False),"")</f>
        <v/>
      </c>
      <c r="G576" s="318" t="str">
        <f t="array" ref="G576">_xlfn.XLOOKUP(B576,Stock2!F:F,Stock2!J:J,"")</f>
        <v/>
      </c>
    </row>
    <row r="577">
      <c r="B577" s="429"/>
      <c r="F577" s="317" t="str">
        <f>IFERROR(VLOOKUP(B577,Stock1!F:J,5,False),"")</f>
        <v/>
      </c>
      <c r="G577" s="318" t="str">
        <f t="array" ref="G577">_xlfn.XLOOKUP(B577,Stock2!F:F,Stock2!J:J,"")</f>
        <v/>
      </c>
    </row>
    <row r="578">
      <c r="B578" s="429"/>
      <c r="F578" s="317" t="str">
        <f>IFERROR(VLOOKUP(B578,Stock1!F:J,5,False),"")</f>
        <v/>
      </c>
      <c r="G578" s="318" t="str">
        <f t="array" ref="G578">_xlfn.XLOOKUP(B578,Stock2!F:F,Stock2!J:J,"")</f>
        <v/>
      </c>
    </row>
    <row r="579">
      <c r="B579" s="429"/>
      <c r="F579" s="317" t="str">
        <f>IFERROR(VLOOKUP(B579,Stock1!F:J,5,False),"")</f>
        <v/>
      </c>
      <c r="G579" s="318" t="str">
        <f t="array" ref="G579">_xlfn.XLOOKUP(B579,Stock2!F:F,Stock2!J:J,"")</f>
        <v/>
      </c>
    </row>
    <row r="580">
      <c r="B580" s="429"/>
      <c r="F580" s="317" t="str">
        <f>IFERROR(VLOOKUP(B580,Stock1!F:J,5,False),"")</f>
        <v/>
      </c>
      <c r="G580" s="318" t="str">
        <f t="array" ref="G580">_xlfn.XLOOKUP(B580,Stock2!F:F,Stock2!J:J,"")</f>
        <v/>
      </c>
    </row>
    <row r="581">
      <c r="B581" s="429"/>
      <c r="F581" s="317" t="str">
        <f>IFERROR(VLOOKUP(B581,Stock1!F:J,5,False),"")</f>
        <v/>
      </c>
      <c r="G581" s="318" t="str">
        <f t="array" ref="G581">_xlfn.XLOOKUP(B581,Stock2!F:F,Stock2!J:J,"")</f>
        <v/>
      </c>
    </row>
    <row r="582">
      <c r="B582" s="429"/>
      <c r="F582" s="317" t="str">
        <f>IFERROR(VLOOKUP(B582,Stock1!F:J,5,False),"")</f>
        <v/>
      </c>
      <c r="G582" s="318" t="str">
        <f t="array" ref="G582">_xlfn.XLOOKUP(B582,Stock2!F:F,Stock2!J:J,"")</f>
        <v/>
      </c>
    </row>
    <row r="583">
      <c r="B583" s="429"/>
      <c r="F583" s="317" t="str">
        <f>IFERROR(VLOOKUP(B583,Stock1!F:J,5,False),"")</f>
        <v/>
      </c>
      <c r="G583" s="318" t="str">
        <f t="array" ref="G583">_xlfn.XLOOKUP(B583,Stock2!F:F,Stock2!J:J,"")</f>
        <v/>
      </c>
    </row>
    <row r="584">
      <c r="B584" s="429"/>
      <c r="F584" s="317" t="str">
        <f>IFERROR(VLOOKUP(B584,Stock1!F:J,5,False),"")</f>
        <v/>
      </c>
      <c r="G584" s="318" t="str">
        <f t="array" ref="G584">_xlfn.XLOOKUP(B584,Stock2!F:F,Stock2!J:J,"")</f>
        <v/>
      </c>
    </row>
    <row r="585">
      <c r="B585" s="429"/>
      <c r="F585" s="317" t="str">
        <f>IFERROR(VLOOKUP(B585,Stock1!F:J,5,False),"")</f>
        <v/>
      </c>
      <c r="G585" s="318" t="str">
        <f t="array" ref="G585">_xlfn.XLOOKUP(B585,Stock2!F:F,Stock2!J:J,"")</f>
        <v/>
      </c>
    </row>
    <row r="586">
      <c r="B586" s="429"/>
      <c r="F586" s="317" t="str">
        <f>IFERROR(VLOOKUP(B586,Stock1!F:J,5,False),"")</f>
        <v/>
      </c>
      <c r="G586" s="318" t="str">
        <f t="array" ref="G586">_xlfn.XLOOKUP(B586,Stock2!F:F,Stock2!J:J,"")</f>
        <v/>
      </c>
    </row>
    <row r="587">
      <c r="B587" s="429"/>
      <c r="F587" s="317" t="str">
        <f>IFERROR(VLOOKUP(B587,Stock1!F:J,5,False),"")</f>
        <v/>
      </c>
      <c r="G587" s="318" t="str">
        <f t="array" ref="G587">_xlfn.XLOOKUP(B587,Stock2!F:F,Stock2!J:J,"")</f>
        <v/>
      </c>
    </row>
    <row r="588">
      <c r="B588" s="429"/>
      <c r="F588" s="317" t="str">
        <f>IFERROR(VLOOKUP(B588,Stock1!F:J,5,False),"")</f>
        <v/>
      </c>
      <c r="G588" s="318" t="str">
        <f t="array" ref="G588">_xlfn.XLOOKUP(B588,Stock2!F:F,Stock2!J:J,"")</f>
        <v/>
      </c>
    </row>
    <row r="589">
      <c r="B589" s="429"/>
      <c r="F589" s="317" t="str">
        <f>IFERROR(VLOOKUP(B589,Stock1!F:J,5,False),"")</f>
        <v/>
      </c>
      <c r="G589" s="318" t="str">
        <f t="array" ref="G589">_xlfn.XLOOKUP(B589,Stock2!F:F,Stock2!J:J,"")</f>
        <v/>
      </c>
    </row>
    <row r="590">
      <c r="B590" s="429"/>
      <c r="F590" s="317" t="str">
        <f>IFERROR(VLOOKUP(B590,Stock1!F:J,5,False),"")</f>
        <v/>
      </c>
      <c r="G590" s="318" t="str">
        <f t="array" ref="G590">_xlfn.XLOOKUP(B590,Stock2!F:F,Stock2!J:J,"")</f>
        <v/>
      </c>
    </row>
    <row r="591">
      <c r="B591" s="429"/>
      <c r="F591" s="317" t="str">
        <f>IFERROR(VLOOKUP(B591,Stock1!F:J,5,False),"")</f>
        <v/>
      </c>
      <c r="G591" s="318" t="str">
        <f t="array" ref="G591">_xlfn.XLOOKUP(B591,Stock2!F:F,Stock2!J:J,"")</f>
        <v/>
      </c>
    </row>
    <row r="592">
      <c r="B592" s="429"/>
      <c r="F592" s="317" t="str">
        <f>IFERROR(VLOOKUP(B592,Stock1!F:J,5,False),"")</f>
        <v/>
      </c>
      <c r="G592" s="318" t="str">
        <f t="array" ref="G592">_xlfn.XLOOKUP(B592,Stock2!F:F,Stock2!J:J,"")</f>
        <v/>
      </c>
    </row>
    <row r="593">
      <c r="B593" s="429"/>
      <c r="F593" s="317" t="str">
        <f>IFERROR(VLOOKUP(B593,Stock1!F:J,5,False),"")</f>
        <v/>
      </c>
      <c r="G593" s="318" t="str">
        <f t="array" ref="G593">_xlfn.XLOOKUP(B593,Stock2!F:F,Stock2!J:J,"")</f>
        <v/>
      </c>
    </row>
    <row r="594">
      <c r="B594" s="429"/>
      <c r="F594" s="317" t="str">
        <f>IFERROR(VLOOKUP(B594,Stock1!F:J,5,False),"")</f>
        <v/>
      </c>
      <c r="G594" s="318" t="str">
        <f t="array" ref="G594">_xlfn.XLOOKUP(B594,Stock2!F:F,Stock2!J:J,"")</f>
        <v/>
      </c>
    </row>
    <row r="595">
      <c r="B595" s="429"/>
      <c r="F595" s="317" t="str">
        <f>IFERROR(VLOOKUP(B595,Stock1!F:J,5,False),"")</f>
        <v/>
      </c>
      <c r="G595" s="318" t="str">
        <f t="array" ref="G595">_xlfn.XLOOKUP(B595,Stock2!F:F,Stock2!J:J,"")</f>
        <v/>
      </c>
    </row>
    <row r="596">
      <c r="B596" s="429"/>
      <c r="F596" s="317" t="str">
        <f>IFERROR(VLOOKUP(B596,Stock1!F:J,5,False),"")</f>
        <v/>
      </c>
      <c r="G596" s="318" t="str">
        <f t="array" ref="G596">_xlfn.XLOOKUP(B596,Stock2!F:F,Stock2!J:J,"")</f>
        <v/>
      </c>
    </row>
    <row r="597">
      <c r="B597" s="429"/>
      <c r="F597" s="317" t="str">
        <f>IFERROR(VLOOKUP(B597,Stock1!F:J,5,False),"")</f>
        <v/>
      </c>
      <c r="G597" s="318" t="str">
        <f t="array" ref="G597">_xlfn.XLOOKUP(B597,Stock2!F:F,Stock2!J:J,"")</f>
        <v/>
      </c>
    </row>
    <row r="598">
      <c r="B598" s="429"/>
      <c r="F598" s="317" t="str">
        <f>IFERROR(VLOOKUP(B598,Stock1!F:J,5,False),"")</f>
        <v/>
      </c>
      <c r="G598" s="318" t="str">
        <f t="array" ref="G598">_xlfn.XLOOKUP(B598,Stock2!F:F,Stock2!J:J,"")</f>
        <v/>
      </c>
    </row>
    <row r="599">
      <c r="B599" s="429"/>
      <c r="F599" s="317" t="str">
        <f>IFERROR(VLOOKUP(B599,Stock1!F:J,5,False),"")</f>
        <v/>
      </c>
      <c r="G599" s="318" t="str">
        <f t="array" ref="G599">_xlfn.XLOOKUP(B599,Stock2!F:F,Stock2!J:J,"")</f>
        <v/>
      </c>
    </row>
    <row r="600">
      <c r="B600" s="429"/>
      <c r="F600" s="317" t="str">
        <f>IFERROR(VLOOKUP(B600,Stock1!F:J,5,False),"")</f>
        <v/>
      </c>
      <c r="G600" s="318" t="str">
        <f t="array" ref="G600">_xlfn.XLOOKUP(B600,Stock2!F:F,Stock2!J:J,"")</f>
        <v/>
      </c>
    </row>
    <row r="601">
      <c r="B601" s="429"/>
      <c r="F601" s="317" t="str">
        <f>IFERROR(VLOOKUP(B601,Stock1!F:J,5,False),"")</f>
        <v/>
      </c>
      <c r="G601" s="318" t="str">
        <f t="array" ref="G601">_xlfn.XLOOKUP(B601,Stock2!F:F,Stock2!J:J,"")</f>
        <v/>
      </c>
    </row>
    <row r="602">
      <c r="B602" s="429"/>
      <c r="F602" s="317" t="str">
        <f>IFERROR(VLOOKUP(B602,Stock1!F:J,5,False),"")</f>
        <v/>
      </c>
      <c r="G602" s="318" t="str">
        <f t="array" ref="G602">_xlfn.XLOOKUP(B602,Stock2!F:F,Stock2!J:J,"")</f>
        <v/>
      </c>
    </row>
    <row r="603">
      <c r="B603" s="429"/>
      <c r="F603" s="317" t="str">
        <f>IFERROR(VLOOKUP(B603,Stock1!F:J,5,False),"")</f>
        <v/>
      </c>
      <c r="G603" s="318" t="str">
        <f t="array" ref="G603">_xlfn.XLOOKUP(B603,Stock2!F:F,Stock2!J:J,"")</f>
        <v/>
      </c>
    </row>
    <row r="604">
      <c r="B604" s="429"/>
      <c r="F604" s="317" t="str">
        <f>IFERROR(VLOOKUP(B604,Stock1!F:J,5,False),"")</f>
        <v/>
      </c>
      <c r="G604" s="318" t="str">
        <f t="array" ref="G604">_xlfn.XLOOKUP(B604,Stock2!F:F,Stock2!J:J,"")</f>
        <v/>
      </c>
    </row>
    <row r="605">
      <c r="B605" s="429"/>
      <c r="F605" s="317" t="str">
        <f>IFERROR(VLOOKUP(B605,Stock1!F:J,5,False),"")</f>
        <v/>
      </c>
      <c r="G605" s="318" t="str">
        <f t="array" ref="G605">_xlfn.XLOOKUP(B605,Stock2!F:F,Stock2!J:J,"")</f>
        <v/>
      </c>
    </row>
    <row r="606">
      <c r="B606" s="429"/>
      <c r="F606" s="317" t="str">
        <f>IFERROR(VLOOKUP(B606,Stock1!F:J,5,False),"")</f>
        <v/>
      </c>
      <c r="G606" s="318" t="str">
        <f t="array" ref="G606">_xlfn.XLOOKUP(B606,Stock2!F:F,Stock2!J:J,"")</f>
        <v/>
      </c>
    </row>
    <row r="607">
      <c r="B607" s="429"/>
      <c r="F607" s="317" t="str">
        <f>IFERROR(VLOOKUP(B607,Stock1!F:J,5,False),"")</f>
        <v/>
      </c>
      <c r="G607" s="318" t="str">
        <f t="array" ref="G607">_xlfn.XLOOKUP(B607,Stock2!F:F,Stock2!J:J,"")</f>
        <v/>
      </c>
    </row>
    <row r="608">
      <c r="B608" s="429"/>
      <c r="F608" s="317" t="str">
        <f>IFERROR(VLOOKUP(B608,Stock1!F:J,5,False),"")</f>
        <v/>
      </c>
      <c r="G608" s="318" t="str">
        <f t="array" ref="G608">_xlfn.XLOOKUP(B608,Stock2!F:F,Stock2!J:J,"")</f>
        <v/>
      </c>
    </row>
    <row r="609">
      <c r="B609" s="429"/>
      <c r="F609" s="317" t="str">
        <f>IFERROR(VLOOKUP(B609,Stock1!F:J,5,False),"")</f>
        <v/>
      </c>
      <c r="G609" s="318" t="str">
        <f t="array" ref="G609">_xlfn.XLOOKUP(B609,Stock2!F:F,Stock2!J:J,"")</f>
        <v/>
      </c>
    </row>
    <row r="610">
      <c r="B610" s="429"/>
      <c r="F610" s="317" t="str">
        <f>IFERROR(VLOOKUP(B610,Stock1!F:J,5,False),"")</f>
        <v/>
      </c>
      <c r="G610" s="318" t="str">
        <f t="array" ref="G610">_xlfn.XLOOKUP(B610,Stock2!F:F,Stock2!J:J,"")</f>
        <v/>
      </c>
    </row>
    <row r="611">
      <c r="B611" s="429"/>
      <c r="F611" s="317" t="str">
        <f>IFERROR(VLOOKUP(B611,Stock1!F:J,5,False),"")</f>
        <v/>
      </c>
      <c r="G611" s="318" t="str">
        <f t="array" ref="G611">_xlfn.XLOOKUP(B611,Stock2!F:F,Stock2!J:J,"")</f>
        <v/>
      </c>
    </row>
    <row r="612">
      <c r="B612" s="429"/>
      <c r="F612" s="317" t="str">
        <f>IFERROR(VLOOKUP(B612,Stock1!F:J,5,False),"")</f>
        <v/>
      </c>
      <c r="G612" s="318" t="str">
        <f t="array" ref="G612">_xlfn.XLOOKUP(B612,Stock2!F:F,Stock2!J:J,"")</f>
        <v/>
      </c>
    </row>
    <row r="613">
      <c r="B613" s="429"/>
      <c r="F613" s="317" t="str">
        <f>IFERROR(VLOOKUP(B613,Stock1!F:J,5,False),"")</f>
        <v/>
      </c>
      <c r="G613" s="318" t="str">
        <f t="array" ref="G613">_xlfn.XLOOKUP(B613,Stock2!F:F,Stock2!J:J,"")</f>
        <v/>
      </c>
    </row>
    <row r="614">
      <c r="B614" s="429"/>
      <c r="F614" s="317" t="str">
        <f>IFERROR(VLOOKUP(B614,Stock1!F:J,5,False),"")</f>
        <v/>
      </c>
      <c r="G614" s="318" t="str">
        <f t="array" ref="G614">_xlfn.XLOOKUP(B614,Stock2!F:F,Stock2!J:J,"")</f>
        <v/>
      </c>
    </row>
    <row r="615">
      <c r="B615" s="429"/>
      <c r="F615" s="317" t="str">
        <f>IFERROR(VLOOKUP(B615,Stock1!F:J,5,False),"")</f>
        <v/>
      </c>
      <c r="G615" s="318" t="str">
        <f t="array" ref="G615">_xlfn.XLOOKUP(B615,Stock2!F:F,Stock2!J:J,"")</f>
        <v/>
      </c>
    </row>
    <row r="616">
      <c r="B616" s="429"/>
      <c r="F616" s="317" t="str">
        <f>IFERROR(VLOOKUP(B616,Stock1!F:J,5,False),"")</f>
        <v/>
      </c>
      <c r="G616" s="318" t="str">
        <f t="array" ref="G616">_xlfn.XLOOKUP(B616,Stock2!F:F,Stock2!J:J,"")</f>
        <v/>
      </c>
    </row>
    <row r="617">
      <c r="B617" s="429"/>
      <c r="F617" s="317" t="str">
        <f>IFERROR(VLOOKUP(B617,Stock1!F:J,5,False),"")</f>
        <v/>
      </c>
      <c r="G617" s="318" t="str">
        <f t="array" ref="G617">_xlfn.XLOOKUP(B617,Stock2!F:F,Stock2!J:J,"")</f>
        <v/>
      </c>
    </row>
    <row r="618">
      <c r="B618" s="429"/>
      <c r="F618" s="317" t="str">
        <f>IFERROR(VLOOKUP(B618,Stock1!F:J,5,False),"")</f>
        <v/>
      </c>
      <c r="G618" s="318" t="str">
        <f t="array" ref="G618">_xlfn.XLOOKUP(B618,Stock2!F:F,Stock2!J:J,"")</f>
        <v/>
      </c>
    </row>
    <row r="619">
      <c r="B619" s="429"/>
      <c r="F619" s="317" t="str">
        <f>IFERROR(VLOOKUP(B619,Stock1!F:J,5,False),"")</f>
        <v/>
      </c>
      <c r="G619" s="318" t="str">
        <f t="array" ref="G619">_xlfn.XLOOKUP(B619,Stock2!F:F,Stock2!J:J,"")</f>
        <v/>
      </c>
    </row>
    <row r="620">
      <c r="B620" s="429"/>
      <c r="F620" s="317" t="str">
        <f>IFERROR(VLOOKUP(B620,Stock1!F:J,5,False),"")</f>
        <v/>
      </c>
      <c r="G620" s="318" t="str">
        <f t="array" ref="G620">_xlfn.XLOOKUP(B620,Stock2!F:F,Stock2!J:J,"")</f>
        <v/>
      </c>
    </row>
    <row r="621">
      <c r="B621" s="429"/>
      <c r="F621" s="317" t="str">
        <f>IFERROR(VLOOKUP(B621,Stock1!F:J,5,False),"")</f>
        <v/>
      </c>
      <c r="G621" s="318" t="str">
        <f t="array" ref="G621">_xlfn.XLOOKUP(B621,Stock2!F:F,Stock2!J:J,"")</f>
        <v/>
      </c>
    </row>
    <row r="622">
      <c r="B622" s="429"/>
      <c r="F622" s="317" t="str">
        <f>IFERROR(VLOOKUP(B622,Stock1!F:J,5,False),"")</f>
        <v/>
      </c>
      <c r="G622" s="318" t="str">
        <f t="array" ref="G622">_xlfn.XLOOKUP(B622,Stock2!F:F,Stock2!J:J,"")</f>
        <v/>
      </c>
    </row>
    <row r="623">
      <c r="B623" s="429"/>
      <c r="F623" s="317" t="str">
        <f>IFERROR(VLOOKUP(B623,Stock1!F:J,5,False),"")</f>
        <v/>
      </c>
      <c r="G623" s="318" t="str">
        <f t="array" ref="G623">_xlfn.XLOOKUP(B623,Stock2!F:F,Stock2!J:J,"")</f>
        <v/>
      </c>
    </row>
    <row r="624">
      <c r="B624" s="429"/>
      <c r="F624" s="317" t="str">
        <f>IFERROR(VLOOKUP(B624,Stock1!F:J,5,False),"")</f>
        <v/>
      </c>
      <c r="G624" s="318" t="str">
        <f t="array" ref="G624">_xlfn.XLOOKUP(B624,Stock2!F:F,Stock2!J:J,"")</f>
        <v/>
      </c>
    </row>
    <row r="625">
      <c r="B625" s="429"/>
      <c r="F625" s="317" t="str">
        <f>IFERROR(VLOOKUP(B625,Stock1!F:J,5,False),"")</f>
        <v/>
      </c>
      <c r="G625" s="318" t="str">
        <f t="array" ref="G625">_xlfn.XLOOKUP(B625,Stock2!F:F,Stock2!J:J,"")</f>
        <v/>
      </c>
    </row>
    <row r="626">
      <c r="B626" s="429"/>
      <c r="F626" s="317" t="str">
        <f>IFERROR(VLOOKUP(B626,Stock1!F:J,5,False),"")</f>
        <v/>
      </c>
      <c r="G626" s="318" t="str">
        <f t="array" ref="G626">_xlfn.XLOOKUP(B626,Stock2!F:F,Stock2!J:J,"")</f>
        <v/>
      </c>
    </row>
    <row r="627">
      <c r="B627" s="429"/>
      <c r="F627" s="317" t="str">
        <f>IFERROR(VLOOKUP(B627,Stock1!F:J,5,False),"")</f>
        <v/>
      </c>
      <c r="G627" s="318" t="str">
        <f t="array" ref="G627">_xlfn.XLOOKUP(B627,Stock2!F:F,Stock2!J:J,"")</f>
        <v/>
      </c>
    </row>
    <row r="628">
      <c r="B628" s="429"/>
      <c r="F628" s="317" t="str">
        <f>IFERROR(VLOOKUP(B628,Stock1!F:J,5,False),"")</f>
        <v/>
      </c>
      <c r="G628" s="318" t="str">
        <f t="array" ref="G628">_xlfn.XLOOKUP(B628,Stock2!F:F,Stock2!J:J,"")</f>
        <v/>
      </c>
    </row>
    <row r="629">
      <c r="B629" s="429"/>
      <c r="F629" s="317" t="str">
        <f>IFERROR(VLOOKUP(B629,Stock1!F:J,5,False),"")</f>
        <v/>
      </c>
      <c r="G629" s="318" t="str">
        <f t="array" ref="G629">_xlfn.XLOOKUP(B629,Stock2!F:F,Stock2!J:J,"")</f>
        <v/>
      </c>
    </row>
    <row r="630">
      <c r="B630" s="429"/>
      <c r="F630" s="317" t="str">
        <f>IFERROR(VLOOKUP(B630,Stock1!F:J,5,False),"")</f>
        <v/>
      </c>
      <c r="G630" s="318" t="str">
        <f t="array" ref="G630">_xlfn.XLOOKUP(B630,Stock2!F:F,Stock2!J:J,"")</f>
        <v/>
      </c>
    </row>
    <row r="631">
      <c r="B631" s="429"/>
      <c r="F631" s="317" t="str">
        <f>IFERROR(VLOOKUP(B631,Stock1!F:J,5,False),"")</f>
        <v/>
      </c>
      <c r="G631" s="318" t="str">
        <f t="array" ref="G631">_xlfn.XLOOKUP(B631,Stock2!F:F,Stock2!J:J,"")</f>
        <v/>
      </c>
    </row>
    <row r="632">
      <c r="B632" s="429"/>
      <c r="F632" s="317" t="str">
        <f>IFERROR(VLOOKUP(B632,Stock1!F:J,5,False),"")</f>
        <v/>
      </c>
      <c r="G632" s="318" t="str">
        <f t="array" ref="G632">_xlfn.XLOOKUP(B632,Stock2!F:F,Stock2!J:J,"")</f>
        <v/>
      </c>
    </row>
    <row r="633">
      <c r="B633" s="429"/>
      <c r="F633" s="317" t="str">
        <f>IFERROR(VLOOKUP(B633,Stock1!F:J,5,False),"")</f>
        <v/>
      </c>
      <c r="G633" s="318" t="str">
        <f t="array" ref="G633">_xlfn.XLOOKUP(B633,Stock2!F:F,Stock2!J:J,"")</f>
        <v/>
      </c>
    </row>
    <row r="634">
      <c r="B634" s="429"/>
      <c r="F634" s="317" t="str">
        <f>IFERROR(VLOOKUP(B634,Stock1!F:J,5,False),"")</f>
        <v/>
      </c>
      <c r="G634" s="318" t="str">
        <f t="array" ref="G634">_xlfn.XLOOKUP(B634,Stock2!F:F,Stock2!J:J,"")</f>
        <v/>
      </c>
    </row>
    <row r="635">
      <c r="B635" s="429"/>
      <c r="F635" s="317" t="str">
        <f>IFERROR(VLOOKUP(B635,Stock1!F:J,5,False),"")</f>
        <v/>
      </c>
      <c r="G635" s="318" t="str">
        <f t="array" ref="G635">_xlfn.XLOOKUP(B635,Stock2!F:F,Stock2!J:J,"")</f>
        <v/>
      </c>
    </row>
    <row r="636">
      <c r="B636" s="429"/>
      <c r="F636" s="317" t="str">
        <f>IFERROR(VLOOKUP(B636,Stock1!F:J,5,False),"")</f>
        <v/>
      </c>
      <c r="G636" s="318" t="str">
        <f t="array" ref="G636">_xlfn.XLOOKUP(B636,Stock2!F:F,Stock2!J:J,"")</f>
        <v/>
      </c>
    </row>
    <row r="637">
      <c r="B637" s="429"/>
      <c r="F637" s="317" t="str">
        <f>IFERROR(VLOOKUP(B637,Stock1!F:J,5,False),"")</f>
        <v/>
      </c>
      <c r="G637" s="318" t="str">
        <f t="array" ref="G637">_xlfn.XLOOKUP(B637,Stock2!F:F,Stock2!J:J,"")</f>
        <v/>
      </c>
    </row>
    <row r="638">
      <c r="B638" s="429"/>
      <c r="F638" s="317" t="str">
        <f>IFERROR(VLOOKUP(B638,Stock1!F:J,5,False),"")</f>
        <v/>
      </c>
      <c r="G638" s="318" t="str">
        <f t="array" ref="G638">_xlfn.XLOOKUP(B638,Stock2!F:F,Stock2!J:J,"")</f>
        <v/>
      </c>
    </row>
    <row r="639">
      <c r="B639" s="429"/>
      <c r="F639" s="317" t="str">
        <f>IFERROR(VLOOKUP(B639,Stock1!F:J,5,False),"")</f>
        <v/>
      </c>
      <c r="G639" s="318" t="str">
        <f t="array" ref="G639">_xlfn.XLOOKUP(B639,Stock2!F:F,Stock2!J:J,"")</f>
        <v/>
      </c>
    </row>
    <row r="640">
      <c r="B640" s="429"/>
      <c r="F640" s="317" t="str">
        <f>IFERROR(VLOOKUP(B640,Stock1!F:J,5,False),"")</f>
        <v/>
      </c>
      <c r="G640" s="318" t="str">
        <f t="array" ref="G640">_xlfn.XLOOKUP(B640,Stock2!F:F,Stock2!J:J,"")</f>
        <v/>
      </c>
    </row>
    <row r="641">
      <c r="B641" s="429"/>
      <c r="F641" s="317" t="str">
        <f>IFERROR(VLOOKUP(B641,Stock1!F:J,5,False),"")</f>
        <v/>
      </c>
      <c r="G641" s="318" t="str">
        <f t="array" ref="G641">_xlfn.XLOOKUP(B641,Stock2!F:F,Stock2!J:J,"")</f>
        <v/>
      </c>
    </row>
    <row r="642">
      <c r="B642" s="429"/>
      <c r="F642" s="317" t="str">
        <f>IFERROR(VLOOKUP(B642,Stock1!F:J,5,False),"")</f>
        <v/>
      </c>
      <c r="G642" s="318" t="str">
        <f t="array" ref="G642">_xlfn.XLOOKUP(B642,Stock2!F:F,Stock2!J:J,"")</f>
        <v/>
      </c>
    </row>
    <row r="643">
      <c r="B643" s="429"/>
      <c r="F643" s="317" t="str">
        <f>IFERROR(VLOOKUP(B643,Stock1!F:J,5,False),"")</f>
        <v/>
      </c>
      <c r="G643" s="318" t="str">
        <f t="array" ref="G643">_xlfn.XLOOKUP(B643,Stock2!F:F,Stock2!J:J,"")</f>
        <v/>
      </c>
    </row>
    <row r="644">
      <c r="B644" s="429"/>
      <c r="F644" s="317" t="str">
        <f>IFERROR(VLOOKUP(B644,Stock1!F:J,5,False),"")</f>
        <v/>
      </c>
      <c r="G644" s="318" t="str">
        <f t="array" ref="G644">_xlfn.XLOOKUP(B644,Stock2!F:F,Stock2!J:J,"")</f>
        <v/>
      </c>
    </row>
    <row r="645">
      <c r="B645" s="429"/>
      <c r="F645" s="317" t="str">
        <f>IFERROR(VLOOKUP(B645,Stock1!F:J,5,False),"")</f>
        <v/>
      </c>
      <c r="G645" s="318" t="str">
        <f t="array" ref="G645">_xlfn.XLOOKUP(B645,Stock2!F:F,Stock2!J:J,"")</f>
        <v/>
      </c>
    </row>
    <row r="646">
      <c r="B646" s="429"/>
      <c r="F646" s="317" t="str">
        <f>IFERROR(VLOOKUP(B646,Stock1!F:J,5,False),"")</f>
        <v/>
      </c>
      <c r="G646" s="318" t="str">
        <f t="array" ref="G646">_xlfn.XLOOKUP(B646,Stock2!F:F,Stock2!J:J,"")</f>
        <v/>
      </c>
    </row>
    <row r="647">
      <c r="B647" s="429"/>
      <c r="F647" s="317" t="str">
        <f>IFERROR(VLOOKUP(B647,Stock1!F:J,5,False),"")</f>
        <v/>
      </c>
      <c r="G647" s="318" t="str">
        <f t="array" ref="G647">_xlfn.XLOOKUP(B647,Stock2!F:F,Stock2!J:J,"")</f>
        <v/>
      </c>
    </row>
    <row r="648">
      <c r="B648" s="429"/>
      <c r="F648" s="317" t="str">
        <f>IFERROR(VLOOKUP(B648,Stock1!F:J,5,False),"")</f>
        <v/>
      </c>
      <c r="G648" s="318" t="str">
        <f t="array" ref="G648">_xlfn.XLOOKUP(B648,Stock2!F:F,Stock2!J:J,"")</f>
        <v/>
      </c>
    </row>
    <row r="649">
      <c r="B649" s="429"/>
      <c r="F649" s="317" t="str">
        <f>IFERROR(VLOOKUP(B649,Stock1!F:J,5,False),"")</f>
        <v/>
      </c>
      <c r="G649" s="318" t="str">
        <f t="array" ref="G649">_xlfn.XLOOKUP(B649,Stock2!F:F,Stock2!J:J,"")</f>
        <v/>
      </c>
    </row>
    <row r="650">
      <c r="B650" s="429"/>
      <c r="F650" s="317" t="str">
        <f>IFERROR(VLOOKUP(B650,Stock1!F:J,5,False),"")</f>
        <v/>
      </c>
      <c r="G650" s="318" t="str">
        <f t="array" ref="G650">_xlfn.XLOOKUP(B650,Stock2!F:F,Stock2!J:J,"")</f>
        <v/>
      </c>
    </row>
    <row r="651">
      <c r="B651" s="429"/>
      <c r="F651" s="317" t="str">
        <f>IFERROR(VLOOKUP(B651,Stock1!F:J,5,False),"")</f>
        <v/>
      </c>
      <c r="G651" s="318" t="str">
        <f t="array" ref="G651">_xlfn.XLOOKUP(B651,Stock2!F:F,Stock2!J:J,"")</f>
        <v/>
      </c>
    </row>
    <row r="652">
      <c r="B652" s="429"/>
      <c r="F652" s="317" t="str">
        <f>IFERROR(VLOOKUP(B652,Stock1!F:J,5,False),"")</f>
        <v/>
      </c>
      <c r="G652" s="318" t="str">
        <f t="array" ref="G652">_xlfn.XLOOKUP(B652,Stock2!F:F,Stock2!J:J,"")</f>
        <v/>
      </c>
    </row>
    <row r="653">
      <c r="B653" s="429"/>
      <c r="F653" s="317" t="str">
        <f>IFERROR(VLOOKUP(B653,Stock1!F:J,5,False),"")</f>
        <v/>
      </c>
      <c r="G653" s="318" t="str">
        <f t="array" ref="G653">_xlfn.XLOOKUP(B653,Stock2!F:F,Stock2!J:J,"")</f>
        <v/>
      </c>
    </row>
    <row r="654">
      <c r="B654" s="429"/>
      <c r="F654" s="317" t="str">
        <f>IFERROR(VLOOKUP(B654,Stock1!F:J,5,False),"")</f>
        <v/>
      </c>
      <c r="G654" s="318" t="str">
        <f t="array" ref="G654">_xlfn.XLOOKUP(B654,Stock2!F:F,Stock2!J:J,"")</f>
        <v/>
      </c>
    </row>
    <row r="655">
      <c r="B655" s="429"/>
      <c r="F655" s="317" t="str">
        <f>IFERROR(VLOOKUP(B655,Stock1!F:J,5,False),"")</f>
        <v/>
      </c>
      <c r="G655" s="318" t="str">
        <f t="array" ref="G655">_xlfn.XLOOKUP(B655,Stock2!F:F,Stock2!J:J,"")</f>
        <v/>
      </c>
    </row>
    <row r="656">
      <c r="B656" s="429"/>
      <c r="F656" s="317" t="str">
        <f>IFERROR(VLOOKUP(B656,Stock1!F:J,5,False),"")</f>
        <v/>
      </c>
      <c r="G656" s="318" t="str">
        <f t="array" ref="G656">_xlfn.XLOOKUP(B656,Stock2!F:F,Stock2!J:J,"")</f>
        <v/>
      </c>
    </row>
    <row r="657">
      <c r="B657" s="429"/>
      <c r="F657" s="317" t="str">
        <f>IFERROR(VLOOKUP(B657,Stock1!F:J,5,False),"")</f>
        <v/>
      </c>
      <c r="G657" s="318" t="str">
        <f t="array" ref="G657">_xlfn.XLOOKUP(B657,Stock2!F:F,Stock2!J:J,"")</f>
        <v/>
      </c>
    </row>
    <row r="658">
      <c r="B658" s="429"/>
      <c r="F658" s="317" t="str">
        <f>IFERROR(VLOOKUP(B658,Stock1!F:J,5,False),"")</f>
        <v/>
      </c>
      <c r="G658" s="318" t="str">
        <f t="array" ref="G658">_xlfn.XLOOKUP(B658,Stock2!F:F,Stock2!J:J,"")</f>
        <v/>
      </c>
    </row>
    <row r="659">
      <c r="B659" s="429"/>
      <c r="F659" s="317" t="str">
        <f>IFERROR(VLOOKUP(B659,Stock1!F:J,5,False),"")</f>
        <v/>
      </c>
      <c r="G659" s="318" t="str">
        <f t="array" ref="G659">_xlfn.XLOOKUP(B659,Stock2!F:F,Stock2!J:J,"")</f>
        <v/>
      </c>
    </row>
    <row r="660">
      <c r="B660" s="429"/>
      <c r="F660" s="317" t="str">
        <f>IFERROR(VLOOKUP(B660,Stock1!F:J,5,False),"")</f>
        <v/>
      </c>
      <c r="G660" s="318" t="str">
        <f t="array" ref="G660">_xlfn.XLOOKUP(B660,Stock2!F:F,Stock2!J:J,"")</f>
        <v/>
      </c>
    </row>
    <row r="661">
      <c r="B661" s="429"/>
      <c r="F661" s="317" t="str">
        <f>IFERROR(VLOOKUP(B661,Stock1!F:J,5,False),"")</f>
        <v/>
      </c>
      <c r="G661" s="318" t="str">
        <f t="array" ref="G661">_xlfn.XLOOKUP(B661,Stock2!F:F,Stock2!J:J,"")</f>
        <v/>
      </c>
    </row>
    <row r="662">
      <c r="B662" s="429"/>
      <c r="F662" s="317" t="str">
        <f>IFERROR(VLOOKUP(B662,Stock1!F:J,5,False),"")</f>
        <v/>
      </c>
      <c r="G662" s="318" t="str">
        <f t="array" ref="G662">_xlfn.XLOOKUP(B662,Stock2!F:F,Stock2!J:J,"")</f>
        <v/>
      </c>
    </row>
    <row r="663">
      <c r="B663" s="429"/>
      <c r="F663" s="317" t="str">
        <f>IFERROR(VLOOKUP(B663,Stock1!F:J,5,False),"")</f>
        <v/>
      </c>
      <c r="G663" s="318" t="str">
        <f t="array" ref="G663">_xlfn.XLOOKUP(B663,Stock2!F:F,Stock2!J:J,"")</f>
        <v/>
      </c>
    </row>
    <row r="664">
      <c r="B664" s="429"/>
      <c r="F664" s="317" t="str">
        <f>IFERROR(VLOOKUP(B664,Stock1!F:J,5,False),"")</f>
        <v/>
      </c>
      <c r="G664" s="318" t="str">
        <f t="array" ref="G664">_xlfn.XLOOKUP(B664,Stock2!F:F,Stock2!J:J,"")</f>
        <v/>
      </c>
    </row>
    <row r="665">
      <c r="B665" s="429"/>
      <c r="F665" s="317" t="str">
        <f>IFERROR(VLOOKUP(B665,Stock1!F:J,5,False),"")</f>
        <v/>
      </c>
      <c r="G665" s="318" t="str">
        <f t="array" ref="G665">_xlfn.XLOOKUP(B665,Stock2!F:F,Stock2!J:J,"")</f>
        <v/>
      </c>
    </row>
    <row r="666">
      <c r="B666" s="429"/>
      <c r="F666" s="317" t="str">
        <f>IFERROR(VLOOKUP(B666,Stock1!F:J,5,False),"")</f>
        <v/>
      </c>
      <c r="G666" s="318" t="str">
        <f t="array" ref="G666">_xlfn.XLOOKUP(B666,Stock2!F:F,Stock2!J:J,"")</f>
        <v/>
      </c>
    </row>
    <row r="667">
      <c r="B667" s="429"/>
      <c r="F667" s="317" t="str">
        <f>IFERROR(VLOOKUP(B667,Stock1!F:J,5,False),"")</f>
        <v/>
      </c>
      <c r="G667" s="318" t="str">
        <f t="array" ref="G667">_xlfn.XLOOKUP(B667,Stock2!F:F,Stock2!J:J,"")</f>
        <v/>
      </c>
    </row>
    <row r="668">
      <c r="B668" s="429"/>
      <c r="F668" s="317" t="str">
        <f>IFERROR(VLOOKUP(B668,Stock1!F:J,5,False),"")</f>
        <v/>
      </c>
      <c r="G668" s="318" t="str">
        <f t="array" ref="G668">_xlfn.XLOOKUP(B668,Stock2!F:F,Stock2!J:J,"")</f>
        <v/>
      </c>
    </row>
    <row r="669">
      <c r="B669" s="429"/>
      <c r="F669" s="317" t="str">
        <f>IFERROR(VLOOKUP(B669,Stock1!F:J,5,False),"")</f>
        <v/>
      </c>
      <c r="G669" s="318" t="str">
        <f t="array" ref="G669">_xlfn.XLOOKUP(B669,Stock2!F:F,Stock2!J:J,"")</f>
        <v/>
      </c>
    </row>
    <row r="670">
      <c r="B670" s="429"/>
      <c r="F670" s="317" t="str">
        <f>IFERROR(VLOOKUP(B670,Stock1!F:J,5,False),"")</f>
        <v/>
      </c>
      <c r="G670" s="318" t="str">
        <f t="array" ref="G670">_xlfn.XLOOKUP(B670,Stock2!F:F,Stock2!J:J,"")</f>
        <v/>
      </c>
    </row>
    <row r="671">
      <c r="B671" s="429"/>
      <c r="F671" s="317" t="str">
        <f>IFERROR(VLOOKUP(B671,Stock1!F:J,5,False),"")</f>
        <v/>
      </c>
      <c r="G671" s="318" t="str">
        <f t="array" ref="G671">_xlfn.XLOOKUP(B671,Stock2!F:F,Stock2!J:J,"")</f>
        <v/>
      </c>
    </row>
    <row r="672">
      <c r="B672" s="429"/>
      <c r="F672" s="317" t="str">
        <f>IFERROR(VLOOKUP(B672,Stock1!F:J,5,False),"")</f>
        <v/>
      </c>
      <c r="G672" s="318" t="str">
        <f t="array" ref="G672">_xlfn.XLOOKUP(B672,Stock2!F:F,Stock2!J:J,"")</f>
        <v/>
      </c>
    </row>
    <row r="673">
      <c r="B673" s="429"/>
      <c r="F673" s="317" t="str">
        <f>IFERROR(VLOOKUP(B673,Stock1!F:J,5,False),"")</f>
        <v/>
      </c>
      <c r="G673" s="318" t="str">
        <f t="array" ref="G673">_xlfn.XLOOKUP(B673,Stock2!F:F,Stock2!J:J,"")</f>
        <v/>
      </c>
    </row>
    <row r="674">
      <c r="B674" s="429"/>
      <c r="F674" s="317" t="str">
        <f>IFERROR(VLOOKUP(B674,Stock1!F:J,5,False),"")</f>
        <v/>
      </c>
      <c r="G674" s="318" t="str">
        <f t="array" ref="G674">_xlfn.XLOOKUP(B674,Stock2!F:F,Stock2!J:J,"")</f>
        <v/>
      </c>
    </row>
    <row r="675">
      <c r="B675" s="429"/>
      <c r="F675" s="317" t="str">
        <f>IFERROR(VLOOKUP(B675,Stock1!F:J,5,False),"")</f>
        <v/>
      </c>
      <c r="G675" s="318" t="str">
        <f t="array" ref="G675">_xlfn.XLOOKUP(B675,Stock2!F:F,Stock2!J:J,"")</f>
        <v/>
      </c>
    </row>
    <row r="676">
      <c r="B676" s="429"/>
      <c r="F676" s="317" t="str">
        <f>IFERROR(VLOOKUP(B676,Stock1!F:J,5,False),"")</f>
        <v/>
      </c>
      <c r="G676" s="318" t="str">
        <f t="array" ref="G676">_xlfn.XLOOKUP(B676,Stock2!F:F,Stock2!J:J,"")</f>
        <v/>
      </c>
    </row>
    <row r="677">
      <c r="B677" s="429"/>
      <c r="F677" s="317" t="str">
        <f>IFERROR(VLOOKUP(B677,Stock1!F:J,5,False),"")</f>
        <v/>
      </c>
      <c r="G677" s="318" t="str">
        <f t="array" ref="G677">_xlfn.XLOOKUP(B677,Stock2!F:F,Stock2!J:J,"")</f>
        <v/>
      </c>
    </row>
    <row r="678">
      <c r="B678" s="429"/>
      <c r="F678" s="317" t="str">
        <f>IFERROR(VLOOKUP(B678,Stock1!F:J,5,False),"")</f>
        <v/>
      </c>
      <c r="G678" s="318" t="str">
        <f t="array" ref="G678">_xlfn.XLOOKUP(B678,Stock2!F:F,Stock2!J:J,"")</f>
        <v/>
      </c>
    </row>
    <row r="679">
      <c r="B679" s="429"/>
      <c r="F679" s="317" t="str">
        <f>IFERROR(VLOOKUP(B679,Stock1!F:J,5,False),"")</f>
        <v/>
      </c>
      <c r="G679" s="318" t="str">
        <f t="array" ref="G679">_xlfn.XLOOKUP(B679,Stock2!F:F,Stock2!J:J,"")</f>
        <v/>
      </c>
    </row>
    <row r="680">
      <c r="B680" s="429"/>
      <c r="F680" s="317" t="str">
        <f>IFERROR(VLOOKUP(B680,Stock1!F:J,5,False),"")</f>
        <v/>
      </c>
      <c r="G680" s="318" t="str">
        <f t="array" ref="G680">_xlfn.XLOOKUP(B680,Stock2!F:F,Stock2!J:J,"")</f>
        <v/>
      </c>
    </row>
    <row r="681">
      <c r="B681" s="429"/>
      <c r="F681" s="317" t="str">
        <f>IFERROR(VLOOKUP(B681,Stock1!F:J,5,False),"")</f>
        <v/>
      </c>
      <c r="G681" s="318" t="str">
        <f t="array" ref="G681">_xlfn.XLOOKUP(B681,Stock2!F:F,Stock2!J:J,"")</f>
        <v/>
      </c>
    </row>
    <row r="682">
      <c r="B682" s="429"/>
      <c r="F682" s="317" t="str">
        <f>IFERROR(VLOOKUP(B682,Stock1!F:J,5,False),"")</f>
        <v/>
      </c>
      <c r="G682" s="318" t="str">
        <f t="array" ref="G682">_xlfn.XLOOKUP(B682,Stock2!F:F,Stock2!J:J,"")</f>
        <v/>
      </c>
    </row>
    <row r="683">
      <c r="B683" s="429"/>
      <c r="F683" s="317" t="str">
        <f>IFERROR(VLOOKUP(B683,Stock1!F:J,5,False),"")</f>
        <v/>
      </c>
      <c r="G683" s="318" t="str">
        <f t="array" ref="G683">_xlfn.XLOOKUP(B683,Stock2!F:F,Stock2!J:J,"")</f>
        <v/>
      </c>
    </row>
    <row r="684">
      <c r="B684" s="429"/>
      <c r="F684" s="317" t="str">
        <f>IFERROR(VLOOKUP(B684,Stock1!F:J,5,False),"")</f>
        <v/>
      </c>
      <c r="G684" s="318" t="str">
        <f t="array" ref="G684">_xlfn.XLOOKUP(B684,Stock2!F:F,Stock2!J:J,"")</f>
        <v/>
      </c>
    </row>
    <row r="685">
      <c r="B685" s="429"/>
      <c r="F685" s="317" t="str">
        <f>IFERROR(VLOOKUP(B685,Stock1!F:J,5,False),"")</f>
        <v/>
      </c>
      <c r="G685" s="318" t="str">
        <f t="array" ref="G685">_xlfn.XLOOKUP(B685,Stock2!F:F,Stock2!J:J,"")</f>
        <v/>
      </c>
    </row>
    <row r="686">
      <c r="B686" s="429"/>
      <c r="F686" s="317" t="str">
        <f>IFERROR(VLOOKUP(B686,Stock1!F:J,5,False),"")</f>
        <v/>
      </c>
      <c r="G686" s="318" t="str">
        <f t="array" ref="G686">_xlfn.XLOOKUP(B686,Stock2!F:F,Stock2!J:J,"")</f>
        <v/>
      </c>
    </row>
    <row r="687">
      <c r="B687" s="429"/>
      <c r="F687" s="317" t="str">
        <f>IFERROR(VLOOKUP(B687,Stock1!F:J,5,False),"")</f>
        <v/>
      </c>
      <c r="G687" s="318" t="str">
        <f t="array" ref="G687">_xlfn.XLOOKUP(B687,Stock2!F:F,Stock2!J:J,"")</f>
        <v/>
      </c>
    </row>
    <row r="688">
      <c r="B688" s="429"/>
      <c r="F688" s="317" t="str">
        <f>IFERROR(VLOOKUP(B688,Stock1!F:J,5,False),"")</f>
        <v/>
      </c>
      <c r="G688" s="318" t="str">
        <f t="array" ref="G688">_xlfn.XLOOKUP(B688,Stock2!F:F,Stock2!J:J,"")</f>
        <v/>
      </c>
    </row>
    <row r="689">
      <c r="B689" s="429"/>
      <c r="F689" s="317" t="str">
        <f>IFERROR(VLOOKUP(B689,Stock1!F:J,5,False),"")</f>
        <v/>
      </c>
      <c r="G689" s="318" t="str">
        <f t="array" ref="G689">_xlfn.XLOOKUP(B689,Stock2!F:F,Stock2!J:J,"")</f>
        <v/>
      </c>
    </row>
    <row r="690">
      <c r="B690" s="429"/>
      <c r="F690" s="317" t="str">
        <f>IFERROR(VLOOKUP(B690,Stock1!F:J,5,False),"")</f>
        <v/>
      </c>
      <c r="G690" s="318" t="str">
        <f t="array" ref="G690">_xlfn.XLOOKUP(B690,Stock2!F:F,Stock2!J:J,"")</f>
        <v/>
      </c>
    </row>
    <row r="691">
      <c r="B691" s="429"/>
      <c r="F691" s="317" t="str">
        <f>IFERROR(VLOOKUP(B691,Stock1!F:J,5,False),"")</f>
        <v/>
      </c>
      <c r="G691" s="318" t="str">
        <f t="array" ref="G691">_xlfn.XLOOKUP(B691,Stock2!F:F,Stock2!J:J,"")</f>
        <v/>
      </c>
    </row>
    <row r="692">
      <c r="B692" s="429"/>
      <c r="F692" s="317" t="str">
        <f>IFERROR(VLOOKUP(B692,Stock1!F:J,5,False),"")</f>
        <v/>
      </c>
      <c r="G692" s="318" t="str">
        <f t="array" ref="G692">_xlfn.XLOOKUP(B692,Stock2!F:F,Stock2!J:J,"")</f>
        <v/>
      </c>
    </row>
    <row r="693">
      <c r="B693" s="429"/>
      <c r="F693" s="317" t="str">
        <f>IFERROR(VLOOKUP(B693,Stock1!F:J,5,False),"")</f>
        <v/>
      </c>
      <c r="G693" s="318" t="str">
        <f t="array" ref="G693">_xlfn.XLOOKUP(B693,Stock2!F:F,Stock2!J:J,"")</f>
        <v/>
      </c>
    </row>
    <row r="694">
      <c r="B694" s="429"/>
      <c r="F694" s="317" t="str">
        <f>IFERROR(VLOOKUP(B694,Stock1!F:J,5,False),"")</f>
        <v/>
      </c>
      <c r="G694" s="318" t="str">
        <f t="array" ref="G694">_xlfn.XLOOKUP(B694,Stock2!F:F,Stock2!J:J,"")</f>
        <v/>
      </c>
    </row>
    <row r="695">
      <c r="B695" s="429"/>
      <c r="F695" s="317" t="str">
        <f>IFERROR(VLOOKUP(B695,Stock1!F:J,5,False),"")</f>
        <v/>
      </c>
      <c r="G695" s="318" t="str">
        <f t="array" ref="G695">_xlfn.XLOOKUP(B695,Stock2!F:F,Stock2!J:J,"")</f>
        <v/>
      </c>
    </row>
    <row r="696">
      <c r="B696" s="429"/>
      <c r="F696" s="317" t="str">
        <f>IFERROR(VLOOKUP(B696,Stock1!F:J,5,False),"")</f>
        <v/>
      </c>
      <c r="G696" s="318" t="str">
        <f t="array" ref="G696">_xlfn.XLOOKUP(B696,Stock2!F:F,Stock2!J:J,"")</f>
        <v/>
      </c>
    </row>
    <row r="697">
      <c r="B697" s="429"/>
      <c r="F697" s="317" t="str">
        <f>IFERROR(VLOOKUP(B697,Stock1!F:J,5,False),"")</f>
        <v/>
      </c>
      <c r="G697" s="318" t="str">
        <f t="array" ref="G697">_xlfn.XLOOKUP(B697,Stock2!F:F,Stock2!J:J,"")</f>
        <v/>
      </c>
    </row>
    <row r="698">
      <c r="B698" s="429"/>
      <c r="F698" s="317" t="str">
        <f>IFERROR(VLOOKUP(B698,Stock1!F:J,5,False),"")</f>
        <v/>
      </c>
      <c r="G698" s="318" t="str">
        <f t="array" ref="G698">_xlfn.XLOOKUP(B698,Stock2!F:F,Stock2!J:J,"")</f>
        <v/>
      </c>
    </row>
    <row r="699">
      <c r="B699" s="429"/>
      <c r="F699" s="317" t="str">
        <f>IFERROR(VLOOKUP(B699,Stock1!F:J,5,False),"")</f>
        <v/>
      </c>
      <c r="G699" s="318" t="str">
        <f t="array" ref="G699">_xlfn.XLOOKUP(B699,Stock2!F:F,Stock2!J:J,"")</f>
        <v/>
      </c>
    </row>
    <row r="700">
      <c r="B700" s="429"/>
      <c r="F700" s="317" t="str">
        <f>IFERROR(VLOOKUP(B700,Stock1!F:J,5,False),"")</f>
        <v/>
      </c>
      <c r="G700" s="318" t="str">
        <f t="array" ref="G700">_xlfn.XLOOKUP(B700,Stock2!F:F,Stock2!J:J,"")</f>
        <v/>
      </c>
    </row>
    <row r="701">
      <c r="B701" s="429"/>
      <c r="F701" s="317" t="str">
        <f>IFERROR(VLOOKUP(B701,Stock1!F:J,5,False),"")</f>
        <v/>
      </c>
      <c r="G701" s="318" t="str">
        <f t="array" ref="G701">_xlfn.XLOOKUP(B701,Stock2!F:F,Stock2!J:J,"")</f>
        <v/>
      </c>
    </row>
    <row r="702">
      <c r="B702" s="429"/>
      <c r="F702" s="317" t="str">
        <f>IFERROR(VLOOKUP(B702,Stock1!F:J,5,False),"")</f>
        <v/>
      </c>
      <c r="G702" s="318" t="str">
        <f t="array" ref="G702">_xlfn.XLOOKUP(B702,Stock2!F:F,Stock2!J:J,"")</f>
        <v/>
      </c>
    </row>
    <row r="703">
      <c r="B703" s="429"/>
      <c r="F703" s="317" t="str">
        <f>IFERROR(VLOOKUP(B703,Stock1!F:J,5,False),"")</f>
        <v/>
      </c>
      <c r="G703" s="318" t="str">
        <f t="array" ref="G703">_xlfn.XLOOKUP(B703,Stock2!F:F,Stock2!J:J,"")</f>
        <v/>
      </c>
    </row>
    <row r="704">
      <c r="B704" s="429"/>
      <c r="F704" s="317" t="str">
        <f>IFERROR(VLOOKUP(B704,Stock1!F:J,5,False),"")</f>
        <v/>
      </c>
      <c r="G704" s="318" t="str">
        <f t="array" ref="G704">_xlfn.XLOOKUP(B704,Stock2!F:F,Stock2!J:J,"")</f>
        <v/>
      </c>
    </row>
    <row r="705">
      <c r="B705" s="429"/>
      <c r="F705" s="317" t="str">
        <f>IFERROR(VLOOKUP(B705,Stock1!F:J,5,False),"")</f>
        <v/>
      </c>
      <c r="G705" s="318" t="str">
        <f t="array" ref="G705">_xlfn.XLOOKUP(B705,Stock2!F:F,Stock2!J:J,"")</f>
        <v/>
      </c>
    </row>
    <row r="706">
      <c r="B706" s="429"/>
      <c r="F706" s="317" t="str">
        <f>IFERROR(VLOOKUP(B706,Stock1!F:J,5,False),"")</f>
        <v/>
      </c>
      <c r="G706" s="318" t="str">
        <f t="array" ref="G706">_xlfn.XLOOKUP(B706,Stock2!F:F,Stock2!J:J,"")</f>
        <v/>
      </c>
    </row>
    <row r="707">
      <c r="B707" s="429"/>
      <c r="F707" s="317" t="str">
        <f>IFERROR(VLOOKUP(B707,Stock1!F:J,5,False),"")</f>
        <v/>
      </c>
      <c r="G707" s="318" t="str">
        <f t="array" ref="G707">_xlfn.XLOOKUP(B707,Stock2!F:F,Stock2!J:J,"")</f>
        <v/>
      </c>
    </row>
    <row r="708">
      <c r="B708" s="429"/>
      <c r="F708" s="317" t="str">
        <f>IFERROR(VLOOKUP(B708,Stock1!F:J,5,False),"")</f>
        <v/>
      </c>
      <c r="G708" s="318" t="str">
        <f t="array" ref="G708">_xlfn.XLOOKUP(B708,Stock2!F:F,Stock2!J:J,"")</f>
        <v/>
      </c>
    </row>
    <row r="709">
      <c r="B709" s="429"/>
      <c r="F709" s="317" t="str">
        <f>IFERROR(VLOOKUP(B709,Stock1!F:J,5,False),"")</f>
        <v/>
      </c>
      <c r="G709" s="318" t="str">
        <f t="array" ref="G709">_xlfn.XLOOKUP(B709,Stock2!F:F,Stock2!J:J,"")</f>
        <v/>
      </c>
    </row>
    <row r="710">
      <c r="B710" s="429"/>
      <c r="F710" s="317" t="str">
        <f>IFERROR(VLOOKUP(B710,Stock1!F:J,5,False),"")</f>
        <v/>
      </c>
      <c r="G710" s="318" t="str">
        <f t="array" ref="G710">_xlfn.XLOOKUP(B710,Stock2!F:F,Stock2!J:J,"")</f>
        <v/>
      </c>
    </row>
    <row r="711">
      <c r="B711" s="429"/>
      <c r="F711" s="317" t="str">
        <f>IFERROR(VLOOKUP(B711,Stock1!F:J,5,False),"")</f>
        <v/>
      </c>
      <c r="G711" s="318" t="str">
        <f t="array" ref="G711">_xlfn.XLOOKUP(B711,Stock2!F:F,Stock2!J:J,"")</f>
        <v/>
      </c>
    </row>
    <row r="712">
      <c r="B712" s="429"/>
      <c r="F712" s="317" t="str">
        <f>IFERROR(VLOOKUP(B712,Stock1!F:J,5,False),"")</f>
        <v/>
      </c>
      <c r="G712" s="318" t="str">
        <f t="array" ref="G712">_xlfn.XLOOKUP(B712,Stock2!F:F,Stock2!J:J,"")</f>
        <v/>
      </c>
    </row>
    <row r="713">
      <c r="B713" s="429"/>
      <c r="F713" s="317" t="str">
        <f>IFERROR(VLOOKUP(B713,Stock1!F:J,5,False),"")</f>
        <v/>
      </c>
      <c r="G713" s="318" t="str">
        <f t="array" ref="G713">_xlfn.XLOOKUP(B713,Stock2!F:F,Stock2!J:J,"")</f>
        <v/>
      </c>
    </row>
    <row r="714">
      <c r="B714" s="429"/>
      <c r="F714" s="317" t="str">
        <f>IFERROR(VLOOKUP(B714,Stock1!F:J,5,False),"")</f>
        <v/>
      </c>
      <c r="G714" s="318" t="str">
        <f t="array" ref="G714">_xlfn.XLOOKUP(B714,Stock2!F:F,Stock2!J:J,"")</f>
        <v/>
      </c>
    </row>
    <row r="715">
      <c r="B715" s="429"/>
      <c r="F715" s="317" t="str">
        <f>IFERROR(VLOOKUP(B715,Stock1!F:J,5,False),"")</f>
        <v/>
      </c>
      <c r="G715" s="318" t="str">
        <f t="array" ref="G715">_xlfn.XLOOKUP(B715,Stock2!F:F,Stock2!J:J,"")</f>
        <v/>
      </c>
    </row>
    <row r="716">
      <c r="B716" s="429"/>
      <c r="F716" s="317" t="str">
        <f>IFERROR(VLOOKUP(B716,Stock1!F:J,5,False),"")</f>
        <v/>
      </c>
      <c r="G716" s="318" t="str">
        <f t="array" ref="G716">_xlfn.XLOOKUP(B716,Stock2!F:F,Stock2!J:J,"")</f>
        <v/>
      </c>
    </row>
    <row r="717">
      <c r="B717" s="429"/>
      <c r="F717" s="317" t="str">
        <f>IFERROR(VLOOKUP(B717,Stock1!F:J,5,False),"")</f>
        <v/>
      </c>
      <c r="G717" s="318" t="str">
        <f t="array" ref="G717">_xlfn.XLOOKUP(B717,Stock2!F:F,Stock2!J:J,"")</f>
        <v/>
      </c>
    </row>
    <row r="718">
      <c r="B718" s="429"/>
      <c r="F718" s="317" t="str">
        <f>IFERROR(VLOOKUP(B718,Stock1!F:J,5,False),"")</f>
        <v/>
      </c>
      <c r="G718" s="318" t="str">
        <f t="array" ref="G718">_xlfn.XLOOKUP(B718,Stock2!F:F,Stock2!J:J,"")</f>
        <v/>
      </c>
    </row>
    <row r="719">
      <c r="B719" s="429"/>
      <c r="F719" s="317" t="str">
        <f>IFERROR(VLOOKUP(B719,Stock1!F:J,5,False),"")</f>
        <v/>
      </c>
      <c r="G719" s="318" t="str">
        <f t="array" ref="G719">_xlfn.XLOOKUP(B719,Stock2!F:F,Stock2!J:J,"")</f>
        <v/>
      </c>
    </row>
    <row r="720">
      <c r="B720" s="429"/>
      <c r="F720" s="317" t="str">
        <f>IFERROR(VLOOKUP(B720,Stock1!F:J,5,False),"")</f>
        <v/>
      </c>
      <c r="G720" s="318" t="str">
        <f t="array" ref="G720">_xlfn.XLOOKUP(B720,Stock2!F:F,Stock2!J:J,"")</f>
        <v/>
      </c>
    </row>
    <row r="721">
      <c r="B721" s="429"/>
      <c r="F721" s="317" t="str">
        <f>IFERROR(VLOOKUP(B721,Stock1!F:J,5,False),"")</f>
        <v/>
      </c>
      <c r="G721" s="318" t="str">
        <f t="array" ref="G721">_xlfn.XLOOKUP(B721,Stock2!F:F,Stock2!J:J,"")</f>
        <v/>
      </c>
    </row>
    <row r="722">
      <c r="B722" s="429"/>
      <c r="F722" s="317" t="str">
        <f>IFERROR(VLOOKUP(B722,Stock1!F:J,5,False),"")</f>
        <v/>
      </c>
      <c r="G722" s="318" t="str">
        <f t="array" ref="G722">_xlfn.XLOOKUP(B722,Stock2!F:F,Stock2!J:J,"")</f>
        <v/>
      </c>
    </row>
    <row r="723">
      <c r="B723" s="429"/>
      <c r="F723" s="317" t="str">
        <f>IFERROR(VLOOKUP(B723,Stock1!F:J,5,False),"")</f>
        <v/>
      </c>
      <c r="G723" s="318" t="str">
        <f t="array" ref="G723">_xlfn.XLOOKUP(B723,Stock2!F:F,Stock2!J:J,"")</f>
        <v/>
      </c>
    </row>
    <row r="724">
      <c r="B724" s="429"/>
      <c r="F724" s="317" t="str">
        <f>IFERROR(VLOOKUP(B724,Stock1!F:J,5,False),"")</f>
        <v/>
      </c>
      <c r="G724" s="318" t="str">
        <f t="array" ref="G724">_xlfn.XLOOKUP(B724,Stock2!F:F,Stock2!J:J,"")</f>
        <v/>
      </c>
    </row>
    <row r="725">
      <c r="B725" s="429"/>
      <c r="F725" s="317" t="str">
        <f>IFERROR(VLOOKUP(B725,Stock1!F:J,5,False),"")</f>
        <v/>
      </c>
      <c r="G725" s="318" t="str">
        <f t="array" ref="G725">_xlfn.XLOOKUP(B725,Stock2!F:F,Stock2!J:J,"")</f>
        <v/>
      </c>
    </row>
    <row r="726">
      <c r="B726" s="429"/>
      <c r="F726" s="317" t="str">
        <f>IFERROR(VLOOKUP(B726,Stock1!F:J,5,False),"")</f>
        <v/>
      </c>
      <c r="G726" s="318" t="str">
        <f t="array" ref="G726">_xlfn.XLOOKUP(B726,Stock2!F:F,Stock2!J:J,"")</f>
        <v/>
      </c>
    </row>
    <row r="727">
      <c r="B727" s="429"/>
      <c r="F727" s="317" t="str">
        <f>IFERROR(VLOOKUP(B727,Stock1!F:J,5,False),"")</f>
        <v/>
      </c>
      <c r="G727" s="318" t="str">
        <f t="array" ref="G727">_xlfn.XLOOKUP(B727,Stock2!F:F,Stock2!J:J,"")</f>
        <v/>
      </c>
    </row>
    <row r="728">
      <c r="B728" s="429"/>
      <c r="F728" s="317" t="str">
        <f>IFERROR(VLOOKUP(B728,Stock1!F:J,5,False),"")</f>
        <v/>
      </c>
      <c r="G728" s="318" t="str">
        <f t="array" ref="G728">_xlfn.XLOOKUP(B728,Stock2!F:F,Stock2!J:J,"")</f>
        <v/>
      </c>
    </row>
    <row r="729">
      <c r="B729" s="429"/>
      <c r="F729" s="317" t="str">
        <f>IFERROR(VLOOKUP(B729,Stock1!F:J,5,False),"")</f>
        <v/>
      </c>
      <c r="G729" s="318" t="str">
        <f t="array" ref="G729">_xlfn.XLOOKUP(B729,Stock2!F:F,Stock2!J:J,"")</f>
        <v/>
      </c>
    </row>
    <row r="730">
      <c r="B730" s="429"/>
      <c r="F730" s="317" t="str">
        <f>IFERROR(VLOOKUP(B730,Stock1!F:J,5,False),"")</f>
        <v/>
      </c>
      <c r="G730" s="318" t="str">
        <f t="array" ref="G730">_xlfn.XLOOKUP(B730,Stock2!F:F,Stock2!J:J,"")</f>
        <v/>
      </c>
    </row>
    <row r="731">
      <c r="B731" s="429"/>
      <c r="F731" s="317" t="str">
        <f>IFERROR(VLOOKUP(B731,Stock1!F:J,5,False),"")</f>
        <v/>
      </c>
      <c r="G731" s="318" t="str">
        <f t="array" ref="G731">_xlfn.XLOOKUP(B731,Stock2!F:F,Stock2!J:J,"")</f>
        <v/>
      </c>
    </row>
    <row r="732">
      <c r="B732" s="429"/>
      <c r="F732" s="317" t="str">
        <f>IFERROR(VLOOKUP(B732,Stock1!F:J,5,False),"")</f>
        <v/>
      </c>
      <c r="G732" s="318" t="str">
        <f t="array" ref="G732">_xlfn.XLOOKUP(B732,Stock2!F:F,Stock2!J:J,"")</f>
        <v/>
      </c>
    </row>
    <row r="733">
      <c r="B733" s="429"/>
      <c r="F733" s="317" t="str">
        <f>IFERROR(VLOOKUP(B733,Stock1!F:J,5,False),"")</f>
        <v/>
      </c>
      <c r="G733" s="318" t="str">
        <f t="array" ref="G733">_xlfn.XLOOKUP(B733,Stock2!F:F,Stock2!J:J,"")</f>
        <v/>
      </c>
    </row>
    <row r="734">
      <c r="B734" s="429"/>
      <c r="F734" s="317" t="str">
        <f>IFERROR(VLOOKUP(B734,Stock1!F:J,5,False),"")</f>
        <v/>
      </c>
      <c r="G734" s="318" t="str">
        <f t="array" ref="G734">_xlfn.XLOOKUP(B734,Stock2!F:F,Stock2!J:J,"")</f>
        <v/>
      </c>
    </row>
    <row r="735">
      <c r="B735" s="429"/>
      <c r="F735" s="317" t="str">
        <f>IFERROR(VLOOKUP(B735,Stock1!F:J,5,False),"")</f>
        <v/>
      </c>
      <c r="G735" s="318" t="str">
        <f t="array" ref="G735">_xlfn.XLOOKUP(B735,Stock2!F:F,Stock2!J:J,"")</f>
        <v/>
      </c>
    </row>
    <row r="736">
      <c r="B736" s="429"/>
      <c r="F736" s="317" t="str">
        <f>IFERROR(VLOOKUP(B736,Stock1!F:J,5,False),"")</f>
        <v/>
      </c>
      <c r="G736" s="318" t="str">
        <f t="array" ref="G736">_xlfn.XLOOKUP(B736,Stock2!F:F,Stock2!J:J,"")</f>
        <v/>
      </c>
    </row>
    <row r="737">
      <c r="B737" s="429"/>
      <c r="F737" s="317" t="str">
        <f>IFERROR(VLOOKUP(B737,Stock1!F:J,5,False),"")</f>
        <v/>
      </c>
      <c r="G737" s="318" t="str">
        <f t="array" ref="G737">_xlfn.XLOOKUP(B737,Stock2!F:F,Stock2!J:J,"")</f>
        <v/>
      </c>
    </row>
    <row r="738">
      <c r="B738" s="429"/>
      <c r="F738" s="317" t="str">
        <f>IFERROR(VLOOKUP(B738,Stock1!F:J,5,False),"")</f>
        <v/>
      </c>
      <c r="G738" s="318" t="str">
        <f t="array" ref="G738">_xlfn.XLOOKUP(B738,Stock2!F:F,Stock2!J:J,"")</f>
        <v/>
      </c>
    </row>
    <row r="739">
      <c r="B739" s="429"/>
      <c r="F739" s="317" t="str">
        <f>IFERROR(VLOOKUP(B739,Stock1!F:J,5,False),"")</f>
        <v/>
      </c>
      <c r="G739" s="318" t="str">
        <f t="array" ref="G739">_xlfn.XLOOKUP(B739,Stock2!F:F,Stock2!J:J,"")</f>
        <v/>
      </c>
    </row>
    <row r="740">
      <c r="B740" s="429"/>
      <c r="F740" s="317" t="str">
        <f>IFERROR(VLOOKUP(B740,Stock1!F:J,5,False),"")</f>
        <v/>
      </c>
      <c r="G740" s="318" t="str">
        <f t="array" ref="G740">_xlfn.XLOOKUP(B740,Stock2!F:F,Stock2!J:J,"")</f>
        <v/>
      </c>
    </row>
    <row r="741">
      <c r="B741" s="429"/>
      <c r="F741" s="317" t="str">
        <f>IFERROR(VLOOKUP(B741,Stock1!F:J,5,False),"")</f>
        <v/>
      </c>
      <c r="G741" s="318" t="str">
        <f t="array" ref="G741">_xlfn.XLOOKUP(B741,Stock2!F:F,Stock2!J:J,"")</f>
        <v/>
      </c>
    </row>
    <row r="742">
      <c r="B742" s="429"/>
      <c r="F742" s="317" t="str">
        <f>IFERROR(VLOOKUP(B742,Stock1!F:J,5,False),"")</f>
        <v/>
      </c>
      <c r="G742" s="318" t="str">
        <f t="array" ref="G742">_xlfn.XLOOKUP(B742,Stock2!F:F,Stock2!J:J,"")</f>
        <v/>
      </c>
    </row>
    <row r="743">
      <c r="B743" s="429"/>
      <c r="F743" s="317" t="str">
        <f>IFERROR(VLOOKUP(B743,Stock1!F:J,5,False),"")</f>
        <v/>
      </c>
      <c r="G743" s="318" t="str">
        <f t="array" ref="G743">_xlfn.XLOOKUP(B743,Stock2!F:F,Stock2!J:J,"")</f>
        <v/>
      </c>
    </row>
    <row r="744">
      <c r="B744" s="429"/>
      <c r="F744" s="317" t="str">
        <f>IFERROR(VLOOKUP(B744,Stock1!F:J,5,False),"")</f>
        <v/>
      </c>
      <c r="G744" s="318" t="str">
        <f t="array" ref="G744">_xlfn.XLOOKUP(B744,Stock2!F:F,Stock2!J:J,"")</f>
        <v/>
      </c>
    </row>
    <row r="745">
      <c r="B745" s="429"/>
      <c r="F745" s="317" t="str">
        <f>IFERROR(VLOOKUP(B745,Stock1!F:J,5,False),"")</f>
        <v/>
      </c>
      <c r="G745" s="318" t="str">
        <f t="array" ref="G745">_xlfn.XLOOKUP(B745,Stock2!F:F,Stock2!J:J,"")</f>
        <v/>
      </c>
    </row>
    <row r="746">
      <c r="B746" s="429"/>
      <c r="F746" s="317" t="str">
        <f>IFERROR(VLOOKUP(B746,Stock1!F:J,5,False),"")</f>
        <v/>
      </c>
      <c r="G746" s="318" t="str">
        <f t="array" ref="G746">_xlfn.XLOOKUP(B746,Stock2!F:F,Stock2!J:J,"")</f>
        <v/>
      </c>
    </row>
    <row r="747">
      <c r="B747" s="429"/>
      <c r="F747" s="317" t="str">
        <f>IFERROR(VLOOKUP(B747,Stock1!F:J,5,False),"")</f>
        <v/>
      </c>
      <c r="G747" s="318" t="str">
        <f t="array" ref="G747">_xlfn.XLOOKUP(B747,Stock2!F:F,Stock2!J:J,"")</f>
        <v/>
      </c>
    </row>
    <row r="748">
      <c r="B748" s="429"/>
      <c r="F748" s="317" t="str">
        <f>IFERROR(VLOOKUP(B748,Stock1!F:J,5,False),"")</f>
        <v/>
      </c>
      <c r="G748" s="318" t="str">
        <f t="array" ref="G748">_xlfn.XLOOKUP(B748,Stock2!F:F,Stock2!J:J,"")</f>
        <v/>
      </c>
    </row>
    <row r="749">
      <c r="B749" s="429"/>
      <c r="F749" s="317" t="str">
        <f>IFERROR(VLOOKUP(B749,Stock1!F:J,5,False),"")</f>
        <v/>
      </c>
      <c r="G749" s="318" t="str">
        <f t="array" ref="G749">_xlfn.XLOOKUP(B749,Stock2!F:F,Stock2!J:J,"")</f>
        <v/>
      </c>
    </row>
    <row r="750">
      <c r="B750" s="429"/>
      <c r="F750" s="317" t="str">
        <f>IFERROR(VLOOKUP(B750,Stock1!F:J,5,False),"")</f>
        <v/>
      </c>
      <c r="G750" s="318" t="str">
        <f t="array" ref="G750">_xlfn.XLOOKUP(B750,Stock2!F:F,Stock2!J:J,"")</f>
        <v/>
      </c>
    </row>
    <row r="751">
      <c r="B751" s="429"/>
      <c r="F751" s="317" t="str">
        <f>IFERROR(VLOOKUP(B751,Stock1!F:J,5,False),"")</f>
        <v/>
      </c>
      <c r="G751" s="318" t="str">
        <f t="array" ref="G751">_xlfn.XLOOKUP(B751,Stock2!F:F,Stock2!J:J,"")</f>
        <v/>
      </c>
    </row>
    <row r="752">
      <c r="B752" s="429"/>
      <c r="F752" s="317" t="str">
        <f>IFERROR(VLOOKUP(B752,Stock1!F:J,5,False),"")</f>
        <v/>
      </c>
      <c r="G752" s="318" t="str">
        <f t="array" ref="G752">_xlfn.XLOOKUP(B752,Stock2!F:F,Stock2!J:J,"")</f>
        <v/>
      </c>
    </row>
    <row r="753">
      <c r="B753" s="429"/>
      <c r="F753" s="317" t="str">
        <f>IFERROR(VLOOKUP(B753,Stock1!F:J,5,False),"")</f>
        <v/>
      </c>
      <c r="G753" s="318" t="str">
        <f t="array" ref="G753">_xlfn.XLOOKUP(B753,Stock2!F:F,Stock2!J:J,"")</f>
        <v/>
      </c>
    </row>
    <row r="754">
      <c r="B754" s="429"/>
      <c r="F754" s="317" t="str">
        <f>IFERROR(VLOOKUP(B754,Stock1!F:J,5,False),"")</f>
        <v/>
      </c>
      <c r="G754" s="318" t="str">
        <f t="array" ref="G754">_xlfn.XLOOKUP(B754,Stock2!F:F,Stock2!J:J,"")</f>
        <v/>
      </c>
    </row>
    <row r="755">
      <c r="B755" s="429"/>
      <c r="F755" s="317" t="str">
        <f>IFERROR(VLOOKUP(B755,Stock1!F:J,5,False),"")</f>
        <v/>
      </c>
      <c r="G755" s="318" t="str">
        <f t="array" ref="G755">_xlfn.XLOOKUP(B755,Stock2!F:F,Stock2!J:J,"")</f>
        <v/>
      </c>
    </row>
    <row r="756">
      <c r="B756" s="429"/>
      <c r="F756" s="317" t="str">
        <f>IFERROR(VLOOKUP(B756,Stock1!F:J,5,False),"")</f>
        <v/>
      </c>
      <c r="G756" s="318" t="str">
        <f t="array" ref="G756">_xlfn.XLOOKUP(B756,Stock2!F:F,Stock2!J:J,"")</f>
        <v/>
      </c>
    </row>
    <row r="757">
      <c r="B757" s="429"/>
      <c r="F757" s="317" t="str">
        <f>IFERROR(VLOOKUP(B757,Stock1!F:J,5,False),"")</f>
        <v/>
      </c>
      <c r="G757" s="318" t="str">
        <f t="array" ref="G757">_xlfn.XLOOKUP(B757,Stock2!F:F,Stock2!J:J,"")</f>
        <v/>
      </c>
    </row>
    <row r="758">
      <c r="B758" s="429"/>
      <c r="F758" s="317" t="str">
        <f>IFERROR(VLOOKUP(B758,Stock1!F:J,5,False),"")</f>
        <v/>
      </c>
      <c r="G758" s="318" t="str">
        <f t="array" ref="G758">_xlfn.XLOOKUP(B758,Stock2!F:F,Stock2!J:J,"")</f>
        <v/>
      </c>
    </row>
    <row r="759">
      <c r="B759" s="429"/>
      <c r="F759" s="317" t="str">
        <f>IFERROR(VLOOKUP(B759,Stock1!F:J,5,False),"")</f>
        <v/>
      </c>
      <c r="G759" s="318" t="str">
        <f t="array" ref="G759">_xlfn.XLOOKUP(B759,Stock2!F:F,Stock2!J:J,"")</f>
        <v/>
      </c>
    </row>
    <row r="760">
      <c r="B760" s="429"/>
      <c r="F760" s="317" t="str">
        <f>IFERROR(VLOOKUP(B760,Stock1!F:J,5,False),"")</f>
        <v/>
      </c>
      <c r="G760" s="318" t="str">
        <f t="array" ref="G760">_xlfn.XLOOKUP(B760,Stock2!F:F,Stock2!J:J,"")</f>
        <v/>
      </c>
    </row>
    <row r="761">
      <c r="B761" s="429"/>
      <c r="F761" s="317" t="str">
        <f>IFERROR(VLOOKUP(B761,Stock1!F:J,5,False),"")</f>
        <v/>
      </c>
      <c r="G761" s="318" t="str">
        <f t="array" ref="G761">_xlfn.XLOOKUP(B761,Stock2!F:F,Stock2!J:J,"")</f>
        <v/>
      </c>
    </row>
    <row r="762">
      <c r="B762" s="429"/>
      <c r="F762" s="317" t="str">
        <f>IFERROR(VLOOKUP(B762,Stock1!F:J,5,False),"")</f>
        <v/>
      </c>
      <c r="G762" s="318" t="str">
        <f t="array" ref="G762">_xlfn.XLOOKUP(B762,Stock2!F:F,Stock2!J:J,"")</f>
        <v/>
      </c>
    </row>
    <row r="763">
      <c r="B763" s="429"/>
      <c r="F763" s="317" t="str">
        <f>IFERROR(VLOOKUP(B763,Stock1!F:J,5,False),"")</f>
        <v/>
      </c>
      <c r="G763" s="318" t="str">
        <f t="array" ref="G763">_xlfn.XLOOKUP(B763,Stock2!F:F,Stock2!J:J,"")</f>
        <v/>
      </c>
    </row>
    <row r="764">
      <c r="B764" s="429"/>
      <c r="F764" s="317" t="str">
        <f>IFERROR(VLOOKUP(B764,Stock1!F:J,5,False),"")</f>
        <v/>
      </c>
      <c r="G764" s="318" t="str">
        <f t="array" ref="G764">_xlfn.XLOOKUP(B764,Stock2!F:F,Stock2!J:J,"")</f>
        <v/>
      </c>
    </row>
    <row r="765">
      <c r="B765" s="429"/>
      <c r="F765" s="317" t="str">
        <f>IFERROR(VLOOKUP(B765,Stock1!F:J,5,False),"")</f>
        <v/>
      </c>
      <c r="G765" s="318" t="str">
        <f t="array" ref="G765">_xlfn.XLOOKUP(B765,Stock2!F:F,Stock2!J:J,"")</f>
        <v/>
      </c>
    </row>
    <row r="766">
      <c r="B766" s="429"/>
      <c r="F766" s="317" t="str">
        <f>IFERROR(VLOOKUP(B766,Stock1!F:J,5,False),"")</f>
        <v/>
      </c>
      <c r="G766" s="318" t="str">
        <f t="array" ref="G766">_xlfn.XLOOKUP(B766,Stock2!F:F,Stock2!J:J,"")</f>
        <v/>
      </c>
    </row>
    <row r="767">
      <c r="B767" s="429"/>
      <c r="F767" s="317" t="str">
        <f>IFERROR(VLOOKUP(B767,Stock1!F:J,5,False),"")</f>
        <v/>
      </c>
      <c r="G767" s="318" t="str">
        <f t="array" ref="G767">_xlfn.XLOOKUP(B767,Stock2!F:F,Stock2!J:J,"")</f>
        <v/>
      </c>
    </row>
    <row r="768">
      <c r="B768" s="429"/>
      <c r="F768" s="317" t="str">
        <f>IFERROR(VLOOKUP(B768,Stock1!F:J,5,False),"")</f>
        <v/>
      </c>
      <c r="G768" s="318" t="str">
        <f t="array" ref="G768">_xlfn.XLOOKUP(B768,Stock2!F:F,Stock2!J:J,"")</f>
        <v/>
      </c>
    </row>
    <row r="769">
      <c r="B769" s="429"/>
      <c r="F769" s="317" t="str">
        <f>IFERROR(VLOOKUP(B769,Stock1!F:J,5,False),"")</f>
        <v/>
      </c>
      <c r="G769" s="318" t="str">
        <f t="array" ref="G769">_xlfn.XLOOKUP(B769,Stock2!F:F,Stock2!J:J,"")</f>
        <v/>
      </c>
    </row>
    <row r="770">
      <c r="B770" s="429"/>
      <c r="F770" s="317" t="str">
        <f>IFERROR(VLOOKUP(B770,Stock1!F:J,5,False),"")</f>
        <v/>
      </c>
      <c r="G770" s="318" t="str">
        <f t="array" ref="G770">_xlfn.XLOOKUP(B770,Stock2!F:F,Stock2!J:J,"")</f>
        <v/>
      </c>
    </row>
    <row r="771">
      <c r="B771" s="429"/>
      <c r="F771" s="317" t="str">
        <f>IFERROR(VLOOKUP(B771,Stock1!F:J,5,False),"")</f>
        <v/>
      </c>
      <c r="G771" s="318" t="str">
        <f t="array" ref="G771">_xlfn.XLOOKUP(B771,Stock2!F:F,Stock2!J:J,"")</f>
        <v/>
      </c>
    </row>
    <row r="772">
      <c r="B772" s="429"/>
      <c r="F772" s="317" t="str">
        <f>IFERROR(VLOOKUP(B772,Stock1!F:J,5,False),"")</f>
        <v/>
      </c>
      <c r="G772" s="318" t="str">
        <f t="array" ref="G772">_xlfn.XLOOKUP(B772,Stock2!F:F,Stock2!J:J,"")</f>
        <v/>
      </c>
    </row>
    <row r="773">
      <c r="B773" s="429"/>
      <c r="F773" s="317" t="str">
        <f>IFERROR(VLOOKUP(B773,Stock1!F:J,5,False),"")</f>
        <v/>
      </c>
      <c r="G773" s="318" t="str">
        <f t="array" ref="G773">_xlfn.XLOOKUP(B773,Stock2!F:F,Stock2!J:J,"")</f>
        <v/>
      </c>
    </row>
    <row r="774">
      <c r="B774" s="429"/>
      <c r="F774" s="317" t="str">
        <f>IFERROR(VLOOKUP(B774,Stock1!F:J,5,False),"")</f>
        <v/>
      </c>
      <c r="G774" s="318" t="str">
        <f t="array" ref="G774">_xlfn.XLOOKUP(B774,Stock2!F:F,Stock2!J:J,"")</f>
        <v/>
      </c>
    </row>
    <row r="775">
      <c r="B775" s="429"/>
      <c r="F775" s="317" t="str">
        <f>IFERROR(VLOOKUP(B775,Stock1!F:J,5,False),"")</f>
        <v/>
      </c>
      <c r="G775" s="318" t="str">
        <f t="array" ref="G775">_xlfn.XLOOKUP(B775,Stock2!F:F,Stock2!J:J,"")</f>
        <v/>
      </c>
    </row>
    <row r="776">
      <c r="B776" s="429"/>
      <c r="F776" s="317" t="str">
        <f>IFERROR(VLOOKUP(B776,Stock1!F:J,5,False),"")</f>
        <v/>
      </c>
      <c r="G776" s="318" t="str">
        <f t="array" ref="G776">_xlfn.XLOOKUP(B776,Stock2!F:F,Stock2!J:J,"")</f>
        <v/>
      </c>
    </row>
    <row r="777">
      <c r="B777" s="429"/>
      <c r="F777" s="317" t="str">
        <f>IFERROR(VLOOKUP(B777,Stock1!F:J,5,False),"")</f>
        <v/>
      </c>
      <c r="G777" s="318" t="str">
        <f t="array" ref="G777">_xlfn.XLOOKUP(B777,Stock2!F:F,Stock2!J:J,"")</f>
        <v/>
      </c>
    </row>
    <row r="778">
      <c r="B778" s="429"/>
      <c r="F778" s="317" t="str">
        <f>IFERROR(VLOOKUP(B778,Stock1!F:J,5,False),"")</f>
        <v/>
      </c>
      <c r="G778" s="318" t="str">
        <f t="array" ref="G778">_xlfn.XLOOKUP(B778,Stock2!F:F,Stock2!J:J,"")</f>
        <v/>
      </c>
    </row>
    <row r="779">
      <c r="B779" s="429"/>
      <c r="F779" s="317" t="str">
        <f>IFERROR(VLOOKUP(B779,Stock1!F:J,5,False),"")</f>
        <v/>
      </c>
      <c r="G779" s="318" t="str">
        <f t="array" ref="G779">_xlfn.XLOOKUP(B779,Stock2!F:F,Stock2!J:J,"")</f>
        <v/>
      </c>
    </row>
    <row r="780">
      <c r="B780" s="429"/>
      <c r="F780" s="317" t="str">
        <f>IFERROR(VLOOKUP(B780,Stock1!F:J,5,False),"")</f>
        <v/>
      </c>
      <c r="G780" s="318" t="str">
        <f t="array" ref="G780">_xlfn.XLOOKUP(B780,Stock2!F:F,Stock2!J:J,"")</f>
        <v/>
      </c>
    </row>
    <row r="781">
      <c r="B781" s="429"/>
      <c r="F781" s="317" t="str">
        <f>IFERROR(VLOOKUP(B781,Stock1!F:J,5,False),"")</f>
        <v/>
      </c>
      <c r="G781" s="318" t="str">
        <f t="array" ref="G781">_xlfn.XLOOKUP(B781,Stock2!F:F,Stock2!J:J,"")</f>
        <v/>
      </c>
    </row>
    <row r="782">
      <c r="B782" s="429"/>
      <c r="F782" s="317" t="str">
        <f>IFERROR(VLOOKUP(B782,Stock1!F:J,5,False),"")</f>
        <v/>
      </c>
      <c r="G782" s="318" t="str">
        <f t="array" ref="G782">_xlfn.XLOOKUP(B782,Stock2!F:F,Stock2!J:J,"")</f>
        <v/>
      </c>
    </row>
    <row r="783">
      <c r="B783" s="429"/>
      <c r="F783" s="317" t="str">
        <f>IFERROR(VLOOKUP(B783,Stock1!F:J,5,False),"")</f>
        <v/>
      </c>
      <c r="G783" s="318" t="str">
        <f t="array" ref="G783">_xlfn.XLOOKUP(B783,Stock2!F:F,Stock2!J:J,"")</f>
        <v/>
      </c>
    </row>
    <row r="784">
      <c r="B784" s="429"/>
      <c r="F784" s="317" t="str">
        <f>IFERROR(VLOOKUP(B784,Stock1!F:J,5,False),"")</f>
        <v/>
      </c>
      <c r="G784" s="318" t="str">
        <f t="array" ref="G784">_xlfn.XLOOKUP(B784,Stock2!F:F,Stock2!J:J,"")</f>
        <v/>
      </c>
    </row>
    <row r="785">
      <c r="B785" s="429"/>
      <c r="F785" s="317" t="str">
        <f>IFERROR(VLOOKUP(B785,Stock1!F:J,5,False),"")</f>
        <v/>
      </c>
      <c r="G785" s="318" t="str">
        <f t="array" ref="G785">_xlfn.XLOOKUP(B785,Stock2!F:F,Stock2!J:J,"")</f>
        <v/>
      </c>
    </row>
    <row r="786">
      <c r="B786" s="429"/>
      <c r="F786" s="317" t="str">
        <f>IFERROR(VLOOKUP(B786,Stock1!F:J,5,False),"")</f>
        <v/>
      </c>
      <c r="G786" s="318" t="str">
        <f t="array" ref="G786">_xlfn.XLOOKUP(B786,Stock2!F:F,Stock2!J:J,"")</f>
        <v/>
      </c>
    </row>
    <row r="787">
      <c r="B787" s="429"/>
      <c r="F787" s="317" t="str">
        <f>IFERROR(VLOOKUP(B787,Stock1!F:J,5,False),"")</f>
        <v/>
      </c>
      <c r="G787" s="318" t="str">
        <f t="array" ref="G787">_xlfn.XLOOKUP(B787,Stock2!F:F,Stock2!J:J,"")</f>
        <v/>
      </c>
    </row>
    <row r="788">
      <c r="B788" s="429"/>
      <c r="F788" s="317" t="str">
        <f>IFERROR(VLOOKUP(B788,Stock1!F:J,5,False),"")</f>
        <v/>
      </c>
      <c r="G788" s="318" t="str">
        <f t="array" ref="G788">_xlfn.XLOOKUP(B788,Stock2!F:F,Stock2!J:J,"")</f>
        <v/>
      </c>
    </row>
    <row r="789">
      <c r="B789" s="429"/>
      <c r="F789" s="317" t="str">
        <f>IFERROR(VLOOKUP(B789,Stock1!F:J,5,False),"")</f>
        <v/>
      </c>
      <c r="G789" s="318" t="str">
        <f t="array" ref="G789">_xlfn.XLOOKUP(B789,Stock2!F:F,Stock2!J:J,"")</f>
        <v/>
      </c>
    </row>
    <row r="790">
      <c r="B790" s="429"/>
      <c r="F790" s="317" t="str">
        <f>IFERROR(VLOOKUP(B790,Stock1!F:J,5,False),"")</f>
        <v/>
      </c>
      <c r="G790" s="318" t="str">
        <f t="array" ref="G790">_xlfn.XLOOKUP(B790,Stock2!F:F,Stock2!J:J,"")</f>
        <v/>
      </c>
    </row>
    <row r="791">
      <c r="B791" s="429"/>
      <c r="F791" s="317" t="str">
        <f>IFERROR(VLOOKUP(B791,Stock1!F:J,5,False),"")</f>
        <v/>
      </c>
      <c r="G791" s="318" t="str">
        <f t="array" ref="G791">_xlfn.XLOOKUP(B791,Stock2!F:F,Stock2!J:J,"")</f>
        <v/>
      </c>
    </row>
    <row r="792">
      <c r="B792" s="429"/>
      <c r="F792" s="317" t="str">
        <f>IFERROR(VLOOKUP(B792,Stock1!F:J,5,False),"")</f>
        <v/>
      </c>
      <c r="G792" s="318" t="str">
        <f t="array" ref="G792">_xlfn.XLOOKUP(B792,Stock2!F:F,Stock2!J:J,"")</f>
        <v/>
      </c>
    </row>
    <row r="793">
      <c r="B793" s="429"/>
      <c r="F793" s="317" t="str">
        <f>IFERROR(VLOOKUP(B793,Stock1!F:J,5,False),"")</f>
        <v/>
      </c>
      <c r="G793" s="318" t="str">
        <f t="array" ref="G793">_xlfn.XLOOKUP(B793,Stock2!F:F,Stock2!J:J,"")</f>
        <v/>
      </c>
    </row>
    <row r="794">
      <c r="B794" s="429"/>
      <c r="F794" s="317" t="str">
        <f>IFERROR(VLOOKUP(B794,Stock1!F:J,5,False),"")</f>
        <v/>
      </c>
      <c r="G794" s="318" t="str">
        <f t="array" ref="G794">_xlfn.XLOOKUP(B794,Stock2!F:F,Stock2!J:J,"")</f>
        <v/>
      </c>
    </row>
    <row r="795">
      <c r="B795" s="429"/>
      <c r="F795" s="317" t="str">
        <f>IFERROR(VLOOKUP(B795,Stock1!F:J,5,False),"")</f>
        <v/>
      </c>
      <c r="G795" s="318" t="str">
        <f t="array" ref="G795">_xlfn.XLOOKUP(B795,Stock2!F:F,Stock2!J:J,"")</f>
        <v/>
      </c>
    </row>
    <row r="796">
      <c r="B796" s="429"/>
      <c r="F796" s="317" t="str">
        <f>IFERROR(VLOOKUP(B796,Stock1!F:J,5,False),"")</f>
        <v/>
      </c>
      <c r="G796" s="318" t="str">
        <f t="array" ref="G796">_xlfn.XLOOKUP(B796,Stock2!F:F,Stock2!J:J,"")</f>
        <v/>
      </c>
    </row>
    <row r="797">
      <c r="B797" s="429"/>
      <c r="F797" s="317" t="str">
        <f>IFERROR(VLOOKUP(B797,Stock1!F:J,5,False),"")</f>
        <v/>
      </c>
      <c r="G797" s="318" t="str">
        <f t="array" ref="G797">_xlfn.XLOOKUP(B797,Stock2!F:F,Stock2!J:J,"")</f>
        <v/>
      </c>
    </row>
    <row r="798">
      <c r="B798" s="429"/>
      <c r="F798" s="317" t="str">
        <f>IFERROR(VLOOKUP(B798,Stock1!F:J,5,False),"")</f>
        <v/>
      </c>
      <c r="G798" s="318" t="str">
        <f t="array" ref="G798">_xlfn.XLOOKUP(B798,Stock2!F:F,Stock2!J:J,"")</f>
        <v/>
      </c>
    </row>
    <row r="799">
      <c r="B799" s="429"/>
      <c r="F799" s="317" t="str">
        <f>IFERROR(VLOOKUP(B799,Stock1!F:J,5,False),"")</f>
        <v/>
      </c>
      <c r="G799" s="318" t="str">
        <f t="array" ref="G799">_xlfn.XLOOKUP(B799,Stock2!F:F,Stock2!J:J,"")</f>
        <v/>
      </c>
    </row>
    <row r="800">
      <c r="B800" s="429"/>
      <c r="F800" s="317" t="str">
        <f>IFERROR(VLOOKUP(B800,Stock1!F:J,5,False),"")</f>
        <v/>
      </c>
      <c r="G800" s="318" t="str">
        <f t="array" ref="G800">_xlfn.XLOOKUP(B800,Stock2!F:F,Stock2!J:J,"")</f>
        <v/>
      </c>
    </row>
    <row r="801">
      <c r="B801" s="429"/>
      <c r="F801" s="317" t="str">
        <f>IFERROR(VLOOKUP(B801,Stock1!F:J,5,False),"")</f>
        <v/>
      </c>
      <c r="G801" s="318" t="str">
        <f t="array" ref="G801">_xlfn.XLOOKUP(B801,Stock2!F:F,Stock2!J:J,"")</f>
        <v/>
      </c>
    </row>
    <row r="802">
      <c r="B802" s="429"/>
      <c r="F802" s="317" t="str">
        <f>IFERROR(VLOOKUP(B802,Stock1!F:J,5,False),"")</f>
        <v/>
      </c>
      <c r="G802" s="318" t="str">
        <f t="array" ref="G802">_xlfn.XLOOKUP(B802,Stock2!F:F,Stock2!J:J,"")</f>
        <v/>
      </c>
    </row>
    <row r="803">
      <c r="B803" s="429"/>
      <c r="F803" s="317" t="str">
        <f>IFERROR(VLOOKUP(B803,Stock1!F:J,5,False),"")</f>
        <v/>
      </c>
      <c r="G803" s="318" t="str">
        <f t="array" ref="G803">_xlfn.XLOOKUP(B803,Stock2!F:F,Stock2!J:J,"")</f>
        <v/>
      </c>
    </row>
    <row r="804">
      <c r="B804" s="429"/>
      <c r="F804" s="317" t="str">
        <f>IFERROR(VLOOKUP(B804,Stock1!F:J,5,False),"")</f>
        <v/>
      </c>
      <c r="G804" s="318" t="str">
        <f t="array" ref="G804">_xlfn.XLOOKUP(B804,Stock2!F:F,Stock2!J:J,"")</f>
        <v/>
      </c>
    </row>
    <row r="805">
      <c r="B805" s="429"/>
      <c r="F805" s="317" t="str">
        <f>IFERROR(VLOOKUP(B805,Stock1!F:J,5,False),"")</f>
        <v/>
      </c>
      <c r="G805" s="318" t="str">
        <f t="array" ref="G805">_xlfn.XLOOKUP(B805,Stock2!F:F,Stock2!J:J,"")</f>
        <v/>
      </c>
    </row>
    <row r="806">
      <c r="B806" s="429"/>
      <c r="F806" s="317" t="str">
        <f>IFERROR(VLOOKUP(B806,Stock1!F:J,5,False),"")</f>
        <v/>
      </c>
      <c r="G806" s="318" t="str">
        <f t="array" ref="G806">_xlfn.XLOOKUP(B806,Stock2!F:F,Stock2!J:J,"")</f>
        <v/>
      </c>
    </row>
    <row r="807">
      <c r="B807" s="429"/>
      <c r="F807" s="317" t="str">
        <f>IFERROR(VLOOKUP(B807,Stock1!F:J,5,False),"")</f>
        <v/>
      </c>
      <c r="G807" s="318" t="str">
        <f t="array" ref="G807">_xlfn.XLOOKUP(B807,Stock2!F:F,Stock2!J:J,"")</f>
        <v/>
      </c>
    </row>
    <row r="808">
      <c r="B808" s="429"/>
      <c r="F808" s="317" t="str">
        <f>IFERROR(VLOOKUP(B808,Stock1!F:J,5,False),"")</f>
        <v/>
      </c>
      <c r="G808" s="318" t="str">
        <f t="array" ref="G808">_xlfn.XLOOKUP(B808,Stock2!F:F,Stock2!J:J,"")</f>
        <v/>
      </c>
    </row>
    <row r="809">
      <c r="B809" s="429"/>
      <c r="F809" s="317" t="str">
        <f>IFERROR(VLOOKUP(B809,Stock1!F:J,5,False),"")</f>
        <v/>
      </c>
      <c r="G809" s="318" t="str">
        <f t="array" ref="G809">_xlfn.XLOOKUP(B809,Stock2!F:F,Stock2!J:J,"")</f>
        <v/>
      </c>
    </row>
    <row r="810">
      <c r="B810" s="429"/>
      <c r="F810" s="317" t="str">
        <f>IFERROR(VLOOKUP(B810,Stock1!F:J,5,False),"")</f>
        <v/>
      </c>
      <c r="G810" s="318" t="str">
        <f t="array" ref="G810">_xlfn.XLOOKUP(B810,Stock2!F:F,Stock2!J:J,"")</f>
        <v/>
      </c>
    </row>
    <row r="811">
      <c r="B811" s="429"/>
      <c r="F811" s="317" t="str">
        <f>IFERROR(VLOOKUP(B811,Stock1!F:J,5,False),"")</f>
        <v/>
      </c>
      <c r="G811" s="318" t="str">
        <f t="array" ref="G811">_xlfn.XLOOKUP(B811,Stock2!F:F,Stock2!J:J,"")</f>
        <v/>
      </c>
    </row>
    <row r="812">
      <c r="B812" s="429"/>
      <c r="F812" s="317" t="str">
        <f>IFERROR(VLOOKUP(B812,Stock1!F:J,5,False),"")</f>
        <v/>
      </c>
      <c r="G812" s="318" t="str">
        <f t="array" ref="G812">_xlfn.XLOOKUP(B812,Stock2!F:F,Stock2!J:J,"")</f>
        <v/>
      </c>
    </row>
    <row r="813">
      <c r="B813" s="429"/>
      <c r="F813" s="317" t="str">
        <f>IFERROR(VLOOKUP(B813,Stock1!F:J,5,False),"")</f>
        <v/>
      </c>
      <c r="G813" s="318" t="str">
        <f t="array" ref="G813">_xlfn.XLOOKUP(B813,Stock2!F:F,Stock2!J:J,"")</f>
        <v/>
      </c>
    </row>
    <row r="814">
      <c r="B814" s="429"/>
      <c r="F814" s="317" t="str">
        <f>IFERROR(VLOOKUP(B814,Stock1!F:J,5,False),"")</f>
        <v/>
      </c>
      <c r="G814" s="318" t="str">
        <f t="array" ref="G814">_xlfn.XLOOKUP(B814,Stock2!F:F,Stock2!J:J,"")</f>
        <v/>
      </c>
    </row>
    <row r="815">
      <c r="B815" s="429"/>
      <c r="F815" s="317" t="str">
        <f>IFERROR(VLOOKUP(B815,Stock1!F:J,5,False),"")</f>
        <v/>
      </c>
      <c r="G815" s="318" t="str">
        <f t="array" ref="G815">_xlfn.XLOOKUP(B815,Stock2!F:F,Stock2!J:J,"")</f>
        <v/>
      </c>
    </row>
    <row r="816">
      <c r="B816" s="429"/>
      <c r="F816" s="317" t="str">
        <f>IFERROR(VLOOKUP(B816,Stock1!F:J,5,False),"")</f>
        <v/>
      </c>
      <c r="G816" s="318" t="str">
        <f t="array" ref="G816">_xlfn.XLOOKUP(B816,Stock2!F:F,Stock2!J:J,"")</f>
        <v/>
      </c>
    </row>
    <row r="817">
      <c r="B817" s="429"/>
      <c r="F817" s="317" t="str">
        <f>IFERROR(VLOOKUP(B817,Stock1!F:J,5,False),"")</f>
        <v/>
      </c>
      <c r="G817" s="318" t="str">
        <f t="array" ref="G817">_xlfn.XLOOKUP(B817,Stock2!F:F,Stock2!J:J,"")</f>
        <v/>
      </c>
    </row>
    <row r="818">
      <c r="B818" s="429"/>
      <c r="F818" s="317" t="str">
        <f>IFERROR(VLOOKUP(B818,Stock1!F:J,5,False),"")</f>
        <v/>
      </c>
      <c r="G818" s="318" t="str">
        <f t="array" ref="G818">_xlfn.XLOOKUP(B818,Stock2!F:F,Stock2!J:J,"")</f>
        <v/>
      </c>
    </row>
    <row r="819">
      <c r="B819" s="429"/>
      <c r="F819" s="317" t="str">
        <f>IFERROR(VLOOKUP(B819,Stock1!F:J,5,False),"")</f>
        <v/>
      </c>
      <c r="G819" s="318" t="str">
        <f t="array" ref="G819">_xlfn.XLOOKUP(B819,Stock2!F:F,Stock2!J:J,"")</f>
        <v/>
      </c>
    </row>
    <row r="820">
      <c r="B820" s="429"/>
      <c r="F820" s="317" t="str">
        <f>IFERROR(VLOOKUP(B820,Stock1!F:J,5,False),"")</f>
        <v/>
      </c>
      <c r="G820" s="318" t="str">
        <f t="array" ref="G820">_xlfn.XLOOKUP(B820,Stock2!F:F,Stock2!J:J,"")</f>
        <v/>
      </c>
    </row>
    <row r="821">
      <c r="B821" s="429"/>
      <c r="F821" s="317" t="str">
        <f>IFERROR(VLOOKUP(B821,Stock1!F:J,5,False),"")</f>
        <v/>
      </c>
      <c r="G821" s="318" t="str">
        <f t="array" ref="G821">_xlfn.XLOOKUP(B821,Stock2!F:F,Stock2!J:J,"")</f>
        <v/>
      </c>
    </row>
    <row r="822">
      <c r="B822" s="429"/>
      <c r="F822" s="317" t="str">
        <f>IFERROR(VLOOKUP(B822,Stock1!F:J,5,False),"")</f>
        <v/>
      </c>
      <c r="G822" s="318" t="str">
        <f t="array" ref="G822">_xlfn.XLOOKUP(B822,Stock2!F:F,Stock2!J:J,"")</f>
        <v/>
      </c>
    </row>
    <row r="823">
      <c r="B823" s="429"/>
      <c r="F823" s="317" t="str">
        <f>IFERROR(VLOOKUP(B823,Stock1!F:J,5,False),"")</f>
        <v/>
      </c>
      <c r="G823" s="318" t="str">
        <f t="array" ref="G823">_xlfn.XLOOKUP(B823,Stock2!F:F,Stock2!J:J,"")</f>
        <v/>
      </c>
    </row>
    <row r="824">
      <c r="B824" s="429"/>
      <c r="F824" s="317" t="str">
        <f>IFERROR(VLOOKUP(B824,Stock1!F:J,5,False),"")</f>
        <v/>
      </c>
      <c r="G824" s="318" t="str">
        <f t="array" ref="G824">_xlfn.XLOOKUP(B824,Stock2!F:F,Stock2!J:J,"")</f>
        <v/>
      </c>
    </row>
    <row r="825">
      <c r="B825" s="429"/>
      <c r="F825" s="317" t="str">
        <f>IFERROR(VLOOKUP(B825,Stock1!F:J,5,False),"")</f>
        <v/>
      </c>
      <c r="G825" s="318" t="str">
        <f t="array" ref="G825">_xlfn.XLOOKUP(B825,Stock2!F:F,Stock2!J:J,"")</f>
        <v/>
      </c>
    </row>
    <row r="826">
      <c r="B826" s="429"/>
      <c r="F826" s="317" t="str">
        <f>IFERROR(VLOOKUP(B826,Stock1!F:J,5,False),"")</f>
        <v/>
      </c>
      <c r="G826" s="318" t="str">
        <f t="array" ref="G826">_xlfn.XLOOKUP(B826,Stock2!F:F,Stock2!J:J,"")</f>
        <v/>
      </c>
    </row>
    <row r="827">
      <c r="B827" s="429"/>
      <c r="F827" s="317" t="str">
        <f>IFERROR(VLOOKUP(B827,Stock1!F:J,5,False),"")</f>
        <v/>
      </c>
      <c r="G827" s="318" t="str">
        <f t="array" ref="G827">_xlfn.XLOOKUP(B827,Stock2!F:F,Stock2!J:J,"")</f>
        <v/>
      </c>
    </row>
    <row r="828">
      <c r="B828" s="429"/>
      <c r="F828" s="317" t="str">
        <f>IFERROR(VLOOKUP(B828,Stock1!F:J,5,False),"")</f>
        <v/>
      </c>
      <c r="G828" s="318" t="str">
        <f t="array" ref="G828">_xlfn.XLOOKUP(B828,Stock2!F:F,Stock2!J:J,"")</f>
        <v/>
      </c>
    </row>
    <row r="829">
      <c r="B829" s="429"/>
      <c r="F829" s="317" t="str">
        <f>IFERROR(VLOOKUP(B829,Stock1!F:J,5,False),"")</f>
        <v/>
      </c>
      <c r="G829" s="318" t="str">
        <f t="array" ref="G829">_xlfn.XLOOKUP(B829,Stock2!F:F,Stock2!J:J,"")</f>
        <v/>
      </c>
    </row>
    <row r="830">
      <c r="B830" s="429"/>
      <c r="F830" s="317" t="str">
        <f>IFERROR(VLOOKUP(B830,Stock1!F:J,5,False),"")</f>
        <v/>
      </c>
      <c r="G830" s="318" t="str">
        <f t="array" ref="G830">_xlfn.XLOOKUP(B830,Stock2!F:F,Stock2!J:J,"")</f>
        <v/>
      </c>
    </row>
    <row r="831">
      <c r="B831" s="429"/>
      <c r="F831" s="317" t="str">
        <f>IFERROR(VLOOKUP(B831,Stock1!F:J,5,False),"")</f>
        <v/>
      </c>
      <c r="G831" s="318" t="str">
        <f t="array" ref="G831">_xlfn.XLOOKUP(B831,Stock2!F:F,Stock2!J:J,"")</f>
        <v/>
      </c>
    </row>
    <row r="832">
      <c r="B832" s="429"/>
      <c r="F832" s="317" t="str">
        <f>IFERROR(VLOOKUP(B832,Stock1!F:J,5,False),"")</f>
        <v/>
      </c>
      <c r="G832" s="318" t="str">
        <f t="array" ref="G832">_xlfn.XLOOKUP(B832,Stock2!F:F,Stock2!J:J,"")</f>
        <v/>
      </c>
    </row>
    <row r="833">
      <c r="B833" s="429"/>
      <c r="F833" s="317" t="str">
        <f>IFERROR(VLOOKUP(B833,Stock1!F:J,5,False),"")</f>
        <v/>
      </c>
      <c r="G833" s="318" t="str">
        <f t="array" ref="G833">_xlfn.XLOOKUP(B833,Stock2!F:F,Stock2!J:J,"")</f>
        <v/>
      </c>
    </row>
    <row r="834">
      <c r="B834" s="429"/>
      <c r="F834" s="317" t="str">
        <f>IFERROR(VLOOKUP(B834,Stock1!F:J,5,False),"")</f>
        <v/>
      </c>
      <c r="G834" s="318" t="str">
        <f t="array" ref="G834">_xlfn.XLOOKUP(B834,Stock2!F:F,Stock2!J:J,"")</f>
        <v/>
      </c>
    </row>
    <row r="835">
      <c r="B835" s="429"/>
      <c r="F835" s="317" t="str">
        <f>IFERROR(VLOOKUP(B835,Stock1!F:J,5,False),"")</f>
        <v/>
      </c>
      <c r="G835" s="318" t="str">
        <f t="array" ref="G835">_xlfn.XLOOKUP(B835,Stock2!F:F,Stock2!J:J,"")</f>
        <v/>
      </c>
    </row>
    <row r="836">
      <c r="B836" s="429"/>
      <c r="F836" s="317" t="str">
        <f>IFERROR(VLOOKUP(B836,Stock1!F:J,5,False),"")</f>
        <v/>
      </c>
      <c r="G836" s="318" t="str">
        <f t="array" ref="G836">_xlfn.XLOOKUP(B836,Stock2!F:F,Stock2!J:J,"")</f>
        <v/>
      </c>
    </row>
    <row r="837">
      <c r="B837" s="429"/>
      <c r="F837" s="317" t="str">
        <f>IFERROR(VLOOKUP(B837,Stock1!F:J,5,False),"")</f>
        <v/>
      </c>
      <c r="G837" s="318" t="str">
        <f t="array" ref="G837">_xlfn.XLOOKUP(B837,Stock2!F:F,Stock2!J:J,"")</f>
        <v/>
      </c>
    </row>
    <row r="838">
      <c r="B838" s="429"/>
      <c r="F838" s="317" t="str">
        <f>IFERROR(VLOOKUP(B838,Stock1!F:J,5,False),"")</f>
        <v/>
      </c>
      <c r="G838" s="318" t="str">
        <f t="array" ref="G838">_xlfn.XLOOKUP(B838,Stock2!F:F,Stock2!J:J,"")</f>
        <v/>
      </c>
    </row>
    <row r="839">
      <c r="B839" s="429"/>
      <c r="F839" s="317" t="str">
        <f>IFERROR(VLOOKUP(B839,Stock1!F:J,5,False),"")</f>
        <v/>
      </c>
      <c r="G839" s="318" t="str">
        <f t="array" ref="G839">_xlfn.XLOOKUP(B839,Stock2!F:F,Stock2!J:J,"")</f>
        <v/>
      </c>
    </row>
    <row r="840">
      <c r="B840" s="429"/>
      <c r="F840" s="317" t="str">
        <f>IFERROR(VLOOKUP(B840,Stock1!F:J,5,False),"")</f>
        <v/>
      </c>
      <c r="G840" s="318" t="str">
        <f t="array" ref="G840">_xlfn.XLOOKUP(B840,Stock2!F:F,Stock2!J:J,"")</f>
        <v/>
      </c>
    </row>
    <row r="841">
      <c r="B841" s="429"/>
      <c r="F841" s="317" t="str">
        <f>IFERROR(VLOOKUP(B841,Stock1!F:J,5,False),"")</f>
        <v/>
      </c>
      <c r="G841" s="318" t="str">
        <f t="array" ref="G841">_xlfn.XLOOKUP(B841,Stock2!F:F,Stock2!J:J,"")</f>
        <v/>
      </c>
    </row>
    <row r="842">
      <c r="B842" s="429"/>
      <c r="F842" s="317" t="str">
        <f>IFERROR(VLOOKUP(B842,Stock1!F:J,5,False),"")</f>
        <v/>
      </c>
      <c r="G842" s="318" t="str">
        <f t="array" ref="G842">_xlfn.XLOOKUP(B842,Stock2!F:F,Stock2!J:J,"")</f>
        <v/>
      </c>
    </row>
    <row r="843">
      <c r="B843" s="429"/>
      <c r="F843" s="317" t="str">
        <f>IFERROR(VLOOKUP(B843,Stock1!F:J,5,False),"")</f>
        <v/>
      </c>
      <c r="G843" s="318" t="str">
        <f t="array" ref="G843">_xlfn.XLOOKUP(B843,Stock2!F:F,Stock2!J:J,"")</f>
        <v/>
      </c>
    </row>
    <row r="844">
      <c r="B844" s="429"/>
      <c r="F844" s="317" t="str">
        <f>IFERROR(VLOOKUP(B844,Stock1!F:J,5,False),"")</f>
        <v/>
      </c>
      <c r="G844" s="318" t="str">
        <f t="array" ref="G844">_xlfn.XLOOKUP(B844,Stock2!F:F,Stock2!J:J,"")</f>
        <v/>
      </c>
    </row>
    <row r="845">
      <c r="B845" s="429"/>
      <c r="F845" s="317" t="str">
        <f>IFERROR(VLOOKUP(B845,Stock1!F:J,5,False),"")</f>
        <v/>
      </c>
      <c r="G845" s="318" t="str">
        <f t="array" ref="G845">_xlfn.XLOOKUP(B845,Stock2!F:F,Stock2!J:J,"")</f>
        <v/>
      </c>
    </row>
    <row r="846">
      <c r="B846" s="429"/>
      <c r="F846" s="317" t="str">
        <f>IFERROR(VLOOKUP(B846,Stock1!F:J,5,False),"")</f>
        <v/>
      </c>
      <c r="G846" s="318" t="str">
        <f t="array" ref="G846">_xlfn.XLOOKUP(B846,Stock2!F:F,Stock2!J:J,"")</f>
        <v/>
      </c>
    </row>
    <row r="847">
      <c r="B847" s="429"/>
      <c r="F847" s="317" t="str">
        <f>IFERROR(VLOOKUP(B847,Stock1!F:J,5,False),"")</f>
        <v/>
      </c>
      <c r="G847" s="318" t="str">
        <f t="array" ref="G847">_xlfn.XLOOKUP(B847,Stock2!F:F,Stock2!J:J,"")</f>
        <v/>
      </c>
    </row>
    <row r="848">
      <c r="B848" s="429"/>
      <c r="F848" s="317" t="str">
        <f>IFERROR(VLOOKUP(B848,Stock1!F:J,5,False),"")</f>
        <v/>
      </c>
      <c r="G848" s="318" t="str">
        <f t="array" ref="G848">_xlfn.XLOOKUP(B848,Stock2!F:F,Stock2!J:J,"")</f>
        <v/>
      </c>
    </row>
    <row r="849">
      <c r="B849" s="429"/>
      <c r="F849" s="317" t="str">
        <f>IFERROR(VLOOKUP(B849,Stock1!F:J,5,False),"")</f>
        <v/>
      </c>
      <c r="G849" s="318" t="str">
        <f t="array" ref="G849">_xlfn.XLOOKUP(B849,Stock2!F:F,Stock2!J:J,"")</f>
        <v/>
      </c>
    </row>
    <row r="850">
      <c r="B850" s="429"/>
      <c r="F850" s="317" t="str">
        <f>IFERROR(VLOOKUP(B850,Stock1!F:J,5,False),"")</f>
        <v/>
      </c>
      <c r="G850" s="318" t="str">
        <f t="array" ref="G850">_xlfn.XLOOKUP(B850,Stock2!F:F,Stock2!J:J,"")</f>
        <v/>
      </c>
    </row>
    <row r="851">
      <c r="B851" s="429"/>
      <c r="F851" s="317" t="str">
        <f>IFERROR(VLOOKUP(B851,Stock1!F:J,5,False),"")</f>
        <v/>
      </c>
      <c r="G851" s="318" t="str">
        <f t="array" ref="G851">_xlfn.XLOOKUP(B851,Stock2!F:F,Stock2!J:J,"")</f>
        <v/>
      </c>
    </row>
    <row r="852">
      <c r="B852" s="429"/>
      <c r="F852" s="317" t="str">
        <f>IFERROR(VLOOKUP(B852,Stock1!F:J,5,False),"")</f>
        <v/>
      </c>
      <c r="G852" s="318" t="str">
        <f t="array" ref="G852">_xlfn.XLOOKUP(B852,Stock2!F:F,Stock2!J:J,"")</f>
        <v/>
      </c>
    </row>
    <row r="853">
      <c r="B853" s="429"/>
      <c r="F853" s="317" t="str">
        <f>IFERROR(VLOOKUP(B853,Stock1!F:J,5,False),"")</f>
        <v/>
      </c>
      <c r="G853" s="318" t="str">
        <f t="array" ref="G853">_xlfn.XLOOKUP(B853,Stock2!F:F,Stock2!J:J,"")</f>
        <v/>
      </c>
    </row>
    <row r="854">
      <c r="B854" s="429"/>
      <c r="F854" s="317" t="str">
        <f>IFERROR(VLOOKUP(B854,Stock1!F:J,5,False),"")</f>
        <v/>
      </c>
      <c r="G854" s="318" t="str">
        <f t="array" ref="G854">_xlfn.XLOOKUP(B854,Stock2!F:F,Stock2!J:J,"")</f>
        <v/>
      </c>
    </row>
    <row r="855">
      <c r="B855" s="429"/>
      <c r="F855" s="317" t="str">
        <f>IFERROR(VLOOKUP(B855,Stock1!F:J,5,False),"")</f>
        <v/>
      </c>
      <c r="G855" s="318" t="str">
        <f t="array" ref="G855">_xlfn.XLOOKUP(B855,Stock2!F:F,Stock2!J:J,"")</f>
        <v/>
      </c>
    </row>
    <row r="856">
      <c r="B856" s="429"/>
      <c r="F856" s="317" t="str">
        <f>IFERROR(VLOOKUP(B856,Stock1!F:J,5,False),"")</f>
        <v/>
      </c>
      <c r="G856" s="318" t="str">
        <f t="array" ref="G856">_xlfn.XLOOKUP(B856,Stock2!F:F,Stock2!J:J,"")</f>
        <v/>
      </c>
    </row>
    <row r="857">
      <c r="B857" s="429"/>
      <c r="F857" s="317" t="str">
        <f>IFERROR(VLOOKUP(B857,Stock1!F:J,5,False),"")</f>
        <v/>
      </c>
      <c r="G857" s="318" t="str">
        <f t="array" ref="G857">_xlfn.XLOOKUP(B857,Stock2!F:F,Stock2!J:J,"")</f>
        <v/>
      </c>
    </row>
    <row r="858">
      <c r="B858" s="429"/>
      <c r="F858" s="317" t="str">
        <f>IFERROR(VLOOKUP(B858,Stock1!F:J,5,False),"")</f>
        <v/>
      </c>
      <c r="G858" s="318" t="str">
        <f t="array" ref="G858">_xlfn.XLOOKUP(B858,Stock2!F:F,Stock2!J:J,"")</f>
        <v/>
      </c>
    </row>
    <row r="859">
      <c r="B859" s="429"/>
      <c r="F859" s="317" t="str">
        <f>IFERROR(VLOOKUP(B859,Stock1!F:J,5,False),"")</f>
        <v/>
      </c>
      <c r="G859" s="318" t="str">
        <f t="array" ref="G859">_xlfn.XLOOKUP(B859,Stock2!F:F,Stock2!J:J,"")</f>
        <v/>
      </c>
    </row>
    <row r="860">
      <c r="B860" s="429"/>
      <c r="F860" s="317" t="str">
        <f>IFERROR(VLOOKUP(B860,Stock1!F:J,5,False),"")</f>
        <v/>
      </c>
      <c r="G860" s="318" t="str">
        <f t="array" ref="G860">_xlfn.XLOOKUP(B860,Stock2!F:F,Stock2!J:J,"")</f>
        <v/>
      </c>
    </row>
    <row r="861">
      <c r="B861" s="429"/>
      <c r="F861" s="317" t="str">
        <f>IFERROR(VLOOKUP(B861,Stock1!F:J,5,False),"")</f>
        <v/>
      </c>
      <c r="G861" s="318" t="str">
        <f t="array" ref="G861">_xlfn.XLOOKUP(B861,Stock2!F:F,Stock2!J:J,"")</f>
        <v/>
      </c>
    </row>
    <row r="862">
      <c r="B862" s="429"/>
      <c r="F862" s="317" t="str">
        <f>IFERROR(VLOOKUP(B862,Stock1!F:J,5,False),"")</f>
        <v/>
      </c>
      <c r="G862" s="318" t="str">
        <f t="array" ref="G862">_xlfn.XLOOKUP(B862,Stock2!F:F,Stock2!J:J,"")</f>
        <v/>
      </c>
    </row>
    <row r="863">
      <c r="B863" s="429"/>
      <c r="F863" s="317" t="str">
        <f>IFERROR(VLOOKUP(B863,Stock1!F:J,5,False),"")</f>
        <v/>
      </c>
      <c r="G863" s="318" t="str">
        <f t="array" ref="G863">_xlfn.XLOOKUP(B863,Stock2!F:F,Stock2!J:J,"")</f>
        <v/>
      </c>
    </row>
    <row r="864">
      <c r="B864" s="429"/>
      <c r="F864" s="317" t="str">
        <f>IFERROR(VLOOKUP(B864,Stock1!F:J,5,False),"")</f>
        <v/>
      </c>
      <c r="G864" s="318" t="str">
        <f t="array" ref="G864">_xlfn.XLOOKUP(B864,Stock2!F:F,Stock2!J:J,"")</f>
        <v/>
      </c>
    </row>
    <row r="865">
      <c r="B865" s="429"/>
      <c r="F865" s="317" t="str">
        <f>IFERROR(VLOOKUP(B865,Stock1!F:J,5,False),"")</f>
        <v/>
      </c>
      <c r="G865" s="318" t="str">
        <f t="array" ref="G865">_xlfn.XLOOKUP(B865,Stock2!F:F,Stock2!J:J,"")</f>
        <v/>
      </c>
    </row>
    <row r="866">
      <c r="B866" s="429"/>
      <c r="F866" s="317" t="str">
        <f>IFERROR(VLOOKUP(B866,Stock1!F:J,5,False),"")</f>
        <v/>
      </c>
      <c r="G866" s="318" t="str">
        <f t="array" ref="G866">_xlfn.XLOOKUP(B866,Stock2!F:F,Stock2!J:J,"")</f>
        <v/>
      </c>
    </row>
    <row r="867">
      <c r="B867" s="429"/>
      <c r="F867" s="317" t="str">
        <f>IFERROR(VLOOKUP(B867,Stock1!F:J,5,False),"")</f>
        <v/>
      </c>
      <c r="G867" s="318" t="str">
        <f t="array" ref="G867">_xlfn.XLOOKUP(B867,Stock2!F:F,Stock2!J:J,"")</f>
        <v/>
      </c>
    </row>
    <row r="868">
      <c r="B868" s="429"/>
      <c r="F868" s="317" t="str">
        <f>IFERROR(VLOOKUP(B868,Stock1!F:J,5,False),"")</f>
        <v/>
      </c>
      <c r="G868" s="318" t="str">
        <f t="array" ref="G868">_xlfn.XLOOKUP(B868,Stock2!F:F,Stock2!J:J,"")</f>
        <v/>
      </c>
    </row>
    <row r="869">
      <c r="B869" s="429"/>
      <c r="F869" s="317" t="str">
        <f>IFERROR(VLOOKUP(B869,Stock1!F:J,5,False),"")</f>
        <v/>
      </c>
      <c r="G869" s="318" t="str">
        <f t="array" ref="G869">_xlfn.XLOOKUP(B869,Stock2!F:F,Stock2!J:J,"")</f>
        <v/>
      </c>
    </row>
    <row r="870">
      <c r="B870" s="429"/>
      <c r="F870" s="317" t="str">
        <f>IFERROR(VLOOKUP(B870,Stock1!F:J,5,False),"")</f>
        <v/>
      </c>
      <c r="G870" s="318" t="str">
        <f t="array" ref="G870">_xlfn.XLOOKUP(B870,Stock2!F:F,Stock2!J:J,"")</f>
        <v/>
      </c>
    </row>
    <row r="871">
      <c r="B871" s="429"/>
      <c r="F871" s="317" t="str">
        <f>IFERROR(VLOOKUP(B871,Stock1!F:J,5,False),"")</f>
        <v/>
      </c>
      <c r="G871" s="318" t="str">
        <f t="array" ref="G871">_xlfn.XLOOKUP(B871,Stock2!F:F,Stock2!J:J,"")</f>
        <v/>
      </c>
    </row>
    <row r="872">
      <c r="B872" s="429"/>
      <c r="F872" s="317" t="str">
        <f>IFERROR(VLOOKUP(B872,Stock1!F:J,5,False),"")</f>
        <v/>
      </c>
      <c r="G872" s="318" t="str">
        <f t="array" ref="G872">_xlfn.XLOOKUP(B872,Stock2!F:F,Stock2!J:J,"")</f>
        <v/>
      </c>
    </row>
    <row r="873">
      <c r="B873" s="429"/>
      <c r="F873" s="317" t="str">
        <f>IFERROR(VLOOKUP(B873,Stock1!F:J,5,False),"")</f>
        <v/>
      </c>
      <c r="G873" s="318" t="str">
        <f t="array" ref="G873">_xlfn.XLOOKUP(B873,Stock2!F:F,Stock2!J:J,"")</f>
        <v/>
      </c>
    </row>
    <row r="874">
      <c r="B874" s="429"/>
      <c r="F874" s="317" t="str">
        <f>IFERROR(VLOOKUP(B874,Stock1!F:J,5,False),"")</f>
        <v/>
      </c>
      <c r="G874" s="318" t="str">
        <f t="array" ref="G874">_xlfn.XLOOKUP(B874,Stock2!F:F,Stock2!J:J,"")</f>
        <v/>
      </c>
    </row>
    <row r="875">
      <c r="B875" s="429"/>
      <c r="F875" s="317" t="str">
        <f>IFERROR(VLOOKUP(B875,Stock1!F:J,5,False),"")</f>
        <v/>
      </c>
      <c r="G875" s="318" t="str">
        <f t="array" ref="G875">_xlfn.XLOOKUP(B875,Stock2!F:F,Stock2!J:J,"")</f>
        <v/>
      </c>
    </row>
    <row r="876">
      <c r="B876" s="429"/>
      <c r="F876" s="317" t="str">
        <f>IFERROR(VLOOKUP(B876,Stock1!F:J,5,False),"")</f>
        <v/>
      </c>
      <c r="G876" s="318" t="str">
        <f t="array" ref="G876">_xlfn.XLOOKUP(B876,Stock2!F:F,Stock2!J:J,"")</f>
        <v/>
      </c>
    </row>
    <row r="877">
      <c r="B877" s="429"/>
      <c r="F877" s="317" t="str">
        <f>IFERROR(VLOOKUP(B877,Stock1!F:J,5,False),"")</f>
        <v/>
      </c>
      <c r="G877" s="318" t="str">
        <f t="array" ref="G877">_xlfn.XLOOKUP(B877,Stock2!F:F,Stock2!J:J,"")</f>
        <v/>
      </c>
    </row>
    <row r="878">
      <c r="B878" s="429"/>
      <c r="F878" s="317" t="str">
        <f>IFERROR(VLOOKUP(B878,Stock1!F:J,5,False),"")</f>
        <v/>
      </c>
      <c r="G878" s="318" t="str">
        <f t="array" ref="G878">_xlfn.XLOOKUP(B878,Stock2!F:F,Stock2!J:J,"")</f>
        <v/>
      </c>
    </row>
    <row r="879">
      <c r="B879" s="429"/>
      <c r="F879" s="317" t="str">
        <f>IFERROR(VLOOKUP(B879,Stock1!F:J,5,False),"")</f>
        <v/>
      </c>
      <c r="G879" s="318" t="str">
        <f t="array" ref="G879">_xlfn.XLOOKUP(B879,Stock2!F:F,Stock2!J:J,"")</f>
        <v/>
      </c>
    </row>
    <row r="880">
      <c r="B880" s="429"/>
      <c r="F880" s="317" t="str">
        <f>IFERROR(VLOOKUP(B880,Stock1!F:J,5,False),"")</f>
        <v/>
      </c>
      <c r="G880" s="318" t="str">
        <f t="array" ref="G880">_xlfn.XLOOKUP(B880,Stock2!F:F,Stock2!J:J,"")</f>
        <v/>
      </c>
    </row>
    <row r="881">
      <c r="B881" s="429"/>
      <c r="F881" s="317" t="str">
        <f>IFERROR(VLOOKUP(B881,Stock1!F:J,5,False),"")</f>
        <v/>
      </c>
      <c r="G881" s="318" t="str">
        <f t="array" ref="G881">_xlfn.XLOOKUP(B881,Stock2!F:F,Stock2!J:J,"")</f>
        <v/>
      </c>
    </row>
    <row r="882">
      <c r="B882" s="429"/>
      <c r="F882" s="317" t="str">
        <f>IFERROR(VLOOKUP(B882,Stock1!F:J,5,False),"")</f>
        <v/>
      </c>
      <c r="G882" s="318" t="str">
        <f t="array" ref="G882">_xlfn.XLOOKUP(B882,Stock2!F:F,Stock2!J:J,"")</f>
        <v/>
      </c>
    </row>
    <row r="883">
      <c r="B883" s="429"/>
      <c r="F883" s="317" t="str">
        <f>IFERROR(VLOOKUP(B883,Stock1!F:J,5,False),"")</f>
        <v/>
      </c>
      <c r="G883" s="318" t="str">
        <f t="array" ref="G883">_xlfn.XLOOKUP(B883,Stock2!F:F,Stock2!J:J,"")</f>
        <v/>
      </c>
    </row>
    <row r="884">
      <c r="B884" s="429"/>
      <c r="F884" s="317" t="str">
        <f>IFERROR(VLOOKUP(B884,Stock1!F:J,5,False),"")</f>
        <v/>
      </c>
      <c r="G884" s="318" t="str">
        <f t="array" ref="G884">_xlfn.XLOOKUP(B884,Stock2!F:F,Stock2!J:J,"")</f>
        <v/>
      </c>
    </row>
    <row r="885">
      <c r="B885" s="429"/>
      <c r="F885" s="317" t="str">
        <f>IFERROR(VLOOKUP(B885,Stock1!F:J,5,False),"")</f>
        <v/>
      </c>
      <c r="G885" s="318" t="str">
        <f t="array" ref="G885">_xlfn.XLOOKUP(B885,Stock2!F:F,Stock2!J:J,"")</f>
        <v/>
      </c>
    </row>
    <row r="886">
      <c r="B886" s="429"/>
      <c r="F886" s="317" t="str">
        <f>IFERROR(VLOOKUP(B886,Stock1!F:J,5,False),"")</f>
        <v/>
      </c>
      <c r="G886" s="318" t="str">
        <f t="array" ref="G886">_xlfn.XLOOKUP(B886,Stock2!F:F,Stock2!J:J,"")</f>
        <v/>
      </c>
    </row>
    <row r="887">
      <c r="B887" s="429"/>
      <c r="F887" s="317" t="str">
        <f>IFERROR(VLOOKUP(B887,Stock1!F:J,5,False),"")</f>
        <v/>
      </c>
      <c r="G887" s="318" t="str">
        <f t="array" ref="G887">_xlfn.XLOOKUP(B887,Stock2!F:F,Stock2!J:J,"")</f>
        <v/>
      </c>
    </row>
    <row r="888">
      <c r="B888" s="429"/>
      <c r="F888" s="317" t="str">
        <f>IFERROR(VLOOKUP(B888,Stock1!F:J,5,False),"")</f>
        <v/>
      </c>
      <c r="G888" s="318" t="str">
        <f t="array" ref="G888">_xlfn.XLOOKUP(B888,Stock2!F:F,Stock2!J:J,"")</f>
        <v/>
      </c>
    </row>
    <row r="889">
      <c r="B889" s="429"/>
      <c r="F889" s="317" t="str">
        <f>IFERROR(VLOOKUP(B889,Stock1!F:J,5,False),"")</f>
        <v/>
      </c>
      <c r="G889" s="318" t="str">
        <f t="array" ref="G889">_xlfn.XLOOKUP(B889,Stock2!F:F,Stock2!J:J,"")</f>
        <v/>
      </c>
    </row>
    <row r="890">
      <c r="B890" s="429"/>
      <c r="F890" s="317" t="str">
        <f>IFERROR(VLOOKUP(B890,Stock1!F:J,5,False),"")</f>
        <v/>
      </c>
      <c r="G890" s="318" t="str">
        <f t="array" ref="G890">_xlfn.XLOOKUP(B890,Stock2!F:F,Stock2!J:J,"")</f>
        <v/>
      </c>
    </row>
    <row r="891">
      <c r="B891" s="429"/>
      <c r="F891" s="317" t="str">
        <f>IFERROR(VLOOKUP(B891,Stock1!F:J,5,False),"")</f>
        <v/>
      </c>
      <c r="G891" s="318" t="str">
        <f t="array" ref="G891">_xlfn.XLOOKUP(B891,Stock2!F:F,Stock2!J:J,"")</f>
        <v/>
      </c>
    </row>
    <row r="892">
      <c r="B892" s="429"/>
      <c r="F892" s="317" t="str">
        <f>IFERROR(VLOOKUP(B892,Stock1!F:J,5,False),"")</f>
        <v/>
      </c>
      <c r="G892" s="318" t="str">
        <f t="array" ref="G892">_xlfn.XLOOKUP(B892,Stock2!F:F,Stock2!J:J,"")</f>
        <v/>
      </c>
    </row>
    <row r="893">
      <c r="B893" s="429"/>
      <c r="F893" s="317" t="str">
        <f>IFERROR(VLOOKUP(B893,Stock1!F:J,5,False),"")</f>
        <v/>
      </c>
      <c r="G893" s="318" t="str">
        <f t="array" ref="G893">_xlfn.XLOOKUP(B893,Stock2!F:F,Stock2!J:J,"")</f>
        <v/>
      </c>
    </row>
    <row r="894">
      <c r="B894" s="429"/>
      <c r="F894" s="317" t="str">
        <f>IFERROR(VLOOKUP(B894,Stock1!F:J,5,False),"")</f>
        <v/>
      </c>
      <c r="G894" s="318" t="str">
        <f t="array" ref="G894">_xlfn.XLOOKUP(B894,Stock2!F:F,Stock2!J:J,"")</f>
        <v/>
      </c>
    </row>
    <row r="895">
      <c r="B895" s="429"/>
      <c r="F895" s="317" t="str">
        <f>IFERROR(VLOOKUP(B895,Stock1!F:J,5,False),"")</f>
        <v/>
      </c>
      <c r="G895" s="318" t="str">
        <f t="array" ref="G895">_xlfn.XLOOKUP(B895,Stock2!F:F,Stock2!J:J,"")</f>
        <v/>
      </c>
    </row>
    <row r="896">
      <c r="B896" s="429"/>
      <c r="F896" s="317" t="str">
        <f>IFERROR(VLOOKUP(B896,Stock1!F:J,5,False),"")</f>
        <v/>
      </c>
      <c r="G896" s="318" t="str">
        <f t="array" ref="G896">_xlfn.XLOOKUP(B896,Stock2!F:F,Stock2!J:J,"")</f>
        <v/>
      </c>
    </row>
    <row r="897">
      <c r="B897" s="429"/>
      <c r="F897" s="317" t="str">
        <f>IFERROR(VLOOKUP(B897,Stock1!F:J,5,False),"")</f>
        <v/>
      </c>
      <c r="G897" s="318" t="str">
        <f t="array" ref="G897">_xlfn.XLOOKUP(B897,Stock2!F:F,Stock2!J:J,"")</f>
        <v/>
      </c>
    </row>
    <row r="898">
      <c r="B898" s="429"/>
      <c r="F898" s="317" t="str">
        <f>IFERROR(VLOOKUP(B898,Stock1!F:J,5,False),"")</f>
        <v/>
      </c>
      <c r="G898" s="318" t="str">
        <f t="array" ref="G898">_xlfn.XLOOKUP(B898,Stock2!F:F,Stock2!J:J,"")</f>
        <v/>
      </c>
    </row>
    <row r="899">
      <c r="B899" s="429"/>
      <c r="F899" s="317" t="str">
        <f>IFERROR(VLOOKUP(B899,Stock1!F:J,5,False),"")</f>
        <v/>
      </c>
      <c r="G899" s="318" t="str">
        <f t="array" ref="G899">_xlfn.XLOOKUP(B899,Stock2!F:F,Stock2!J:J,"")</f>
        <v/>
      </c>
    </row>
    <row r="900">
      <c r="B900" s="429"/>
      <c r="F900" s="317" t="str">
        <f>IFERROR(VLOOKUP(B900,Stock1!F:J,5,False),"")</f>
        <v/>
      </c>
      <c r="G900" s="318" t="str">
        <f t="array" ref="G900">_xlfn.XLOOKUP(B900,Stock2!F:F,Stock2!J:J,"")</f>
        <v/>
      </c>
    </row>
    <row r="901">
      <c r="B901" s="429"/>
      <c r="F901" s="317" t="str">
        <f>IFERROR(VLOOKUP(B901,Stock1!F:J,5,False),"")</f>
        <v/>
      </c>
      <c r="G901" s="318" t="str">
        <f t="array" ref="G901">_xlfn.XLOOKUP(B901,Stock2!F:F,Stock2!J:J,"")</f>
        <v/>
      </c>
    </row>
    <row r="902">
      <c r="B902" s="429"/>
      <c r="F902" s="317" t="str">
        <f>IFERROR(VLOOKUP(B902,Stock1!F:J,5,False),"")</f>
        <v/>
      </c>
      <c r="G902" s="318" t="str">
        <f t="array" ref="G902">_xlfn.XLOOKUP(B902,Stock2!F:F,Stock2!J:J,"")</f>
        <v/>
      </c>
    </row>
    <row r="903">
      <c r="B903" s="429"/>
      <c r="F903" s="317" t="str">
        <f>IFERROR(VLOOKUP(B903,Stock1!F:J,5,False),"")</f>
        <v/>
      </c>
      <c r="G903" s="318" t="str">
        <f t="array" ref="G903">_xlfn.XLOOKUP(B903,Stock2!F:F,Stock2!J:J,"")</f>
        <v/>
      </c>
    </row>
    <row r="904">
      <c r="B904" s="429"/>
      <c r="F904" s="317" t="str">
        <f>IFERROR(VLOOKUP(B904,Stock1!F:J,5,False),"")</f>
        <v/>
      </c>
      <c r="G904" s="318" t="str">
        <f t="array" ref="G904">_xlfn.XLOOKUP(B904,Stock2!F:F,Stock2!J:J,"")</f>
        <v/>
      </c>
    </row>
    <row r="905">
      <c r="B905" s="429"/>
      <c r="F905" s="317" t="str">
        <f>IFERROR(VLOOKUP(B905,Stock1!F:J,5,False),"")</f>
        <v/>
      </c>
      <c r="G905" s="318" t="str">
        <f t="array" ref="G905">_xlfn.XLOOKUP(B905,Stock2!F:F,Stock2!J:J,"")</f>
        <v/>
      </c>
    </row>
    <row r="906">
      <c r="B906" s="429"/>
      <c r="F906" s="317" t="str">
        <f>IFERROR(VLOOKUP(B906,Stock1!F:J,5,False),"")</f>
        <v/>
      </c>
      <c r="G906" s="318" t="str">
        <f t="array" ref="G906">_xlfn.XLOOKUP(B906,Stock2!F:F,Stock2!J:J,"")</f>
        <v/>
      </c>
    </row>
    <row r="907">
      <c r="B907" s="429"/>
      <c r="F907" s="317" t="str">
        <f>IFERROR(VLOOKUP(B907,Stock1!F:J,5,False),"")</f>
        <v/>
      </c>
      <c r="G907" s="318" t="str">
        <f t="array" ref="G907">_xlfn.XLOOKUP(B907,Stock2!F:F,Stock2!J:J,"")</f>
        <v/>
      </c>
    </row>
    <row r="908">
      <c r="B908" s="429"/>
      <c r="F908" s="317" t="str">
        <f>IFERROR(VLOOKUP(B908,Stock1!F:J,5,False),"")</f>
        <v/>
      </c>
      <c r="G908" s="318" t="str">
        <f t="array" ref="G908">_xlfn.XLOOKUP(B908,Stock2!F:F,Stock2!J:J,"")</f>
        <v/>
      </c>
    </row>
    <row r="909">
      <c r="B909" s="429"/>
      <c r="F909" s="317" t="str">
        <f>IFERROR(VLOOKUP(B909,Stock1!F:J,5,False),"")</f>
        <v/>
      </c>
      <c r="G909" s="318" t="str">
        <f t="array" ref="G909">_xlfn.XLOOKUP(B909,Stock2!F:F,Stock2!J:J,"")</f>
        <v/>
      </c>
    </row>
    <row r="910">
      <c r="B910" s="429"/>
      <c r="F910" s="317" t="str">
        <f>IFERROR(VLOOKUP(B910,Stock1!F:J,5,False),"")</f>
        <v/>
      </c>
      <c r="G910" s="318" t="str">
        <f t="array" ref="G910">_xlfn.XLOOKUP(B910,Stock2!F:F,Stock2!J:J,"")</f>
        <v/>
      </c>
    </row>
    <row r="911">
      <c r="B911" s="429"/>
      <c r="F911" s="317" t="str">
        <f>IFERROR(VLOOKUP(B911,Stock1!F:J,5,False),"")</f>
        <v/>
      </c>
      <c r="G911" s="318" t="str">
        <f t="array" ref="G911">_xlfn.XLOOKUP(B911,Stock2!F:F,Stock2!J:J,"")</f>
        <v/>
      </c>
    </row>
    <row r="912">
      <c r="B912" s="429"/>
      <c r="F912" s="317" t="str">
        <f>IFERROR(VLOOKUP(B912,Stock1!F:J,5,False),"")</f>
        <v/>
      </c>
      <c r="G912" s="318" t="str">
        <f t="array" ref="G912">_xlfn.XLOOKUP(B912,Stock2!F:F,Stock2!J:J,"")</f>
        <v/>
      </c>
    </row>
    <row r="913">
      <c r="B913" s="429"/>
      <c r="F913" s="317" t="str">
        <f>IFERROR(VLOOKUP(B913,Stock1!F:J,5,False),"")</f>
        <v/>
      </c>
      <c r="G913" s="318" t="str">
        <f t="array" ref="G913">_xlfn.XLOOKUP(B913,Stock2!F:F,Stock2!J:J,"")</f>
        <v/>
      </c>
    </row>
    <row r="914">
      <c r="B914" s="429"/>
      <c r="F914" s="317" t="str">
        <f>IFERROR(VLOOKUP(B914,Stock1!F:J,5,False),"")</f>
        <v/>
      </c>
      <c r="G914" s="318" t="str">
        <f t="array" ref="G914">_xlfn.XLOOKUP(B914,Stock2!F:F,Stock2!J:J,"")</f>
        <v/>
      </c>
    </row>
    <row r="915">
      <c r="B915" s="429"/>
      <c r="F915" s="317" t="str">
        <f>IFERROR(VLOOKUP(B915,Stock1!F:J,5,False),"")</f>
        <v/>
      </c>
      <c r="G915" s="318" t="str">
        <f t="array" ref="G915">_xlfn.XLOOKUP(B915,Stock2!F:F,Stock2!J:J,"")</f>
        <v/>
      </c>
    </row>
    <row r="916">
      <c r="B916" s="429"/>
      <c r="F916" s="317" t="str">
        <f>IFERROR(VLOOKUP(B916,Stock1!F:J,5,False),"")</f>
        <v/>
      </c>
      <c r="G916" s="318" t="str">
        <f t="array" ref="G916">_xlfn.XLOOKUP(B916,Stock2!F:F,Stock2!J:J,"")</f>
        <v/>
      </c>
    </row>
    <row r="917">
      <c r="B917" s="429"/>
      <c r="F917" s="317" t="str">
        <f>IFERROR(VLOOKUP(B917,Stock1!F:J,5,False),"")</f>
        <v/>
      </c>
      <c r="G917" s="318" t="str">
        <f t="array" ref="G917">_xlfn.XLOOKUP(B917,Stock2!F:F,Stock2!J:J,"")</f>
        <v/>
      </c>
    </row>
    <row r="918">
      <c r="B918" s="429"/>
      <c r="F918" s="317" t="str">
        <f>IFERROR(VLOOKUP(B918,Stock1!F:J,5,False),"")</f>
        <v/>
      </c>
      <c r="G918" s="318" t="str">
        <f t="array" ref="G918">_xlfn.XLOOKUP(B918,Stock2!F:F,Stock2!J:J,"")</f>
        <v/>
      </c>
    </row>
    <row r="919">
      <c r="B919" s="429"/>
      <c r="F919" s="317" t="str">
        <f>IFERROR(VLOOKUP(B919,Stock1!F:J,5,False),"")</f>
        <v/>
      </c>
      <c r="G919" s="318" t="str">
        <f t="array" ref="G919">_xlfn.XLOOKUP(B919,Stock2!F:F,Stock2!J:J,"")</f>
        <v/>
      </c>
    </row>
    <row r="920">
      <c r="B920" s="429"/>
      <c r="F920" s="317" t="str">
        <f>IFERROR(VLOOKUP(B920,Stock1!F:J,5,False),"")</f>
        <v/>
      </c>
      <c r="G920" s="318" t="str">
        <f t="array" ref="G920">_xlfn.XLOOKUP(B920,Stock2!F:F,Stock2!J:J,"")</f>
        <v/>
      </c>
    </row>
    <row r="921">
      <c r="B921" s="429"/>
      <c r="F921" s="317" t="str">
        <f>IFERROR(VLOOKUP(B921,Stock1!F:J,5,False),"")</f>
        <v/>
      </c>
      <c r="G921" s="318" t="str">
        <f t="array" ref="G921">_xlfn.XLOOKUP(B921,Stock2!F:F,Stock2!J:J,"")</f>
        <v/>
      </c>
    </row>
    <row r="922">
      <c r="B922" s="429"/>
      <c r="F922" s="317" t="str">
        <f>IFERROR(VLOOKUP(B922,Stock1!F:J,5,False),"")</f>
        <v/>
      </c>
      <c r="G922" s="318" t="str">
        <f t="array" ref="G922">_xlfn.XLOOKUP(B922,Stock2!F:F,Stock2!J:J,"")</f>
        <v/>
      </c>
    </row>
    <row r="923">
      <c r="B923" s="429"/>
      <c r="F923" s="317" t="str">
        <f>IFERROR(VLOOKUP(B923,Stock1!F:J,5,False),"")</f>
        <v/>
      </c>
      <c r="G923" s="318" t="str">
        <f t="array" ref="G923">_xlfn.XLOOKUP(B923,Stock2!F:F,Stock2!J:J,"")</f>
        <v/>
      </c>
    </row>
    <row r="924">
      <c r="B924" s="429"/>
      <c r="F924" s="317" t="str">
        <f>IFERROR(VLOOKUP(B924,Stock1!F:J,5,False),"")</f>
        <v/>
      </c>
      <c r="G924" s="318" t="str">
        <f t="array" ref="G924">_xlfn.XLOOKUP(B924,Stock2!F:F,Stock2!J:J,"")</f>
        <v/>
      </c>
    </row>
    <row r="925">
      <c r="B925" s="429"/>
      <c r="F925" s="317" t="str">
        <f>IFERROR(VLOOKUP(B925,Stock1!F:J,5,False),"")</f>
        <v/>
      </c>
      <c r="G925" s="318" t="str">
        <f t="array" ref="G925">_xlfn.XLOOKUP(B925,Stock2!F:F,Stock2!J:J,"")</f>
        <v/>
      </c>
    </row>
    <row r="926">
      <c r="B926" s="429"/>
      <c r="F926" s="317" t="str">
        <f>IFERROR(VLOOKUP(B926,Stock1!F:J,5,False),"")</f>
        <v/>
      </c>
      <c r="G926" s="318" t="str">
        <f t="array" ref="G926">_xlfn.XLOOKUP(B926,Stock2!F:F,Stock2!J:J,"")</f>
        <v/>
      </c>
    </row>
    <row r="927">
      <c r="B927" s="429"/>
      <c r="F927" s="317" t="str">
        <f>IFERROR(VLOOKUP(B927,Stock1!F:J,5,False),"")</f>
        <v/>
      </c>
      <c r="G927" s="318" t="str">
        <f t="array" ref="G927">_xlfn.XLOOKUP(B927,Stock2!F:F,Stock2!J:J,"")</f>
        <v/>
      </c>
    </row>
    <row r="928">
      <c r="B928" s="429"/>
      <c r="F928" s="317" t="str">
        <f>IFERROR(VLOOKUP(B928,Stock1!F:J,5,False),"")</f>
        <v/>
      </c>
      <c r="G928" s="318" t="str">
        <f t="array" ref="G928">_xlfn.XLOOKUP(B928,Stock2!F:F,Stock2!J:J,"")</f>
        <v/>
      </c>
    </row>
    <row r="929">
      <c r="B929" s="429"/>
      <c r="F929" s="317" t="str">
        <f>IFERROR(VLOOKUP(B929,Stock1!F:J,5,False),"")</f>
        <v/>
      </c>
      <c r="G929" s="318" t="str">
        <f t="array" ref="G929">_xlfn.XLOOKUP(B929,Stock2!F:F,Stock2!J:J,"")</f>
        <v/>
      </c>
    </row>
    <row r="930">
      <c r="B930" s="429"/>
      <c r="F930" s="317" t="str">
        <f>IFERROR(VLOOKUP(B930,Stock1!F:J,5,False),"")</f>
        <v/>
      </c>
      <c r="G930" s="318" t="str">
        <f t="array" ref="G930">_xlfn.XLOOKUP(B930,Stock2!F:F,Stock2!J:J,"")</f>
        <v/>
      </c>
    </row>
    <row r="931">
      <c r="B931" s="429"/>
      <c r="F931" s="317" t="str">
        <f>IFERROR(VLOOKUP(B931,Stock1!F:J,5,False),"")</f>
        <v/>
      </c>
      <c r="G931" s="318" t="str">
        <f t="array" ref="G931">_xlfn.XLOOKUP(B931,Stock2!F:F,Stock2!J:J,"")</f>
        <v/>
      </c>
    </row>
    <row r="932">
      <c r="B932" s="429"/>
      <c r="F932" s="317" t="str">
        <f>IFERROR(VLOOKUP(B932,Stock1!F:J,5,False),"")</f>
        <v/>
      </c>
      <c r="G932" s="318" t="str">
        <f t="array" ref="G932">_xlfn.XLOOKUP(B932,Stock2!F:F,Stock2!J:J,"")</f>
        <v/>
      </c>
    </row>
    <row r="933">
      <c r="B933" s="429"/>
      <c r="F933" s="317" t="str">
        <f>IFERROR(VLOOKUP(B933,Stock1!F:J,5,False),"")</f>
        <v/>
      </c>
      <c r="G933" s="318" t="str">
        <f t="array" ref="G933">_xlfn.XLOOKUP(B933,Stock2!F:F,Stock2!J:J,"")</f>
        <v/>
      </c>
    </row>
    <row r="934">
      <c r="B934" s="429"/>
      <c r="F934" s="317" t="str">
        <f>IFERROR(VLOOKUP(B934,Stock1!F:J,5,False),"")</f>
        <v/>
      </c>
      <c r="G934" s="318" t="str">
        <f t="array" ref="G934">_xlfn.XLOOKUP(B934,Stock2!F:F,Stock2!J:J,"")</f>
        <v/>
      </c>
    </row>
    <row r="935">
      <c r="B935" s="429"/>
      <c r="F935" s="317" t="str">
        <f>IFERROR(VLOOKUP(B935,Stock1!F:J,5,False),"")</f>
        <v/>
      </c>
      <c r="G935" s="318" t="str">
        <f t="array" ref="G935">_xlfn.XLOOKUP(B935,Stock2!F:F,Stock2!J:J,"")</f>
        <v/>
      </c>
    </row>
    <row r="936">
      <c r="B936" s="429"/>
      <c r="F936" s="317" t="str">
        <f>IFERROR(VLOOKUP(B936,Stock1!F:J,5,False),"")</f>
        <v/>
      </c>
      <c r="G936" s="318" t="str">
        <f t="array" ref="G936">_xlfn.XLOOKUP(B936,Stock2!F:F,Stock2!J:J,"")</f>
        <v/>
      </c>
    </row>
    <row r="937">
      <c r="B937" s="429"/>
      <c r="F937" s="317" t="str">
        <f>IFERROR(VLOOKUP(B937,Stock1!F:J,5,False),"")</f>
        <v/>
      </c>
      <c r="G937" s="318" t="str">
        <f t="array" ref="G937">_xlfn.XLOOKUP(B937,Stock2!F:F,Stock2!J:J,"")</f>
        <v/>
      </c>
    </row>
    <row r="938">
      <c r="B938" s="429"/>
      <c r="F938" s="317" t="str">
        <f>IFERROR(VLOOKUP(B938,Stock1!F:J,5,False),"")</f>
        <v/>
      </c>
      <c r="G938" s="318" t="str">
        <f t="array" ref="G938">_xlfn.XLOOKUP(B938,Stock2!F:F,Stock2!J:J,"")</f>
        <v/>
      </c>
    </row>
    <row r="939">
      <c r="B939" s="429"/>
      <c r="F939" s="317" t="str">
        <f>IFERROR(VLOOKUP(B939,Stock1!F:J,5,False),"")</f>
        <v/>
      </c>
      <c r="G939" s="318" t="str">
        <f t="array" ref="G939">_xlfn.XLOOKUP(B939,Stock2!F:F,Stock2!J:J,"")</f>
        <v/>
      </c>
    </row>
    <row r="940">
      <c r="B940" s="429"/>
      <c r="F940" s="317" t="str">
        <f>IFERROR(VLOOKUP(B940,Stock1!F:J,5,False),"")</f>
        <v/>
      </c>
      <c r="G940" s="318" t="str">
        <f t="array" ref="G940">_xlfn.XLOOKUP(B940,Stock2!F:F,Stock2!J:J,"")</f>
        <v/>
      </c>
    </row>
    <row r="941">
      <c r="B941" s="429"/>
      <c r="F941" s="317" t="str">
        <f>IFERROR(VLOOKUP(B941,Stock1!F:J,5,False),"")</f>
        <v/>
      </c>
      <c r="G941" s="318" t="str">
        <f t="array" ref="G941">_xlfn.XLOOKUP(B941,Stock2!F:F,Stock2!J:J,"")</f>
        <v/>
      </c>
    </row>
    <row r="942">
      <c r="B942" s="429"/>
      <c r="F942" s="317" t="str">
        <f>IFERROR(VLOOKUP(B942,Stock1!F:J,5,False),"")</f>
        <v/>
      </c>
      <c r="G942" s="318" t="str">
        <f t="array" ref="G942">_xlfn.XLOOKUP(B942,Stock2!F:F,Stock2!J:J,"")</f>
        <v/>
      </c>
    </row>
    <row r="943">
      <c r="B943" s="429"/>
      <c r="F943" s="317" t="str">
        <f>IFERROR(VLOOKUP(B943,Stock1!F:J,5,False),"")</f>
        <v/>
      </c>
      <c r="G943" s="318" t="str">
        <f t="array" ref="G943">_xlfn.XLOOKUP(B943,Stock2!F:F,Stock2!J:J,"")</f>
        <v/>
      </c>
    </row>
    <row r="944">
      <c r="B944" s="429"/>
      <c r="F944" s="317" t="str">
        <f>IFERROR(VLOOKUP(B944,Stock1!F:J,5,False),"")</f>
        <v/>
      </c>
      <c r="G944" s="318" t="str">
        <f t="array" ref="G944">_xlfn.XLOOKUP(B944,Stock2!F:F,Stock2!J:J,"")</f>
        <v/>
      </c>
    </row>
    <row r="945">
      <c r="B945" s="429"/>
      <c r="F945" s="317" t="str">
        <f>IFERROR(VLOOKUP(B945,Stock1!F:J,5,False),"")</f>
        <v/>
      </c>
      <c r="G945" s="318" t="str">
        <f t="array" ref="G945">_xlfn.XLOOKUP(B945,Stock2!F:F,Stock2!J:J,"")</f>
        <v/>
      </c>
    </row>
    <row r="946">
      <c r="B946" s="429"/>
      <c r="F946" s="317" t="str">
        <f>IFERROR(VLOOKUP(B946,Stock1!F:J,5,False),"")</f>
        <v/>
      </c>
      <c r="G946" s="318" t="str">
        <f t="array" ref="G946">_xlfn.XLOOKUP(B946,Stock2!F:F,Stock2!J:J,"")</f>
        <v/>
      </c>
    </row>
    <row r="947">
      <c r="B947" s="429"/>
      <c r="F947" s="317" t="str">
        <f>IFERROR(VLOOKUP(B947,Stock1!F:J,5,False),"")</f>
        <v/>
      </c>
      <c r="G947" s="318" t="str">
        <f t="array" ref="G947">_xlfn.XLOOKUP(B947,Stock2!F:F,Stock2!J:J,"")</f>
        <v/>
      </c>
    </row>
    <row r="948">
      <c r="B948" s="429"/>
      <c r="F948" s="317" t="str">
        <f>IFERROR(VLOOKUP(B948,Stock1!F:J,5,False),"")</f>
        <v/>
      </c>
      <c r="G948" s="318" t="str">
        <f t="array" ref="G948">_xlfn.XLOOKUP(B948,Stock2!F:F,Stock2!J:J,"")</f>
        <v/>
      </c>
    </row>
    <row r="949">
      <c r="B949" s="429"/>
      <c r="F949" s="317" t="str">
        <f>IFERROR(VLOOKUP(B949,Stock1!F:J,5,False),"")</f>
        <v/>
      </c>
      <c r="G949" s="318" t="str">
        <f t="array" ref="G949">_xlfn.XLOOKUP(B949,Stock2!F:F,Stock2!J:J,"")</f>
        <v/>
      </c>
    </row>
    <row r="950">
      <c r="B950" s="429"/>
      <c r="F950" s="317" t="str">
        <f>IFERROR(VLOOKUP(B950,Stock1!F:J,5,False),"")</f>
        <v/>
      </c>
      <c r="G950" s="318" t="str">
        <f t="array" ref="G950">_xlfn.XLOOKUP(B950,Stock2!F:F,Stock2!J:J,"")</f>
        <v/>
      </c>
    </row>
    <row r="951">
      <c r="B951" s="429"/>
      <c r="F951" s="317" t="str">
        <f>IFERROR(VLOOKUP(B951,Stock1!F:J,5,False),"")</f>
        <v/>
      </c>
      <c r="G951" s="318" t="str">
        <f t="array" ref="G951">_xlfn.XLOOKUP(B951,Stock2!F:F,Stock2!J:J,"")</f>
        <v/>
      </c>
    </row>
    <row r="952">
      <c r="B952" s="429"/>
      <c r="F952" s="317" t="str">
        <f>IFERROR(VLOOKUP(B952,Stock1!F:J,5,False),"")</f>
        <v/>
      </c>
      <c r="G952" s="318" t="str">
        <f t="array" ref="G952">_xlfn.XLOOKUP(B952,Stock2!F:F,Stock2!J:J,"")</f>
        <v/>
      </c>
    </row>
    <row r="953">
      <c r="B953" s="429"/>
      <c r="F953" s="317" t="str">
        <f>IFERROR(VLOOKUP(B953,Stock1!F:J,5,False),"")</f>
        <v/>
      </c>
      <c r="G953" s="318" t="str">
        <f t="array" ref="G953">_xlfn.XLOOKUP(B953,Stock2!F:F,Stock2!J:J,"")</f>
        <v/>
      </c>
    </row>
    <row r="954">
      <c r="B954" s="429"/>
      <c r="F954" s="317" t="str">
        <f>IFERROR(VLOOKUP(B954,Stock1!F:J,5,False),"")</f>
        <v/>
      </c>
      <c r="G954" s="318" t="str">
        <f t="array" ref="G954">_xlfn.XLOOKUP(B954,Stock2!F:F,Stock2!J:J,"")</f>
        <v/>
      </c>
    </row>
    <row r="955">
      <c r="B955" s="429"/>
      <c r="F955" s="317" t="str">
        <f>IFERROR(VLOOKUP(B955,Stock1!F:J,5,False),"")</f>
        <v/>
      </c>
      <c r="G955" s="318" t="str">
        <f t="array" ref="G955">_xlfn.XLOOKUP(B955,Stock2!F:F,Stock2!J:J,"")</f>
        <v/>
      </c>
    </row>
    <row r="956">
      <c r="B956" s="429"/>
      <c r="F956" s="317" t="str">
        <f>IFERROR(VLOOKUP(B956,Stock1!F:J,5,False),"")</f>
        <v/>
      </c>
      <c r="G956" s="318" t="str">
        <f t="array" ref="G956">_xlfn.XLOOKUP(B956,Stock2!F:F,Stock2!J:J,"")</f>
        <v/>
      </c>
    </row>
    <row r="957">
      <c r="B957" s="429"/>
      <c r="F957" s="317" t="str">
        <f>IFERROR(VLOOKUP(B957,Stock1!F:J,5,False),"")</f>
        <v/>
      </c>
      <c r="G957" s="318" t="str">
        <f t="array" ref="G957">_xlfn.XLOOKUP(B957,Stock2!F:F,Stock2!J:J,"")</f>
        <v/>
      </c>
    </row>
    <row r="958">
      <c r="B958" s="429"/>
      <c r="F958" s="317" t="str">
        <f>IFERROR(VLOOKUP(B958,Stock1!F:J,5,False),"")</f>
        <v/>
      </c>
      <c r="G958" s="318" t="str">
        <f t="array" ref="G958">_xlfn.XLOOKUP(B958,Stock2!F:F,Stock2!J:J,"")</f>
        <v/>
      </c>
    </row>
    <row r="959">
      <c r="B959" s="429"/>
      <c r="F959" s="317" t="str">
        <f>IFERROR(VLOOKUP(B959,Stock1!F:J,5,False),"")</f>
        <v/>
      </c>
      <c r="G959" s="318" t="str">
        <f t="array" ref="G959">_xlfn.XLOOKUP(B959,Stock2!F:F,Stock2!J:J,"")</f>
        <v/>
      </c>
    </row>
    <row r="960">
      <c r="B960" s="429"/>
      <c r="F960" s="317" t="str">
        <f>IFERROR(VLOOKUP(B960,Stock1!F:J,5,False),"")</f>
        <v/>
      </c>
      <c r="G960" s="318" t="str">
        <f t="array" ref="G960">_xlfn.XLOOKUP(B960,Stock2!F:F,Stock2!J:J,"")</f>
        <v/>
      </c>
    </row>
    <row r="961">
      <c r="B961" s="429"/>
      <c r="F961" s="317" t="str">
        <f>IFERROR(VLOOKUP(B961,Stock1!F:J,5,False),"")</f>
        <v/>
      </c>
      <c r="G961" s="318" t="str">
        <f t="array" ref="G961">_xlfn.XLOOKUP(B961,Stock2!F:F,Stock2!J:J,"")</f>
        <v/>
      </c>
    </row>
    <row r="962">
      <c r="B962" s="429"/>
      <c r="F962" s="317" t="str">
        <f>IFERROR(VLOOKUP(B962,Stock1!F:J,5,False),"")</f>
        <v/>
      </c>
      <c r="G962" s="318" t="str">
        <f t="array" ref="G962">_xlfn.XLOOKUP(B962,Stock2!F:F,Stock2!J:J,"")</f>
        <v/>
      </c>
    </row>
    <row r="963">
      <c r="B963" s="429"/>
      <c r="F963" s="317" t="str">
        <f>IFERROR(VLOOKUP(B963,Stock1!F:J,5,False),"")</f>
        <v/>
      </c>
      <c r="G963" s="318" t="str">
        <f t="array" ref="G963">_xlfn.XLOOKUP(B963,Stock2!F:F,Stock2!J:J,"")</f>
        <v/>
      </c>
    </row>
    <row r="964">
      <c r="B964" s="429"/>
      <c r="F964" s="317" t="str">
        <f>IFERROR(VLOOKUP(B964,Stock1!F:J,5,False),"")</f>
        <v/>
      </c>
      <c r="G964" s="318" t="str">
        <f t="array" ref="G964">_xlfn.XLOOKUP(B964,Stock2!F:F,Stock2!J:J,"")</f>
        <v/>
      </c>
    </row>
    <row r="965">
      <c r="B965" s="429"/>
      <c r="F965" s="317" t="str">
        <f>IFERROR(VLOOKUP(B965,Stock1!F:J,5,False),"")</f>
        <v/>
      </c>
      <c r="G965" s="318" t="str">
        <f t="array" ref="G965">_xlfn.XLOOKUP(B965,Stock2!F:F,Stock2!J:J,"")</f>
        <v/>
      </c>
    </row>
    <row r="966">
      <c r="B966" s="429"/>
      <c r="F966" s="317" t="str">
        <f>IFERROR(VLOOKUP(B966,Stock1!F:J,5,False),"")</f>
        <v/>
      </c>
      <c r="G966" s="318" t="str">
        <f t="array" ref="G966">_xlfn.XLOOKUP(B966,Stock2!F:F,Stock2!J:J,"")</f>
        <v/>
      </c>
    </row>
    <row r="967">
      <c r="B967" s="429"/>
      <c r="F967" s="317" t="str">
        <f>IFERROR(VLOOKUP(B967,Stock1!F:J,5,False),"")</f>
        <v/>
      </c>
      <c r="G967" s="318" t="str">
        <f t="array" ref="G967">_xlfn.XLOOKUP(B967,Stock2!F:F,Stock2!J:J,"")</f>
        <v/>
      </c>
    </row>
    <row r="968">
      <c r="B968" s="429"/>
      <c r="F968" s="317" t="str">
        <f>IFERROR(VLOOKUP(B968,Stock1!F:J,5,False),"")</f>
        <v/>
      </c>
      <c r="G968" s="318" t="str">
        <f t="array" ref="G968">_xlfn.XLOOKUP(B968,Stock2!F:F,Stock2!J:J,"")</f>
        <v/>
      </c>
    </row>
    <row r="969">
      <c r="B969" s="429"/>
      <c r="F969" s="317" t="str">
        <f>IFERROR(VLOOKUP(B969,Stock1!F:J,5,False),"")</f>
        <v/>
      </c>
      <c r="G969" s="318" t="str">
        <f t="array" ref="G969">_xlfn.XLOOKUP(B969,Stock2!F:F,Stock2!J:J,"")</f>
        <v/>
      </c>
    </row>
    <row r="970">
      <c r="B970" s="429"/>
      <c r="F970" s="317" t="str">
        <f>IFERROR(VLOOKUP(B970,Stock1!F:J,5,False),"")</f>
        <v/>
      </c>
      <c r="G970" s="318" t="str">
        <f t="array" ref="G970">_xlfn.XLOOKUP(B970,Stock2!F:F,Stock2!J:J,"")</f>
        <v/>
      </c>
    </row>
    <row r="971">
      <c r="B971" s="429"/>
      <c r="F971" s="317" t="str">
        <f>IFERROR(VLOOKUP(B971,Stock1!F:J,5,False),"")</f>
        <v/>
      </c>
      <c r="G971" s="318" t="str">
        <f t="array" ref="G971">_xlfn.XLOOKUP(B971,Stock2!F:F,Stock2!J:J,"")</f>
        <v/>
      </c>
    </row>
    <row r="972">
      <c r="B972" s="429"/>
      <c r="F972" s="317" t="str">
        <f>IFERROR(VLOOKUP(B972,Stock1!F:J,5,False),"")</f>
        <v/>
      </c>
      <c r="G972" s="318" t="str">
        <f t="array" ref="G972">_xlfn.XLOOKUP(B972,Stock2!F:F,Stock2!J:J,"")</f>
        <v/>
      </c>
    </row>
    <row r="973">
      <c r="B973" s="429"/>
      <c r="F973" s="317" t="str">
        <f>IFERROR(VLOOKUP(B973,Stock1!F:J,5,False),"")</f>
        <v/>
      </c>
      <c r="G973" s="318" t="str">
        <f t="array" ref="G973">_xlfn.XLOOKUP(B973,Stock2!F:F,Stock2!J:J,"")</f>
        <v/>
      </c>
    </row>
    <row r="974">
      <c r="B974" s="429"/>
      <c r="F974" s="317" t="str">
        <f>IFERROR(VLOOKUP(B974,Stock1!F:J,5,False),"")</f>
        <v/>
      </c>
      <c r="G974" s="318" t="str">
        <f t="array" ref="G974">_xlfn.XLOOKUP(B974,Stock2!F:F,Stock2!J:J,"")</f>
        <v/>
      </c>
    </row>
    <row r="975">
      <c r="B975" s="429"/>
      <c r="F975" s="317" t="str">
        <f>IFERROR(VLOOKUP(B975,Stock1!F:J,5,False),"")</f>
        <v/>
      </c>
      <c r="G975" s="318" t="str">
        <f t="array" ref="G975">_xlfn.XLOOKUP(B975,Stock2!F:F,Stock2!J:J,"")</f>
        <v/>
      </c>
    </row>
    <row r="976">
      <c r="B976" s="429"/>
      <c r="F976" s="317" t="str">
        <f>IFERROR(VLOOKUP(B976,Stock1!F:J,5,False),"")</f>
        <v/>
      </c>
      <c r="G976" s="318" t="str">
        <f t="array" ref="G976">_xlfn.XLOOKUP(B976,Stock2!F:F,Stock2!J:J,"")</f>
        <v/>
      </c>
    </row>
    <row r="977">
      <c r="B977" s="429"/>
      <c r="F977" s="317" t="str">
        <f>IFERROR(VLOOKUP(B977,Stock1!F:J,5,False),"")</f>
        <v/>
      </c>
      <c r="G977" s="318" t="str">
        <f t="array" ref="G977">_xlfn.XLOOKUP(B977,Stock2!F:F,Stock2!J:J,"")</f>
        <v/>
      </c>
    </row>
    <row r="978">
      <c r="B978" s="429"/>
      <c r="F978" s="317" t="str">
        <f>IFERROR(VLOOKUP(B978,Stock1!F:J,5,False),"")</f>
        <v/>
      </c>
      <c r="G978" s="318" t="str">
        <f t="array" ref="G978">_xlfn.XLOOKUP(B978,Stock2!F:F,Stock2!J:J,"")</f>
        <v/>
      </c>
    </row>
    <row r="979">
      <c r="B979" s="429"/>
      <c r="F979" s="317" t="str">
        <f>IFERROR(VLOOKUP(B979,Stock1!F:J,5,False),"")</f>
        <v/>
      </c>
      <c r="G979" s="318" t="str">
        <f t="array" ref="G979">_xlfn.XLOOKUP(B979,Stock2!F:F,Stock2!J:J,"")</f>
        <v/>
      </c>
    </row>
    <row r="980">
      <c r="B980" s="429"/>
      <c r="F980" s="317" t="str">
        <f>IFERROR(VLOOKUP(B980,Stock1!F:J,5,False),"")</f>
        <v/>
      </c>
      <c r="G980" s="318" t="str">
        <f t="array" ref="G980">_xlfn.XLOOKUP(B980,Stock2!F:F,Stock2!J:J,"")</f>
        <v/>
      </c>
    </row>
    <row r="981">
      <c r="B981" s="429"/>
      <c r="F981" s="317" t="str">
        <f>IFERROR(VLOOKUP(B981,Stock1!F:J,5,False),"")</f>
        <v/>
      </c>
      <c r="G981" s="318" t="str">
        <f t="array" ref="G981">_xlfn.XLOOKUP(B981,Stock2!F:F,Stock2!J:J,"")</f>
        <v/>
      </c>
    </row>
    <row r="982">
      <c r="B982" s="429"/>
      <c r="F982" s="317" t="str">
        <f>IFERROR(VLOOKUP(B982,Stock1!F:J,5,False),"")</f>
        <v/>
      </c>
      <c r="G982" s="318" t="str">
        <f t="array" ref="G982">_xlfn.XLOOKUP(B982,Stock2!F:F,Stock2!J:J,"")</f>
        <v/>
      </c>
    </row>
    <row r="983">
      <c r="B983" s="429"/>
      <c r="F983" s="317" t="str">
        <f>IFERROR(VLOOKUP(B983,Stock1!F:J,5,False),"")</f>
        <v/>
      </c>
      <c r="G983" s="318" t="str">
        <f t="array" ref="G983">_xlfn.XLOOKUP(B983,Stock2!F:F,Stock2!J:J,"")</f>
        <v/>
      </c>
    </row>
    <row r="984">
      <c r="B984" s="429"/>
      <c r="F984" s="317" t="str">
        <f>IFERROR(VLOOKUP(B984,Stock1!F:J,5,False),"")</f>
        <v/>
      </c>
      <c r="G984" s="318" t="str">
        <f t="array" ref="G984">_xlfn.XLOOKUP(B984,Stock2!F:F,Stock2!J:J,"")</f>
        <v/>
      </c>
    </row>
    <row r="985">
      <c r="B985" s="429"/>
      <c r="F985" s="317" t="str">
        <f>IFERROR(VLOOKUP(B985,Stock1!F:J,5,False),"")</f>
        <v/>
      </c>
      <c r="G985" s="318" t="str">
        <f t="array" ref="G985">_xlfn.XLOOKUP(B985,Stock2!F:F,Stock2!J:J,"")</f>
        <v/>
      </c>
    </row>
    <row r="986">
      <c r="B986" s="429"/>
      <c r="F986" s="317" t="str">
        <f>IFERROR(VLOOKUP(B986,Stock1!F:J,5,False),"")</f>
        <v/>
      </c>
      <c r="G986" s="318" t="str">
        <f t="array" ref="G986">_xlfn.XLOOKUP(B986,Stock2!F:F,Stock2!J:J,"")</f>
        <v/>
      </c>
    </row>
    <row r="987">
      <c r="B987" s="429"/>
      <c r="F987" s="317" t="str">
        <f>IFERROR(VLOOKUP(B987,Stock1!F:J,5,False),"")</f>
        <v/>
      </c>
      <c r="G987" s="318" t="str">
        <f t="array" ref="G987">_xlfn.XLOOKUP(B987,Stock2!F:F,Stock2!J:J,"")</f>
        <v/>
      </c>
    </row>
    <row r="988">
      <c r="B988" s="429"/>
      <c r="F988" s="317" t="str">
        <f>IFERROR(VLOOKUP(B988,Stock1!F:J,5,False),"")</f>
        <v/>
      </c>
      <c r="G988" s="318" t="str">
        <f t="array" ref="G988">_xlfn.XLOOKUP(B988,Stock2!F:F,Stock2!J:J,"")</f>
        <v/>
      </c>
    </row>
    <row r="989">
      <c r="B989" s="429"/>
      <c r="F989" s="317" t="str">
        <f>IFERROR(VLOOKUP(B989,Stock1!F:J,5,False),"")</f>
        <v/>
      </c>
      <c r="G989" s="318" t="str">
        <f t="array" ref="G989">_xlfn.XLOOKUP(B989,Stock2!F:F,Stock2!J:J,"")</f>
        <v/>
      </c>
    </row>
    <row r="990">
      <c r="B990" s="429"/>
      <c r="F990" s="317" t="str">
        <f>IFERROR(VLOOKUP(B990,Stock1!F:J,5,False),"")</f>
        <v/>
      </c>
      <c r="G990" s="318" t="str">
        <f t="array" ref="G990">_xlfn.XLOOKUP(B990,Stock2!F:F,Stock2!J:J,"")</f>
        <v/>
      </c>
    </row>
    <row r="991">
      <c r="B991" s="429"/>
      <c r="F991" s="317" t="str">
        <f>IFERROR(VLOOKUP(B991,Stock1!F:J,5,False),"")</f>
        <v/>
      </c>
      <c r="G991" s="318" t="str">
        <f t="array" ref="G991">_xlfn.XLOOKUP(B991,Stock2!F:F,Stock2!J:J,"")</f>
        <v/>
      </c>
    </row>
    <row r="992">
      <c r="B992" s="429"/>
      <c r="F992" s="317" t="str">
        <f>IFERROR(VLOOKUP(B992,Stock1!F:J,5,False),"")</f>
        <v/>
      </c>
      <c r="G992" s="318" t="str">
        <f t="array" ref="G992">_xlfn.XLOOKUP(B992,Stock2!F:F,Stock2!J:J,"")</f>
        <v/>
      </c>
    </row>
    <row r="993">
      <c r="B993" s="429"/>
      <c r="F993" s="317" t="str">
        <f>IFERROR(VLOOKUP(B993,Stock1!F:J,5,False),"")</f>
        <v/>
      </c>
      <c r="G993" s="318" t="str">
        <f t="array" ref="G993">_xlfn.XLOOKUP(B993,Stock2!F:F,Stock2!J:J,"")</f>
        <v/>
      </c>
    </row>
    <row r="994">
      <c r="B994" s="429"/>
      <c r="F994" s="317" t="str">
        <f>IFERROR(VLOOKUP(B994,Stock1!F:J,5,False),"")</f>
        <v/>
      </c>
      <c r="G994" s="318" t="str">
        <f t="array" ref="G994">_xlfn.XLOOKUP(B994,Stock2!F:F,Stock2!J:J,"")</f>
        <v/>
      </c>
    </row>
    <row r="995">
      <c r="B995" s="429"/>
      <c r="F995" s="317" t="str">
        <f>IFERROR(VLOOKUP(B995,Stock1!F:J,5,False),"")</f>
        <v/>
      </c>
      <c r="G995" s="318" t="str">
        <f t="array" ref="G995">_xlfn.XLOOKUP(B995,Stock2!F:F,Stock2!J:J,"")</f>
        <v/>
      </c>
    </row>
    <row r="996">
      <c r="B996" s="429"/>
      <c r="F996" s="317" t="str">
        <f>IFERROR(VLOOKUP(B996,Stock1!F:J,5,False),"")</f>
        <v/>
      </c>
      <c r="G996" s="318" t="str">
        <f t="array" ref="G996">_xlfn.XLOOKUP(B996,Stock2!F:F,Stock2!J:J,"")</f>
        <v/>
      </c>
    </row>
    <row r="997">
      <c r="B997" s="429"/>
      <c r="F997" s="317" t="str">
        <f>IFERROR(VLOOKUP(B997,Stock1!F:J,5,False),"")</f>
        <v/>
      </c>
      <c r="G997" s="318" t="str">
        <f t="array" ref="G997">_xlfn.XLOOKUP(B997,Stock2!F:F,Stock2!J:J,"")</f>
        <v/>
      </c>
    </row>
    <row r="998">
      <c r="B998" s="429"/>
      <c r="F998" s="317" t="str">
        <f>IFERROR(VLOOKUP(B998,Stock1!F:J,5,False),"")</f>
        <v/>
      </c>
      <c r="G998" s="318" t="str">
        <f t="array" ref="G998">_xlfn.XLOOKUP(B998,Stock2!F:F,Stock2!J:J,"")</f>
        <v/>
      </c>
    </row>
    <row r="999">
      <c r="B999" s="429"/>
      <c r="F999" s="317" t="str">
        <f>IFERROR(VLOOKUP(B999,Stock1!F:J,5,False),"")</f>
        <v/>
      </c>
      <c r="G999" s="318" t="str">
        <f t="array" ref="G999">_xlfn.XLOOKUP(B999,Stock2!F:F,Stock2!J:J,"")</f>
        <v/>
      </c>
    </row>
    <row r="1000">
      <c r="B1000" s="429"/>
      <c r="F1000" s="317" t="str">
        <f>IFERROR(VLOOKUP(B1000,Stock1!F:J,5,False),"")</f>
        <v/>
      </c>
      <c r="G1000" s="318" t="str">
        <f t="array" ref="G1000">_xlfn.XLOOKUP(B1000,Stock2!F:F,Stock2!J:J,"")</f>
        <v/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67.75"/>
    <col customWidth="1" min="3" max="3" width="26.5"/>
  </cols>
  <sheetData>
    <row r="1">
      <c r="A1" s="646"/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7"/>
      <c r="P1" s="647"/>
      <c r="Q1" s="647"/>
      <c r="R1" s="647"/>
      <c r="S1" s="647"/>
      <c r="T1" s="647"/>
      <c r="U1" s="647"/>
      <c r="V1" s="647"/>
      <c r="W1" s="647"/>
      <c r="X1" s="647"/>
    </row>
    <row r="2">
      <c r="A2" s="648"/>
      <c r="C2" s="647"/>
      <c r="D2" s="647"/>
      <c r="E2" s="647"/>
      <c r="F2" s="647"/>
      <c r="G2" s="647"/>
      <c r="H2" s="647"/>
      <c r="I2" s="647"/>
      <c r="J2" s="647"/>
      <c r="K2" s="647"/>
      <c r="L2" s="647"/>
      <c r="M2" s="647"/>
      <c r="N2" s="647"/>
      <c r="O2" s="647"/>
      <c r="P2" s="647"/>
      <c r="Q2" s="647"/>
      <c r="R2" s="647"/>
      <c r="S2" s="647"/>
      <c r="T2" s="647"/>
      <c r="U2" s="647"/>
      <c r="V2" s="647"/>
      <c r="W2" s="647"/>
      <c r="X2" s="647"/>
    </row>
    <row r="3">
      <c r="A3" s="649"/>
      <c r="C3" s="647"/>
      <c r="D3" s="647"/>
      <c r="E3" s="647"/>
      <c r="F3" s="647"/>
      <c r="G3" s="647"/>
      <c r="H3" s="647"/>
      <c r="I3" s="647"/>
      <c r="J3" s="647"/>
      <c r="K3" s="647"/>
      <c r="L3" s="647"/>
      <c r="M3" s="647"/>
      <c r="N3" s="647"/>
      <c r="O3" s="647"/>
      <c r="P3" s="647"/>
      <c r="Q3" s="647"/>
      <c r="R3" s="647"/>
      <c r="S3" s="647"/>
      <c r="T3" s="647"/>
      <c r="U3" s="647"/>
      <c r="V3" s="647"/>
      <c r="W3" s="647"/>
      <c r="X3" s="647"/>
    </row>
    <row r="4">
      <c r="A4" s="650" t="s">
        <v>1196</v>
      </c>
      <c r="B4" s="651" t="s">
        <v>1197</v>
      </c>
      <c r="C4" s="652" t="s">
        <v>1198</v>
      </c>
      <c r="D4" s="647"/>
      <c r="E4" s="647"/>
      <c r="F4" s="647"/>
      <c r="G4" s="647"/>
      <c r="H4" s="647"/>
      <c r="I4" s="647"/>
      <c r="J4" s="647"/>
      <c r="K4" s="647"/>
      <c r="L4" s="647"/>
      <c r="M4" s="647"/>
      <c r="N4" s="647"/>
      <c r="O4" s="647"/>
      <c r="P4" s="647"/>
      <c r="Q4" s="647"/>
      <c r="R4" s="647"/>
      <c r="S4" s="647"/>
      <c r="T4" s="647"/>
      <c r="U4" s="647"/>
      <c r="V4" s="647"/>
      <c r="W4" s="647"/>
      <c r="X4" s="647"/>
    </row>
    <row r="5">
      <c r="A5" s="653" t="s">
        <v>1199</v>
      </c>
      <c r="B5" s="654" t="s">
        <v>1200</v>
      </c>
      <c r="C5" s="652" t="s">
        <v>1201</v>
      </c>
      <c r="D5" s="647"/>
      <c r="E5" s="647"/>
      <c r="F5" s="647"/>
      <c r="G5" s="647"/>
      <c r="H5" s="647"/>
      <c r="I5" s="647"/>
      <c r="J5" s="647"/>
      <c r="K5" s="647"/>
      <c r="L5" s="647"/>
      <c r="M5" s="647"/>
      <c r="N5" s="647"/>
      <c r="O5" s="647"/>
      <c r="P5" s="647"/>
      <c r="Q5" s="647"/>
      <c r="R5" s="647"/>
      <c r="S5" s="647"/>
      <c r="T5" s="647"/>
      <c r="U5" s="647"/>
      <c r="V5" s="647"/>
      <c r="W5" s="647"/>
      <c r="X5" s="647"/>
    </row>
    <row r="6">
      <c r="A6" s="653" t="s">
        <v>1202</v>
      </c>
      <c r="B6" s="654" t="s">
        <v>1203</v>
      </c>
      <c r="C6" s="652" t="s">
        <v>711</v>
      </c>
      <c r="D6" s="647"/>
      <c r="E6" s="647"/>
      <c r="F6" s="647"/>
      <c r="G6" s="647"/>
      <c r="H6" s="647"/>
      <c r="I6" s="647"/>
      <c r="J6" s="647"/>
      <c r="K6" s="647"/>
      <c r="L6" s="647"/>
      <c r="M6" s="647"/>
      <c r="N6" s="647"/>
      <c r="O6" s="647"/>
      <c r="P6" s="647"/>
      <c r="Q6" s="647"/>
      <c r="R6" s="647"/>
      <c r="S6" s="647"/>
      <c r="T6" s="647"/>
      <c r="U6" s="647"/>
      <c r="V6" s="647"/>
      <c r="W6" s="647"/>
      <c r="X6" s="647"/>
    </row>
    <row r="7">
      <c r="A7" s="653" t="s">
        <v>1204</v>
      </c>
      <c r="B7" s="654" t="s">
        <v>1205</v>
      </c>
      <c r="C7" s="652" t="s">
        <v>1206</v>
      </c>
      <c r="D7" s="647"/>
      <c r="E7" s="647"/>
      <c r="F7" s="647"/>
      <c r="G7" s="647"/>
      <c r="H7" s="647"/>
      <c r="I7" s="647"/>
      <c r="J7" s="647"/>
      <c r="K7" s="647"/>
      <c r="L7" s="647"/>
      <c r="M7" s="647"/>
      <c r="N7" s="647"/>
      <c r="O7" s="647"/>
      <c r="P7" s="647"/>
      <c r="Q7" s="647"/>
      <c r="R7" s="647"/>
      <c r="S7" s="647"/>
      <c r="T7" s="647"/>
      <c r="U7" s="647"/>
      <c r="V7" s="647"/>
      <c r="W7" s="647"/>
      <c r="X7" s="647"/>
    </row>
    <row r="8">
      <c r="A8" s="653" t="s">
        <v>95</v>
      </c>
      <c r="B8" s="654" t="s">
        <v>94</v>
      </c>
      <c r="C8" s="652" t="s">
        <v>1206</v>
      </c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647"/>
      <c r="O8" s="647"/>
      <c r="P8" s="647"/>
      <c r="Q8" s="647"/>
      <c r="R8" s="647"/>
      <c r="S8" s="647"/>
      <c r="T8" s="647"/>
      <c r="U8" s="647"/>
      <c r="V8" s="647"/>
      <c r="W8" s="647"/>
      <c r="X8" s="647"/>
    </row>
    <row r="9">
      <c r="A9" s="653" t="s">
        <v>1207</v>
      </c>
      <c r="B9" s="654" t="s">
        <v>1208</v>
      </c>
      <c r="C9" s="652" t="s">
        <v>1206</v>
      </c>
      <c r="D9" s="647"/>
      <c r="E9" s="647"/>
      <c r="F9" s="647"/>
      <c r="G9" s="647"/>
      <c r="H9" s="647"/>
      <c r="I9" s="647"/>
      <c r="J9" s="647"/>
      <c r="K9" s="647"/>
      <c r="L9" s="647"/>
      <c r="M9" s="647"/>
      <c r="N9" s="647"/>
      <c r="O9" s="647"/>
      <c r="P9" s="647"/>
      <c r="Q9" s="647"/>
      <c r="R9" s="647"/>
      <c r="S9" s="647"/>
      <c r="T9" s="647"/>
      <c r="U9" s="647"/>
      <c r="V9" s="647"/>
      <c r="W9" s="647"/>
      <c r="X9" s="647"/>
    </row>
    <row r="10">
      <c r="A10" s="653" t="s">
        <v>1209</v>
      </c>
      <c r="B10" s="654" t="s">
        <v>1210</v>
      </c>
      <c r="C10" s="652" t="s">
        <v>1206</v>
      </c>
      <c r="D10" s="647"/>
      <c r="E10" s="647"/>
      <c r="F10" s="647"/>
      <c r="G10" s="647"/>
      <c r="H10" s="647"/>
      <c r="I10" s="647"/>
      <c r="J10" s="647"/>
      <c r="K10" s="647"/>
      <c r="L10" s="647"/>
      <c r="M10" s="647"/>
      <c r="N10" s="647"/>
      <c r="O10" s="647"/>
      <c r="P10" s="647"/>
      <c r="Q10" s="647"/>
      <c r="R10" s="647"/>
      <c r="S10" s="647"/>
      <c r="T10" s="647"/>
      <c r="U10" s="647"/>
      <c r="V10" s="647"/>
      <c r="W10" s="647"/>
      <c r="X10" s="647"/>
    </row>
    <row r="11">
      <c r="A11" s="653" t="s">
        <v>88</v>
      </c>
      <c r="B11" s="654" t="s">
        <v>87</v>
      </c>
      <c r="C11" s="652" t="s">
        <v>1201</v>
      </c>
      <c r="D11" s="647"/>
      <c r="E11" s="647"/>
      <c r="F11" s="647"/>
      <c r="G11" s="647"/>
      <c r="H11" s="647"/>
      <c r="I11" s="647"/>
      <c r="J11" s="647"/>
      <c r="K11" s="647"/>
      <c r="L11" s="647"/>
      <c r="M11" s="647"/>
      <c r="N11" s="647"/>
      <c r="O11" s="647"/>
      <c r="P11" s="647"/>
      <c r="Q11" s="647"/>
      <c r="R11" s="647"/>
      <c r="S11" s="647"/>
      <c r="T11" s="647"/>
      <c r="U11" s="647"/>
      <c r="V11" s="647"/>
      <c r="W11" s="647"/>
      <c r="X11" s="647"/>
    </row>
    <row r="12">
      <c r="A12" s="653" t="s">
        <v>1211</v>
      </c>
      <c r="B12" s="654" t="s">
        <v>1212</v>
      </c>
      <c r="C12" s="652" t="s">
        <v>711</v>
      </c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647"/>
      <c r="O12" s="647"/>
      <c r="P12" s="647"/>
      <c r="Q12" s="647"/>
      <c r="R12" s="647"/>
      <c r="S12" s="647"/>
      <c r="T12" s="647"/>
      <c r="U12" s="647"/>
      <c r="V12" s="647"/>
      <c r="W12" s="647"/>
      <c r="X12" s="647"/>
    </row>
    <row r="13">
      <c r="A13" s="653" t="s">
        <v>126</v>
      </c>
      <c r="B13" s="654" t="s">
        <v>1213</v>
      </c>
      <c r="C13" s="652" t="s">
        <v>711</v>
      </c>
      <c r="D13" s="647"/>
      <c r="E13" s="647"/>
      <c r="F13" s="647"/>
      <c r="G13" s="647"/>
      <c r="H13" s="647"/>
      <c r="I13" s="647"/>
      <c r="J13" s="647"/>
      <c r="K13" s="647"/>
      <c r="L13" s="647"/>
      <c r="M13" s="647"/>
      <c r="N13" s="647"/>
      <c r="O13" s="647"/>
      <c r="P13" s="647"/>
      <c r="Q13" s="647"/>
      <c r="R13" s="647"/>
      <c r="S13" s="647"/>
      <c r="T13" s="647"/>
      <c r="U13" s="647"/>
      <c r="V13" s="647"/>
      <c r="W13" s="647"/>
      <c r="X13" s="647"/>
    </row>
    <row r="14">
      <c r="A14" s="653" t="s">
        <v>1214</v>
      </c>
      <c r="B14" s="654" t="s">
        <v>1215</v>
      </c>
      <c r="C14" s="652" t="s">
        <v>711</v>
      </c>
      <c r="D14" s="647"/>
      <c r="E14" s="647"/>
      <c r="F14" s="647"/>
      <c r="G14" s="647"/>
      <c r="H14" s="647"/>
      <c r="I14" s="647"/>
      <c r="J14" s="647"/>
      <c r="K14" s="647"/>
      <c r="L14" s="647"/>
      <c r="M14" s="647"/>
      <c r="N14" s="647"/>
      <c r="O14" s="647"/>
      <c r="P14" s="647"/>
      <c r="Q14" s="647"/>
      <c r="R14" s="647"/>
      <c r="S14" s="647"/>
      <c r="T14" s="647"/>
      <c r="U14" s="647"/>
      <c r="V14" s="647"/>
      <c r="W14" s="647"/>
      <c r="X14" s="647"/>
    </row>
    <row r="15">
      <c r="A15" s="653" t="s">
        <v>1216</v>
      </c>
      <c r="B15" s="654" t="s">
        <v>1217</v>
      </c>
      <c r="C15" s="652" t="s">
        <v>711</v>
      </c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647"/>
      <c r="O15" s="647"/>
      <c r="P15" s="647"/>
      <c r="Q15" s="647"/>
      <c r="R15" s="647"/>
      <c r="S15" s="647"/>
      <c r="T15" s="647"/>
      <c r="U15" s="647"/>
      <c r="V15" s="647"/>
      <c r="W15" s="647"/>
      <c r="X15" s="647"/>
    </row>
    <row r="16">
      <c r="A16" s="653" t="s">
        <v>136</v>
      </c>
      <c r="B16" s="654" t="s">
        <v>135</v>
      </c>
      <c r="C16" s="652" t="s">
        <v>711</v>
      </c>
      <c r="D16" s="647"/>
      <c r="E16" s="647"/>
      <c r="F16" s="647"/>
      <c r="G16" s="647"/>
      <c r="H16" s="647"/>
      <c r="I16" s="647"/>
      <c r="J16" s="647"/>
      <c r="K16" s="647"/>
      <c r="L16" s="647"/>
      <c r="M16" s="647"/>
      <c r="N16" s="647"/>
      <c r="O16" s="647"/>
      <c r="P16" s="647"/>
      <c r="Q16" s="647"/>
      <c r="R16" s="647"/>
      <c r="S16" s="647"/>
      <c r="T16" s="647"/>
      <c r="U16" s="647"/>
      <c r="V16" s="647"/>
      <c r="W16" s="647"/>
      <c r="X16" s="647"/>
    </row>
    <row r="17">
      <c r="A17" s="653" t="s">
        <v>1218</v>
      </c>
      <c r="B17" s="654" t="s">
        <v>1219</v>
      </c>
      <c r="C17" s="652" t="s">
        <v>711</v>
      </c>
      <c r="D17" s="647"/>
      <c r="E17" s="647"/>
      <c r="F17" s="647"/>
      <c r="G17" s="647"/>
      <c r="H17" s="647"/>
      <c r="I17" s="647"/>
      <c r="J17" s="647"/>
      <c r="K17" s="647"/>
      <c r="L17" s="647"/>
      <c r="M17" s="647"/>
      <c r="N17" s="647"/>
      <c r="O17" s="647"/>
      <c r="P17" s="647"/>
      <c r="Q17" s="647"/>
      <c r="R17" s="647"/>
      <c r="S17" s="647"/>
      <c r="T17" s="647"/>
      <c r="U17" s="647"/>
      <c r="V17" s="647"/>
      <c r="W17" s="647"/>
      <c r="X17" s="647"/>
    </row>
    <row r="18">
      <c r="A18" s="653" t="s">
        <v>99</v>
      </c>
      <c r="B18" s="654" t="s">
        <v>1220</v>
      </c>
      <c r="C18" s="652" t="s">
        <v>711</v>
      </c>
      <c r="D18" s="647"/>
      <c r="E18" s="647"/>
      <c r="F18" s="647"/>
      <c r="G18" s="647"/>
      <c r="H18" s="647"/>
      <c r="I18" s="647"/>
      <c r="J18" s="647"/>
      <c r="K18" s="647"/>
      <c r="L18" s="647"/>
      <c r="M18" s="647"/>
      <c r="N18" s="647"/>
      <c r="O18" s="647"/>
      <c r="P18" s="647"/>
      <c r="Q18" s="647"/>
      <c r="R18" s="647"/>
      <c r="S18" s="647"/>
      <c r="T18" s="647"/>
      <c r="U18" s="647"/>
      <c r="V18" s="647"/>
      <c r="W18" s="647"/>
      <c r="X18" s="647"/>
    </row>
    <row r="19">
      <c r="A19" s="653" t="s">
        <v>1221</v>
      </c>
      <c r="B19" s="654" t="s">
        <v>1222</v>
      </c>
      <c r="C19" s="652" t="s">
        <v>711</v>
      </c>
      <c r="D19" s="647"/>
      <c r="E19" s="647"/>
      <c r="F19" s="647"/>
      <c r="G19" s="647"/>
      <c r="H19" s="647"/>
      <c r="I19" s="647"/>
      <c r="J19" s="647"/>
      <c r="K19" s="647"/>
      <c r="L19" s="647"/>
      <c r="M19" s="647"/>
      <c r="N19" s="647"/>
      <c r="O19" s="647"/>
      <c r="P19" s="647"/>
      <c r="Q19" s="647"/>
      <c r="R19" s="647"/>
      <c r="S19" s="647"/>
      <c r="T19" s="647"/>
      <c r="U19" s="647"/>
      <c r="V19" s="647"/>
      <c r="W19" s="647"/>
      <c r="X19" s="647"/>
    </row>
    <row r="20">
      <c r="A20" s="653" t="s">
        <v>81</v>
      </c>
      <c r="B20" s="654" t="s">
        <v>78</v>
      </c>
      <c r="C20" s="652" t="s">
        <v>711</v>
      </c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</row>
    <row r="21">
      <c r="A21" s="653" t="s">
        <v>144</v>
      </c>
      <c r="B21" s="654" t="s">
        <v>143</v>
      </c>
      <c r="C21" s="652" t="s">
        <v>711</v>
      </c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</row>
    <row r="22">
      <c r="A22" s="653" t="s">
        <v>149</v>
      </c>
      <c r="B22" s="654" t="s">
        <v>1223</v>
      </c>
      <c r="C22" s="652" t="s">
        <v>711</v>
      </c>
      <c r="D22" s="647"/>
      <c r="E22" s="647"/>
      <c r="F22" s="647"/>
      <c r="G22" s="647"/>
      <c r="H22" s="647"/>
      <c r="I22" s="647"/>
      <c r="J22" s="647"/>
      <c r="K22" s="647"/>
      <c r="L22" s="647"/>
      <c r="M22" s="647"/>
      <c r="N22" s="647"/>
      <c r="O22" s="647"/>
      <c r="P22" s="647"/>
      <c r="Q22" s="647"/>
      <c r="R22" s="647"/>
      <c r="S22" s="647"/>
      <c r="T22" s="647"/>
      <c r="U22" s="647"/>
      <c r="V22" s="647"/>
      <c r="W22" s="647"/>
      <c r="X22" s="647"/>
    </row>
    <row r="23">
      <c r="A23" s="653" t="s">
        <v>1224</v>
      </c>
      <c r="B23" s="654" t="s">
        <v>1225</v>
      </c>
      <c r="C23" s="652" t="s">
        <v>1206</v>
      </c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47"/>
      <c r="P23" s="647"/>
      <c r="Q23" s="647"/>
      <c r="R23" s="647"/>
      <c r="S23" s="647"/>
      <c r="T23" s="647"/>
      <c r="U23" s="647"/>
      <c r="V23" s="647"/>
      <c r="W23" s="647"/>
      <c r="X23" s="647"/>
    </row>
    <row r="24">
      <c r="A24" s="653" t="s">
        <v>1226</v>
      </c>
      <c r="B24" s="654" t="s">
        <v>1227</v>
      </c>
      <c r="C24" s="652" t="s">
        <v>1206</v>
      </c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7"/>
      <c r="P24" s="647"/>
      <c r="Q24" s="647"/>
      <c r="R24" s="647"/>
      <c r="S24" s="647"/>
      <c r="T24" s="647"/>
      <c r="U24" s="647"/>
      <c r="V24" s="647"/>
      <c r="W24" s="647"/>
      <c r="X24" s="647"/>
    </row>
    <row r="25">
      <c r="A25" s="653" t="s">
        <v>1228</v>
      </c>
      <c r="B25" s="654" t="s">
        <v>1229</v>
      </c>
      <c r="C25" s="652" t="s">
        <v>1206</v>
      </c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</row>
    <row r="26">
      <c r="A26" s="653" t="s">
        <v>1230</v>
      </c>
      <c r="B26" s="654" t="s">
        <v>1231</v>
      </c>
      <c r="C26" s="652" t="s">
        <v>1206</v>
      </c>
      <c r="D26" s="647"/>
      <c r="E26" s="647"/>
      <c r="F26" s="647"/>
      <c r="G26" s="647"/>
      <c r="H26" s="647"/>
      <c r="I26" s="647"/>
      <c r="J26" s="647"/>
      <c r="K26" s="647"/>
      <c r="L26" s="647"/>
      <c r="M26" s="647"/>
      <c r="N26" s="647"/>
      <c r="O26" s="647"/>
      <c r="P26" s="647"/>
      <c r="Q26" s="647"/>
      <c r="R26" s="647"/>
      <c r="S26" s="647"/>
      <c r="T26" s="647"/>
      <c r="U26" s="647"/>
      <c r="V26" s="647"/>
      <c r="W26" s="647"/>
      <c r="X26" s="647"/>
    </row>
    <row r="27">
      <c r="A27" s="653" t="s">
        <v>1232</v>
      </c>
      <c r="B27" s="654" t="s">
        <v>1233</v>
      </c>
      <c r="C27" s="652" t="s">
        <v>1206</v>
      </c>
      <c r="D27" s="647"/>
      <c r="E27" s="647"/>
      <c r="F27" s="647"/>
      <c r="G27" s="647"/>
      <c r="H27" s="647"/>
      <c r="I27" s="647"/>
      <c r="J27" s="647"/>
      <c r="K27" s="647"/>
      <c r="L27" s="647"/>
      <c r="M27" s="647"/>
      <c r="N27" s="647"/>
      <c r="O27" s="647"/>
      <c r="P27" s="647"/>
      <c r="Q27" s="647"/>
      <c r="R27" s="647"/>
      <c r="S27" s="647"/>
      <c r="T27" s="647"/>
      <c r="U27" s="647"/>
      <c r="V27" s="647"/>
      <c r="W27" s="647"/>
      <c r="X27" s="647"/>
    </row>
    <row r="28">
      <c r="A28" s="653" t="s">
        <v>174</v>
      </c>
      <c r="B28" s="654" t="s">
        <v>173</v>
      </c>
      <c r="C28" s="652" t="s">
        <v>1234</v>
      </c>
      <c r="D28" s="647"/>
      <c r="E28" s="647"/>
      <c r="F28" s="647"/>
      <c r="G28" s="647"/>
      <c r="H28" s="647"/>
      <c r="I28" s="647"/>
      <c r="J28" s="647"/>
      <c r="K28" s="647"/>
      <c r="L28" s="647"/>
      <c r="M28" s="647"/>
      <c r="N28" s="647"/>
      <c r="O28" s="647"/>
      <c r="P28" s="647"/>
      <c r="Q28" s="647"/>
      <c r="R28" s="647"/>
      <c r="S28" s="647"/>
      <c r="T28" s="647"/>
      <c r="U28" s="647"/>
      <c r="V28" s="647"/>
      <c r="W28" s="647"/>
      <c r="X28" s="647"/>
    </row>
    <row r="29">
      <c r="A29" s="653" t="s">
        <v>180</v>
      </c>
      <c r="B29" s="654" t="s">
        <v>179</v>
      </c>
      <c r="C29" s="652" t="s">
        <v>496</v>
      </c>
      <c r="D29" s="647"/>
      <c r="E29" s="647"/>
      <c r="F29" s="647"/>
      <c r="G29" s="647"/>
      <c r="H29" s="647"/>
      <c r="I29" s="647"/>
      <c r="J29" s="647"/>
      <c r="K29" s="647"/>
      <c r="L29" s="647"/>
      <c r="M29" s="647"/>
      <c r="N29" s="647"/>
      <c r="O29" s="647"/>
      <c r="P29" s="647"/>
      <c r="Q29" s="647"/>
      <c r="R29" s="647"/>
      <c r="S29" s="647"/>
      <c r="T29" s="647"/>
      <c r="U29" s="647"/>
      <c r="V29" s="647"/>
      <c r="W29" s="647"/>
      <c r="X29" s="647"/>
    </row>
    <row r="30">
      <c r="A30" s="653" t="s">
        <v>1235</v>
      </c>
      <c r="B30" s="654" t="s">
        <v>1236</v>
      </c>
      <c r="C30" s="652" t="s">
        <v>1206</v>
      </c>
      <c r="D30" s="647"/>
      <c r="E30" s="647"/>
      <c r="F30" s="647"/>
      <c r="G30" s="647"/>
      <c r="H30" s="647"/>
      <c r="I30" s="647"/>
      <c r="J30" s="647"/>
      <c r="K30" s="647"/>
      <c r="L30" s="647"/>
      <c r="M30" s="647"/>
      <c r="N30" s="647"/>
      <c r="O30" s="647"/>
      <c r="P30" s="647"/>
      <c r="Q30" s="647"/>
      <c r="R30" s="647"/>
      <c r="S30" s="647"/>
      <c r="T30" s="647"/>
      <c r="U30" s="647"/>
      <c r="V30" s="647"/>
      <c r="W30" s="647"/>
      <c r="X30" s="647"/>
    </row>
    <row r="31">
      <c r="A31" s="653" t="s">
        <v>1237</v>
      </c>
      <c r="B31" s="654" t="s">
        <v>1238</v>
      </c>
      <c r="C31" s="652" t="s">
        <v>1239</v>
      </c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47"/>
      <c r="P31" s="647"/>
      <c r="Q31" s="647"/>
      <c r="R31" s="647"/>
      <c r="S31" s="647"/>
      <c r="T31" s="647"/>
      <c r="U31" s="647"/>
      <c r="V31" s="647"/>
      <c r="W31" s="647"/>
      <c r="X31" s="647"/>
    </row>
    <row r="32">
      <c r="A32" s="653" t="s">
        <v>1240</v>
      </c>
      <c r="B32" s="654" t="s">
        <v>1241</v>
      </c>
      <c r="C32" s="652" t="s">
        <v>1239</v>
      </c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7"/>
      <c r="P32" s="647"/>
      <c r="Q32" s="647"/>
      <c r="R32" s="647"/>
      <c r="S32" s="647"/>
      <c r="T32" s="647"/>
      <c r="U32" s="647"/>
      <c r="V32" s="647"/>
      <c r="W32" s="647"/>
      <c r="X32" s="647"/>
    </row>
    <row r="33">
      <c r="A33" s="653" t="s">
        <v>1242</v>
      </c>
      <c r="B33" s="654" t="s">
        <v>1243</v>
      </c>
      <c r="C33" s="652" t="s">
        <v>1206</v>
      </c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</row>
    <row r="34">
      <c r="A34" s="653" t="s">
        <v>1244</v>
      </c>
      <c r="B34" s="654" t="s">
        <v>1245</v>
      </c>
      <c r="C34" s="652" t="s">
        <v>1206</v>
      </c>
      <c r="D34" s="647"/>
      <c r="E34" s="647"/>
      <c r="F34" s="647"/>
      <c r="G34" s="647"/>
      <c r="H34" s="647"/>
      <c r="I34" s="647"/>
      <c r="J34" s="647"/>
      <c r="K34" s="647"/>
      <c r="L34" s="647"/>
      <c r="M34" s="647"/>
      <c r="N34" s="647"/>
      <c r="O34" s="647"/>
      <c r="P34" s="647"/>
      <c r="Q34" s="647"/>
      <c r="R34" s="647"/>
      <c r="S34" s="647"/>
      <c r="T34" s="647"/>
      <c r="U34" s="647"/>
      <c r="V34" s="647"/>
      <c r="W34" s="647"/>
      <c r="X34" s="647"/>
    </row>
    <row r="35">
      <c r="A35" s="655" t="s">
        <v>1246</v>
      </c>
      <c r="B35" s="652" t="s">
        <v>1247</v>
      </c>
      <c r="C35" s="652" t="s">
        <v>1206</v>
      </c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</row>
    <row r="36">
      <c r="A36" s="135" t="s">
        <v>1248</v>
      </c>
      <c r="B36" s="132" t="s">
        <v>1249</v>
      </c>
      <c r="C36" s="652" t="s">
        <v>1206</v>
      </c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47"/>
      <c r="P36" s="647"/>
      <c r="Q36" s="647"/>
      <c r="R36" s="647"/>
      <c r="S36" s="647"/>
      <c r="T36" s="647"/>
      <c r="U36" s="647"/>
      <c r="V36" s="647"/>
      <c r="W36" s="647"/>
      <c r="X36" s="647"/>
    </row>
    <row r="37">
      <c r="A37" s="135" t="s">
        <v>1250</v>
      </c>
      <c r="B37" s="132" t="s">
        <v>1251</v>
      </c>
      <c r="C37" s="652" t="s">
        <v>1206</v>
      </c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47"/>
      <c r="P37" s="647"/>
      <c r="Q37" s="647"/>
      <c r="R37" s="647"/>
      <c r="S37" s="647"/>
      <c r="T37" s="647"/>
      <c r="U37" s="647"/>
      <c r="V37" s="647"/>
      <c r="W37" s="647"/>
      <c r="X37" s="647"/>
    </row>
    <row r="38">
      <c r="A38" s="135" t="s">
        <v>1252</v>
      </c>
      <c r="B38" s="132" t="s">
        <v>1253</v>
      </c>
      <c r="C38" s="652" t="s">
        <v>1206</v>
      </c>
      <c r="D38" s="647"/>
      <c r="E38" s="647"/>
      <c r="F38" s="647"/>
      <c r="G38" s="647"/>
      <c r="H38" s="647"/>
      <c r="I38" s="647"/>
      <c r="J38" s="647"/>
      <c r="K38" s="647"/>
      <c r="L38" s="647"/>
      <c r="M38" s="647"/>
      <c r="N38" s="647"/>
      <c r="O38" s="647"/>
      <c r="P38" s="647"/>
      <c r="Q38" s="647"/>
      <c r="R38" s="647"/>
      <c r="S38" s="647"/>
      <c r="T38" s="647"/>
      <c r="U38" s="647"/>
      <c r="V38" s="647"/>
      <c r="W38" s="647"/>
      <c r="X38" s="647"/>
    </row>
    <row r="39">
      <c r="A39" s="135" t="s">
        <v>1254</v>
      </c>
      <c r="B39" s="132" t="s">
        <v>1255</v>
      </c>
      <c r="C39" s="652" t="s">
        <v>1206</v>
      </c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</row>
    <row r="40">
      <c r="A40" s="135" t="s">
        <v>177</v>
      </c>
      <c r="B40" s="132" t="s">
        <v>176</v>
      </c>
      <c r="C40" s="652" t="s">
        <v>1234</v>
      </c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</row>
    <row r="41">
      <c r="A41" s="135" t="s">
        <v>1256</v>
      </c>
      <c r="B41" s="132" t="s">
        <v>1257</v>
      </c>
      <c r="C41" s="652" t="s">
        <v>711</v>
      </c>
      <c r="D41" s="647"/>
      <c r="E41" s="647"/>
      <c r="F41" s="647"/>
      <c r="G41" s="647"/>
      <c r="H41" s="647"/>
      <c r="I41" s="647"/>
      <c r="J41" s="647"/>
      <c r="K41" s="647"/>
      <c r="L41" s="647"/>
      <c r="M41" s="647"/>
      <c r="N41" s="647"/>
      <c r="O41" s="647"/>
      <c r="P41" s="647"/>
      <c r="Q41" s="647"/>
      <c r="R41" s="647"/>
      <c r="S41" s="647"/>
      <c r="T41" s="647"/>
      <c r="U41" s="647"/>
      <c r="V41" s="647"/>
      <c r="W41" s="647"/>
      <c r="X41" s="647"/>
    </row>
    <row r="42">
      <c r="A42" s="655" t="s">
        <v>1258</v>
      </c>
      <c r="B42" s="652" t="s">
        <v>1259</v>
      </c>
      <c r="C42" s="652" t="s">
        <v>1206</v>
      </c>
      <c r="D42" s="647"/>
      <c r="E42" s="647"/>
      <c r="F42" s="647"/>
      <c r="G42" s="647"/>
      <c r="H42" s="647"/>
      <c r="I42" s="647"/>
      <c r="J42" s="647"/>
      <c r="K42" s="647"/>
      <c r="L42" s="647"/>
      <c r="M42" s="647"/>
      <c r="N42" s="647"/>
      <c r="O42" s="647"/>
      <c r="P42" s="647"/>
      <c r="Q42" s="647"/>
      <c r="R42" s="647"/>
      <c r="S42" s="647"/>
      <c r="T42" s="647"/>
      <c r="U42" s="647"/>
      <c r="V42" s="647"/>
      <c r="W42" s="647"/>
      <c r="X42" s="647"/>
    </row>
    <row r="43">
      <c r="A43" s="655" t="s">
        <v>22</v>
      </c>
      <c r="B43" s="652" t="s">
        <v>1260</v>
      </c>
      <c r="C43" s="652" t="s">
        <v>1206</v>
      </c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7"/>
      <c r="P43" s="647"/>
      <c r="Q43" s="647"/>
      <c r="R43" s="647"/>
      <c r="S43" s="647"/>
      <c r="T43" s="647"/>
      <c r="U43" s="647"/>
      <c r="V43" s="647"/>
      <c r="W43" s="647"/>
      <c r="X43" s="647"/>
    </row>
    <row r="44">
      <c r="A44" s="135" t="s">
        <v>1261</v>
      </c>
      <c r="B44" s="132" t="s">
        <v>1262</v>
      </c>
      <c r="C44" s="652" t="s">
        <v>1206</v>
      </c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7"/>
      <c r="P44" s="647"/>
      <c r="Q44" s="647"/>
      <c r="R44" s="647"/>
      <c r="S44" s="647"/>
      <c r="T44" s="647"/>
      <c r="U44" s="647"/>
      <c r="V44" s="647"/>
      <c r="W44" s="647"/>
      <c r="X44" s="647"/>
    </row>
    <row r="45">
      <c r="A45" s="135" t="s">
        <v>1263</v>
      </c>
      <c r="B45" s="132" t="s">
        <v>1264</v>
      </c>
      <c r="C45" s="652" t="s">
        <v>1206</v>
      </c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</row>
    <row r="46">
      <c r="A46" s="135" t="s">
        <v>1265</v>
      </c>
      <c r="B46" s="132" t="s">
        <v>1266</v>
      </c>
      <c r="C46" s="652" t="s">
        <v>1206</v>
      </c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47"/>
      <c r="P46" s="647"/>
      <c r="Q46" s="647"/>
      <c r="R46" s="647"/>
      <c r="S46" s="647"/>
      <c r="T46" s="647"/>
      <c r="U46" s="647"/>
      <c r="V46" s="647"/>
      <c r="W46" s="647"/>
      <c r="X46" s="647"/>
    </row>
    <row r="47">
      <c r="A47" s="655" t="s">
        <v>1267</v>
      </c>
      <c r="B47" s="652" t="s">
        <v>1268</v>
      </c>
      <c r="C47" s="652" t="s">
        <v>1269</v>
      </c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47"/>
      <c r="P47" s="647"/>
      <c r="Q47" s="647"/>
      <c r="R47" s="647"/>
      <c r="S47" s="647"/>
      <c r="T47" s="647"/>
      <c r="U47" s="647"/>
      <c r="V47" s="647"/>
      <c r="W47" s="647"/>
      <c r="X47" s="647"/>
    </row>
    <row r="48">
      <c r="A48" s="655" t="s">
        <v>1270</v>
      </c>
      <c r="B48" s="652" t="s">
        <v>1271</v>
      </c>
      <c r="C48" s="652" t="s">
        <v>1206</v>
      </c>
      <c r="D48" s="647"/>
      <c r="E48" s="647"/>
      <c r="F48" s="647"/>
      <c r="G48" s="647"/>
      <c r="H48" s="647"/>
      <c r="I48" s="647"/>
      <c r="J48" s="647"/>
      <c r="K48" s="647"/>
      <c r="L48" s="647"/>
      <c r="M48" s="647"/>
      <c r="N48" s="647"/>
      <c r="O48" s="647"/>
      <c r="P48" s="647"/>
      <c r="Q48" s="647"/>
      <c r="R48" s="647"/>
      <c r="S48" s="647"/>
      <c r="T48" s="647"/>
      <c r="U48" s="647"/>
      <c r="V48" s="647"/>
      <c r="W48" s="647"/>
      <c r="X48" s="647"/>
    </row>
    <row r="49">
      <c r="A49" s="655" t="s">
        <v>1272</v>
      </c>
      <c r="B49" s="652" t="s">
        <v>1273</v>
      </c>
      <c r="C49" s="652" t="s">
        <v>1274</v>
      </c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</row>
    <row r="50">
      <c r="A50" s="655" t="s">
        <v>1275</v>
      </c>
      <c r="B50" s="652" t="s">
        <v>1276</v>
      </c>
      <c r="C50" s="652" t="s">
        <v>1277</v>
      </c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</row>
    <row r="51">
      <c r="A51" s="655" t="s">
        <v>1278</v>
      </c>
      <c r="B51" s="652" t="s">
        <v>1279</v>
      </c>
      <c r="C51" s="652" t="s">
        <v>1206</v>
      </c>
      <c r="D51" s="647"/>
      <c r="E51" s="647"/>
      <c r="F51" s="647"/>
      <c r="G51" s="647"/>
      <c r="H51" s="647"/>
      <c r="I51" s="647"/>
      <c r="J51" s="647"/>
      <c r="K51" s="647"/>
      <c r="L51" s="647"/>
      <c r="M51" s="647"/>
      <c r="N51" s="647"/>
      <c r="O51" s="647"/>
      <c r="P51" s="647"/>
      <c r="Q51" s="647"/>
      <c r="R51" s="647"/>
      <c r="S51" s="647"/>
      <c r="T51" s="647"/>
      <c r="U51" s="647"/>
      <c r="V51" s="647"/>
      <c r="W51" s="647"/>
      <c r="X51" s="647"/>
    </row>
    <row r="52">
      <c r="A52" s="655" t="s">
        <v>1280</v>
      </c>
      <c r="B52" s="652" t="s">
        <v>1281</v>
      </c>
      <c r="C52" s="652" t="s">
        <v>1282</v>
      </c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7"/>
      <c r="P52" s="647"/>
      <c r="Q52" s="647"/>
      <c r="R52" s="647"/>
      <c r="S52" s="647"/>
      <c r="T52" s="647"/>
      <c r="U52" s="647"/>
      <c r="V52" s="647"/>
      <c r="W52" s="647"/>
      <c r="X52" s="647"/>
    </row>
    <row r="53">
      <c r="A53" s="655" t="s">
        <v>1283</v>
      </c>
      <c r="B53" s="652" t="s">
        <v>1284</v>
      </c>
      <c r="C53" s="652" t="s">
        <v>1285</v>
      </c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</row>
    <row r="54">
      <c r="A54" s="655" t="s">
        <v>1286</v>
      </c>
      <c r="B54" s="652" t="s">
        <v>1287</v>
      </c>
      <c r="C54" s="652" t="s">
        <v>1285</v>
      </c>
      <c r="D54" s="647"/>
      <c r="E54" s="647"/>
      <c r="F54" s="647"/>
      <c r="G54" s="647"/>
      <c r="H54" s="647"/>
      <c r="I54" s="647"/>
      <c r="J54" s="647"/>
      <c r="K54" s="647"/>
      <c r="L54" s="647"/>
      <c r="M54" s="647"/>
      <c r="N54" s="647"/>
      <c r="O54" s="647"/>
      <c r="P54" s="647"/>
      <c r="Q54" s="647"/>
      <c r="R54" s="647"/>
      <c r="S54" s="647"/>
      <c r="T54" s="647"/>
      <c r="U54" s="647"/>
      <c r="V54" s="647"/>
      <c r="W54" s="647"/>
      <c r="X54" s="647"/>
    </row>
    <row r="55">
      <c r="A55" s="655" t="s">
        <v>1288</v>
      </c>
      <c r="B55" s="652" t="s">
        <v>1289</v>
      </c>
      <c r="C55" s="652" t="s">
        <v>1290</v>
      </c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47"/>
      <c r="P55" s="647"/>
      <c r="Q55" s="647"/>
      <c r="R55" s="647"/>
      <c r="S55" s="647"/>
      <c r="T55" s="647"/>
      <c r="U55" s="647"/>
      <c r="V55" s="647"/>
      <c r="W55" s="647"/>
      <c r="X55" s="647"/>
    </row>
    <row r="56">
      <c r="A56" s="135" t="s">
        <v>1291</v>
      </c>
      <c r="B56" s="132" t="s">
        <v>1292</v>
      </c>
      <c r="C56" s="652" t="s">
        <v>1285</v>
      </c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47"/>
      <c r="P56" s="647"/>
      <c r="Q56" s="647"/>
      <c r="R56" s="647"/>
      <c r="S56" s="647"/>
      <c r="T56" s="647"/>
      <c r="U56" s="647"/>
      <c r="V56" s="647"/>
      <c r="W56" s="647"/>
      <c r="X56" s="647"/>
    </row>
    <row r="57">
      <c r="A57" s="135" t="s">
        <v>1293</v>
      </c>
      <c r="B57" s="132" t="s">
        <v>1294</v>
      </c>
      <c r="C57" s="652" t="s">
        <v>1285</v>
      </c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</row>
    <row r="58">
      <c r="A58" s="135" t="s">
        <v>1295</v>
      </c>
      <c r="B58" s="132" t="s">
        <v>1296</v>
      </c>
      <c r="C58" s="652" t="s">
        <v>1285</v>
      </c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</row>
    <row r="59">
      <c r="A59" s="135" t="s">
        <v>189</v>
      </c>
      <c r="B59" s="132" t="s">
        <v>188</v>
      </c>
      <c r="C59" s="652" t="s">
        <v>1297</v>
      </c>
      <c r="D59" s="647"/>
      <c r="E59" s="647"/>
      <c r="F59" s="647"/>
      <c r="G59" s="647"/>
      <c r="H59" s="647"/>
      <c r="I59" s="647"/>
      <c r="J59" s="647"/>
      <c r="K59" s="647"/>
      <c r="L59" s="647"/>
      <c r="M59" s="647"/>
      <c r="N59" s="647"/>
      <c r="O59" s="647"/>
      <c r="P59" s="647"/>
      <c r="Q59" s="647"/>
      <c r="R59" s="647"/>
      <c r="S59" s="647"/>
      <c r="T59" s="647"/>
      <c r="U59" s="647"/>
      <c r="V59" s="647"/>
      <c r="W59" s="647"/>
      <c r="X59" s="647"/>
    </row>
    <row r="60">
      <c r="A60" s="135" t="s">
        <v>193</v>
      </c>
      <c r="B60" s="132" t="s">
        <v>192</v>
      </c>
      <c r="C60" s="652" t="s">
        <v>1297</v>
      </c>
      <c r="D60" s="647"/>
      <c r="E60" s="647"/>
      <c r="F60" s="647"/>
      <c r="G60" s="647"/>
      <c r="H60" s="647"/>
      <c r="I60" s="647"/>
      <c r="J60" s="647"/>
      <c r="K60" s="647"/>
      <c r="L60" s="647"/>
      <c r="M60" s="647"/>
      <c r="N60" s="647"/>
      <c r="O60" s="647"/>
      <c r="P60" s="647"/>
      <c r="Q60" s="647"/>
      <c r="R60" s="647"/>
      <c r="S60" s="647"/>
      <c r="T60" s="647"/>
      <c r="U60" s="647"/>
      <c r="V60" s="647"/>
      <c r="W60" s="647"/>
      <c r="X60" s="647"/>
    </row>
    <row r="61">
      <c r="A61" s="135" t="s">
        <v>196</v>
      </c>
      <c r="B61" s="132" t="s">
        <v>195</v>
      </c>
      <c r="C61" s="652" t="s">
        <v>1297</v>
      </c>
      <c r="D61" s="647"/>
      <c r="E61" s="647"/>
      <c r="F61" s="647"/>
      <c r="G61" s="647"/>
      <c r="H61" s="647"/>
      <c r="I61" s="647"/>
      <c r="J61" s="647"/>
      <c r="K61" s="647"/>
      <c r="L61" s="647"/>
      <c r="M61" s="647"/>
      <c r="N61" s="647"/>
      <c r="O61" s="647"/>
      <c r="P61" s="647"/>
      <c r="Q61" s="647"/>
      <c r="R61" s="647"/>
      <c r="S61" s="647"/>
      <c r="T61" s="647"/>
      <c r="U61" s="647"/>
      <c r="V61" s="647"/>
      <c r="W61" s="647"/>
      <c r="X61" s="647"/>
    </row>
    <row r="62">
      <c r="A62" s="655" t="s">
        <v>1244</v>
      </c>
      <c r="B62" s="652" t="s">
        <v>1245</v>
      </c>
      <c r="C62" s="652" t="s">
        <v>1206</v>
      </c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7"/>
      <c r="P62" s="647"/>
      <c r="Q62" s="647"/>
      <c r="R62" s="647"/>
      <c r="S62" s="647"/>
      <c r="T62" s="647"/>
      <c r="U62" s="647"/>
      <c r="V62" s="647"/>
      <c r="W62" s="647"/>
      <c r="X62" s="647"/>
    </row>
    <row r="63">
      <c r="A63" s="135" t="s">
        <v>1298</v>
      </c>
      <c r="B63" s="132" t="s">
        <v>1299</v>
      </c>
      <c r="C63" s="652" t="s">
        <v>1277</v>
      </c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7"/>
      <c r="P63" s="647"/>
      <c r="Q63" s="647"/>
      <c r="R63" s="647"/>
      <c r="S63" s="647"/>
      <c r="T63" s="647"/>
      <c r="U63" s="647"/>
      <c r="V63" s="647"/>
      <c r="W63" s="647"/>
      <c r="X63" s="647"/>
    </row>
    <row r="64">
      <c r="A64" s="135" t="s">
        <v>1300</v>
      </c>
      <c r="B64" s="132" t="s">
        <v>1301</v>
      </c>
      <c r="C64" s="652" t="s">
        <v>1277</v>
      </c>
      <c r="D64" s="647"/>
      <c r="E64" s="647"/>
      <c r="F64" s="647"/>
      <c r="G64" s="647"/>
      <c r="H64" s="647"/>
      <c r="I64" s="647"/>
      <c r="J64" s="647"/>
      <c r="K64" s="647"/>
      <c r="L64" s="647"/>
      <c r="M64" s="647"/>
      <c r="N64" s="647"/>
      <c r="O64" s="647"/>
      <c r="P64" s="647"/>
      <c r="Q64" s="647"/>
      <c r="R64" s="647"/>
      <c r="S64" s="647"/>
      <c r="T64" s="647"/>
      <c r="U64" s="647"/>
      <c r="V64" s="647"/>
      <c r="W64" s="647"/>
      <c r="X64" s="647"/>
    </row>
    <row r="65">
      <c r="A65" s="135" t="s">
        <v>1302</v>
      </c>
      <c r="B65" s="132" t="s">
        <v>1303</v>
      </c>
      <c r="C65" s="652" t="s">
        <v>1304</v>
      </c>
      <c r="D65" s="647"/>
      <c r="E65" s="647"/>
      <c r="F65" s="647"/>
      <c r="G65" s="647"/>
      <c r="H65" s="647"/>
      <c r="I65" s="647"/>
      <c r="J65" s="647"/>
      <c r="K65" s="647"/>
      <c r="L65" s="647"/>
      <c r="M65" s="647"/>
      <c r="N65" s="647"/>
      <c r="O65" s="647"/>
      <c r="P65" s="647"/>
      <c r="Q65" s="647"/>
      <c r="R65" s="647"/>
      <c r="S65" s="647"/>
      <c r="T65" s="647"/>
      <c r="U65" s="647"/>
      <c r="V65" s="647"/>
      <c r="W65" s="647"/>
      <c r="X65" s="647"/>
    </row>
    <row r="66">
      <c r="A66" s="135" t="s">
        <v>1305</v>
      </c>
      <c r="B66" s="132" t="s">
        <v>1306</v>
      </c>
      <c r="C66" s="652" t="s">
        <v>1304</v>
      </c>
      <c r="D66" s="647"/>
      <c r="E66" s="647"/>
      <c r="F66" s="647"/>
      <c r="G66" s="647"/>
      <c r="H66" s="647"/>
      <c r="I66" s="647"/>
      <c r="J66" s="647"/>
      <c r="K66" s="647"/>
      <c r="L66" s="647"/>
      <c r="M66" s="647"/>
      <c r="N66" s="647"/>
      <c r="O66" s="647"/>
      <c r="P66" s="647"/>
      <c r="Q66" s="647"/>
      <c r="R66" s="647"/>
      <c r="S66" s="647"/>
      <c r="T66" s="647"/>
      <c r="U66" s="647"/>
      <c r="V66" s="647"/>
      <c r="W66" s="647"/>
      <c r="X66" s="647"/>
    </row>
    <row r="67">
      <c r="A67" s="655" t="s">
        <v>1307</v>
      </c>
      <c r="B67" s="652" t="s">
        <v>1308</v>
      </c>
      <c r="C67" s="652" t="s">
        <v>1304</v>
      </c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47"/>
      <c r="P67" s="647"/>
      <c r="Q67" s="647"/>
      <c r="R67" s="647"/>
      <c r="S67" s="647"/>
      <c r="T67" s="647"/>
      <c r="U67" s="647"/>
      <c r="V67" s="647"/>
      <c r="W67" s="647"/>
      <c r="X67" s="647"/>
    </row>
    <row r="68">
      <c r="A68" s="655" t="s">
        <v>119</v>
      </c>
      <c r="B68" s="652" t="s">
        <v>1309</v>
      </c>
      <c r="C68" s="652" t="s">
        <v>1310</v>
      </c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47"/>
      <c r="P68" s="647"/>
      <c r="Q68" s="647"/>
      <c r="R68" s="647"/>
      <c r="S68" s="647"/>
      <c r="T68" s="647"/>
      <c r="U68" s="647"/>
      <c r="V68" s="647"/>
      <c r="W68" s="647"/>
      <c r="X68" s="647"/>
    </row>
    <row r="69">
      <c r="A69" s="135" t="s">
        <v>1311</v>
      </c>
      <c r="B69" s="132" t="s">
        <v>1312</v>
      </c>
      <c r="C69" s="652" t="s">
        <v>1239</v>
      </c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</row>
    <row r="70">
      <c r="A70" s="135" t="s">
        <v>1313</v>
      </c>
      <c r="B70" s="132" t="s">
        <v>1314</v>
      </c>
      <c r="C70" s="652" t="s">
        <v>1239</v>
      </c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7"/>
      <c r="P70" s="647"/>
      <c r="Q70" s="647"/>
      <c r="R70" s="647"/>
      <c r="S70" s="647"/>
      <c r="T70" s="647"/>
      <c r="U70" s="647"/>
      <c r="V70" s="647"/>
      <c r="W70" s="647"/>
      <c r="X70" s="647"/>
    </row>
    <row r="71">
      <c r="A71" s="135" t="s">
        <v>1315</v>
      </c>
      <c r="B71" s="132" t="s">
        <v>1316</v>
      </c>
      <c r="C71" s="652" t="s">
        <v>1239</v>
      </c>
      <c r="D71" s="647"/>
      <c r="E71" s="647"/>
      <c r="F71" s="647"/>
      <c r="G71" s="647"/>
      <c r="H71" s="647"/>
      <c r="I71" s="647"/>
      <c r="J71" s="647"/>
      <c r="K71" s="647"/>
      <c r="L71" s="647"/>
      <c r="M71" s="647"/>
      <c r="N71" s="647"/>
      <c r="O71" s="647"/>
      <c r="P71" s="647"/>
      <c r="Q71" s="647"/>
      <c r="R71" s="647"/>
      <c r="S71" s="647"/>
      <c r="T71" s="647"/>
      <c r="U71" s="647"/>
      <c r="V71" s="647"/>
      <c r="W71" s="647"/>
      <c r="X71" s="647"/>
    </row>
    <row r="72">
      <c r="A72" s="135" t="s">
        <v>1317</v>
      </c>
      <c r="B72" s="132" t="s">
        <v>1318</v>
      </c>
      <c r="C72" s="652" t="s">
        <v>1239</v>
      </c>
      <c r="D72" s="647"/>
      <c r="E72" s="647"/>
      <c r="F72" s="647"/>
      <c r="G72" s="647"/>
      <c r="H72" s="647"/>
      <c r="I72" s="647"/>
      <c r="J72" s="647"/>
      <c r="K72" s="647"/>
      <c r="L72" s="647"/>
      <c r="M72" s="647"/>
      <c r="N72" s="647"/>
      <c r="O72" s="647"/>
      <c r="P72" s="647"/>
      <c r="Q72" s="647"/>
      <c r="R72" s="647"/>
      <c r="S72" s="647"/>
      <c r="T72" s="647"/>
      <c r="U72" s="647"/>
      <c r="V72" s="647"/>
      <c r="W72" s="647"/>
      <c r="X72" s="647"/>
    </row>
    <row r="73">
      <c r="A73" s="135" t="s">
        <v>153</v>
      </c>
      <c r="B73" s="132" t="s">
        <v>152</v>
      </c>
      <c r="C73" s="652" t="s">
        <v>1239</v>
      </c>
      <c r="D73" s="647"/>
      <c r="E73" s="647"/>
      <c r="F73" s="647"/>
      <c r="G73" s="647"/>
      <c r="H73" s="647"/>
      <c r="I73" s="647"/>
      <c r="J73" s="647"/>
      <c r="K73" s="647"/>
      <c r="L73" s="647"/>
      <c r="M73" s="647"/>
      <c r="N73" s="647"/>
      <c r="O73" s="647"/>
      <c r="P73" s="647"/>
      <c r="Q73" s="647"/>
      <c r="R73" s="647"/>
      <c r="S73" s="647"/>
      <c r="T73" s="647"/>
      <c r="U73" s="647"/>
      <c r="V73" s="647"/>
      <c r="W73" s="647"/>
      <c r="X73" s="647"/>
    </row>
    <row r="74">
      <c r="A74" s="135" t="s">
        <v>161</v>
      </c>
      <c r="B74" s="132" t="s">
        <v>160</v>
      </c>
      <c r="C74" s="652" t="s">
        <v>1319</v>
      </c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47"/>
      <c r="R74" s="647"/>
      <c r="S74" s="647"/>
      <c r="T74" s="647"/>
      <c r="U74" s="647"/>
      <c r="V74" s="647"/>
      <c r="W74" s="647"/>
      <c r="X74" s="647"/>
    </row>
    <row r="75">
      <c r="A75" s="135" t="s">
        <v>164</v>
      </c>
      <c r="B75" s="132" t="s">
        <v>163</v>
      </c>
      <c r="C75" s="652" t="s">
        <v>1320</v>
      </c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7"/>
      <c r="P75" s="647"/>
      <c r="Q75" s="647"/>
      <c r="R75" s="647"/>
      <c r="S75" s="647"/>
      <c r="T75" s="647"/>
      <c r="U75" s="647"/>
      <c r="V75" s="647"/>
      <c r="W75" s="647"/>
      <c r="X75" s="647"/>
    </row>
    <row r="76">
      <c r="A76" s="135" t="s">
        <v>167</v>
      </c>
      <c r="B76" s="132" t="s">
        <v>166</v>
      </c>
      <c r="C76" s="652" t="s">
        <v>1320</v>
      </c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</row>
    <row r="77">
      <c r="A77" s="135" t="s">
        <v>1321</v>
      </c>
      <c r="B77" s="132" t="s">
        <v>1322</v>
      </c>
      <c r="C77" s="652" t="s">
        <v>1323</v>
      </c>
      <c r="D77" s="647"/>
      <c r="E77" s="647"/>
      <c r="F77" s="647"/>
      <c r="G77" s="647"/>
      <c r="H77" s="647"/>
      <c r="I77" s="647"/>
      <c r="J77" s="647"/>
      <c r="K77" s="647"/>
      <c r="L77" s="647"/>
      <c r="M77" s="647"/>
      <c r="N77" s="647"/>
      <c r="O77" s="647"/>
      <c r="P77" s="647"/>
      <c r="Q77" s="647"/>
      <c r="R77" s="647"/>
      <c r="S77" s="647"/>
      <c r="T77" s="647"/>
      <c r="U77" s="647"/>
      <c r="V77" s="647"/>
      <c r="W77" s="647"/>
      <c r="X77" s="647"/>
    </row>
    <row r="78">
      <c r="A78" s="135" t="s">
        <v>203</v>
      </c>
      <c r="B78" s="132" t="s">
        <v>202</v>
      </c>
      <c r="C78" s="652" t="s">
        <v>1324</v>
      </c>
      <c r="D78" s="647"/>
      <c r="E78" s="647"/>
      <c r="F78" s="647"/>
      <c r="G78" s="647"/>
      <c r="H78" s="647"/>
      <c r="I78" s="647"/>
      <c r="J78" s="647"/>
      <c r="K78" s="647"/>
      <c r="L78" s="647"/>
      <c r="M78" s="647"/>
      <c r="N78" s="647"/>
      <c r="O78" s="647"/>
      <c r="P78" s="647"/>
      <c r="Q78" s="647"/>
      <c r="R78" s="647"/>
      <c r="S78" s="647"/>
      <c r="T78" s="647"/>
      <c r="U78" s="647"/>
      <c r="V78" s="647"/>
      <c r="W78" s="647"/>
      <c r="X78" s="647"/>
    </row>
    <row r="79">
      <c r="A79" s="135" t="s">
        <v>109</v>
      </c>
      <c r="B79" s="132" t="s">
        <v>108</v>
      </c>
      <c r="C79" s="652" t="s">
        <v>1323</v>
      </c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7"/>
      <c r="P79" s="647"/>
      <c r="Q79" s="647"/>
      <c r="R79" s="647"/>
      <c r="S79" s="647"/>
      <c r="T79" s="647"/>
      <c r="U79" s="647"/>
      <c r="V79" s="647"/>
      <c r="W79" s="647"/>
      <c r="X79" s="647"/>
    </row>
    <row r="80">
      <c r="A80" s="135" t="s">
        <v>112</v>
      </c>
      <c r="B80" s="132" t="s">
        <v>111</v>
      </c>
      <c r="C80" s="652" t="s">
        <v>1201</v>
      </c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7"/>
      <c r="P80" s="647"/>
      <c r="Q80" s="647"/>
      <c r="R80" s="647"/>
      <c r="S80" s="647"/>
      <c r="T80" s="647"/>
      <c r="U80" s="647"/>
      <c r="V80" s="647"/>
      <c r="W80" s="647"/>
      <c r="X80" s="647"/>
    </row>
    <row r="81">
      <c r="A81" s="135" t="s">
        <v>114</v>
      </c>
      <c r="B81" s="132" t="s">
        <v>113</v>
      </c>
      <c r="C81" s="652" t="s">
        <v>1325</v>
      </c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</row>
    <row r="82">
      <c r="A82" s="646"/>
      <c r="B82" s="647"/>
      <c r="C82" s="647"/>
      <c r="D82" s="647"/>
      <c r="E82" s="647"/>
      <c r="F82" s="647"/>
      <c r="G82" s="647"/>
      <c r="H82" s="647"/>
      <c r="I82" s="647"/>
      <c r="J82" s="647"/>
      <c r="K82" s="647"/>
      <c r="L82" s="647"/>
      <c r="M82" s="647"/>
      <c r="N82" s="647"/>
      <c r="O82" s="647"/>
      <c r="P82" s="647"/>
      <c r="Q82" s="647"/>
      <c r="R82" s="647"/>
      <c r="S82" s="647"/>
      <c r="T82" s="647"/>
      <c r="U82" s="647"/>
      <c r="V82" s="647"/>
      <c r="W82" s="647"/>
      <c r="X82" s="647"/>
    </row>
    <row r="83">
      <c r="A83" s="646"/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</row>
    <row r="84">
      <c r="A84" s="646"/>
      <c r="B84" s="647"/>
      <c r="C84" s="647"/>
      <c r="D84" s="647"/>
      <c r="E84" s="647"/>
      <c r="F84" s="647"/>
      <c r="G84" s="647"/>
      <c r="H84" s="647"/>
      <c r="I84" s="647"/>
      <c r="J84" s="647"/>
      <c r="K84" s="647"/>
      <c r="L84" s="647"/>
      <c r="M84" s="647"/>
      <c r="N84" s="647"/>
      <c r="O84" s="647"/>
      <c r="P84" s="647"/>
      <c r="Q84" s="647"/>
      <c r="R84" s="647"/>
      <c r="S84" s="647"/>
      <c r="T84" s="647"/>
      <c r="U84" s="647"/>
      <c r="V84" s="647"/>
      <c r="W84" s="647"/>
      <c r="X84" s="647"/>
    </row>
    <row r="85">
      <c r="A85" s="646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47"/>
      <c r="P85" s="647"/>
      <c r="Q85" s="647"/>
      <c r="R85" s="647"/>
      <c r="S85" s="647"/>
      <c r="T85" s="647"/>
      <c r="U85" s="647"/>
      <c r="V85" s="647"/>
      <c r="W85" s="647"/>
      <c r="X85" s="647"/>
    </row>
    <row r="86">
      <c r="A86" s="646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47"/>
      <c r="P86" s="647"/>
      <c r="Q86" s="647"/>
      <c r="R86" s="647"/>
      <c r="S86" s="647"/>
      <c r="T86" s="647"/>
      <c r="U86" s="647"/>
      <c r="V86" s="647"/>
      <c r="W86" s="647"/>
      <c r="X86" s="647"/>
    </row>
    <row r="87">
      <c r="A87" s="646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</row>
    <row r="88">
      <c r="A88" s="646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</row>
    <row r="89">
      <c r="A89" s="646"/>
      <c r="B89" s="647"/>
      <c r="C89" s="647"/>
      <c r="D89" s="647"/>
      <c r="E89" s="647"/>
      <c r="F89" s="647"/>
      <c r="G89" s="647"/>
      <c r="H89" s="647"/>
      <c r="I89" s="647"/>
      <c r="J89" s="647"/>
      <c r="K89" s="647"/>
      <c r="L89" s="647"/>
      <c r="M89" s="647"/>
      <c r="N89" s="647"/>
      <c r="O89" s="647"/>
      <c r="P89" s="647"/>
      <c r="Q89" s="647"/>
      <c r="R89" s="647"/>
      <c r="S89" s="647"/>
      <c r="T89" s="647"/>
      <c r="U89" s="647"/>
      <c r="V89" s="647"/>
      <c r="W89" s="647"/>
      <c r="X89" s="647"/>
    </row>
    <row r="90">
      <c r="A90" s="646"/>
      <c r="B90" s="647"/>
      <c r="C90" s="647"/>
      <c r="D90" s="647"/>
      <c r="E90" s="647"/>
      <c r="F90" s="647"/>
      <c r="G90" s="647"/>
      <c r="H90" s="647"/>
      <c r="I90" s="647"/>
      <c r="J90" s="647"/>
      <c r="K90" s="647"/>
      <c r="L90" s="647"/>
      <c r="M90" s="647"/>
      <c r="N90" s="647"/>
      <c r="O90" s="647"/>
      <c r="P90" s="647"/>
      <c r="Q90" s="647"/>
      <c r="R90" s="647"/>
      <c r="S90" s="647"/>
      <c r="T90" s="647"/>
      <c r="U90" s="647"/>
      <c r="V90" s="647"/>
      <c r="W90" s="647"/>
      <c r="X90" s="647"/>
    </row>
    <row r="91">
      <c r="A91" s="646"/>
      <c r="B91" s="647"/>
      <c r="C91" s="647"/>
      <c r="D91" s="647"/>
      <c r="E91" s="647"/>
      <c r="F91" s="647"/>
      <c r="G91" s="647"/>
      <c r="H91" s="647"/>
      <c r="I91" s="647"/>
      <c r="J91" s="647"/>
      <c r="K91" s="647"/>
      <c r="L91" s="647"/>
      <c r="M91" s="647"/>
      <c r="N91" s="647"/>
      <c r="O91" s="647"/>
      <c r="P91" s="647"/>
      <c r="Q91" s="647"/>
      <c r="R91" s="647"/>
      <c r="S91" s="647"/>
      <c r="T91" s="647"/>
      <c r="U91" s="647"/>
      <c r="V91" s="647"/>
      <c r="W91" s="647"/>
      <c r="X91" s="647"/>
    </row>
    <row r="92">
      <c r="A92" s="646"/>
      <c r="B92" s="647"/>
      <c r="C92" s="647"/>
      <c r="D92" s="647"/>
      <c r="E92" s="647"/>
      <c r="F92" s="647"/>
      <c r="G92" s="647"/>
      <c r="H92" s="647"/>
      <c r="I92" s="647"/>
      <c r="J92" s="647"/>
      <c r="K92" s="647"/>
      <c r="L92" s="647"/>
      <c r="M92" s="647"/>
      <c r="N92" s="647"/>
      <c r="O92" s="647"/>
      <c r="P92" s="647"/>
      <c r="Q92" s="647"/>
      <c r="R92" s="647"/>
      <c r="S92" s="647"/>
      <c r="T92" s="647"/>
      <c r="U92" s="647"/>
      <c r="V92" s="647"/>
      <c r="W92" s="647"/>
      <c r="X92" s="647"/>
    </row>
    <row r="93">
      <c r="A93" s="646"/>
      <c r="B93" s="647"/>
      <c r="C93" s="647"/>
      <c r="D93" s="647"/>
      <c r="E93" s="647"/>
      <c r="F93" s="647"/>
      <c r="G93" s="647"/>
      <c r="H93" s="647"/>
      <c r="I93" s="647"/>
      <c r="J93" s="647"/>
      <c r="K93" s="647"/>
      <c r="L93" s="647"/>
      <c r="M93" s="647"/>
      <c r="N93" s="647"/>
      <c r="O93" s="647"/>
      <c r="P93" s="647"/>
      <c r="Q93" s="647"/>
      <c r="R93" s="647"/>
      <c r="S93" s="647"/>
      <c r="T93" s="647"/>
      <c r="U93" s="647"/>
      <c r="V93" s="647"/>
      <c r="W93" s="647"/>
      <c r="X93" s="647"/>
    </row>
    <row r="94">
      <c r="A94" s="646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7"/>
      <c r="P94" s="647"/>
      <c r="Q94" s="647"/>
      <c r="R94" s="647"/>
      <c r="S94" s="647"/>
      <c r="T94" s="647"/>
      <c r="U94" s="647"/>
      <c r="V94" s="647"/>
      <c r="W94" s="647"/>
      <c r="X94" s="647"/>
    </row>
    <row r="95">
      <c r="A95" s="646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7"/>
      <c r="P95" s="647"/>
      <c r="Q95" s="647"/>
      <c r="R95" s="647"/>
      <c r="S95" s="647"/>
      <c r="T95" s="647"/>
      <c r="U95" s="647"/>
      <c r="V95" s="647"/>
      <c r="W95" s="647"/>
      <c r="X95" s="647"/>
    </row>
    <row r="96">
      <c r="A96" s="646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47"/>
      <c r="P96" s="647"/>
      <c r="Q96" s="647"/>
      <c r="R96" s="647"/>
      <c r="S96" s="647"/>
      <c r="T96" s="647"/>
      <c r="U96" s="647"/>
      <c r="V96" s="647"/>
      <c r="W96" s="647"/>
      <c r="X96" s="647"/>
    </row>
    <row r="97">
      <c r="A97" s="646"/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</row>
    <row r="98">
      <c r="A98" s="646"/>
      <c r="B98" s="647"/>
      <c r="C98" s="647"/>
      <c r="D98" s="647"/>
      <c r="E98" s="647"/>
      <c r="F98" s="647"/>
      <c r="G98" s="647"/>
      <c r="H98" s="647"/>
      <c r="I98" s="647"/>
      <c r="J98" s="647"/>
      <c r="K98" s="647"/>
      <c r="L98" s="647"/>
      <c r="M98" s="647"/>
      <c r="N98" s="647"/>
      <c r="O98" s="647"/>
      <c r="P98" s="647"/>
      <c r="Q98" s="647"/>
      <c r="R98" s="647"/>
      <c r="S98" s="647"/>
      <c r="T98" s="647"/>
      <c r="U98" s="647"/>
      <c r="V98" s="647"/>
      <c r="W98" s="647"/>
      <c r="X98" s="647"/>
    </row>
    <row r="99">
      <c r="A99" s="646"/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</row>
    <row r="100">
      <c r="A100" s="646"/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</row>
    <row r="101">
      <c r="A101" s="646"/>
      <c r="B101" s="647"/>
      <c r="C101" s="647"/>
      <c r="D101" s="647"/>
      <c r="E101" s="647"/>
      <c r="F101" s="647"/>
      <c r="G101" s="647"/>
      <c r="H101" s="647"/>
      <c r="I101" s="647"/>
      <c r="J101" s="647"/>
      <c r="K101" s="647"/>
      <c r="L101" s="647"/>
      <c r="M101" s="647"/>
      <c r="N101" s="647"/>
      <c r="O101" s="647"/>
      <c r="P101" s="647"/>
      <c r="Q101" s="647"/>
      <c r="R101" s="647"/>
      <c r="S101" s="647"/>
      <c r="T101" s="647"/>
      <c r="U101" s="647"/>
      <c r="V101" s="647"/>
      <c r="W101" s="647"/>
      <c r="X101" s="647"/>
    </row>
    <row r="102">
      <c r="A102" s="646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47"/>
      <c r="P102" s="647"/>
      <c r="Q102" s="647"/>
      <c r="R102" s="647"/>
      <c r="S102" s="647"/>
      <c r="T102" s="647"/>
      <c r="U102" s="647"/>
      <c r="V102" s="647"/>
      <c r="W102" s="647"/>
      <c r="X102" s="647"/>
    </row>
    <row r="103">
      <c r="A103" s="646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47"/>
      <c r="P103" s="647"/>
      <c r="Q103" s="647"/>
      <c r="R103" s="647"/>
      <c r="S103" s="647"/>
      <c r="T103" s="647"/>
      <c r="U103" s="647"/>
      <c r="V103" s="647"/>
      <c r="W103" s="647"/>
      <c r="X103" s="647"/>
    </row>
    <row r="104">
      <c r="A104" s="646"/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</row>
    <row r="105">
      <c r="A105" s="646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</row>
    <row r="106">
      <c r="A106" s="646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7"/>
      <c r="P106" s="647"/>
      <c r="Q106" s="647"/>
      <c r="R106" s="647"/>
      <c r="S106" s="647"/>
      <c r="T106" s="647"/>
      <c r="U106" s="647"/>
      <c r="V106" s="647"/>
      <c r="W106" s="647"/>
      <c r="X106" s="647"/>
    </row>
    <row r="107">
      <c r="A107" s="646"/>
      <c r="B107" s="647"/>
      <c r="C107" s="647"/>
      <c r="D107" s="647"/>
      <c r="E107" s="647"/>
      <c r="F107" s="647"/>
      <c r="G107" s="647"/>
      <c r="H107" s="647"/>
      <c r="I107" s="647"/>
      <c r="J107" s="647"/>
      <c r="K107" s="647"/>
      <c r="L107" s="647"/>
      <c r="M107" s="647"/>
      <c r="N107" s="647"/>
      <c r="O107" s="647"/>
      <c r="P107" s="647"/>
      <c r="Q107" s="647"/>
      <c r="R107" s="647"/>
      <c r="S107" s="647"/>
      <c r="T107" s="647"/>
      <c r="U107" s="647"/>
      <c r="V107" s="647"/>
      <c r="W107" s="647"/>
      <c r="X107" s="647"/>
    </row>
    <row r="108">
      <c r="A108" s="646"/>
      <c r="B108" s="647"/>
      <c r="C108" s="647"/>
      <c r="D108" s="647"/>
      <c r="E108" s="647"/>
      <c r="F108" s="647"/>
      <c r="G108" s="647"/>
      <c r="H108" s="647"/>
      <c r="I108" s="647"/>
      <c r="J108" s="647"/>
      <c r="K108" s="647"/>
      <c r="L108" s="647"/>
      <c r="M108" s="647"/>
      <c r="N108" s="647"/>
      <c r="O108" s="647"/>
      <c r="P108" s="647"/>
      <c r="Q108" s="647"/>
      <c r="R108" s="647"/>
      <c r="S108" s="647"/>
      <c r="T108" s="647"/>
      <c r="U108" s="647"/>
      <c r="V108" s="647"/>
      <c r="W108" s="647"/>
      <c r="X108" s="647"/>
    </row>
    <row r="109">
      <c r="A109" s="646"/>
      <c r="B109" s="647"/>
      <c r="C109" s="647"/>
      <c r="D109" s="647"/>
      <c r="E109" s="647"/>
      <c r="F109" s="647"/>
      <c r="G109" s="647"/>
      <c r="H109" s="647"/>
      <c r="I109" s="647"/>
      <c r="J109" s="647"/>
      <c r="K109" s="647"/>
      <c r="L109" s="647"/>
      <c r="M109" s="647"/>
      <c r="N109" s="647"/>
      <c r="O109" s="647"/>
      <c r="P109" s="647"/>
      <c r="Q109" s="647"/>
      <c r="R109" s="647"/>
      <c r="S109" s="647"/>
      <c r="T109" s="647"/>
      <c r="U109" s="647"/>
      <c r="V109" s="647"/>
      <c r="W109" s="647"/>
      <c r="X109" s="647"/>
    </row>
    <row r="110">
      <c r="A110" s="646"/>
      <c r="B110" s="647"/>
      <c r="C110" s="647"/>
      <c r="D110" s="647"/>
      <c r="E110" s="647"/>
      <c r="F110" s="647"/>
      <c r="G110" s="647"/>
      <c r="H110" s="647"/>
      <c r="I110" s="647"/>
      <c r="J110" s="647"/>
      <c r="K110" s="647"/>
      <c r="L110" s="647"/>
      <c r="M110" s="647"/>
      <c r="N110" s="647"/>
      <c r="O110" s="647"/>
      <c r="P110" s="647"/>
      <c r="Q110" s="647"/>
      <c r="R110" s="647"/>
      <c r="S110" s="647"/>
      <c r="T110" s="647"/>
      <c r="U110" s="647"/>
      <c r="V110" s="647"/>
      <c r="W110" s="647"/>
      <c r="X110" s="647"/>
    </row>
    <row r="111">
      <c r="A111" s="646"/>
      <c r="B111" s="647"/>
      <c r="C111" s="647"/>
      <c r="D111" s="647"/>
      <c r="E111" s="647"/>
      <c r="F111" s="647"/>
      <c r="G111" s="647"/>
      <c r="H111" s="647"/>
      <c r="I111" s="647"/>
      <c r="J111" s="647"/>
      <c r="K111" s="647"/>
      <c r="L111" s="647"/>
      <c r="M111" s="647"/>
      <c r="N111" s="647"/>
      <c r="O111" s="647"/>
      <c r="P111" s="647"/>
      <c r="Q111" s="647"/>
      <c r="R111" s="647"/>
      <c r="S111" s="647"/>
      <c r="T111" s="647"/>
      <c r="U111" s="647"/>
      <c r="V111" s="647"/>
      <c r="W111" s="647"/>
      <c r="X111" s="647"/>
    </row>
    <row r="112">
      <c r="A112" s="646"/>
      <c r="B112" s="647"/>
      <c r="C112" s="647"/>
      <c r="D112" s="647"/>
      <c r="E112" s="647"/>
      <c r="F112" s="647"/>
      <c r="G112" s="647"/>
      <c r="H112" s="647"/>
      <c r="I112" s="647"/>
      <c r="J112" s="647"/>
      <c r="K112" s="647"/>
      <c r="L112" s="647"/>
      <c r="M112" s="647"/>
      <c r="N112" s="647"/>
      <c r="O112" s="647"/>
      <c r="P112" s="647"/>
      <c r="Q112" s="647"/>
      <c r="R112" s="647"/>
      <c r="S112" s="647"/>
      <c r="T112" s="647"/>
      <c r="U112" s="647"/>
      <c r="V112" s="647"/>
      <c r="W112" s="647"/>
      <c r="X112" s="647"/>
    </row>
    <row r="113">
      <c r="A113" s="646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7"/>
      <c r="P113" s="647"/>
      <c r="Q113" s="647"/>
      <c r="R113" s="647"/>
      <c r="S113" s="647"/>
      <c r="T113" s="647"/>
      <c r="U113" s="647"/>
      <c r="V113" s="647"/>
      <c r="W113" s="647"/>
      <c r="X113" s="647"/>
    </row>
    <row r="114">
      <c r="A114" s="646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7"/>
      <c r="P114" s="647"/>
      <c r="Q114" s="647"/>
      <c r="R114" s="647"/>
      <c r="S114" s="647"/>
      <c r="T114" s="647"/>
      <c r="U114" s="647"/>
      <c r="V114" s="647"/>
      <c r="W114" s="647"/>
      <c r="X114" s="647"/>
    </row>
    <row r="115">
      <c r="A115" s="646"/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</row>
    <row r="116">
      <c r="A116" s="646"/>
      <c r="B116" s="647"/>
      <c r="C116" s="647"/>
      <c r="D116" s="647"/>
      <c r="E116" s="647"/>
      <c r="F116" s="647"/>
      <c r="G116" s="647"/>
      <c r="H116" s="647"/>
      <c r="I116" s="647"/>
      <c r="J116" s="647"/>
      <c r="K116" s="647"/>
      <c r="L116" s="647"/>
      <c r="M116" s="647"/>
      <c r="N116" s="647"/>
      <c r="O116" s="647"/>
      <c r="P116" s="647"/>
      <c r="Q116" s="647"/>
      <c r="R116" s="647"/>
      <c r="S116" s="647"/>
      <c r="T116" s="647"/>
      <c r="U116" s="647"/>
      <c r="V116" s="647"/>
      <c r="W116" s="647"/>
      <c r="X116" s="647"/>
    </row>
    <row r="117">
      <c r="A117" s="646"/>
      <c r="B117" s="647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47"/>
      <c r="N117" s="647"/>
      <c r="O117" s="647"/>
      <c r="P117" s="647"/>
      <c r="Q117" s="647"/>
      <c r="R117" s="647"/>
      <c r="S117" s="647"/>
      <c r="T117" s="647"/>
      <c r="U117" s="647"/>
      <c r="V117" s="647"/>
      <c r="W117" s="647"/>
      <c r="X117" s="647"/>
    </row>
    <row r="118">
      <c r="A118" s="646"/>
      <c r="B118" s="647"/>
      <c r="C118" s="647"/>
      <c r="D118" s="647"/>
      <c r="E118" s="647"/>
      <c r="F118" s="647"/>
      <c r="G118" s="647"/>
      <c r="H118" s="647"/>
      <c r="I118" s="647"/>
      <c r="J118" s="647"/>
      <c r="K118" s="647"/>
      <c r="L118" s="647"/>
      <c r="M118" s="647"/>
      <c r="N118" s="647"/>
      <c r="O118" s="647"/>
      <c r="P118" s="647"/>
      <c r="Q118" s="647"/>
      <c r="R118" s="647"/>
      <c r="S118" s="647"/>
      <c r="T118" s="647"/>
      <c r="U118" s="647"/>
      <c r="V118" s="647"/>
      <c r="W118" s="647"/>
      <c r="X118" s="647"/>
    </row>
    <row r="119">
      <c r="A119" s="646"/>
      <c r="B119" s="647"/>
      <c r="C119" s="647"/>
      <c r="D119" s="647"/>
      <c r="E119" s="647"/>
      <c r="F119" s="647"/>
      <c r="G119" s="647"/>
      <c r="H119" s="647"/>
      <c r="I119" s="647"/>
      <c r="J119" s="647"/>
      <c r="K119" s="647"/>
      <c r="L119" s="647"/>
      <c r="M119" s="647"/>
      <c r="N119" s="647"/>
      <c r="O119" s="647"/>
      <c r="P119" s="647"/>
      <c r="Q119" s="647"/>
      <c r="R119" s="647"/>
      <c r="S119" s="647"/>
      <c r="T119" s="647"/>
      <c r="U119" s="647"/>
      <c r="V119" s="647"/>
      <c r="W119" s="647"/>
      <c r="X119" s="647"/>
    </row>
    <row r="120">
      <c r="A120" s="646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7"/>
      <c r="P120" s="647"/>
      <c r="Q120" s="647"/>
      <c r="R120" s="647"/>
      <c r="S120" s="647"/>
      <c r="T120" s="647"/>
      <c r="U120" s="647"/>
      <c r="V120" s="647"/>
      <c r="W120" s="647"/>
      <c r="X120" s="647"/>
    </row>
    <row r="121">
      <c r="A121" s="646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7"/>
      <c r="P121" s="647"/>
      <c r="Q121" s="647"/>
      <c r="R121" s="647"/>
      <c r="S121" s="647"/>
      <c r="T121" s="647"/>
      <c r="U121" s="647"/>
      <c r="V121" s="647"/>
      <c r="W121" s="647"/>
      <c r="X121" s="647"/>
    </row>
    <row r="122">
      <c r="A122" s="646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47"/>
      <c r="P122" s="647"/>
      <c r="Q122" s="647"/>
      <c r="R122" s="647"/>
      <c r="S122" s="647"/>
      <c r="T122" s="647"/>
      <c r="U122" s="647"/>
      <c r="V122" s="647"/>
      <c r="W122" s="647"/>
      <c r="X122" s="647"/>
    </row>
    <row r="123">
      <c r="A123" s="646"/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</row>
    <row r="124">
      <c r="A124" s="646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7"/>
      <c r="P124" s="647"/>
      <c r="Q124" s="647"/>
      <c r="R124" s="647"/>
      <c r="S124" s="647"/>
      <c r="T124" s="647"/>
      <c r="U124" s="647"/>
      <c r="V124" s="647"/>
      <c r="W124" s="647"/>
      <c r="X124" s="647"/>
    </row>
    <row r="125">
      <c r="A125" s="646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7"/>
      <c r="P125" s="647"/>
      <c r="Q125" s="647"/>
      <c r="R125" s="647"/>
      <c r="S125" s="647"/>
      <c r="T125" s="647"/>
      <c r="U125" s="647"/>
      <c r="V125" s="647"/>
      <c r="W125" s="647"/>
      <c r="X125" s="647"/>
    </row>
    <row r="126">
      <c r="A126" s="646"/>
      <c r="B126" s="647"/>
      <c r="C126" s="647"/>
      <c r="D126" s="647"/>
      <c r="E126" s="647"/>
      <c r="F126" s="647"/>
      <c r="G126" s="647"/>
      <c r="H126" s="647"/>
      <c r="I126" s="647"/>
      <c r="J126" s="647"/>
      <c r="K126" s="647"/>
      <c r="L126" s="647"/>
      <c r="M126" s="647"/>
      <c r="N126" s="647"/>
      <c r="O126" s="647"/>
      <c r="P126" s="647"/>
      <c r="Q126" s="647"/>
      <c r="R126" s="647"/>
      <c r="S126" s="647"/>
      <c r="T126" s="647"/>
      <c r="U126" s="647"/>
      <c r="V126" s="647"/>
      <c r="W126" s="647"/>
      <c r="X126" s="647"/>
    </row>
    <row r="127">
      <c r="A127" s="646"/>
      <c r="B127" s="647"/>
      <c r="C127" s="647"/>
      <c r="D127" s="647"/>
      <c r="E127" s="647"/>
      <c r="F127" s="647"/>
      <c r="G127" s="647"/>
      <c r="H127" s="647"/>
      <c r="I127" s="647"/>
      <c r="J127" s="647"/>
      <c r="K127" s="647"/>
      <c r="L127" s="647"/>
      <c r="M127" s="647"/>
      <c r="N127" s="647"/>
      <c r="O127" s="647"/>
      <c r="P127" s="647"/>
      <c r="Q127" s="647"/>
      <c r="R127" s="647"/>
      <c r="S127" s="647"/>
      <c r="T127" s="647"/>
      <c r="U127" s="647"/>
      <c r="V127" s="647"/>
      <c r="W127" s="647"/>
      <c r="X127" s="647"/>
    </row>
    <row r="128">
      <c r="A128" s="646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</row>
    <row r="129">
      <c r="A129" s="646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47"/>
      <c r="P129" s="647"/>
      <c r="Q129" s="647"/>
      <c r="R129" s="647"/>
      <c r="S129" s="647"/>
      <c r="T129" s="647"/>
      <c r="U129" s="647"/>
      <c r="V129" s="647"/>
      <c r="W129" s="647"/>
      <c r="X129" s="647"/>
    </row>
    <row r="130">
      <c r="A130" s="646"/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</row>
    <row r="131">
      <c r="A131" s="646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7"/>
      <c r="P131" s="647"/>
      <c r="Q131" s="647"/>
      <c r="R131" s="647"/>
      <c r="S131" s="647"/>
      <c r="T131" s="647"/>
      <c r="U131" s="647"/>
      <c r="V131" s="647"/>
      <c r="W131" s="647"/>
      <c r="X131" s="647"/>
    </row>
    <row r="132">
      <c r="A132" s="646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7"/>
      <c r="P132" s="647"/>
      <c r="Q132" s="647"/>
      <c r="R132" s="647"/>
      <c r="S132" s="647"/>
      <c r="T132" s="647"/>
      <c r="U132" s="647"/>
      <c r="V132" s="647"/>
      <c r="W132" s="647"/>
      <c r="X132" s="647"/>
    </row>
    <row r="133">
      <c r="A133" s="646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47"/>
      <c r="P133" s="647"/>
      <c r="Q133" s="647"/>
      <c r="R133" s="647"/>
      <c r="S133" s="647"/>
      <c r="T133" s="647"/>
      <c r="U133" s="647"/>
      <c r="V133" s="647"/>
      <c r="W133" s="647"/>
      <c r="X133" s="647"/>
    </row>
    <row r="134">
      <c r="A134" s="646"/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</row>
    <row r="135">
      <c r="A135" s="646"/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</row>
    <row r="136">
      <c r="A136" s="646"/>
      <c r="B136" s="647"/>
      <c r="C136" s="647"/>
      <c r="D136" s="647"/>
      <c r="E136" s="647"/>
      <c r="F136" s="647"/>
      <c r="G136" s="647"/>
      <c r="H136" s="647"/>
      <c r="I136" s="647"/>
      <c r="J136" s="647"/>
      <c r="K136" s="647"/>
      <c r="L136" s="647"/>
      <c r="M136" s="647"/>
      <c r="N136" s="647"/>
      <c r="O136" s="647"/>
      <c r="P136" s="647"/>
      <c r="Q136" s="647"/>
      <c r="R136" s="647"/>
      <c r="S136" s="647"/>
      <c r="T136" s="647"/>
      <c r="U136" s="647"/>
      <c r="V136" s="647"/>
      <c r="W136" s="647"/>
      <c r="X136" s="647"/>
    </row>
    <row r="137">
      <c r="A137" s="646"/>
      <c r="B137" s="647"/>
      <c r="C137" s="647"/>
      <c r="D137" s="647"/>
      <c r="E137" s="647"/>
      <c r="F137" s="647"/>
      <c r="G137" s="647"/>
      <c r="H137" s="647"/>
      <c r="I137" s="647"/>
      <c r="J137" s="647"/>
      <c r="K137" s="647"/>
      <c r="L137" s="647"/>
      <c r="M137" s="647"/>
      <c r="N137" s="647"/>
      <c r="O137" s="647"/>
      <c r="P137" s="647"/>
      <c r="Q137" s="647"/>
      <c r="R137" s="647"/>
      <c r="S137" s="647"/>
      <c r="T137" s="647"/>
      <c r="U137" s="647"/>
      <c r="V137" s="647"/>
      <c r="W137" s="647"/>
      <c r="X137" s="647"/>
    </row>
    <row r="138">
      <c r="A138" s="646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7"/>
      <c r="P138" s="647"/>
      <c r="Q138" s="647"/>
      <c r="R138" s="647"/>
      <c r="S138" s="647"/>
      <c r="T138" s="647"/>
      <c r="U138" s="647"/>
      <c r="V138" s="647"/>
      <c r="W138" s="647"/>
      <c r="X138" s="647"/>
    </row>
    <row r="139">
      <c r="A139" s="646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7"/>
      <c r="P139" s="647"/>
      <c r="Q139" s="647"/>
      <c r="R139" s="647"/>
      <c r="S139" s="647"/>
      <c r="T139" s="647"/>
      <c r="U139" s="647"/>
      <c r="V139" s="647"/>
      <c r="W139" s="647"/>
      <c r="X139" s="647"/>
    </row>
    <row r="140">
      <c r="A140" s="646"/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</row>
    <row r="141">
      <c r="A141" s="646"/>
      <c r="B141" s="647"/>
      <c r="C141" s="647"/>
      <c r="D141" s="647"/>
      <c r="E141" s="647"/>
      <c r="F141" s="647"/>
      <c r="G141" s="647"/>
      <c r="H141" s="647"/>
      <c r="I141" s="647"/>
      <c r="J141" s="647"/>
      <c r="K141" s="647"/>
      <c r="L141" s="647"/>
      <c r="M141" s="647"/>
      <c r="N141" s="647"/>
      <c r="O141" s="647"/>
      <c r="P141" s="647"/>
      <c r="Q141" s="647"/>
      <c r="R141" s="647"/>
      <c r="S141" s="647"/>
      <c r="T141" s="647"/>
      <c r="U141" s="647"/>
      <c r="V141" s="647"/>
      <c r="W141" s="647"/>
      <c r="X141" s="647"/>
    </row>
    <row r="142">
      <c r="A142" s="646"/>
      <c r="B142" s="647"/>
      <c r="C142" s="647"/>
      <c r="D142" s="647"/>
      <c r="E142" s="647"/>
      <c r="F142" s="647"/>
      <c r="G142" s="647"/>
      <c r="H142" s="647"/>
      <c r="I142" s="647"/>
      <c r="J142" s="647"/>
      <c r="K142" s="647"/>
      <c r="L142" s="647"/>
      <c r="M142" s="647"/>
      <c r="N142" s="647"/>
      <c r="O142" s="647"/>
      <c r="P142" s="647"/>
      <c r="Q142" s="647"/>
      <c r="R142" s="647"/>
      <c r="S142" s="647"/>
      <c r="T142" s="647"/>
      <c r="U142" s="647"/>
      <c r="V142" s="647"/>
      <c r="W142" s="647"/>
      <c r="X142" s="647"/>
    </row>
    <row r="143">
      <c r="A143" s="646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47"/>
      <c r="P143" s="647"/>
      <c r="Q143" s="647"/>
      <c r="R143" s="647"/>
      <c r="S143" s="647"/>
      <c r="T143" s="647"/>
      <c r="U143" s="647"/>
      <c r="V143" s="647"/>
      <c r="W143" s="647"/>
      <c r="X143" s="647"/>
    </row>
    <row r="144">
      <c r="A144" s="646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</row>
    <row r="145">
      <c r="A145" s="646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</row>
    <row r="146">
      <c r="A146" s="646"/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</row>
    <row r="147">
      <c r="A147" s="646"/>
      <c r="B147" s="647"/>
      <c r="C147" s="647"/>
      <c r="D147" s="647"/>
      <c r="E147" s="647"/>
      <c r="F147" s="647"/>
      <c r="G147" s="647"/>
      <c r="H147" s="647"/>
      <c r="I147" s="647"/>
      <c r="J147" s="647"/>
      <c r="K147" s="647"/>
      <c r="L147" s="647"/>
      <c r="M147" s="647"/>
      <c r="N147" s="647"/>
      <c r="O147" s="647"/>
      <c r="P147" s="647"/>
      <c r="Q147" s="647"/>
      <c r="R147" s="647"/>
      <c r="S147" s="647"/>
      <c r="T147" s="647"/>
      <c r="U147" s="647"/>
      <c r="V147" s="647"/>
      <c r="W147" s="647"/>
      <c r="X147" s="647"/>
    </row>
    <row r="148">
      <c r="A148" s="646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47"/>
      <c r="P148" s="647"/>
      <c r="Q148" s="647"/>
      <c r="R148" s="647"/>
      <c r="S148" s="647"/>
      <c r="T148" s="647"/>
      <c r="U148" s="647"/>
      <c r="V148" s="647"/>
      <c r="W148" s="647"/>
      <c r="X148" s="647"/>
    </row>
    <row r="149">
      <c r="A149" s="646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47"/>
      <c r="P149" s="647"/>
      <c r="Q149" s="647"/>
      <c r="R149" s="647"/>
      <c r="S149" s="647"/>
      <c r="T149" s="647"/>
      <c r="U149" s="647"/>
      <c r="V149" s="647"/>
      <c r="W149" s="647"/>
      <c r="X149" s="647"/>
    </row>
    <row r="150">
      <c r="A150" s="646"/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</row>
    <row r="151">
      <c r="A151" s="646"/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</row>
    <row r="152">
      <c r="A152" s="646"/>
      <c r="B152" s="647"/>
      <c r="C152" s="647"/>
      <c r="D152" s="647"/>
      <c r="E152" s="647"/>
      <c r="F152" s="647"/>
      <c r="G152" s="647"/>
      <c r="H152" s="647"/>
      <c r="I152" s="647"/>
      <c r="J152" s="647"/>
      <c r="K152" s="647"/>
      <c r="L152" s="647"/>
      <c r="M152" s="647"/>
      <c r="N152" s="647"/>
      <c r="O152" s="647"/>
      <c r="P152" s="647"/>
      <c r="Q152" s="647"/>
      <c r="R152" s="647"/>
      <c r="S152" s="647"/>
      <c r="T152" s="647"/>
      <c r="U152" s="647"/>
      <c r="V152" s="647"/>
      <c r="W152" s="647"/>
      <c r="X152" s="647"/>
    </row>
    <row r="153">
      <c r="A153" s="646"/>
      <c r="B153" s="647"/>
      <c r="C153" s="647"/>
      <c r="D153" s="647"/>
      <c r="E153" s="647"/>
      <c r="F153" s="647"/>
      <c r="G153" s="647"/>
      <c r="H153" s="647"/>
      <c r="I153" s="647"/>
      <c r="J153" s="647"/>
      <c r="K153" s="647"/>
      <c r="L153" s="647"/>
      <c r="M153" s="647"/>
      <c r="N153" s="647"/>
      <c r="O153" s="647"/>
      <c r="P153" s="647"/>
      <c r="Q153" s="647"/>
      <c r="R153" s="647"/>
      <c r="S153" s="647"/>
      <c r="T153" s="647"/>
      <c r="U153" s="647"/>
      <c r="V153" s="647"/>
      <c r="W153" s="647"/>
      <c r="X153" s="647"/>
    </row>
    <row r="154">
      <c r="A154" s="646"/>
      <c r="B154" s="647"/>
      <c r="C154" s="647"/>
      <c r="D154" s="647"/>
      <c r="E154" s="647"/>
      <c r="F154" s="647"/>
      <c r="G154" s="647"/>
      <c r="H154" s="647"/>
      <c r="I154" s="647"/>
      <c r="J154" s="647"/>
      <c r="K154" s="647"/>
      <c r="L154" s="647"/>
      <c r="M154" s="647"/>
      <c r="N154" s="647"/>
      <c r="O154" s="647"/>
      <c r="P154" s="647"/>
      <c r="Q154" s="647"/>
      <c r="R154" s="647"/>
      <c r="S154" s="647"/>
      <c r="T154" s="647"/>
      <c r="U154" s="647"/>
      <c r="V154" s="647"/>
      <c r="W154" s="647"/>
      <c r="X154" s="647"/>
    </row>
    <row r="155">
      <c r="A155" s="646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7"/>
      <c r="P155" s="647"/>
      <c r="Q155" s="647"/>
      <c r="R155" s="647"/>
      <c r="S155" s="647"/>
      <c r="T155" s="647"/>
      <c r="U155" s="647"/>
      <c r="V155" s="647"/>
      <c r="W155" s="647"/>
      <c r="X155" s="647"/>
    </row>
    <row r="156">
      <c r="A156" s="646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</row>
    <row r="157">
      <c r="A157" s="646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47"/>
      <c r="P157" s="647"/>
      <c r="Q157" s="647"/>
      <c r="R157" s="647"/>
      <c r="S157" s="647"/>
      <c r="T157" s="647"/>
      <c r="U157" s="647"/>
      <c r="V157" s="647"/>
      <c r="W157" s="647"/>
      <c r="X157" s="647"/>
    </row>
    <row r="158">
      <c r="A158" s="646"/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</row>
    <row r="159">
      <c r="A159" s="646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7"/>
      <c r="P159" s="647"/>
      <c r="Q159" s="647"/>
      <c r="R159" s="647"/>
      <c r="S159" s="647"/>
      <c r="T159" s="647"/>
      <c r="U159" s="647"/>
      <c r="V159" s="647"/>
      <c r="W159" s="647"/>
      <c r="X159" s="647"/>
    </row>
    <row r="160">
      <c r="A160" s="646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</row>
    <row r="161">
      <c r="A161" s="646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47"/>
      <c r="P161" s="647"/>
      <c r="Q161" s="647"/>
      <c r="R161" s="647"/>
      <c r="S161" s="647"/>
      <c r="T161" s="647"/>
      <c r="U161" s="647"/>
      <c r="V161" s="647"/>
      <c r="W161" s="647"/>
      <c r="X161" s="647"/>
    </row>
    <row r="162">
      <c r="A162" s="646"/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</row>
    <row r="163">
      <c r="A163" s="646"/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</row>
    <row r="164">
      <c r="A164" s="646"/>
      <c r="B164" s="647"/>
      <c r="C164" s="647"/>
      <c r="D164" s="647"/>
      <c r="E164" s="647"/>
      <c r="F164" s="647"/>
      <c r="G164" s="647"/>
      <c r="H164" s="647"/>
      <c r="I164" s="647"/>
      <c r="J164" s="647"/>
      <c r="K164" s="647"/>
      <c r="L164" s="647"/>
      <c r="M164" s="647"/>
      <c r="N164" s="647"/>
      <c r="O164" s="647"/>
      <c r="P164" s="647"/>
      <c r="Q164" s="647"/>
      <c r="R164" s="647"/>
      <c r="S164" s="647"/>
      <c r="T164" s="647"/>
      <c r="U164" s="647"/>
      <c r="V164" s="647"/>
      <c r="W164" s="647"/>
      <c r="X164" s="647"/>
    </row>
    <row r="165">
      <c r="A165" s="646"/>
      <c r="B165" s="647"/>
      <c r="C165" s="647"/>
      <c r="D165" s="647"/>
      <c r="E165" s="647"/>
      <c r="F165" s="647"/>
      <c r="G165" s="647"/>
      <c r="H165" s="647"/>
      <c r="I165" s="647"/>
      <c r="J165" s="647"/>
      <c r="K165" s="647"/>
      <c r="L165" s="647"/>
      <c r="M165" s="647"/>
      <c r="N165" s="647"/>
      <c r="O165" s="647"/>
      <c r="P165" s="647"/>
      <c r="Q165" s="647"/>
      <c r="R165" s="647"/>
      <c r="S165" s="647"/>
      <c r="T165" s="647"/>
      <c r="U165" s="647"/>
      <c r="V165" s="647"/>
      <c r="W165" s="647"/>
      <c r="X165" s="647"/>
    </row>
    <row r="166">
      <c r="A166" s="646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7"/>
      <c r="P166" s="647"/>
      <c r="Q166" s="647"/>
      <c r="R166" s="647"/>
      <c r="S166" s="647"/>
      <c r="T166" s="647"/>
      <c r="U166" s="647"/>
      <c r="V166" s="647"/>
      <c r="W166" s="647"/>
      <c r="X166" s="647"/>
    </row>
    <row r="167">
      <c r="A167" s="646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7"/>
      <c r="P167" s="647"/>
      <c r="Q167" s="647"/>
      <c r="R167" s="647"/>
      <c r="S167" s="647"/>
      <c r="T167" s="647"/>
      <c r="U167" s="647"/>
      <c r="V167" s="647"/>
      <c r="W167" s="647"/>
      <c r="X167" s="647"/>
    </row>
    <row r="168">
      <c r="A168" s="646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47"/>
      <c r="P168" s="647"/>
      <c r="Q168" s="647"/>
      <c r="R168" s="647"/>
      <c r="S168" s="647"/>
      <c r="T168" s="647"/>
      <c r="U168" s="647"/>
      <c r="V168" s="647"/>
      <c r="W168" s="647"/>
      <c r="X168" s="647"/>
    </row>
    <row r="169">
      <c r="A169" s="646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47"/>
      <c r="P169" s="647"/>
      <c r="Q169" s="647"/>
      <c r="R169" s="647"/>
      <c r="S169" s="647"/>
      <c r="T169" s="647"/>
      <c r="U169" s="647"/>
      <c r="V169" s="647"/>
      <c r="W169" s="647"/>
      <c r="X169" s="647"/>
    </row>
    <row r="170">
      <c r="A170" s="646"/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</row>
    <row r="171">
      <c r="A171" s="646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7"/>
      <c r="P171" s="647"/>
      <c r="Q171" s="647"/>
      <c r="R171" s="647"/>
      <c r="S171" s="647"/>
      <c r="T171" s="647"/>
      <c r="U171" s="647"/>
      <c r="V171" s="647"/>
      <c r="W171" s="647"/>
      <c r="X171" s="647"/>
    </row>
    <row r="172">
      <c r="A172" s="646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7"/>
      <c r="P172" s="647"/>
      <c r="Q172" s="647"/>
      <c r="R172" s="647"/>
      <c r="S172" s="647"/>
      <c r="T172" s="647"/>
      <c r="U172" s="647"/>
      <c r="V172" s="647"/>
      <c r="W172" s="647"/>
      <c r="X172" s="647"/>
    </row>
    <row r="173">
      <c r="A173" s="646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47"/>
      <c r="P173" s="647"/>
      <c r="Q173" s="647"/>
      <c r="R173" s="647"/>
      <c r="S173" s="647"/>
      <c r="T173" s="647"/>
      <c r="U173" s="647"/>
      <c r="V173" s="647"/>
      <c r="W173" s="647"/>
      <c r="X173" s="647"/>
    </row>
    <row r="174">
      <c r="A174" s="646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47"/>
      <c r="P174" s="647"/>
      <c r="Q174" s="647"/>
      <c r="R174" s="647"/>
      <c r="S174" s="647"/>
      <c r="T174" s="647"/>
      <c r="U174" s="647"/>
      <c r="V174" s="647"/>
      <c r="W174" s="647"/>
      <c r="X174" s="647"/>
    </row>
    <row r="175">
      <c r="A175" s="646"/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</row>
    <row r="176">
      <c r="A176" s="646"/>
      <c r="B176" s="647"/>
      <c r="C176" s="647"/>
      <c r="D176" s="647"/>
      <c r="E176" s="647"/>
      <c r="F176" s="647"/>
      <c r="G176" s="647"/>
      <c r="H176" s="647"/>
      <c r="I176" s="647"/>
      <c r="J176" s="647"/>
      <c r="K176" s="647"/>
      <c r="L176" s="647"/>
      <c r="M176" s="647"/>
      <c r="N176" s="647"/>
      <c r="O176" s="647"/>
      <c r="P176" s="647"/>
      <c r="Q176" s="647"/>
      <c r="R176" s="647"/>
      <c r="S176" s="647"/>
      <c r="T176" s="647"/>
      <c r="U176" s="647"/>
      <c r="V176" s="647"/>
      <c r="W176" s="647"/>
      <c r="X176" s="647"/>
    </row>
    <row r="177">
      <c r="A177" s="646"/>
      <c r="B177" s="647"/>
      <c r="C177" s="647"/>
      <c r="D177" s="647"/>
      <c r="E177" s="647"/>
      <c r="F177" s="647"/>
      <c r="G177" s="647"/>
      <c r="H177" s="647"/>
      <c r="I177" s="647"/>
      <c r="J177" s="647"/>
      <c r="K177" s="647"/>
      <c r="L177" s="647"/>
      <c r="M177" s="647"/>
      <c r="N177" s="647"/>
      <c r="O177" s="647"/>
      <c r="P177" s="647"/>
      <c r="Q177" s="647"/>
      <c r="R177" s="647"/>
      <c r="S177" s="647"/>
      <c r="T177" s="647"/>
      <c r="U177" s="647"/>
      <c r="V177" s="647"/>
      <c r="W177" s="647"/>
      <c r="X177" s="647"/>
    </row>
    <row r="178">
      <c r="A178" s="646"/>
      <c r="B178" s="647"/>
      <c r="C178" s="647"/>
      <c r="D178" s="647"/>
      <c r="E178" s="647"/>
      <c r="F178" s="647"/>
      <c r="G178" s="647"/>
      <c r="H178" s="647"/>
      <c r="I178" s="647"/>
      <c r="J178" s="647"/>
      <c r="K178" s="647"/>
      <c r="L178" s="647"/>
      <c r="M178" s="647"/>
      <c r="N178" s="647"/>
      <c r="O178" s="647"/>
      <c r="P178" s="647"/>
      <c r="Q178" s="647"/>
      <c r="R178" s="647"/>
      <c r="S178" s="647"/>
      <c r="T178" s="647"/>
      <c r="U178" s="647"/>
      <c r="V178" s="647"/>
      <c r="W178" s="647"/>
      <c r="X178" s="647"/>
    </row>
    <row r="179">
      <c r="A179" s="646"/>
      <c r="B179" s="647"/>
      <c r="C179" s="647"/>
      <c r="D179" s="647"/>
      <c r="E179" s="647"/>
      <c r="F179" s="647"/>
      <c r="G179" s="647"/>
      <c r="H179" s="647"/>
      <c r="I179" s="647"/>
      <c r="J179" s="647"/>
      <c r="K179" s="647"/>
      <c r="L179" s="647"/>
      <c r="M179" s="647"/>
      <c r="N179" s="647"/>
      <c r="O179" s="647"/>
      <c r="P179" s="647"/>
      <c r="Q179" s="647"/>
      <c r="R179" s="647"/>
      <c r="S179" s="647"/>
      <c r="T179" s="647"/>
      <c r="U179" s="647"/>
      <c r="V179" s="647"/>
      <c r="W179" s="647"/>
      <c r="X179" s="647"/>
    </row>
    <row r="180">
      <c r="A180" s="646"/>
      <c r="B180" s="647"/>
      <c r="C180" s="647"/>
      <c r="D180" s="647"/>
      <c r="E180" s="647"/>
      <c r="F180" s="647"/>
      <c r="G180" s="647"/>
      <c r="H180" s="647"/>
      <c r="I180" s="647"/>
      <c r="J180" s="647"/>
      <c r="K180" s="647"/>
      <c r="L180" s="647"/>
      <c r="M180" s="647"/>
      <c r="N180" s="647"/>
      <c r="O180" s="647"/>
      <c r="P180" s="647"/>
      <c r="Q180" s="647"/>
      <c r="R180" s="647"/>
      <c r="S180" s="647"/>
      <c r="T180" s="647"/>
      <c r="U180" s="647"/>
      <c r="V180" s="647"/>
      <c r="W180" s="647"/>
      <c r="X180" s="647"/>
    </row>
    <row r="181">
      <c r="A181" s="646"/>
      <c r="B181" s="647"/>
      <c r="C181" s="647"/>
      <c r="D181" s="647"/>
      <c r="E181" s="647"/>
      <c r="F181" s="647"/>
      <c r="G181" s="647"/>
      <c r="H181" s="647"/>
      <c r="I181" s="647"/>
      <c r="J181" s="647"/>
      <c r="K181" s="647"/>
      <c r="L181" s="647"/>
      <c r="M181" s="647"/>
      <c r="N181" s="647"/>
      <c r="O181" s="647"/>
      <c r="P181" s="647"/>
      <c r="Q181" s="647"/>
      <c r="R181" s="647"/>
      <c r="S181" s="647"/>
      <c r="T181" s="647"/>
      <c r="U181" s="647"/>
      <c r="V181" s="647"/>
      <c r="W181" s="647"/>
      <c r="X181" s="647"/>
    </row>
    <row r="182">
      <c r="A182" s="646"/>
      <c r="B182" s="647"/>
      <c r="C182" s="647"/>
      <c r="D182" s="647"/>
      <c r="E182" s="647"/>
      <c r="F182" s="647"/>
      <c r="G182" s="647"/>
      <c r="H182" s="647"/>
      <c r="I182" s="647"/>
      <c r="J182" s="647"/>
      <c r="K182" s="647"/>
      <c r="L182" s="647"/>
      <c r="M182" s="647"/>
      <c r="N182" s="647"/>
      <c r="O182" s="647"/>
      <c r="P182" s="647"/>
      <c r="Q182" s="647"/>
      <c r="R182" s="647"/>
      <c r="S182" s="647"/>
      <c r="T182" s="647"/>
      <c r="U182" s="647"/>
      <c r="V182" s="647"/>
      <c r="W182" s="647"/>
      <c r="X182" s="647"/>
    </row>
    <row r="183">
      <c r="A183" s="646"/>
      <c r="B183" s="647"/>
      <c r="C183" s="647"/>
      <c r="D183" s="647"/>
      <c r="E183" s="647"/>
      <c r="F183" s="647"/>
      <c r="G183" s="647"/>
      <c r="H183" s="647"/>
      <c r="I183" s="647"/>
      <c r="J183" s="647"/>
      <c r="K183" s="647"/>
      <c r="L183" s="647"/>
      <c r="M183" s="647"/>
      <c r="N183" s="647"/>
      <c r="O183" s="647"/>
      <c r="P183" s="647"/>
      <c r="Q183" s="647"/>
      <c r="R183" s="647"/>
      <c r="S183" s="647"/>
      <c r="T183" s="647"/>
      <c r="U183" s="647"/>
      <c r="V183" s="647"/>
      <c r="W183" s="647"/>
      <c r="X183" s="647"/>
    </row>
    <row r="184">
      <c r="A184" s="646"/>
      <c r="B184" s="647"/>
      <c r="C184" s="647"/>
      <c r="D184" s="647"/>
      <c r="E184" s="647"/>
      <c r="F184" s="647"/>
      <c r="G184" s="647"/>
      <c r="H184" s="647"/>
      <c r="I184" s="647"/>
      <c r="J184" s="647"/>
      <c r="K184" s="647"/>
      <c r="L184" s="647"/>
      <c r="M184" s="647"/>
      <c r="N184" s="647"/>
      <c r="O184" s="647"/>
      <c r="P184" s="647"/>
      <c r="Q184" s="647"/>
      <c r="R184" s="647"/>
      <c r="S184" s="647"/>
      <c r="T184" s="647"/>
      <c r="U184" s="647"/>
      <c r="V184" s="647"/>
      <c r="W184" s="647"/>
      <c r="X184" s="647"/>
    </row>
    <row r="185">
      <c r="A185" s="646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7"/>
      <c r="P185" s="647"/>
      <c r="Q185" s="647"/>
      <c r="R185" s="647"/>
      <c r="S185" s="647"/>
      <c r="T185" s="647"/>
      <c r="U185" s="647"/>
      <c r="V185" s="647"/>
      <c r="W185" s="647"/>
      <c r="X185" s="647"/>
    </row>
    <row r="186">
      <c r="A186" s="646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7"/>
      <c r="P186" s="647"/>
      <c r="Q186" s="647"/>
      <c r="R186" s="647"/>
      <c r="S186" s="647"/>
      <c r="T186" s="647"/>
      <c r="U186" s="647"/>
      <c r="V186" s="647"/>
      <c r="W186" s="647"/>
      <c r="X186" s="647"/>
    </row>
    <row r="187">
      <c r="A187" s="646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47"/>
      <c r="P187" s="647"/>
      <c r="Q187" s="647"/>
      <c r="R187" s="647"/>
      <c r="S187" s="647"/>
      <c r="T187" s="647"/>
      <c r="U187" s="647"/>
      <c r="V187" s="647"/>
      <c r="W187" s="647"/>
      <c r="X187" s="647"/>
    </row>
    <row r="188">
      <c r="A188" s="646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47"/>
      <c r="P188" s="647"/>
      <c r="Q188" s="647"/>
      <c r="R188" s="647"/>
      <c r="S188" s="647"/>
      <c r="T188" s="647"/>
      <c r="U188" s="647"/>
      <c r="V188" s="647"/>
      <c r="W188" s="647"/>
      <c r="X188" s="647"/>
    </row>
    <row r="189">
      <c r="A189" s="646"/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</row>
    <row r="190">
      <c r="A190" s="646"/>
      <c r="B190" s="647"/>
      <c r="C190" s="647"/>
      <c r="D190" s="647"/>
      <c r="E190" s="647"/>
      <c r="F190" s="647"/>
      <c r="G190" s="647"/>
      <c r="H190" s="647"/>
      <c r="I190" s="647"/>
      <c r="J190" s="647"/>
      <c r="K190" s="647"/>
      <c r="L190" s="647"/>
      <c r="M190" s="647"/>
      <c r="N190" s="647"/>
      <c r="O190" s="647"/>
      <c r="P190" s="647"/>
      <c r="Q190" s="647"/>
      <c r="R190" s="647"/>
      <c r="S190" s="647"/>
      <c r="T190" s="647"/>
      <c r="U190" s="647"/>
      <c r="V190" s="647"/>
      <c r="W190" s="647"/>
      <c r="X190" s="647"/>
    </row>
    <row r="191">
      <c r="A191" s="646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7"/>
      <c r="P191" s="647"/>
      <c r="Q191" s="647"/>
      <c r="R191" s="647"/>
      <c r="S191" s="647"/>
      <c r="T191" s="647"/>
      <c r="U191" s="647"/>
      <c r="V191" s="647"/>
      <c r="W191" s="647"/>
      <c r="X191" s="647"/>
    </row>
    <row r="192">
      <c r="A192" s="646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7"/>
      <c r="P192" s="647"/>
      <c r="Q192" s="647"/>
      <c r="R192" s="647"/>
      <c r="S192" s="647"/>
      <c r="T192" s="647"/>
      <c r="U192" s="647"/>
      <c r="V192" s="647"/>
      <c r="W192" s="647"/>
      <c r="X192" s="647"/>
    </row>
    <row r="193">
      <c r="A193" s="646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47"/>
      <c r="P193" s="647"/>
      <c r="Q193" s="647"/>
      <c r="R193" s="647"/>
      <c r="S193" s="647"/>
      <c r="T193" s="647"/>
      <c r="U193" s="647"/>
      <c r="V193" s="647"/>
      <c r="W193" s="647"/>
      <c r="X193" s="647"/>
    </row>
    <row r="194">
      <c r="A194" s="646"/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</row>
    <row r="195">
      <c r="A195" s="646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7"/>
      <c r="P195" s="647"/>
      <c r="Q195" s="647"/>
      <c r="R195" s="647"/>
      <c r="S195" s="647"/>
      <c r="T195" s="647"/>
      <c r="U195" s="647"/>
      <c r="V195" s="647"/>
      <c r="W195" s="647"/>
      <c r="X195" s="647"/>
    </row>
    <row r="196">
      <c r="A196" s="646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7"/>
      <c r="P196" s="647"/>
      <c r="Q196" s="647"/>
      <c r="R196" s="647"/>
      <c r="S196" s="647"/>
      <c r="T196" s="647"/>
      <c r="U196" s="647"/>
      <c r="V196" s="647"/>
      <c r="W196" s="647"/>
      <c r="X196" s="647"/>
    </row>
    <row r="197">
      <c r="A197" s="646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</row>
    <row r="198">
      <c r="A198" s="646"/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</row>
    <row r="199">
      <c r="A199" s="646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7"/>
      <c r="P199" s="647"/>
      <c r="Q199" s="647"/>
      <c r="R199" s="647"/>
      <c r="S199" s="647"/>
      <c r="T199" s="647"/>
      <c r="U199" s="647"/>
      <c r="V199" s="647"/>
      <c r="W199" s="647"/>
      <c r="X199" s="647"/>
    </row>
    <row r="200">
      <c r="A200" s="646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7"/>
      <c r="P200" s="647"/>
      <c r="Q200" s="647"/>
      <c r="R200" s="647"/>
      <c r="S200" s="647"/>
      <c r="T200" s="647"/>
      <c r="U200" s="647"/>
      <c r="V200" s="647"/>
      <c r="W200" s="647"/>
      <c r="X200" s="647"/>
    </row>
    <row r="201">
      <c r="A201" s="646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47"/>
      <c r="P201" s="647"/>
      <c r="Q201" s="647"/>
      <c r="R201" s="647"/>
      <c r="S201" s="647"/>
      <c r="T201" s="647"/>
      <c r="U201" s="647"/>
      <c r="V201" s="647"/>
      <c r="W201" s="647"/>
      <c r="X201" s="647"/>
    </row>
    <row r="202">
      <c r="A202" s="646"/>
      <c r="B202" s="647"/>
      <c r="C202" s="647"/>
      <c r="D202" s="647"/>
      <c r="E202" s="647"/>
      <c r="F202" s="647"/>
      <c r="G202" s="647"/>
      <c r="H202" s="647"/>
      <c r="I202" s="647"/>
      <c r="J202" s="647"/>
      <c r="K202" s="647"/>
      <c r="L202" s="647"/>
      <c r="M202" s="647"/>
      <c r="N202" s="647"/>
      <c r="O202" s="647"/>
      <c r="P202" s="647"/>
      <c r="Q202" s="647"/>
      <c r="R202" s="647"/>
      <c r="S202" s="647"/>
      <c r="T202" s="647"/>
      <c r="U202" s="647"/>
      <c r="V202" s="647"/>
      <c r="W202" s="647"/>
      <c r="X202" s="647"/>
    </row>
    <row r="203">
      <c r="A203" s="646"/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</row>
    <row r="204">
      <c r="A204" s="646"/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</row>
    <row r="205">
      <c r="A205" s="646"/>
      <c r="B205" s="647"/>
      <c r="C205" s="647"/>
      <c r="D205" s="647"/>
      <c r="E205" s="647"/>
      <c r="F205" s="647"/>
      <c r="G205" s="647"/>
      <c r="H205" s="647"/>
      <c r="I205" s="647"/>
      <c r="J205" s="647"/>
      <c r="K205" s="647"/>
      <c r="L205" s="647"/>
      <c r="M205" s="647"/>
      <c r="N205" s="647"/>
      <c r="O205" s="647"/>
      <c r="P205" s="647"/>
      <c r="Q205" s="647"/>
      <c r="R205" s="647"/>
      <c r="S205" s="647"/>
      <c r="T205" s="647"/>
      <c r="U205" s="647"/>
      <c r="V205" s="647"/>
      <c r="W205" s="647"/>
      <c r="X205" s="647"/>
    </row>
    <row r="206">
      <c r="A206" s="646"/>
      <c r="B206" s="647"/>
      <c r="C206" s="647"/>
      <c r="D206" s="647"/>
      <c r="E206" s="647"/>
      <c r="F206" s="647"/>
      <c r="G206" s="647"/>
      <c r="H206" s="647"/>
      <c r="I206" s="647"/>
      <c r="J206" s="647"/>
      <c r="K206" s="647"/>
      <c r="L206" s="647"/>
      <c r="M206" s="647"/>
      <c r="N206" s="647"/>
      <c r="O206" s="647"/>
      <c r="P206" s="647"/>
      <c r="Q206" s="647"/>
      <c r="R206" s="647"/>
      <c r="S206" s="647"/>
      <c r="T206" s="647"/>
      <c r="U206" s="647"/>
      <c r="V206" s="647"/>
      <c r="W206" s="647"/>
      <c r="X206" s="647"/>
    </row>
    <row r="207">
      <c r="A207" s="646"/>
      <c r="B207" s="647"/>
      <c r="C207" s="647"/>
      <c r="D207" s="647"/>
      <c r="E207" s="647"/>
      <c r="F207" s="647"/>
      <c r="G207" s="647"/>
      <c r="H207" s="647"/>
      <c r="I207" s="647"/>
      <c r="J207" s="647"/>
      <c r="K207" s="647"/>
      <c r="L207" s="647"/>
      <c r="M207" s="647"/>
      <c r="N207" s="647"/>
      <c r="O207" s="647"/>
      <c r="P207" s="647"/>
      <c r="Q207" s="647"/>
      <c r="R207" s="647"/>
      <c r="S207" s="647"/>
      <c r="T207" s="647"/>
      <c r="U207" s="647"/>
      <c r="V207" s="647"/>
      <c r="W207" s="647"/>
      <c r="X207" s="647"/>
    </row>
    <row r="208">
      <c r="A208" s="646"/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</row>
    <row r="209">
      <c r="A209" s="646"/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</row>
    <row r="210">
      <c r="A210" s="646"/>
      <c r="B210" s="647"/>
      <c r="C210" s="647"/>
      <c r="D210" s="647"/>
      <c r="E210" s="647"/>
      <c r="F210" s="647"/>
      <c r="G210" s="647"/>
      <c r="H210" s="647"/>
      <c r="I210" s="647"/>
      <c r="J210" s="647"/>
      <c r="K210" s="647"/>
      <c r="L210" s="647"/>
      <c r="M210" s="647"/>
      <c r="N210" s="647"/>
      <c r="O210" s="647"/>
      <c r="P210" s="647"/>
      <c r="Q210" s="647"/>
      <c r="R210" s="647"/>
      <c r="S210" s="647"/>
      <c r="T210" s="647"/>
      <c r="U210" s="647"/>
      <c r="V210" s="647"/>
      <c r="W210" s="647"/>
      <c r="X210" s="647"/>
    </row>
    <row r="211">
      <c r="A211" s="646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7"/>
      <c r="P211" s="647"/>
      <c r="Q211" s="647"/>
      <c r="R211" s="647"/>
      <c r="S211" s="647"/>
      <c r="T211" s="647"/>
      <c r="U211" s="647"/>
      <c r="V211" s="647"/>
      <c r="W211" s="647"/>
      <c r="X211" s="647"/>
    </row>
    <row r="212">
      <c r="A212" s="646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7"/>
      <c r="P212" s="647"/>
      <c r="Q212" s="647"/>
      <c r="R212" s="647"/>
      <c r="S212" s="647"/>
      <c r="T212" s="647"/>
      <c r="U212" s="647"/>
      <c r="V212" s="647"/>
      <c r="W212" s="647"/>
      <c r="X212" s="647"/>
    </row>
    <row r="213">
      <c r="A213" s="646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47"/>
      <c r="P213" s="647"/>
      <c r="Q213" s="647"/>
      <c r="R213" s="647"/>
      <c r="S213" s="647"/>
      <c r="T213" s="647"/>
      <c r="U213" s="647"/>
      <c r="V213" s="647"/>
      <c r="W213" s="647"/>
      <c r="X213" s="647"/>
    </row>
    <row r="214">
      <c r="A214" s="646"/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</row>
    <row r="215">
      <c r="A215" s="646"/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</row>
    <row r="216">
      <c r="A216" s="646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7"/>
      <c r="P216" s="647"/>
      <c r="Q216" s="647"/>
      <c r="R216" s="647"/>
      <c r="S216" s="647"/>
      <c r="T216" s="647"/>
      <c r="U216" s="647"/>
      <c r="V216" s="647"/>
      <c r="W216" s="647"/>
      <c r="X216" s="647"/>
    </row>
    <row r="217">
      <c r="A217" s="646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7"/>
      <c r="P217" s="647"/>
      <c r="Q217" s="647"/>
      <c r="R217" s="647"/>
      <c r="S217" s="647"/>
      <c r="T217" s="647"/>
      <c r="U217" s="647"/>
      <c r="V217" s="647"/>
      <c r="W217" s="647"/>
      <c r="X217" s="647"/>
    </row>
    <row r="218">
      <c r="A218" s="646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47"/>
      <c r="P218" s="647"/>
      <c r="Q218" s="647"/>
      <c r="R218" s="647"/>
      <c r="S218" s="647"/>
      <c r="T218" s="647"/>
      <c r="U218" s="647"/>
      <c r="V218" s="647"/>
      <c r="W218" s="647"/>
      <c r="X218" s="647"/>
    </row>
    <row r="219">
      <c r="A219" s="646"/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</row>
    <row r="220">
      <c r="A220" s="646"/>
      <c r="B220" s="647"/>
      <c r="C220" s="647"/>
      <c r="D220" s="647"/>
      <c r="E220" s="647"/>
      <c r="F220" s="647"/>
      <c r="G220" s="647"/>
      <c r="H220" s="647"/>
      <c r="I220" s="647"/>
      <c r="J220" s="647"/>
      <c r="K220" s="647"/>
      <c r="L220" s="647"/>
      <c r="M220" s="647"/>
      <c r="N220" s="647"/>
      <c r="O220" s="647"/>
      <c r="P220" s="647"/>
      <c r="Q220" s="647"/>
      <c r="R220" s="647"/>
      <c r="S220" s="647"/>
      <c r="T220" s="647"/>
      <c r="U220" s="647"/>
      <c r="V220" s="647"/>
      <c r="W220" s="647"/>
      <c r="X220" s="647"/>
    </row>
    <row r="221">
      <c r="A221" s="646"/>
      <c r="B221" s="647"/>
      <c r="C221" s="647"/>
      <c r="D221" s="647"/>
      <c r="E221" s="647"/>
      <c r="F221" s="647"/>
      <c r="G221" s="647"/>
      <c r="H221" s="647"/>
      <c r="I221" s="647"/>
      <c r="J221" s="647"/>
      <c r="K221" s="647"/>
      <c r="L221" s="647"/>
      <c r="M221" s="647"/>
      <c r="N221" s="647"/>
      <c r="O221" s="647"/>
      <c r="P221" s="647"/>
      <c r="Q221" s="647"/>
      <c r="R221" s="647"/>
      <c r="S221" s="647"/>
      <c r="T221" s="647"/>
      <c r="U221" s="647"/>
      <c r="V221" s="647"/>
      <c r="W221" s="647"/>
      <c r="X221" s="647"/>
    </row>
    <row r="222">
      <c r="A222" s="646"/>
      <c r="B222" s="647"/>
      <c r="C222" s="647"/>
      <c r="D222" s="647"/>
      <c r="E222" s="647"/>
      <c r="F222" s="647"/>
      <c r="G222" s="647"/>
      <c r="H222" s="647"/>
      <c r="I222" s="647"/>
      <c r="J222" s="647"/>
      <c r="K222" s="647"/>
      <c r="L222" s="647"/>
      <c r="M222" s="647"/>
      <c r="N222" s="647"/>
      <c r="O222" s="647"/>
      <c r="P222" s="647"/>
      <c r="Q222" s="647"/>
      <c r="R222" s="647"/>
      <c r="S222" s="647"/>
      <c r="T222" s="647"/>
      <c r="U222" s="647"/>
      <c r="V222" s="647"/>
      <c r="W222" s="647"/>
      <c r="X222" s="647"/>
    </row>
    <row r="223">
      <c r="A223" s="646"/>
      <c r="B223" s="647"/>
      <c r="C223" s="647"/>
      <c r="D223" s="647"/>
      <c r="E223" s="647"/>
      <c r="F223" s="647"/>
      <c r="G223" s="647"/>
      <c r="H223" s="647"/>
      <c r="I223" s="647"/>
      <c r="J223" s="647"/>
      <c r="K223" s="647"/>
      <c r="L223" s="647"/>
      <c r="M223" s="647"/>
      <c r="N223" s="647"/>
      <c r="O223" s="647"/>
      <c r="P223" s="647"/>
      <c r="Q223" s="647"/>
      <c r="R223" s="647"/>
      <c r="S223" s="647"/>
      <c r="T223" s="647"/>
      <c r="U223" s="647"/>
      <c r="V223" s="647"/>
      <c r="W223" s="647"/>
      <c r="X223" s="647"/>
    </row>
    <row r="224">
      <c r="A224" s="646"/>
      <c r="B224" s="647"/>
      <c r="C224" s="647"/>
      <c r="D224" s="647"/>
      <c r="E224" s="647"/>
      <c r="F224" s="647"/>
      <c r="G224" s="647"/>
      <c r="H224" s="647"/>
      <c r="I224" s="647"/>
      <c r="J224" s="647"/>
      <c r="K224" s="647"/>
      <c r="L224" s="647"/>
      <c r="M224" s="647"/>
      <c r="N224" s="647"/>
      <c r="O224" s="647"/>
      <c r="P224" s="647"/>
      <c r="Q224" s="647"/>
      <c r="R224" s="647"/>
      <c r="S224" s="647"/>
      <c r="T224" s="647"/>
      <c r="U224" s="647"/>
      <c r="V224" s="647"/>
      <c r="W224" s="647"/>
      <c r="X224" s="647"/>
    </row>
    <row r="225">
      <c r="A225" s="646"/>
      <c r="B225" s="647"/>
      <c r="C225" s="647"/>
      <c r="D225" s="647"/>
      <c r="E225" s="647"/>
      <c r="F225" s="647"/>
      <c r="G225" s="647"/>
      <c r="H225" s="647"/>
      <c r="I225" s="647"/>
      <c r="J225" s="647"/>
      <c r="K225" s="647"/>
      <c r="L225" s="647"/>
      <c r="M225" s="647"/>
      <c r="N225" s="647"/>
      <c r="O225" s="647"/>
      <c r="P225" s="647"/>
      <c r="Q225" s="647"/>
      <c r="R225" s="647"/>
      <c r="S225" s="647"/>
      <c r="T225" s="647"/>
      <c r="U225" s="647"/>
      <c r="V225" s="647"/>
      <c r="W225" s="647"/>
      <c r="X225" s="647"/>
    </row>
    <row r="226">
      <c r="A226" s="646"/>
      <c r="B226" s="647"/>
      <c r="C226" s="647"/>
      <c r="D226" s="647"/>
      <c r="E226" s="647"/>
      <c r="F226" s="647"/>
      <c r="G226" s="647"/>
      <c r="H226" s="647"/>
      <c r="I226" s="647"/>
      <c r="J226" s="647"/>
      <c r="K226" s="647"/>
      <c r="L226" s="647"/>
      <c r="M226" s="647"/>
      <c r="N226" s="647"/>
      <c r="O226" s="647"/>
      <c r="P226" s="647"/>
      <c r="Q226" s="647"/>
      <c r="R226" s="647"/>
      <c r="S226" s="647"/>
      <c r="T226" s="647"/>
      <c r="U226" s="647"/>
      <c r="V226" s="647"/>
      <c r="W226" s="647"/>
      <c r="X226" s="647"/>
    </row>
    <row r="227">
      <c r="A227" s="646"/>
      <c r="B227" s="647"/>
      <c r="C227" s="647"/>
      <c r="D227" s="647"/>
      <c r="E227" s="647"/>
      <c r="F227" s="647"/>
      <c r="G227" s="647"/>
      <c r="H227" s="647"/>
      <c r="I227" s="647"/>
      <c r="J227" s="647"/>
      <c r="K227" s="647"/>
      <c r="L227" s="647"/>
      <c r="M227" s="647"/>
      <c r="N227" s="647"/>
      <c r="O227" s="647"/>
      <c r="P227" s="647"/>
      <c r="Q227" s="647"/>
      <c r="R227" s="647"/>
      <c r="S227" s="647"/>
      <c r="T227" s="647"/>
      <c r="U227" s="647"/>
      <c r="V227" s="647"/>
      <c r="W227" s="647"/>
      <c r="X227" s="647"/>
    </row>
    <row r="228">
      <c r="A228" s="646"/>
      <c r="B228" s="647"/>
      <c r="C228" s="647"/>
      <c r="D228" s="647"/>
      <c r="E228" s="647"/>
      <c r="F228" s="647"/>
      <c r="G228" s="647"/>
      <c r="H228" s="647"/>
      <c r="I228" s="647"/>
      <c r="J228" s="647"/>
      <c r="K228" s="647"/>
      <c r="L228" s="647"/>
      <c r="M228" s="647"/>
      <c r="N228" s="647"/>
      <c r="O228" s="647"/>
      <c r="P228" s="647"/>
      <c r="Q228" s="647"/>
      <c r="R228" s="647"/>
      <c r="S228" s="647"/>
      <c r="T228" s="647"/>
      <c r="U228" s="647"/>
      <c r="V228" s="647"/>
      <c r="W228" s="647"/>
      <c r="X228" s="647"/>
    </row>
    <row r="229">
      <c r="A229" s="646"/>
      <c r="B229" s="647"/>
      <c r="C229" s="647"/>
      <c r="D229" s="647"/>
      <c r="E229" s="647"/>
      <c r="F229" s="647"/>
      <c r="G229" s="647"/>
      <c r="H229" s="647"/>
      <c r="I229" s="647"/>
      <c r="J229" s="647"/>
      <c r="K229" s="647"/>
      <c r="L229" s="647"/>
      <c r="M229" s="647"/>
      <c r="N229" s="647"/>
      <c r="O229" s="647"/>
      <c r="P229" s="647"/>
      <c r="Q229" s="647"/>
      <c r="R229" s="647"/>
      <c r="S229" s="647"/>
      <c r="T229" s="647"/>
      <c r="U229" s="647"/>
      <c r="V229" s="647"/>
      <c r="W229" s="647"/>
      <c r="X229" s="647"/>
    </row>
    <row r="230">
      <c r="A230" s="646"/>
      <c r="B230" s="647"/>
      <c r="C230" s="647"/>
      <c r="D230" s="647"/>
      <c r="E230" s="647"/>
      <c r="F230" s="647"/>
      <c r="G230" s="647"/>
      <c r="H230" s="647"/>
      <c r="I230" s="647"/>
      <c r="J230" s="647"/>
      <c r="K230" s="647"/>
      <c r="L230" s="647"/>
      <c r="M230" s="647"/>
      <c r="N230" s="647"/>
      <c r="O230" s="647"/>
      <c r="P230" s="647"/>
      <c r="Q230" s="647"/>
      <c r="R230" s="647"/>
      <c r="S230" s="647"/>
      <c r="T230" s="647"/>
      <c r="U230" s="647"/>
      <c r="V230" s="647"/>
      <c r="W230" s="647"/>
      <c r="X230" s="647"/>
    </row>
    <row r="231">
      <c r="A231" s="646"/>
      <c r="B231" s="647"/>
      <c r="C231" s="647"/>
      <c r="D231" s="647"/>
      <c r="E231" s="647"/>
      <c r="F231" s="647"/>
      <c r="G231" s="647"/>
      <c r="H231" s="647"/>
      <c r="I231" s="647"/>
      <c r="J231" s="647"/>
      <c r="K231" s="647"/>
      <c r="L231" s="647"/>
      <c r="M231" s="647"/>
      <c r="N231" s="647"/>
      <c r="O231" s="647"/>
      <c r="P231" s="647"/>
      <c r="Q231" s="647"/>
      <c r="R231" s="647"/>
      <c r="S231" s="647"/>
      <c r="T231" s="647"/>
      <c r="U231" s="647"/>
      <c r="V231" s="647"/>
      <c r="W231" s="647"/>
      <c r="X231" s="647"/>
    </row>
    <row r="232">
      <c r="A232" s="646"/>
      <c r="B232" s="647"/>
      <c r="C232" s="647"/>
      <c r="D232" s="647"/>
      <c r="E232" s="647"/>
      <c r="F232" s="647"/>
      <c r="G232" s="647"/>
      <c r="H232" s="647"/>
      <c r="I232" s="647"/>
      <c r="J232" s="647"/>
      <c r="K232" s="647"/>
      <c r="L232" s="647"/>
      <c r="M232" s="647"/>
      <c r="N232" s="647"/>
      <c r="O232" s="647"/>
      <c r="P232" s="647"/>
      <c r="Q232" s="647"/>
      <c r="R232" s="647"/>
      <c r="S232" s="647"/>
      <c r="T232" s="647"/>
      <c r="U232" s="647"/>
      <c r="V232" s="647"/>
      <c r="W232" s="647"/>
      <c r="X232" s="647"/>
    </row>
    <row r="233">
      <c r="A233" s="646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7"/>
      <c r="P233" s="647"/>
      <c r="Q233" s="647"/>
      <c r="R233" s="647"/>
      <c r="S233" s="647"/>
      <c r="T233" s="647"/>
      <c r="U233" s="647"/>
      <c r="V233" s="647"/>
      <c r="W233" s="647"/>
      <c r="X233" s="647"/>
    </row>
    <row r="234">
      <c r="A234" s="646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7"/>
      <c r="P234" s="647"/>
      <c r="Q234" s="647"/>
      <c r="R234" s="647"/>
      <c r="S234" s="647"/>
      <c r="T234" s="647"/>
      <c r="U234" s="647"/>
      <c r="V234" s="647"/>
      <c r="W234" s="647"/>
      <c r="X234" s="647"/>
    </row>
    <row r="235">
      <c r="A235" s="646"/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</row>
    <row r="236">
      <c r="A236" s="646"/>
      <c r="B236" s="647"/>
      <c r="C236" s="647"/>
      <c r="D236" s="647"/>
      <c r="E236" s="647"/>
      <c r="F236" s="647"/>
      <c r="G236" s="647"/>
      <c r="H236" s="647"/>
      <c r="I236" s="647"/>
      <c r="J236" s="647"/>
      <c r="K236" s="647"/>
      <c r="L236" s="647"/>
      <c r="M236" s="647"/>
      <c r="N236" s="647"/>
      <c r="O236" s="647"/>
      <c r="P236" s="647"/>
      <c r="Q236" s="647"/>
      <c r="R236" s="647"/>
      <c r="S236" s="647"/>
      <c r="T236" s="647"/>
      <c r="U236" s="647"/>
      <c r="V236" s="647"/>
      <c r="W236" s="647"/>
      <c r="X236" s="647"/>
    </row>
    <row r="237">
      <c r="A237" s="646"/>
      <c r="B237" s="647"/>
      <c r="C237" s="647"/>
      <c r="D237" s="647"/>
      <c r="E237" s="647"/>
      <c r="F237" s="647"/>
      <c r="G237" s="647"/>
      <c r="H237" s="647"/>
      <c r="I237" s="647"/>
      <c r="J237" s="647"/>
      <c r="K237" s="647"/>
      <c r="L237" s="647"/>
      <c r="M237" s="647"/>
      <c r="N237" s="647"/>
      <c r="O237" s="647"/>
      <c r="P237" s="647"/>
      <c r="Q237" s="647"/>
      <c r="R237" s="647"/>
      <c r="S237" s="647"/>
      <c r="T237" s="647"/>
      <c r="U237" s="647"/>
      <c r="V237" s="647"/>
      <c r="W237" s="647"/>
      <c r="X237" s="647"/>
    </row>
    <row r="238">
      <c r="A238" s="646"/>
      <c r="B238" s="647"/>
      <c r="C238" s="647"/>
      <c r="D238" s="647"/>
      <c r="E238" s="647"/>
      <c r="F238" s="647"/>
      <c r="G238" s="647"/>
      <c r="H238" s="647"/>
      <c r="I238" s="647"/>
      <c r="J238" s="647"/>
      <c r="K238" s="647"/>
      <c r="L238" s="647"/>
      <c r="M238" s="647"/>
      <c r="N238" s="647"/>
      <c r="O238" s="647"/>
      <c r="P238" s="647"/>
      <c r="Q238" s="647"/>
      <c r="R238" s="647"/>
      <c r="S238" s="647"/>
      <c r="T238" s="647"/>
      <c r="U238" s="647"/>
      <c r="V238" s="647"/>
      <c r="W238" s="647"/>
      <c r="X238" s="647"/>
    </row>
    <row r="239">
      <c r="A239" s="646"/>
      <c r="B239" s="647"/>
      <c r="C239" s="647"/>
      <c r="D239" s="647"/>
      <c r="E239" s="647"/>
      <c r="F239" s="647"/>
      <c r="G239" s="647"/>
      <c r="H239" s="647"/>
      <c r="I239" s="647"/>
      <c r="J239" s="647"/>
      <c r="K239" s="647"/>
      <c r="L239" s="647"/>
      <c r="M239" s="647"/>
      <c r="N239" s="647"/>
      <c r="O239" s="647"/>
      <c r="P239" s="647"/>
      <c r="Q239" s="647"/>
      <c r="R239" s="647"/>
      <c r="S239" s="647"/>
      <c r="T239" s="647"/>
      <c r="U239" s="647"/>
      <c r="V239" s="647"/>
      <c r="W239" s="647"/>
      <c r="X239" s="647"/>
    </row>
    <row r="240">
      <c r="A240" s="646"/>
      <c r="B240" s="647"/>
      <c r="C240" s="647"/>
      <c r="D240" s="647"/>
      <c r="E240" s="647"/>
      <c r="F240" s="647"/>
      <c r="G240" s="647"/>
      <c r="H240" s="647"/>
      <c r="I240" s="647"/>
      <c r="J240" s="647"/>
      <c r="K240" s="647"/>
      <c r="L240" s="647"/>
      <c r="M240" s="647"/>
      <c r="N240" s="647"/>
      <c r="O240" s="647"/>
      <c r="P240" s="647"/>
      <c r="Q240" s="647"/>
      <c r="R240" s="647"/>
      <c r="S240" s="647"/>
      <c r="T240" s="647"/>
      <c r="U240" s="647"/>
      <c r="V240" s="647"/>
      <c r="W240" s="647"/>
      <c r="X240" s="647"/>
    </row>
    <row r="241">
      <c r="A241" s="646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7"/>
      <c r="P241" s="647"/>
      <c r="Q241" s="647"/>
      <c r="R241" s="647"/>
      <c r="S241" s="647"/>
      <c r="T241" s="647"/>
      <c r="U241" s="647"/>
      <c r="V241" s="647"/>
      <c r="W241" s="647"/>
      <c r="X241" s="647"/>
    </row>
    <row r="242">
      <c r="A242" s="646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7"/>
      <c r="P242" s="647"/>
      <c r="Q242" s="647"/>
      <c r="R242" s="647"/>
      <c r="S242" s="647"/>
      <c r="T242" s="647"/>
      <c r="U242" s="647"/>
      <c r="V242" s="647"/>
      <c r="W242" s="647"/>
      <c r="X242" s="647"/>
    </row>
    <row r="243">
      <c r="A243" s="646"/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</row>
    <row r="244">
      <c r="A244" s="646"/>
      <c r="B244" s="647"/>
      <c r="C244" s="647"/>
      <c r="D244" s="647"/>
      <c r="E244" s="647"/>
      <c r="F244" s="647"/>
      <c r="G244" s="647"/>
      <c r="H244" s="647"/>
      <c r="I244" s="647"/>
      <c r="J244" s="647"/>
      <c r="K244" s="647"/>
      <c r="L244" s="647"/>
      <c r="M244" s="647"/>
      <c r="N244" s="647"/>
      <c r="O244" s="647"/>
      <c r="P244" s="647"/>
      <c r="Q244" s="647"/>
      <c r="R244" s="647"/>
      <c r="S244" s="647"/>
      <c r="T244" s="647"/>
      <c r="U244" s="647"/>
      <c r="V244" s="647"/>
      <c r="W244" s="647"/>
      <c r="X244" s="647"/>
    </row>
    <row r="245">
      <c r="A245" s="646"/>
      <c r="B245" s="647"/>
      <c r="C245" s="647"/>
      <c r="D245" s="647"/>
      <c r="E245" s="647"/>
      <c r="F245" s="647"/>
      <c r="G245" s="647"/>
      <c r="H245" s="647"/>
      <c r="I245" s="647"/>
      <c r="J245" s="647"/>
      <c r="K245" s="647"/>
      <c r="L245" s="647"/>
      <c r="M245" s="647"/>
      <c r="N245" s="647"/>
      <c r="O245" s="647"/>
      <c r="P245" s="647"/>
      <c r="Q245" s="647"/>
      <c r="R245" s="647"/>
      <c r="S245" s="647"/>
      <c r="T245" s="647"/>
      <c r="U245" s="647"/>
      <c r="V245" s="647"/>
      <c r="W245" s="647"/>
      <c r="X245" s="647"/>
    </row>
    <row r="246">
      <c r="A246" s="646"/>
      <c r="B246" s="647"/>
      <c r="C246" s="647"/>
      <c r="D246" s="647"/>
      <c r="E246" s="647"/>
      <c r="F246" s="647"/>
      <c r="G246" s="647"/>
      <c r="H246" s="647"/>
      <c r="I246" s="647"/>
      <c r="J246" s="647"/>
      <c r="K246" s="647"/>
      <c r="L246" s="647"/>
      <c r="M246" s="647"/>
      <c r="N246" s="647"/>
      <c r="O246" s="647"/>
      <c r="P246" s="647"/>
      <c r="Q246" s="647"/>
      <c r="R246" s="647"/>
      <c r="S246" s="647"/>
      <c r="T246" s="647"/>
      <c r="U246" s="647"/>
      <c r="V246" s="647"/>
      <c r="W246" s="647"/>
      <c r="X246" s="647"/>
    </row>
    <row r="247">
      <c r="A247" s="646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</row>
    <row r="248">
      <c r="A248" s="646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7"/>
      <c r="P248" s="647"/>
      <c r="Q248" s="647"/>
      <c r="R248" s="647"/>
      <c r="S248" s="647"/>
      <c r="T248" s="647"/>
      <c r="U248" s="647"/>
      <c r="V248" s="647"/>
      <c r="W248" s="647"/>
      <c r="X248" s="647"/>
    </row>
    <row r="249">
      <c r="A249" s="646"/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</row>
    <row r="250">
      <c r="A250" s="646"/>
      <c r="B250" s="647"/>
      <c r="C250" s="647"/>
      <c r="D250" s="647"/>
      <c r="E250" s="647"/>
      <c r="F250" s="647"/>
      <c r="G250" s="647"/>
      <c r="H250" s="647"/>
      <c r="I250" s="647"/>
      <c r="J250" s="647"/>
      <c r="K250" s="647"/>
      <c r="L250" s="647"/>
      <c r="M250" s="647"/>
      <c r="N250" s="647"/>
      <c r="O250" s="647"/>
      <c r="P250" s="647"/>
      <c r="Q250" s="647"/>
      <c r="R250" s="647"/>
      <c r="S250" s="647"/>
      <c r="T250" s="647"/>
      <c r="U250" s="647"/>
      <c r="V250" s="647"/>
      <c r="W250" s="647"/>
      <c r="X250" s="647"/>
    </row>
    <row r="251">
      <c r="A251" s="646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7"/>
      <c r="P251" s="647"/>
      <c r="Q251" s="647"/>
      <c r="R251" s="647"/>
      <c r="S251" s="647"/>
      <c r="T251" s="647"/>
      <c r="U251" s="647"/>
      <c r="V251" s="647"/>
      <c r="W251" s="647"/>
      <c r="X251" s="647"/>
    </row>
    <row r="252">
      <c r="A252" s="646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7"/>
      <c r="P252" s="647"/>
      <c r="Q252" s="647"/>
      <c r="R252" s="647"/>
      <c r="S252" s="647"/>
      <c r="T252" s="647"/>
      <c r="U252" s="647"/>
      <c r="V252" s="647"/>
      <c r="W252" s="647"/>
      <c r="X252" s="647"/>
    </row>
    <row r="253">
      <c r="A253" s="646"/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</row>
    <row r="254">
      <c r="A254" s="646"/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</row>
    <row r="255">
      <c r="A255" s="646"/>
      <c r="B255" s="647"/>
      <c r="C255" s="647"/>
      <c r="D255" s="647"/>
      <c r="E255" s="647"/>
      <c r="F255" s="647"/>
      <c r="G255" s="647"/>
      <c r="H255" s="647"/>
      <c r="I255" s="647"/>
      <c r="J255" s="647"/>
      <c r="K255" s="647"/>
      <c r="L255" s="647"/>
      <c r="M255" s="647"/>
      <c r="N255" s="647"/>
      <c r="O255" s="647"/>
      <c r="P255" s="647"/>
      <c r="Q255" s="647"/>
      <c r="R255" s="647"/>
      <c r="S255" s="647"/>
      <c r="T255" s="647"/>
      <c r="U255" s="647"/>
      <c r="V255" s="647"/>
      <c r="W255" s="647"/>
      <c r="X255" s="647"/>
    </row>
    <row r="256">
      <c r="A256" s="646"/>
      <c r="B256" s="647"/>
      <c r="C256" s="647"/>
      <c r="D256" s="647"/>
      <c r="E256" s="647"/>
      <c r="F256" s="647"/>
      <c r="G256" s="647"/>
      <c r="H256" s="647"/>
      <c r="I256" s="647"/>
      <c r="J256" s="647"/>
      <c r="K256" s="647"/>
      <c r="L256" s="647"/>
      <c r="M256" s="647"/>
      <c r="N256" s="647"/>
      <c r="O256" s="647"/>
      <c r="P256" s="647"/>
      <c r="Q256" s="647"/>
      <c r="R256" s="647"/>
      <c r="S256" s="647"/>
      <c r="T256" s="647"/>
      <c r="U256" s="647"/>
      <c r="V256" s="647"/>
      <c r="W256" s="647"/>
      <c r="X256" s="647"/>
    </row>
    <row r="257">
      <c r="A257" s="646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7"/>
      <c r="P257" s="647"/>
      <c r="Q257" s="647"/>
      <c r="R257" s="647"/>
      <c r="S257" s="647"/>
      <c r="T257" s="647"/>
      <c r="U257" s="647"/>
      <c r="V257" s="647"/>
      <c r="W257" s="647"/>
      <c r="X257" s="647"/>
    </row>
    <row r="258">
      <c r="A258" s="646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7"/>
      <c r="P258" s="647"/>
      <c r="Q258" s="647"/>
      <c r="R258" s="647"/>
      <c r="S258" s="647"/>
      <c r="T258" s="647"/>
      <c r="U258" s="647"/>
      <c r="V258" s="647"/>
      <c r="W258" s="647"/>
      <c r="X258" s="647"/>
    </row>
    <row r="259">
      <c r="A259" s="646"/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</row>
    <row r="260">
      <c r="A260" s="646"/>
      <c r="B260" s="647"/>
      <c r="C260" s="647"/>
      <c r="D260" s="647"/>
      <c r="E260" s="647"/>
      <c r="F260" s="647"/>
      <c r="G260" s="647"/>
      <c r="H260" s="647"/>
      <c r="I260" s="647"/>
      <c r="J260" s="647"/>
      <c r="K260" s="647"/>
      <c r="L260" s="647"/>
      <c r="M260" s="647"/>
      <c r="N260" s="647"/>
      <c r="O260" s="647"/>
      <c r="P260" s="647"/>
      <c r="Q260" s="647"/>
      <c r="R260" s="647"/>
      <c r="S260" s="647"/>
      <c r="T260" s="647"/>
      <c r="U260" s="647"/>
      <c r="V260" s="647"/>
      <c r="W260" s="647"/>
      <c r="X260" s="647"/>
    </row>
    <row r="261">
      <c r="A261" s="646"/>
      <c r="B261" s="647"/>
      <c r="C261" s="647"/>
      <c r="D261" s="647"/>
      <c r="E261" s="647"/>
      <c r="F261" s="647"/>
      <c r="G261" s="647"/>
      <c r="H261" s="647"/>
      <c r="I261" s="647"/>
      <c r="J261" s="647"/>
      <c r="K261" s="647"/>
      <c r="L261" s="647"/>
      <c r="M261" s="647"/>
      <c r="N261" s="647"/>
      <c r="O261" s="647"/>
      <c r="P261" s="647"/>
      <c r="Q261" s="647"/>
      <c r="R261" s="647"/>
      <c r="S261" s="647"/>
      <c r="T261" s="647"/>
      <c r="U261" s="647"/>
      <c r="V261" s="647"/>
      <c r="W261" s="647"/>
      <c r="X261" s="647"/>
    </row>
    <row r="262">
      <c r="A262" s="646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7"/>
      <c r="P262" s="647"/>
      <c r="Q262" s="647"/>
      <c r="R262" s="647"/>
      <c r="S262" s="647"/>
      <c r="T262" s="647"/>
      <c r="U262" s="647"/>
      <c r="V262" s="647"/>
      <c r="W262" s="647"/>
      <c r="X262" s="647"/>
    </row>
    <row r="263">
      <c r="A263" s="646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7"/>
      <c r="P263" s="647"/>
      <c r="Q263" s="647"/>
      <c r="R263" s="647"/>
      <c r="S263" s="647"/>
      <c r="T263" s="647"/>
      <c r="U263" s="647"/>
      <c r="V263" s="647"/>
      <c r="W263" s="647"/>
      <c r="X263" s="647"/>
    </row>
    <row r="264">
      <c r="A264" s="646"/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</row>
    <row r="265">
      <c r="A265" s="646"/>
      <c r="B265" s="647"/>
      <c r="C265" s="647"/>
      <c r="D265" s="647"/>
      <c r="E265" s="647"/>
      <c r="F265" s="647"/>
      <c r="G265" s="647"/>
      <c r="H265" s="647"/>
      <c r="I265" s="647"/>
      <c r="J265" s="647"/>
      <c r="K265" s="647"/>
      <c r="L265" s="647"/>
      <c r="M265" s="647"/>
      <c r="N265" s="647"/>
      <c r="O265" s="647"/>
      <c r="P265" s="647"/>
      <c r="Q265" s="647"/>
      <c r="R265" s="647"/>
      <c r="S265" s="647"/>
      <c r="T265" s="647"/>
      <c r="U265" s="647"/>
      <c r="V265" s="647"/>
      <c r="W265" s="647"/>
      <c r="X265" s="647"/>
    </row>
    <row r="266">
      <c r="A266" s="646"/>
      <c r="B266" s="647"/>
      <c r="C266" s="647"/>
      <c r="D266" s="647"/>
      <c r="E266" s="647"/>
      <c r="F266" s="647"/>
      <c r="G266" s="647"/>
      <c r="H266" s="647"/>
      <c r="I266" s="647"/>
      <c r="J266" s="647"/>
      <c r="K266" s="647"/>
      <c r="L266" s="647"/>
      <c r="M266" s="647"/>
      <c r="N266" s="647"/>
      <c r="O266" s="647"/>
      <c r="P266" s="647"/>
      <c r="Q266" s="647"/>
      <c r="R266" s="647"/>
      <c r="S266" s="647"/>
      <c r="T266" s="647"/>
      <c r="U266" s="647"/>
      <c r="V266" s="647"/>
      <c r="W266" s="647"/>
      <c r="X266" s="647"/>
    </row>
    <row r="267">
      <c r="A267" s="646"/>
      <c r="B267" s="647"/>
      <c r="C267" s="647"/>
      <c r="D267" s="647"/>
      <c r="E267" s="647"/>
      <c r="F267" s="647"/>
      <c r="G267" s="647"/>
      <c r="H267" s="647"/>
      <c r="I267" s="647"/>
      <c r="J267" s="647"/>
      <c r="K267" s="647"/>
      <c r="L267" s="647"/>
      <c r="M267" s="647"/>
      <c r="N267" s="647"/>
      <c r="O267" s="647"/>
      <c r="P267" s="647"/>
      <c r="Q267" s="647"/>
      <c r="R267" s="647"/>
      <c r="S267" s="647"/>
      <c r="T267" s="647"/>
      <c r="U267" s="647"/>
      <c r="V267" s="647"/>
      <c r="W267" s="647"/>
      <c r="X267" s="647"/>
    </row>
    <row r="268">
      <c r="A268" s="646"/>
      <c r="B268" s="647"/>
      <c r="C268" s="647"/>
      <c r="D268" s="647"/>
      <c r="E268" s="647"/>
      <c r="F268" s="647"/>
      <c r="G268" s="647"/>
      <c r="H268" s="647"/>
      <c r="I268" s="647"/>
      <c r="J268" s="647"/>
      <c r="K268" s="647"/>
      <c r="L268" s="647"/>
      <c r="M268" s="647"/>
      <c r="N268" s="647"/>
      <c r="O268" s="647"/>
      <c r="P268" s="647"/>
      <c r="Q268" s="647"/>
      <c r="R268" s="647"/>
      <c r="S268" s="647"/>
      <c r="T268" s="647"/>
      <c r="U268" s="647"/>
      <c r="V268" s="647"/>
      <c r="W268" s="647"/>
      <c r="X268" s="647"/>
    </row>
    <row r="269">
      <c r="A269" s="646"/>
      <c r="B269" s="647"/>
      <c r="C269" s="647"/>
      <c r="D269" s="647"/>
      <c r="E269" s="647"/>
      <c r="F269" s="647"/>
      <c r="G269" s="647"/>
      <c r="H269" s="647"/>
      <c r="I269" s="647"/>
      <c r="J269" s="647"/>
      <c r="K269" s="647"/>
      <c r="L269" s="647"/>
      <c r="M269" s="647"/>
      <c r="N269" s="647"/>
      <c r="O269" s="647"/>
      <c r="P269" s="647"/>
      <c r="Q269" s="647"/>
      <c r="R269" s="647"/>
      <c r="S269" s="647"/>
      <c r="T269" s="647"/>
      <c r="U269" s="647"/>
      <c r="V269" s="647"/>
      <c r="W269" s="647"/>
      <c r="X269" s="647"/>
    </row>
    <row r="270">
      <c r="A270" s="646"/>
      <c r="B270" s="647"/>
      <c r="C270" s="647"/>
      <c r="D270" s="647"/>
      <c r="E270" s="647"/>
      <c r="F270" s="647"/>
      <c r="G270" s="647"/>
      <c r="H270" s="647"/>
      <c r="I270" s="647"/>
      <c r="J270" s="647"/>
      <c r="K270" s="647"/>
      <c r="L270" s="647"/>
      <c r="M270" s="647"/>
      <c r="N270" s="647"/>
      <c r="O270" s="647"/>
      <c r="P270" s="647"/>
      <c r="Q270" s="647"/>
      <c r="R270" s="647"/>
      <c r="S270" s="647"/>
      <c r="T270" s="647"/>
      <c r="U270" s="647"/>
      <c r="V270" s="647"/>
      <c r="W270" s="647"/>
      <c r="X270" s="647"/>
    </row>
    <row r="271">
      <c r="A271" s="646"/>
      <c r="B271" s="647"/>
      <c r="C271" s="647"/>
      <c r="D271" s="647"/>
      <c r="E271" s="647"/>
      <c r="F271" s="647"/>
      <c r="G271" s="647"/>
      <c r="H271" s="647"/>
      <c r="I271" s="647"/>
      <c r="J271" s="647"/>
      <c r="K271" s="647"/>
      <c r="L271" s="647"/>
      <c r="M271" s="647"/>
      <c r="N271" s="647"/>
      <c r="O271" s="647"/>
      <c r="P271" s="647"/>
      <c r="Q271" s="647"/>
      <c r="R271" s="647"/>
      <c r="S271" s="647"/>
      <c r="T271" s="647"/>
      <c r="U271" s="647"/>
      <c r="V271" s="647"/>
      <c r="W271" s="647"/>
      <c r="X271" s="647"/>
    </row>
    <row r="272">
      <c r="A272" s="646"/>
      <c r="B272" s="647"/>
      <c r="C272" s="647"/>
      <c r="D272" s="647"/>
      <c r="E272" s="647"/>
      <c r="F272" s="647"/>
      <c r="G272" s="647"/>
      <c r="H272" s="647"/>
      <c r="I272" s="647"/>
      <c r="J272" s="647"/>
      <c r="K272" s="647"/>
      <c r="L272" s="647"/>
      <c r="M272" s="647"/>
      <c r="N272" s="647"/>
      <c r="O272" s="647"/>
      <c r="P272" s="647"/>
      <c r="Q272" s="647"/>
      <c r="R272" s="647"/>
      <c r="S272" s="647"/>
      <c r="T272" s="647"/>
      <c r="U272" s="647"/>
      <c r="V272" s="647"/>
      <c r="W272" s="647"/>
      <c r="X272" s="647"/>
    </row>
    <row r="273">
      <c r="A273" s="646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7"/>
      <c r="P273" s="647"/>
      <c r="Q273" s="647"/>
      <c r="R273" s="647"/>
      <c r="S273" s="647"/>
      <c r="T273" s="647"/>
      <c r="U273" s="647"/>
      <c r="V273" s="647"/>
      <c r="W273" s="647"/>
      <c r="X273" s="647"/>
    </row>
    <row r="274">
      <c r="A274" s="646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7"/>
      <c r="P274" s="647"/>
      <c r="Q274" s="647"/>
      <c r="R274" s="647"/>
      <c r="S274" s="647"/>
      <c r="T274" s="647"/>
      <c r="U274" s="647"/>
      <c r="V274" s="647"/>
      <c r="W274" s="647"/>
      <c r="X274" s="647"/>
    </row>
    <row r="275">
      <c r="A275" s="646"/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</row>
    <row r="276">
      <c r="A276" s="646"/>
      <c r="B276" s="647"/>
      <c r="C276" s="647"/>
      <c r="D276" s="647"/>
      <c r="E276" s="647"/>
      <c r="F276" s="647"/>
      <c r="G276" s="647"/>
      <c r="H276" s="647"/>
      <c r="I276" s="647"/>
      <c r="J276" s="647"/>
      <c r="K276" s="647"/>
      <c r="L276" s="647"/>
      <c r="M276" s="647"/>
      <c r="N276" s="647"/>
      <c r="O276" s="647"/>
      <c r="P276" s="647"/>
      <c r="Q276" s="647"/>
      <c r="R276" s="647"/>
      <c r="S276" s="647"/>
      <c r="T276" s="647"/>
      <c r="U276" s="647"/>
      <c r="V276" s="647"/>
      <c r="W276" s="647"/>
      <c r="X276" s="647"/>
    </row>
    <row r="277">
      <c r="A277" s="646"/>
      <c r="B277" s="647"/>
      <c r="C277" s="647"/>
      <c r="D277" s="647"/>
      <c r="E277" s="647"/>
      <c r="F277" s="647"/>
      <c r="G277" s="647"/>
      <c r="H277" s="647"/>
      <c r="I277" s="647"/>
      <c r="J277" s="647"/>
      <c r="K277" s="647"/>
      <c r="L277" s="647"/>
      <c r="M277" s="647"/>
      <c r="N277" s="647"/>
      <c r="O277" s="647"/>
      <c r="P277" s="647"/>
      <c r="Q277" s="647"/>
      <c r="R277" s="647"/>
      <c r="S277" s="647"/>
      <c r="T277" s="647"/>
      <c r="U277" s="647"/>
      <c r="V277" s="647"/>
      <c r="W277" s="647"/>
      <c r="X277" s="647"/>
    </row>
    <row r="278">
      <c r="A278" s="646"/>
      <c r="B278" s="647"/>
      <c r="C278" s="647"/>
      <c r="D278" s="647"/>
      <c r="E278" s="647"/>
      <c r="F278" s="647"/>
      <c r="G278" s="647"/>
      <c r="H278" s="647"/>
      <c r="I278" s="647"/>
      <c r="J278" s="647"/>
      <c r="K278" s="647"/>
      <c r="L278" s="647"/>
      <c r="M278" s="647"/>
      <c r="N278" s="647"/>
      <c r="O278" s="647"/>
      <c r="P278" s="647"/>
      <c r="Q278" s="647"/>
      <c r="R278" s="647"/>
      <c r="S278" s="647"/>
      <c r="T278" s="647"/>
      <c r="U278" s="647"/>
      <c r="V278" s="647"/>
      <c r="W278" s="647"/>
      <c r="X278" s="647"/>
    </row>
    <row r="279">
      <c r="A279" s="646"/>
      <c r="B279" s="647"/>
      <c r="C279" s="647"/>
      <c r="D279" s="647"/>
      <c r="E279" s="647"/>
      <c r="F279" s="647"/>
      <c r="G279" s="647"/>
      <c r="H279" s="647"/>
      <c r="I279" s="647"/>
      <c r="J279" s="647"/>
      <c r="K279" s="647"/>
      <c r="L279" s="647"/>
      <c r="M279" s="647"/>
      <c r="N279" s="647"/>
      <c r="O279" s="647"/>
      <c r="P279" s="647"/>
      <c r="Q279" s="647"/>
      <c r="R279" s="647"/>
      <c r="S279" s="647"/>
      <c r="T279" s="647"/>
      <c r="U279" s="647"/>
      <c r="V279" s="647"/>
      <c r="W279" s="647"/>
      <c r="X279" s="647"/>
    </row>
    <row r="280">
      <c r="A280" s="646"/>
      <c r="B280" s="647"/>
      <c r="C280" s="647"/>
      <c r="D280" s="647"/>
      <c r="E280" s="647"/>
      <c r="F280" s="647"/>
      <c r="G280" s="647"/>
      <c r="H280" s="647"/>
      <c r="I280" s="647"/>
      <c r="J280" s="647"/>
      <c r="K280" s="647"/>
      <c r="L280" s="647"/>
      <c r="M280" s="647"/>
      <c r="N280" s="647"/>
      <c r="O280" s="647"/>
      <c r="P280" s="647"/>
      <c r="Q280" s="647"/>
      <c r="R280" s="647"/>
      <c r="S280" s="647"/>
      <c r="T280" s="647"/>
      <c r="U280" s="647"/>
      <c r="V280" s="647"/>
      <c r="W280" s="647"/>
      <c r="X280" s="647"/>
    </row>
    <row r="281">
      <c r="A281" s="646"/>
      <c r="B281" s="647"/>
      <c r="C281" s="647"/>
      <c r="D281" s="647"/>
      <c r="E281" s="647"/>
      <c r="F281" s="647"/>
      <c r="G281" s="647"/>
      <c r="H281" s="647"/>
      <c r="I281" s="647"/>
      <c r="J281" s="647"/>
      <c r="K281" s="647"/>
      <c r="L281" s="647"/>
      <c r="M281" s="647"/>
      <c r="N281" s="647"/>
      <c r="O281" s="647"/>
      <c r="P281" s="647"/>
      <c r="Q281" s="647"/>
      <c r="R281" s="647"/>
      <c r="S281" s="647"/>
      <c r="T281" s="647"/>
      <c r="U281" s="647"/>
      <c r="V281" s="647"/>
      <c r="W281" s="647"/>
      <c r="X281" s="647"/>
    </row>
    <row r="282">
      <c r="A282" s="646"/>
      <c r="B282" s="647"/>
      <c r="C282" s="647"/>
      <c r="D282" s="647"/>
      <c r="E282" s="647"/>
      <c r="F282" s="647"/>
      <c r="G282" s="647"/>
      <c r="H282" s="647"/>
      <c r="I282" s="647"/>
      <c r="J282" s="647"/>
      <c r="K282" s="647"/>
      <c r="L282" s="647"/>
      <c r="M282" s="647"/>
      <c r="N282" s="647"/>
      <c r="O282" s="647"/>
      <c r="P282" s="647"/>
      <c r="Q282" s="647"/>
      <c r="R282" s="647"/>
      <c r="S282" s="647"/>
      <c r="T282" s="647"/>
      <c r="U282" s="647"/>
      <c r="V282" s="647"/>
      <c r="W282" s="647"/>
      <c r="X282" s="647"/>
    </row>
    <row r="283">
      <c r="A283" s="646"/>
      <c r="B283" s="647"/>
      <c r="C283" s="647"/>
      <c r="D283" s="647"/>
      <c r="E283" s="647"/>
      <c r="F283" s="647"/>
      <c r="G283" s="647"/>
      <c r="H283" s="647"/>
      <c r="I283" s="647"/>
      <c r="J283" s="647"/>
      <c r="K283" s="647"/>
      <c r="L283" s="647"/>
      <c r="M283" s="647"/>
      <c r="N283" s="647"/>
      <c r="O283" s="647"/>
      <c r="P283" s="647"/>
      <c r="Q283" s="647"/>
      <c r="R283" s="647"/>
      <c r="S283" s="647"/>
      <c r="T283" s="647"/>
      <c r="U283" s="647"/>
      <c r="V283" s="647"/>
      <c r="W283" s="647"/>
      <c r="X283" s="647"/>
    </row>
    <row r="284">
      <c r="A284" s="646"/>
      <c r="B284" s="647"/>
      <c r="C284" s="647"/>
      <c r="D284" s="647"/>
      <c r="E284" s="647"/>
      <c r="F284" s="647"/>
      <c r="G284" s="647"/>
      <c r="H284" s="647"/>
      <c r="I284" s="647"/>
      <c r="J284" s="647"/>
      <c r="K284" s="647"/>
      <c r="L284" s="647"/>
      <c r="M284" s="647"/>
      <c r="N284" s="647"/>
      <c r="O284" s="647"/>
      <c r="P284" s="647"/>
      <c r="Q284" s="647"/>
      <c r="R284" s="647"/>
      <c r="S284" s="647"/>
      <c r="T284" s="647"/>
      <c r="U284" s="647"/>
      <c r="V284" s="647"/>
      <c r="W284" s="647"/>
      <c r="X284" s="647"/>
    </row>
    <row r="285">
      <c r="A285" s="646"/>
      <c r="B285" s="647"/>
      <c r="C285" s="647"/>
      <c r="D285" s="647"/>
      <c r="E285" s="647"/>
      <c r="F285" s="647"/>
      <c r="G285" s="647"/>
      <c r="H285" s="647"/>
      <c r="I285" s="647"/>
      <c r="J285" s="647"/>
      <c r="K285" s="647"/>
      <c r="L285" s="647"/>
      <c r="M285" s="647"/>
      <c r="N285" s="647"/>
      <c r="O285" s="647"/>
      <c r="P285" s="647"/>
      <c r="Q285" s="647"/>
      <c r="R285" s="647"/>
      <c r="S285" s="647"/>
      <c r="T285" s="647"/>
      <c r="U285" s="647"/>
      <c r="V285" s="647"/>
      <c r="W285" s="647"/>
      <c r="X285" s="647"/>
    </row>
    <row r="286">
      <c r="A286" s="646"/>
      <c r="B286" s="647"/>
      <c r="C286" s="647"/>
      <c r="D286" s="647"/>
      <c r="E286" s="647"/>
      <c r="F286" s="647"/>
      <c r="G286" s="647"/>
      <c r="H286" s="647"/>
      <c r="I286" s="647"/>
      <c r="J286" s="647"/>
      <c r="K286" s="647"/>
      <c r="L286" s="647"/>
      <c r="M286" s="647"/>
      <c r="N286" s="647"/>
      <c r="O286" s="647"/>
      <c r="P286" s="647"/>
      <c r="Q286" s="647"/>
      <c r="R286" s="647"/>
      <c r="S286" s="647"/>
      <c r="T286" s="647"/>
      <c r="U286" s="647"/>
      <c r="V286" s="647"/>
      <c r="W286" s="647"/>
      <c r="X286" s="647"/>
    </row>
    <row r="287">
      <c r="A287" s="646"/>
      <c r="B287" s="647"/>
      <c r="C287" s="647"/>
      <c r="D287" s="647"/>
      <c r="E287" s="647"/>
      <c r="F287" s="647"/>
      <c r="G287" s="647"/>
      <c r="H287" s="647"/>
      <c r="I287" s="647"/>
      <c r="J287" s="647"/>
      <c r="K287" s="647"/>
      <c r="L287" s="647"/>
      <c r="M287" s="647"/>
      <c r="N287" s="647"/>
      <c r="O287" s="647"/>
      <c r="P287" s="647"/>
      <c r="Q287" s="647"/>
      <c r="R287" s="647"/>
      <c r="S287" s="647"/>
      <c r="T287" s="647"/>
      <c r="U287" s="647"/>
      <c r="V287" s="647"/>
      <c r="W287" s="647"/>
      <c r="X287" s="647"/>
    </row>
    <row r="288">
      <c r="A288" s="646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7"/>
      <c r="P288" s="647"/>
      <c r="Q288" s="647"/>
      <c r="R288" s="647"/>
      <c r="S288" s="647"/>
      <c r="T288" s="647"/>
      <c r="U288" s="647"/>
      <c r="V288" s="647"/>
      <c r="W288" s="647"/>
      <c r="X288" s="647"/>
    </row>
    <row r="289">
      <c r="A289" s="646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7"/>
      <c r="P289" s="647"/>
      <c r="Q289" s="647"/>
      <c r="R289" s="647"/>
      <c r="S289" s="647"/>
      <c r="T289" s="647"/>
      <c r="U289" s="647"/>
      <c r="V289" s="647"/>
      <c r="W289" s="647"/>
      <c r="X289" s="647"/>
    </row>
    <row r="290">
      <c r="A290" s="646"/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</row>
    <row r="291">
      <c r="A291" s="646"/>
      <c r="B291" s="647"/>
      <c r="C291" s="647"/>
      <c r="D291" s="647"/>
      <c r="E291" s="647"/>
      <c r="F291" s="647"/>
      <c r="G291" s="647"/>
      <c r="H291" s="647"/>
      <c r="I291" s="647"/>
      <c r="J291" s="647"/>
      <c r="K291" s="647"/>
      <c r="L291" s="647"/>
      <c r="M291" s="647"/>
      <c r="N291" s="647"/>
      <c r="O291" s="647"/>
      <c r="P291" s="647"/>
      <c r="Q291" s="647"/>
      <c r="R291" s="647"/>
      <c r="S291" s="647"/>
      <c r="T291" s="647"/>
      <c r="U291" s="647"/>
      <c r="V291" s="647"/>
      <c r="W291" s="647"/>
      <c r="X291" s="647"/>
    </row>
    <row r="292">
      <c r="A292" s="646"/>
      <c r="B292" s="647"/>
      <c r="C292" s="647"/>
      <c r="D292" s="647"/>
      <c r="E292" s="647"/>
      <c r="F292" s="647"/>
      <c r="G292" s="647"/>
      <c r="H292" s="647"/>
      <c r="I292" s="647"/>
      <c r="J292" s="647"/>
      <c r="K292" s="647"/>
      <c r="L292" s="647"/>
      <c r="M292" s="647"/>
      <c r="N292" s="647"/>
      <c r="O292" s="647"/>
      <c r="P292" s="647"/>
      <c r="Q292" s="647"/>
      <c r="R292" s="647"/>
      <c r="S292" s="647"/>
      <c r="T292" s="647"/>
      <c r="U292" s="647"/>
      <c r="V292" s="647"/>
      <c r="W292" s="647"/>
      <c r="X292" s="647"/>
    </row>
    <row r="293">
      <c r="A293" s="646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7"/>
      <c r="P293" s="647"/>
      <c r="Q293" s="647"/>
      <c r="R293" s="647"/>
      <c r="S293" s="647"/>
      <c r="T293" s="647"/>
      <c r="U293" s="647"/>
      <c r="V293" s="647"/>
      <c r="W293" s="647"/>
      <c r="X293" s="647"/>
    </row>
    <row r="294">
      <c r="A294" s="646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7"/>
      <c r="P294" s="647"/>
      <c r="Q294" s="647"/>
      <c r="R294" s="647"/>
      <c r="S294" s="647"/>
      <c r="T294" s="647"/>
      <c r="U294" s="647"/>
      <c r="V294" s="647"/>
      <c r="W294" s="647"/>
      <c r="X294" s="647"/>
    </row>
    <row r="295">
      <c r="A295" s="646"/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</row>
    <row r="296">
      <c r="A296" s="646"/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</row>
    <row r="297">
      <c r="A297" s="646"/>
      <c r="B297" s="647"/>
      <c r="C297" s="647"/>
      <c r="D297" s="647"/>
      <c r="E297" s="647"/>
      <c r="F297" s="647"/>
      <c r="G297" s="647"/>
      <c r="H297" s="647"/>
      <c r="I297" s="647"/>
      <c r="J297" s="647"/>
      <c r="K297" s="647"/>
      <c r="L297" s="647"/>
      <c r="M297" s="647"/>
      <c r="N297" s="647"/>
      <c r="O297" s="647"/>
      <c r="P297" s="647"/>
      <c r="Q297" s="647"/>
      <c r="R297" s="647"/>
      <c r="S297" s="647"/>
      <c r="T297" s="647"/>
      <c r="U297" s="647"/>
      <c r="V297" s="647"/>
      <c r="W297" s="647"/>
      <c r="X297" s="647"/>
    </row>
    <row r="298">
      <c r="A298" s="646"/>
      <c r="B298" s="647"/>
      <c r="C298" s="647"/>
      <c r="D298" s="647"/>
      <c r="E298" s="647"/>
      <c r="F298" s="647"/>
      <c r="G298" s="647"/>
      <c r="H298" s="647"/>
      <c r="I298" s="647"/>
      <c r="J298" s="647"/>
      <c r="K298" s="647"/>
      <c r="L298" s="647"/>
      <c r="M298" s="647"/>
      <c r="N298" s="647"/>
      <c r="O298" s="647"/>
      <c r="P298" s="647"/>
      <c r="Q298" s="647"/>
      <c r="R298" s="647"/>
      <c r="S298" s="647"/>
      <c r="T298" s="647"/>
      <c r="U298" s="647"/>
      <c r="V298" s="647"/>
      <c r="W298" s="647"/>
      <c r="X298" s="647"/>
    </row>
    <row r="299">
      <c r="A299" s="646"/>
      <c r="B299" s="647"/>
      <c r="C299" s="647"/>
      <c r="D299" s="647"/>
      <c r="E299" s="647"/>
      <c r="F299" s="647"/>
      <c r="G299" s="647"/>
      <c r="H299" s="647"/>
      <c r="I299" s="647"/>
      <c r="J299" s="647"/>
      <c r="K299" s="647"/>
      <c r="L299" s="647"/>
      <c r="M299" s="647"/>
      <c r="N299" s="647"/>
      <c r="O299" s="647"/>
      <c r="P299" s="647"/>
      <c r="Q299" s="647"/>
      <c r="R299" s="647"/>
      <c r="S299" s="647"/>
      <c r="T299" s="647"/>
      <c r="U299" s="647"/>
      <c r="V299" s="647"/>
      <c r="W299" s="647"/>
      <c r="X299" s="647"/>
    </row>
    <row r="300">
      <c r="A300" s="646"/>
      <c r="B300" s="647"/>
      <c r="C300" s="647"/>
      <c r="D300" s="647"/>
      <c r="E300" s="647"/>
      <c r="F300" s="647"/>
      <c r="G300" s="647"/>
      <c r="H300" s="647"/>
      <c r="I300" s="647"/>
      <c r="J300" s="647"/>
      <c r="K300" s="647"/>
      <c r="L300" s="647"/>
      <c r="M300" s="647"/>
      <c r="N300" s="647"/>
      <c r="O300" s="647"/>
      <c r="P300" s="647"/>
      <c r="Q300" s="647"/>
      <c r="R300" s="647"/>
      <c r="S300" s="647"/>
      <c r="T300" s="647"/>
      <c r="U300" s="647"/>
      <c r="V300" s="647"/>
      <c r="W300" s="647"/>
      <c r="X300" s="647"/>
    </row>
    <row r="301">
      <c r="A301" s="646"/>
      <c r="B301" s="647"/>
      <c r="C301" s="647"/>
      <c r="D301" s="647"/>
      <c r="E301" s="647"/>
      <c r="F301" s="647"/>
      <c r="G301" s="647"/>
      <c r="H301" s="647"/>
      <c r="I301" s="647"/>
      <c r="J301" s="647"/>
      <c r="K301" s="647"/>
      <c r="L301" s="647"/>
      <c r="M301" s="647"/>
      <c r="N301" s="647"/>
      <c r="O301" s="647"/>
      <c r="P301" s="647"/>
      <c r="Q301" s="647"/>
      <c r="R301" s="647"/>
      <c r="S301" s="647"/>
      <c r="T301" s="647"/>
      <c r="U301" s="647"/>
      <c r="V301" s="647"/>
      <c r="W301" s="647"/>
      <c r="X301" s="647"/>
    </row>
    <row r="302">
      <c r="A302" s="646"/>
      <c r="B302" s="647"/>
      <c r="C302" s="647"/>
      <c r="D302" s="647"/>
      <c r="E302" s="647"/>
      <c r="F302" s="647"/>
      <c r="G302" s="647"/>
      <c r="H302" s="647"/>
      <c r="I302" s="647"/>
      <c r="J302" s="647"/>
      <c r="K302" s="647"/>
      <c r="L302" s="647"/>
      <c r="M302" s="647"/>
      <c r="N302" s="647"/>
      <c r="O302" s="647"/>
      <c r="P302" s="647"/>
      <c r="Q302" s="647"/>
      <c r="R302" s="647"/>
      <c r="S302" s="647"/>
      <c r="T302" s="647"/>
      <c r="U302" s="647"/>
      <c r="V302" s="647"/>
      <c r="W302" s="647"/>
      <c r="X302" s="647"/>
    </row>
    <row r="303">
      <c r="A303" s="646"/>
      <c r="B303" s="647"/>
      <c r="C303" s="647"/>
      <c r="D303" s="647"/>
      <c r="E303" s="647"/>
      <c r="F303" s="647"/>
      <c r="G303" s="647"/>
      <c r="H303" s="647"/>
      <c r="I303" s="647"/>
      <c r="J303" s="647"/>
      <c r="K303" s="647"/>
      <c r="L303" s="647"/>
      <c r="M303" s="647"/>
      <c r="N303" s="647"/>
      <c r="O303" s="647"/>
      <c r="P303" s="647"/>
      <c r="Q303" s="647"/>
      <c r="R303" s="647"/>
      <c r="S303" s="647"/>
      <c r="T303" s="647"/>
      <c r="U303" s="647"/>
      <c r="V303" s="647"/>
      <c r="W303" s="647"/>
      <c r="X303" s="647"/>
    </row>
    <row r="304">
      <c r="A304" s="646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7"/>
      <c r="P304" s="647"/>
      <c r="Q304" s="647"/>
      <c r="R304" s="647"/>
      <c r="S304" s="647"/>
      <c r="T304" s="647"/>
      <c r="U304" s="647"/>
      <c r="V304" s="647"/>
      <c r="W304" s="647"/>
      <c r="X304" s="647"/>
    </row>
    <row r="305">
      <c r="A305" s="646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7"/>
      <c r="P305" s="647"/>
      <c r="Q305" s="647"/>
      <c r="R305" s="647"/>
      <c r="S305" s="647"/>
      <c r="T305" s="647"/>
      <c r="U305" s="647"/>
      <c r="V305" s="647"/>
      <c r="W305" s="647"/>
      <c r="X305" s="647"/>
    </row>
    <row r="306">
      <c r="A306" s="646"/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</row>
    <row r="307">
      <c r="A307" s="646"/>
      <c r="B307" s="647"/>
      <c r="C307" s="647"/>
      <c r="D307" s="647"/>
      <c r="E307" s="647"/>
      <c r="F307" s="647"/>
      <c r="G307" s="647"/>
      <c r="H307" s="647"/>
      <c r="I307" s="647"/>
      <c r="J307" s="647"/>
      <c r="K307" s="647"/>
      <c r="L307" s="647"/>
      <c r="M307" s="647"/>
      <c r="N307" s="647"/>
      <c r="O307" s="647"/>
      <c r="P307" s="647"/>
      <c r="Q307" s="647"/>
      <c r="R307" s="647"/>
      <c r="S307" s="647"/>
      <c r="T307" s="647"/>
      <c r="U307" s="647"/>
      <c r="V307" s="647"/>
      <c r="W307" s="647"/>
      <c r="X307" s="647"/>
    </row>
    <row r="308">
      <c r="A308" s="646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7"/>
      <c r="P308" s="647"/>
      <c r="Q308" s="647"/>
      <c r="R308" s="647"/>
      <c r="S308" s="647"/>
      <c r="T308" s="647"/>
      <c r="U308" s="647"/>
      <c r="V308" s="647"/>
      <c r="W308" s="647"/>
      <c r="X308" s="647"/>
    </row>
    <row r="309">
      <c r="A309" s="646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7"/>
      <c r="P309" s="647"/>
      <c r="Q309" s="647"/>
      <c r="R309" s="647"/>
      <c r="S309" s="647"/>
      <c r="T309" s="647"/>
      <c r="U309" s="647"/>
      <c r="V309" s="647"/>
      <c r="W309" s="647"/>
      <c r="X309" s="647"/>
    </row>
    <row r="310">
      <c r="A310" s="646"/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</row>
    <row r="311">
      <c r="A311" s="646"/>
      <c r="B311" s="647"/>
      <c r="C311" s="647"/>
      <c r="D311" s="647"/>
      <c r="E311" s="647"/>
      <c r="F311" s="647"/>
      <c r="G311" s="647"/>
      <c r="H311" s="647"/>
      <c r="I311" s="647"/>
      <c r="J311" s="647"/>
      <c r="K311" s="647"/>
      <c r="L311" s="647"/>
      <c r="M311" s="647"/>
      <c r="N311" s="647"/>
      <c r="O311" s="647"/>
      <c r="P311" s="647"/>
      <c r="Q311" s="647"/>
      <c r="R311" s="647"/>
      <c r="S311" s="647"/>
      <c r="T311" s="647"/>
      <c r="U311" s="647"/>
      <c r="V311" s="647"/>
      <c r="W311" s="647"/>
      <c r="X311" s="647"/>
    </row>
    <row r="312">
      <c r="A312" s="646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7"/>
      <c r="P312" s="647"/>
      <c r="Q312" s="647"/>
      <c r="R312" s="647"/>
      <c r="S312" s="647"/>
      <c r="T312" s="647"/>
      <c r="U312" s="647"/>
      <c r="V312" s="647"/>
      <c r="W312" s="647"/>
      <c r="X312" s="647"/>
    </row>
    <row r="313">
      <c r="A313" s="646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7"/>
      <c r="P313" s="647"/>
      <c r="Q313" s="647"/>
      <c r="R313" s="647"/>
      <c r="S313" s="647"/>
      <c r="T313" s="647"/>
      <c r="U313" s="647"/>
      <c r="V313" s="647"/>
      <c r="W313" s="647"/>
      <c r="X313" s="647"/>
    </row>
    <row r="314">
      <c r="A314" s="646"/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</row>
    <row r="315">
      <c r="A315" s="646"/>
      <c r="B315" s="647"/>
      <c r="C315" s="647"/>
      <c r="D315" s="647"/>
      <c r="E315" s="647"/>
      <c r="F315" s="647"/>
      <c r="G315" s="647"/>
      <c r="H315" s="647"/>
      <c r="I315" s="647"/>
      <c r="J315" s="647"/>
      <c r="K315" s="647"/>
      <c r="L315" s="647"/>
      <c r="M315" s="647"/>
      <c r="N315" s="647"/>
      <c r="O315" s="647"/>
      <c r="P315" s="647"/>
      <c r="Q315" s="647"/>
      <c r="R315" s="647"/>
      <c r="S315" s="647"/>
      <c r="T315" s="647"/>
      <c r="U315" s="647"/>
      <c r="V315" s="647"/>
      <c r="W315" s="647"/>
      <c r="X315" s="647"/>
    </row>
    <row r="316">
      <c r="A316" s="646"/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</row>
    <row r="317">
      <c r="A317" s="646"/>
      <c r="B317" s="647"/>
      <c r="C317" s="647"/>
      <c r="D317" s="647"/>
      <c r="E317" s="647"/>
      <c r="F317" s="647"/>
      <c r="G317" s="647"/>
      <c r="H317" s="647"/>
      <c r="I317" s="647"/>
      <c r="J317" s="647"/>
      <c r="K317" s="647"/>
      <c r="L317" s="647"/>
      <c r="M317" s="647"/>
      <c r="N317" s="647"/>
      <c r="O317" s="647"/>
      <c r="P317" s="647"/>
      <c r="Q317" s="647"/>
      <c r="R317" s="647"/>
      <c r="S317" s="647"/>
      <c r="T317" s="647"/>
      <c r="U317" s="647"/>
      <c r="V317" s="647"/>
      <c r="W317" s="647"/>
      <c r="X317" s="647"/>
    </row>
    <row r="318">
      <c r="A318" s="646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7"/>
      <c r="P318" s="647"/>
      <c r="Q318" s="647"/>
      <c r="R318" s="647"/>
      <c r="S318" s="647"/>
      <c r="T318" s="647"/>
      <c r="U318" s="647"/>
      <c r="V318" s="647"/>
      <c r="W318" s="647"/>
      <c r="X318" s="647"/>
    </row>
    <row r="319">
      <c r="A319" s="646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</row>
    <row r="320">
      <c r="A320" s="646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47"/>
      <c r="P320" s="647"/>
      <c r="Q320" s="647"/>
      <c r="R320" s="647"/>
      <c r="S320" s="647"/>
      <c r="T320" s="647"/>
      <c r="U320" s="647"/>
      <c r="V320" s="647"/>
      <c r="W320" s="647"/>
      <c r="X320" s="647"/>
    </row>
    <row r="321">
      <c r="A321" s="646"/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</row>
    <row r="322">
      <c r="A322" s="646"/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</row>
    <row r="323">
      <c r="A323" s="646"/>
      <c r="B323" s="647"/>
      <c r="C323" s="647"/>
      <c r="D323" s="647"/>
      <c r="E323" s="647"/>
      <c r="F323" s="647"/>
      <c r="G323" s="647"/>
      <c r="H323" s="647"/>
      <c r="I323" s="647"/>
      <c r="J323" s="647"/>
      <c r="K323" s="647"/>
      <c r="L323" s="647"/>
      <c r="M323" s="647"/>
      <c r="N323" s="647"/>
      <c r="O323" s="647"/>
      <c r="P323" s="647"/>
      <c r="Q323" s="647"/>
      <c r="R323" s="647"/>
      <c r="S323" s="647"/>
      <c r="T323" s="647"/>
      <c r="U323" s="647"/>
      <c r="V323" s="647"/>
      <c r="W323" s="647"/>
      <c r="X323" s="647"/>
    </row>
    <row r="324">
      <c r="A324" s="646"/>
      <c r="B324" s="647"/>
      <c r="C324" s="647"/>
      <c r="D324" s="647"/>
      <c r="E324" s="647"/>
      <c r="F324" s="647"/>
      <c r="G324" s="647"/>
      <c r="H324" s="647"/>
      <c r="I324" s="647"/>
      <c r="J324" s="647"/>
      <c r="K324" s="647"/>
      <c r="L324" s="647"/>
      <c r="M324" s="647"/>
      <c r="N324" s="647"/>
      <c r="O324" s="647"/>
      <c r="P324" s="647"/>
      <c r="Q324" s="647"/>
      <c r="R324" s="647"/>
      <c r="S324" s="647"/>
      <c r="T324" s="647"/>
      <c r="U324" s="647"/>
      <c r="V324" s="647"/>
      <c r="W324" s="647"/>
      <c r="X324" s="647"/>
    </row>
    <row r="325">
      <c r="A325" s="646"/>
      <c r="B325" s="647"/>
      <c r="C325" s="647"/>
      <c r="D325" s="647"/>
      <c r="E325" s="647"/>
      <c r="F325" s="647"/>
      <c r="G325" s="647"/>
      <c r="H325" s="647"/>
      <c r="I325" s="647"/>
      <c r="J325" s="647"/>
      <c r="K325" s="647"/>
      <c r="L325" s="647"/>
      <c r="M325" s="647"/>
      <c r="N325" s="647"/>
      <c r="O325" s="647"/>
      <c r="P325" s="647"/>
      <c r="Q325" s="647"/>
      <c r="R325" s="647"/>
      <c r="S325" s="647"/>
      <c r="T325" s="647"/>
      <c r="U325" s="647"/>
      <c r="V325" s="647"/>
      <c r="W325" s="647"/>
      <c r="X325" s="647"/>
    </row>
    <row r="326">
      <c r="A326" s="646"/>
      <c r="B326" s="647"/>
      <c r="C326" s="647"/>
      <c r="D326" s="647"/>
      <c r="E326" s="647"/>
      <c r="F326" s="647"/>
      <c r="G326" s="647"/>
      <c r="H326" s="647"/>
      <c r="I326" s="647"/>
      <c r="J326" s="647"/>
      <c r="K326" s="647"/>
      <c r="L326" s="647"/>
      <c r="M326" s="647"/>
      <c r="N326" s="647"/>
      <c r="O326" s="647"/>
      <c r="P326" s="647"/>
      <c r="Q326" s="647"/>
      <c r="R326" s="647"/>
      <c r="S326" s="647"/>
      <c r="T326" s="647"/>
      <c r="U326" s="647"/>
      <c r="V326" s="647"/>
      <c r="W326" s="647"/>
      <c r="X326" s="647"/>
    </row>
    <row r="327">
      <c r="A327" s="646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7"/>
      <c r="P327" s="647"/>
      <c r="Q327" s="647"/>
      <c r="R327" s="647"/>
      <c r="S327" s="647"/>
      <c r="T327" s="647"/>
      <c r="U327" s="647"/>
      <c r="V327" s="647"/>
      <c r="W327" s="647"/>
      <c r="X327" s="647"/>
    </row>
    <row r="328">
      <c r="A328" s="646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</row>
    <row r="329">
      <c r="A329" s="646"/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</row>
    <row r="330">
      <c r="A330" s="646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47"/>
      <c r="P330" s="647"/>
      <c r="Q330" s="647"/>
      <c r="R330" s="647"/>
      <c r="S330" s="647"/>
      <c r="T330" s="647"/>
      <c r="U330" s="647"/>
      <c r="V330" s="647"/>
      <c r="W330" s="647"/>
      <c r="X330" s="647"/>
    </row>
    <row r="331">
      <c r="A331" s="646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47"/>
      <c r="P331" s="647"/>
      <c r="Q331" s="647"/>
      <c r="R331" s="647"/>
      <c r="S331" s="647"/>
      <c r="T331" s="647"/>
      <c r="U331" s="647"/>
      <c r="V331" s="647"/>
      <c r="W331" s="647"/>
      <c r="X331" s="647"/>
    </row>
    <row r="332">
      <c r="A332" s="646"/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</row>
    <row r="333">
      <c r="A333" s="646"/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</row>
    <row r="334">
      <c r="A334" s="646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7"/>
      <c r="P334" s="647"/>
      <c r="Q334" s="647"/>
      <c r="R334" s="647"/>
      <c r="S334" s="647"/>
      <c r="T334" s="647"/>
      <c r="U334" s="647"/>
      <c r="V334" s="647"/>
      <c r="W334" s="647"/>
      <c r="X334" s="647"/>
    </row>
    <row r="335">
      <c r="A335" s="646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</row>
    <row r="336">
      <c r="A336" s="646"/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</row>
    <row r="337">
      <c r="A337" s="646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47"/>
      <c r="P337" s="647"/>
      <c r="Q337" s="647"/>
      <c r="R337" s="647"/>
      <c r="S337" s="647"/>
      <c r="T337" s="647"/>
      <c r="U337" s="647"/>
      <c r="V337" s="647"/>
      <c r="W337" s="647"/>
      <c r="X337" s="647"/>
    </row>
    <row r="338">
      <c r="A338" s="646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47"/>
      <c r="P338" s="647"/>
      <c r="Q338" s="647"/>
      <c r="R338" s="647"/>
      <c r="S338" s="647"/>
      <c r="T338" s="647"/>
      <c r="U338" s="647"/>
      <c r="V338" s="647"/>
      <c r="W338" s="647"/>
      <c r="X338" s="647"/>
    </row>
    <row r="339">
      <c r="A339" s="646"/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</row>
    <row r="340">
      <c r="A340" s="646"/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</row>
    <row r="341">
      <c r="A341" s="646"/>
      <c r="B341" s="647"/>
      <c r="C341" s="647"/>
      <c r="D341" s="647"/>
      <c r="E341" s="647"/>
      <c r="F341" s="647"/>
      <c r="G341" s="647"/>
      <c r="H341" s="647"/>
      <c r="I341" s="647"/>
      <c r="J341" s="647"/>
      <c r="K341" s="647"/>
      <c r="L341" s="647"/>
      <c r="M341" s="647"/>
      <c r="N341" s="647"/>
      <c r="O341" s="647"/>
      <c r="P341" s="647"/>
      <c r="Q341" s="647"/>
      <c r="R341" s="647"/>
      <c r="S341" s="647"/>
      <c r="T341" s="647"/>
      <c r="U341" s="647"/>
      <c r="V341" s="647"/>
      <c r="W341" s="647"/>
      <c r="X341" s="647"/>
    </row>
    <row r="342">
      <c r="A342" s="646"/>
      <c r="B342" s="647"/>
      <c r="C342" s="647"/>
      <c r="D342" s="647"/>
      <c r="E342" s="647"/>
      <c r="F342" s="647"/>
      <c r="G342" s="647"/>
      <c r="H342" s="647"/>
      <c r="I342" s="647"/>
      <c r="J342" s="647"/>
      <c r="K342" s="647"/>
      <c r="L342" s="647"/>
      <c r="M342" s="647"/>
      <c r="N342" s="647"/>
      <c r="O342" s="647"/>
      <c r="P342" s="647"/>
      <c r="Q342" s="647"/>
      <c r="R342" s="647"/>
      <c r="S342" s="647"/>
      <c r="T342" s="647"/>
      <c r="U342" s="647"/>
      <c r="V342" s="647"/>
      <c r="W342" s="647"/>
      <c r="X342" s="647"/>
    </row>
    <row r="343">
      <c r="A343" s="646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7"/>
      <c r="P343" s="647"/>
      <c r="Q343" s="647"/>
      <c r="R343" s="647"/>
      <c r="S343" s="647"/>
      <c r="T343" s="647"/>
      <c r="U343" s="647"/>
      <c r="V343" s="647"/>
      <c r="W343" s="647"/>
      <c r="X343" s="647"/>
    </row>
    <row r="344">
      <c r="A344" s="646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7"/>
      <c r="P344" s="647"/>
      <c r="Q344" s="647"/>
      <c r="R344" s="647"/>
      <c r="S344" s="647"/>
      <c r="T344" s="647"/>
      <c r="U344" s="647"/>
      <c r="V344" s="647"/>
      <c r="W344" s="647"/>
      <c r="X344" s="647"/>
    </row>
    <row r="345">
      <c r="A345" s="646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47"/>
      <c r="P345" s="647"/>
      <c r="Q345" s="647"/>
      <c r="R345" s="647"/>
      <c r="S345" s="647"/>
      <c r="T345" s="647"/>
      <c r="U345" s="647"/>
      <c r="V345" s="647"/>
      <c r="W345" s="647"/>
      <c r="X345" s="647"/>
    </row>
    <row r="346">
      <c r="A346" s="646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47"/>
      <c r="P346" s="647"/>
      <c r="Q346" s="647"/>
      <c r="R346" s="647"/>
      <c r="S346" s="647"/>
      <c r="T346" s="647"/>
      <c r="U346" s="647"/>
      <c r="V346" s="647"/>
      <c r="W346" s="647"/>
      <c r="X346" s="647"/>
    </row>
    <row r="347">
      <c r="A347" s="646"/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</row>
    <row r="348">
      <c r="A348" s="646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7"/>
      <c r="P348" s="647"/>
      <c r="Q348" s="647"/>
      <c r="R348" s="647"/>
      <c r="S348" s="647"/>
      <c r="T348" s="647"/>
      <c r="U348" s="647"/>
      <c r="V348" s="647"/>
      <c r="W348" s="647"/>
      <c r="X348" s="647"/>
    </row>
    <row r="349">
      <c r="A349" s="646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</row>
    <row r="350">
      <c r="A350" s="646"/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</row>
    <row r="351">
      <c r="A351" s="646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47"/>
      <c r="P351" s="647"/>
      <c r="Q351" s="647"/>
      <c r="R351" s="647"/>
      <c r="S351" s="647"/>
      <c r="T351" s="647"/>
      <c r="U351" s="647"/>
      <c r="V351" s="647"/>
      <c r="W351" s="647"/>
      <c r="X351" s="647"/>
    </row>
    <row r="352">
      <c r="A352" s="646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47"/>
      <c r="P352" s="647"/>
      <c r="Q352" s="647"/>
      <c r="R352" s="647"/>
      <c r="S352" s="647"/>
      <c r="T352" s="647"/>
      <c r="U352" s="647"/>
      <c r="V352" s="647"/>
      <c r="W352" s="647"/>
      <c r="X352" s="647"/>
    </row>
    <row r="353">
      <c r="A353" s="646"/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</row>
    <row r="354">
      <c r="A354" s="646"/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</row>
    <row r="355">
      <c r="A355" s="646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7"/>
      <c r="P355" s="647"/>
      <c r="Q355" s="647"/>
      <c r="R355" s="647"/>
      <c r="S355" s="647"/>
      <c r="T355" s="647"/>
      <c r="U355" s="647"/>
      <c r="V355" s="647"/>
      <c r="W355" s="647"/>
      <c r="X355" s="647"/>
    </row>
    <row r="356">
      <c r="A356" s="646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7"/>
      <c r="P356" s="647"/>
      <c r="Q356" s="647"/>
      <c r="R356" s="647"/>
      <c r="S356" s="647"/>
      <c r="T356" s="647"/>
      <c r="U356" s="647"/>
      <c r="V356" s="647"/>
      <c r="W356" s="647"/>
      <c r="X356" s="647"/>
    </row>
    <row r="357">
      <c r="A357" s="646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</row>
    <row r="358">
      <c r="A358" s="646"/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</row>
    <row r="359">
      <c r="A359" s="646"/>
      <c r="B359" s="647"/>
      <c r="C359" s="647"/>
      <c r="D359" s="647"/>
      <c r="E359" s="647"/>
      <c r="F359" s="647"/>
      <c r="G359" s="647"/>
      <c r="H359" s="647"/>
      <c r="I359" s="647"/>
      <c r="J359" s="647"/>
      <c r="K359" s="647"/>
      <c r="L359" s="647"/>
      <c r="M359" s="647"/>
      <c r="N359" s="647"/>
      <c r="O359" s="647"/>
      <c r="P359" s="647"/>
      <c r="Q359" s="647"/>
      <c r="R359" s="647"/>
      <c r="S359" s="647"/>
      <c r="T359" s="647"/>
      <c r="U359" s="647"/>
      <c r="V359" s="647"/>
      <c r="W359" s="647"/>
      <c r="X359" s="647"/>
    </row>
    <row r="360">
      <c r="A360" s="646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47"/>
      <c r="P360" s="647"/>
      <c r="Q360" s="647"/>
      <c r="R360" s="647"/>
      <c r="S360" s="647"/>
      <c r="T360" s="647"/>
      <c r="U360" s="647"/>
      <c r="V360" s="647"/>
      <c r="W360" s="647"/>
      <c r="X360" s="647"/>
    </row>
    <row r="361">
      <c r="A361" s="646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47"/>
      <c r="P361" s="647"/>
      <c r="Q361" s="647"/>
      <c r="R361" s="647"/>
      <c r="S361" s="647"/>
      <c r="T361" s="647"/>
      <c r="U361" s="647"/>
      <c r="V361" s="647"/>
      <c r="W361" s="647"/>
      <c r="X361" s="647"/>
    </row>
    <row r="362">
      <c r="A362" s="646"/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</row>
    <row r="363">
      <c r="A363" s="646"/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</row>
    <row r="364">
      <c r="A364" s="646"/>
      <c r="B364" s="647"/>
      <c r="C364" s="647"/>
      <c r="D364" s="647"/>
      <c r="E364" s="647"/>
      <c r="F364" s="647"/>
      <c r="G364" s="647"/>
      <c r="H364" s="647"/>
      <c r="I364" s="647"/>
      <c r="J364" s="647"/>
      <c r="K364" s="647"/>
      <c r="L364" s="647"/>
      <c r="M364" s="647"/>
      <c r="N364" s="647"/>
      <c r="O364" s="647"/>
      <c r="P364" s="647"/>
      <c r="Q364" s="647"/>
      <c r="R364" s="647"/>
      <c r="S364" s="647"/>
      <c r="T364" s="647"/>
      <c r="U364" s="647"/>
      <c r="V364" s="647"/>
      <c r="W364" s="647"/>
      <c r="X364" s="647"/>
    </row>
    <row r="365">
      <c r="A365" s="646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</row>
    <row r="366">
      <c r="A366" s="646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7"/>
      <c r="P366" s="647"/>
      <c r="Q366" s="647"/>
      <c r="R366" s="647"/>
      <c r="S366" s="647"/>
      <c r="T366" s="647"/>
      <c r="U366" s="647"/>
      <c r="V366" s="647"/>
      <c r="W366" s="647"/>
      <c r="X366" s="647"/>
    </row>
    <row r="367">
      <c r="A367" s="646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47"/>
      <c r="P367" s="647"/>
      <c r="Q367" s="647"/>
      <c r="R367" s="647"/>
      <c r="S367" s="647"/>
      <c r="T367" s="647"/>
      <c r="U367" s="647"/>
      <c r="V367" s="647"/>
      <c r="W367" s="647"/>
      <c r="X367" s="647"/>
    </row>
    <row r="368">
      <c r="A368" s="646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47"/>
      <c r="P368" s="647"/>
      <c r="Q368" s="647"/>
      <c r="R368" s="647"/>
      <c r="S368" s="647"/>
      <c r="T368" s="647"/>
      <c r="U368" s="647"/>
      <c r="V368" s="647"/>
      <c r="W368" s="647"/>
      <c r="X368" s="647"/>
    </row>
    <row r="369">
      <c r="A369" s="646"/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</row>
    <row r="370">
      <c r="A370" s="646"/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</row>
    <row r="371">
      <c r="A371" s="646"/>
      <c r="B371" s="647"/>
      <c r="C371" s="647"/>
      <c r="D371" s="647"/>
      <c r="E371" s="647"/>
      <c r="F371" s="647"/>
      <c r="G371" s="647"/>
      <c r="H371" s="647"/>
      <c r="I371" s="647"/>
      <c r="J371" s="647"/>
      <c r="K371" s="647"/>
      <c r="L371" s="647"/>
      <c r="M371" s="647"/>
      <c r="N371" s="647"/>
      <c r="O371" s="647"/>
      <c r="P371" s="647"/>
      <c r="Q371" s="647"/>
      <c r="R371" s="647"/>
      <c r="S371" s="647"/>
      <c r="T371" s="647"/>
      <c r="U371" s="647"/>
      <c r="V371" s="647"/>
      <c r="W371" s="647"/>
      <c r="X371" s="647"/>
    </row>
    <row r="372">
      <c r="A372" s="646"/>
      <c r="B372" s="647"/>
      <c r="C372" s="647"/>
      <c r="D372" s="647"/>
      <c r="E372" s="647"/>
      <c r="F372" s="647"/>
      <c r="G372" s="647"/>
      <c r="H372" s="647"/>
      <c r="I372" s="647"/>
      <c r="J372" s="647"/>
      <c r="K372" s="647"/>
      <c r="L372" s="647"/>
      <c r="M372" s="647"/>
      <c r="N372" s="647"/>
      <c r="O372" s="647"/>
      <c r="P372" s="647"/>
      <c r="Q372" s="647"/>
      <c r="R372" s="647"/>
      <c r="S372" s="647"/>
      <c r="T372" s="647"/>
      <c r="U372" s="647"/>
      <c r="V372" s="647"/>
      <c r="W372" s="647"/>
      <c r="X372" s="647"/>
    </row>
    <row r="373">
      <c r="A373" s="646"/>
      <c r="B373" s="647"/>
      <c r="C373" s="647"/>
      <c r="D373" s="647"/>
      <c r="E373" s="647"/>
      <c r="F373" s="647"/>
      <c r="G373" s="647"/>
      <c r="H373" s="647"/>
      <c r="I373" s="647"/>
      <c r="J373" s="647"/>
      <c r="K373" s="647"/>
      <c r="L373" s="647"/>
      <c r="M373" s="647"/>
      <c r="N373" s="647"/>
      <c r="O373" s="647"/>
      <c r="P373" s="647"/>
      <c r="Q373" s="647"/>
      <c r="R373" s="647"/>
      <c r="S373" s="647"/>
      <c r="T373" s="647"/>
      <c r="U373" s="647"/>
      <c r="V373" s="647"/>
      <c r="W373" s="647"/>
      <c r="X373" s="647"/>
    </row>
    <row r="374">
      <c r="A374" s="646"/>
      <c r="B374" s="647"/>
      <c r="C374" s="647"/>
      <c r="D374" s="647"/>
      <c r="E374" s="647"/>
      <c r="F374" s="647"/>
      <c r="G374" s="647"/>
      <c r="H374" s="647"/>
      <c r="I374" s="647"/>
      <c r="J374" s="647"/>
      <c r="K374" s="647"/>
      <c r="L374" s="647"/>
      <c r="M374" s="647"/>
      <c r="N374" s="647"/>
      <c r="O374" s="647"/>
      <c r="P374" s="647"/>
      <c r="Q374" s="647"/>
      <c r="R374" s="647"/>
      <c r="S374" s="647"/>
      <c r="T374" s="647"/>
      <c r="U374" s="647"/>
      <c r="V374" s="647"/>
      <c r="W374" s="647"/>
      <c r="X374" s="647"/>
    </row>
    <row r="375">
      <c r="A375" s="646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7"/>
      <c r="P375" s="647"/>
      <c r="Q375" s="647"/>
      <c r="R375" s="647"/>
      <c r="S375" s="647"/>
      <c r="T375" s="647"/>
      <c r="U375" s="647"/>
      <c r="V375" s="647"/>
      <c r="W375" s="647"/>
      <c r="X375" s="647"/>
    </row>
    <row r="376">
      <c r="A376" s="646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7"/>
      <c r="P376" s="647"/>
      <c r="Q376" s="647"/>
      <c r="R376" s="647"/>
      <c r="S376" s="647"/>
      <c r="T376" s="647"/>
      <c r="U376" s="647"/>
      <c r="V376" s="647"/>
      <c r="W376" s="647"/>
      <c r="X376" s="647"/>
    </row>
    <row r="377">
      <c r="A377" s="646"/>
      <c r="B377" s="647"/>
      <c r="C377" s="647"/>
      <c r="D377" s="647"/>
      <c r="E377" s="647"/>
      <c r="F377" s="647"/>
      <c r="G377" s="647"/>
      <c r="H377" s="647"/>
      <c r="I377" s="647"/>
      <c r="J377" s="647"/>
      <c r="K377" s="647"/>
      <c r="L377" s="647"/>
      <c r="M377" s="647"/>
      <c r="N377" s="647"/>
      <c r="O377" s="647"/>
      <c r="P377" s="647"/>
      <c r="Q377" s="647"/>
      <c r="R377" s="647"/>
      <c r="S377" s="647"/>
      <c r="T377" s="647"/>
      <c r="U377" s="647"/>
      <c r="V377" s="647"/>
      <c r="W377" s="647"/>
      <c r="X377" s="647"/>
    </row>
    <row r="378">
      <c r="A378" s="646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47"/>
      <c r="P378" s="647"/>
      <c r="Q378" s="647"/>
      <c r="R378" s="647"/>
      <c r="S378" s="647"/>
      <c r="T378" s="647"/>
      <c r="U378" s="647"/>
      <c r="V378" s="647"/>
      <c r="W378" s="647"/>
      <c r="X378" s="647"/>
    </row>
    <row r="379">
      <c r="A379" s="646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47"/>
      <c r="P379" s="647"/>
      <c r="Q379" s="647"/>
      <c r="R379" s="647"/>
      <c r="S379" s="647"/>
      <c r="T379" s="647"/>
      <c r="U379" s="647"/>
      <c r="V379" s="647"/>
      <c r="W379" s="647"/>
      <c r="X379" s="647"/>
    </row>
    <row r="380">
      <c r="A380" s="646"/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</row>
    <row r="381">
      <c r="A381" s="646"/>
      <c r="B381" s="647"/>
      <c r="C381" s="647"/>
      <c r="D381" s="647"/>
      <c r="E381" s="647"/>
      <c r="F381" s="647"/>
      <c r="G381" s="647"/>
      <c r="H381" s="647"/>
      <c r="I381" s="647"/>
      <c r="J381" s="647"/>
      <c r="K381" s="647"/>
      <c r="L381" s="647"/>
      <c r="M381" s="647"/>
      <c r="N381" s="647"/>
      <c r="O381" s="647"/>
      <c r="P381" s="647"/>
      <c r="Q381" s="647"/>
      <c r="R381" s="647"/>
      <c r="S381" s="647"/>
      <c r="T381" s="647"/>
      <c r="U381" s="647"/>
      <c r="V381" s="647"/>
      <c r="W381" s="647"/>
      <c r="X381" s="647"/>
    </row>
    <row r="382">
      <c r="A382" s="646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7"/>
      <c r="P382" s="647"/>
      <c r="Q382" s="647"/>
      <c r="R382" s="647"/>
      <c r="S382" s="647"/>
      <c r="T382" s="647"/>
      <c r="U382" s="647"/>
      <c r="V382" s="647"/>
      <c r="W382" s="647"/>
      <c r="X382" s="647"/>
    </row>
    <row r="383">
      <c r="A383" s="646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7"/>
      <c r="P383" s="647"/>
      <c r="Q383" s="647"/>
      <c r="R383" s="647"/>
      <c r="S383" s="647"/>
      <c r="T383" s="647"/>
      <c r="U383" s="647"/>
      <c r="V383" s="647"/>
      <c r="W383" s="647"/>
      <c r="X383" s="647"/>
    </row>
    <row r="384">
      <c r="A384" s="646"/>
      <c r="B384" s="647"/>
      <c r="C384" s="647"/>
      <c r="D384" s="647"/>
      <c r="E384" s="647"/>
      <c r="F384" s="647"/>
      <c r="G384" s="647"/>
      <c r="H384" s="647"/>
      <c r="I384" s="647"/>
      <c r="J384" s="647"/>
      <c r="K384" s="647"/>
      <c r="L384" s="647"/>
      <c r="M384" s="647"/>
      <c r="N384" s="647"/>
      <c r="O384" s="647"/>
      <c r="P384" s="647"/>
      <c r="Q384" s="647"/>
      <c r="R384" s="647"/>
      <c r="S384" s="647"/>
      <c r="T384" s="647"/>
      <c r="U384" s="647"/>
      <c r="V384" s="647"/>
      <c r="W384" s="647"/>
      <c r="X384" s="647"/>
    </row>
    <row r="385">
      <c r="A385" s="646"/>
      <c r="B385" s="647"/>
      <c r="C385" s="647"/>
      <c r="D385" s="647"/>
      <c r="E385" s="647"/>
      <c r="F385" s="647"/>
      <c r="G385" s="647"/>
      <c r="H385" s="647"/>
      <c r="I385" s="647"/>
      <c r="J385" s="647"/>
      <c r="K385" s="647"/>
      <c r="L385" s="647"/>
      <c r="M385" s="647"/>
      <c r="N385" s="647"/>
      <c r="O385" s="647"/>
      <c r="P385" s="647"/>
      <c r="Q385" s="647"/>
      <c r="R385" s="647"/>
      <c r="S385" s="647"/>
      <c r="T385" s="647"/>
      <c r="U385" s="647"/>
      <c r="V385" s="647"/>
      <c r="W385" s="647"/>
      <c r="X385" s="647"/>
    </row>
    <row r="386">
      <c r="A386" s="646"/>
      <c r="B386" s="647"/>
      <c r="C386" s="647"/>
      <c r="D386" s="647"/>
      <c r="E386" s="647"/>
      <c r="F386" s="647"/>
      <c r="G386" s="647"/>
      <c r="H386" s="647"/>
      <c r="I386" s="647"/>
      <c r="J386" s="647"/>
      <c r="K386" s="647"/>
      <c r="L386" s="647"/>
      <c r="M386" s="647"/>
      <c r="N386" s="647"/>
      <c r="O386" s="647"/>
      <c r="P386" s="647"/>
      <c r="Q386" s="647"/>
      <c r="R386" s="647"/>
      <c r="S386" s="647"/>
      <c r="T386" s="647"/>
      <c r="U386" s="647"/>
      <c r="V386" s="647"/>
      <c r="W386" s="647"/>
      <c r="X386" s="647"/>
    </row>
    <row r="387">
      <c r="A387" s="646"/>
      <c r="B387" s="647"/>
      <c r="C387" s="647"/>
      <c r="D387" s="647"/>
      <c r="E387" s="647"/>
      <c r="F387" s="647"/>
      <c r="G387" s="647"/>
      <c r="H387" s="647"/>
      <c r="I387" s="647"/>
      <c r="J387" s="647"/>
      <c r="K387" s="647"/>
      <c r="L387" s="647"/>
      <c r="M387" s="647"/>
      <c r="N387" s="647"/>
      <c r="O387" s="647"/>
      <c r="P387" s="647"/>
      <c r="Q387" s="647"/>
      <c r="R387" s="647"/>
      <c r="S387" s="647"/>
      <c r="T387" s="647"/>
      <c r="U387" s="647"/>
      <c r="V387" s="647"/>
      <c r="W387" s="647"/>
      <c r="X387" s="647"/>
    </row>
    <row r="388">
      <c r="A388" s="646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7"/>
      <c r="P388" s="647"/>
      <c r="Q388" s="647"/>
      <c r="R388" s="647"/>
      <c r="S388" s="647"/>
      <c r="T388" s="647"/>
      <c r="U388" s="647"/>
      <c r="V388" s="647"/>
      <c r="W388" s="647"/>
      <c r="X388" s="647"/>
    </row>
    <row r="389">
      <c r="A389" s="646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7"/>
      <c r="P389" s="647"/>
      <c r="Q389" s="647"/>
      <c r="R389" s="647"/>
      <c r="S389" s="647"/>
      <c r="T389" s="647"/>
      <c r="U389" s="647"/>
      <c r="V389" s="647"/>
      <c r="W389" s="647"/>
      <c r="X389" s="647"/>
    </row>
    <row r="390">
      <c r="A390" s="646"/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</row>
    <row r="391">
      <c r="A391" s="646"/>
      <c r="B391" s="647"/>
      <c r="C391" s="647"/>
      <c r="D391" s="647"/>
      <c r="E391" s="647"/>
      <c r="F391" s="647"/>
      <c r="G391" s="647"/>
      <c r="H391" s="647"/>
      <c r="I391" s="647"/>
      <c r="J391" s="647"/>
      <c r="K391" s="647"/>
      <c r="L391" s="647"/>
      <c r="M391" s="647"/>
      <c r="N391" s="647"/>
      <c r="O391" s="647"/>
      <c r="P391" s="647"/>
      <c r="Q391" s="647"/>
      <c r="R391" s="647"/>
      <c r="S391" s="647"/>
      <c r="T391" s="647"/>
      <c r="U391" s="647"/>
      <c r="V391" s="647"/>
      <c r="W391" s="647"/>
      <c r="X391" s="647"/>
    </row>
    <row r="392">
      <c r="A392" s="646"/>
      <c r="B392" s="647"/>
      <c r="C392" s="647"/>
      <c r="D392" s="647"/>
      <c r="E392" s="647"/>
      <c r="F392" s="647"/>
      <c r="G392" s="647"/>
      <c r="H392" s="647"/>
      <c r="I392" s="647"/>
      <c r="J392" s="647"/>
      <c r="K392" s="647"/>
      <c r="L392" s="647"/>
      <c r="M392" s="647"/>
      <c r="N392" s="647"/>
      <c r="O392" s="647"/>
      <c r="P392" s="647"/>
      <c r="Q392" s="647"/>
      <c r="R392" s="647"/>
      <c r="S392" s="647"/>
      <c r="T392" s="647"/>
      <c r="U392" s="647"/>
      <c r="V392" s="647"/>
      <c r="W392" s="647"/>
      <c r="X392" s="647"/>
    </row>
    <row r="393">
      <c r="A393" s="646"/>
      <c r="B393" s="647"/>
      <c r="C393" s="647"/>
      <c r="D393" s="647"/>
      <c r="E393" s="647"/>
      <c r="F393" s="647"/>
      <c r="G393" s="647"/>
      <c r="H393" s="647"/>
      <c r="I393" s="647"/>
      <c r="J393" s="647"/>
      <c r="K393" s="647"/>
      <c r="L393" s="647"/>
      <c r="M393" s="647"/>
      <c r="N393" s="647"/>
      <c r="O393" s="647"/>
      <c r="P393" s="647"/>
      <c r="Q393" s="647"/>
      <c r="R393" s="647"/>
      <c r="S393" s="647"/>
      <c r="T393" s="647"/>
      <c r="U393" s="647"/>
      <c r="V393" s="647"/>
      <c r="W393" s="647"/>
      <c r="X393" s="647"/>
    </row>
    <row r="394">
      <c r="A394" s="646"/>
      <c r="B394" s="647"/>
      <c r="C394" s="647"/>
      <c r="D394" s="647"/>
      <c r="E394" s="647"/>
      <c r="F394" s="647"/>
      <c r="G394" s="647"/>
      <c r="H394" s="647"/>
      <c r="I394" s="647"/>
      <c r="J394" s="647"/>
      <c r="K394" s="647"/>
      <c r="L394" s="647"/>
      <c r="M394" s="647"/>
      <c r="N394" s="647"/>
      <c r="O394" s="647"/>
      <c r="P394" s="647"/>
      <c r="Q394" s="647"/>
      <c r="R394" s="647"/>
      <c r="S394" s="647"/>
      <c r="T394" s="647"/>
      <c r="U394" s="647"/>
      <c r="V394" s="647"/>
      <c r="W394" s="647"/>
      <c r="X394" s="647"/>
    </row>
    <row r="395">
      <c r="A395" s="646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7"/>
      <c r="P395" s="647"/>
      <c r="Q395" s="647"/>
      <c r="R395" s="647"/>
      <c r="S395" s="647"/>
      <c r="T395" s="647"/>
      <c r="U395" s="647"/>
      <c r="V395" s="647"/>
      <c r="W395" s="647"/>
      <c r="X395" s="647"/>
    </row>
    <row r="396">
      <c r="A396" s="646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7"/>
      <c r="P396" s="647"/>
      <c r="Q396" s="647"/>
      <c r="R396" s="647"/>
      <c r="S396" s="647"/>
      <c r="T396" s="647"/>
      <c r="U396" s="647"/>
      <c r="V396" s="647"/>
      <c r="W396" s="647"/>
      <c r="X396" s="647"/>
    </row>
    <row r="397">
      <c r="A397" s="646"/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</row>
    <row r="398">
      <c r="A398" s="646"/>
      <c r="B398" s="647"/>
      <c r="C398" s="647"/>
      <c r="D398" s="647"/>
      <c r="E398" s="647"/>
      <c r="F398" s="647"/>
      <c r="G398" s="647"/>
      <c r="H398" s="647"/>
      <c r="I398" s="647"/>
      <c r="J398" s="647"/>
      <c r="K398" s="647"/>
      <c r="L398" s="647"/>
      <c r="M398" s="647"/>
      <c r="N398" s="647"/>
      <c r="O398" s="647"/>
      <c r="P398" s="647"/>
      <c r="Q398" s="647"/>
      <c r="R398" s="647"/>
      <c r="S398" s="647"/>
      <c r="T398" s="647"/>
      <c r="U398" s="647"/>
      <c r="V398" s="647"/>
      <c r="W398" s="647"/>
      <c r="X398" s="647"/>
    </row>
    <row r="399">
      <c r="A399" s="646"/>
      <c r="B399" s="647"/>
      <c r="C399" s="647"/>
      <c r="D399" s="647"/>
      <c r="E399" s="647"/>
      <c r="F399" s="647"/>
      <c r="G399" s="647"/>
      <c r="H399" s="647"/>
      <c r="I399" s="647"/>
      <c r="J399" s="647"/>
      <c r="K399" s="647"/>
      <c r="L399" s="647"/>
      <c r="M399" s="647"/>
      <c r="N399" s="647"/>
      <c r="O399" s="647"/>
      <c r="P399" s="647"/>
      <c r="Q399" s="647"/>
      <c r="R399" s="647"/>
      <c r="S399" s="647"/>
      <c r="T399" s="647"/>
      <c r="U399" s="647"/>
      <c r="V399" s="647"/>
      <c r="W399" s="647"/>
      <c r="X399" s="647"/>
    </row>
    <row r="400">
      <c r="A400" s="646"/>
      <c r="B400" s="647"/>
      <c r="C400" s="647"/>
      <c r="D400" s="647"/>
      <c r="E400" s="647"/>
      <c r="F400" s="647"/>
      <c r="G400" s="647"/>
      <c r="H400" s="647"/>
      <c r="I400" s="647"/>
      <c r="J400" s="647"/>
      <c r="K400" s="647"/>
      <c r="L400" s="647"/>
      <c r="M400" s="647"/>
      <c r="N400" s="647"/>
      <c r="O400" s="647"/>
      <c r="P400" s="647"/>
      <c r="Q400" s="647"/>
      <c r="R400" s="647"/>
      <c r="S400" s="647"/>
      <c r="T400" s="647"/>
      <c r="U400" s="647"/>
      <c r="V400" s="647"/>
      <c r="W400" s="647"/>
      <c r="X400" s="647"/>
    </row>
    <row r="401">
      <c r="A401" s="646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7"/>
      <c r="P401" s="647"/>
      <c r="Q401" s="647"/>
      <c r="R401" s="647"/>
      <c r="S401" s="647"/>
      <c r="T401" s="647"/>
      <c r="U401" s="647"/>
      <c r="V401" s="647"/>
      <c r="W401" s="647"/>
      <c r="X401" s="647"/>
    </row>
    <row r="402">
      <c r="A402" s="646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7"/>
      <c r="P402" s="647"/>
      <c r="Q402" s="647"/>
      <c r="R402" s="647"/>
      <c r="S402" s="647"/>
      <c r="T402" s="647"/>
      <c r="U402" s="647"/>
      <c r="V402" s="647"/>
      <c r="W402" s="647"/>
      <c r="X402" s="647"/>
    </row>
    <row r="403">
      <c r="A403" s="646"/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</row>
    <row r="404">
      <c r="A404" s="646"/>
      <c r="B404" s="647"/>
      <c r="C404" s="647"/>
      <c r="D404" s="647"/>
      <c r="E404" s="647"/>
      <c r="F404" s="647"/>
      <c r="G404" s="647"/>
      <c r="H404" s="647"/>
      <c r="I404" s="647"/>
      <c r="J404" s="647"/>
      <c r="K404" s="647"/>
      <c r="L404" s="647"/>
      <c r="M404" s="647"/>
      <c r="N404" s="647"/>
      <c r="O404" s="647"/>
      <c r="P404" s="647"/>
      <c r="Q404" s="647"/>
      <c r="R404" s="647"/>
      <c r="S404" s="647"/>
      <c r="T404" s="647"/>
      <c r="U404" s="647"/>
      <c r="V404" s="647"/>
      <c r="W404" s="647"/>
      <c r="X404" s="647"/>
    </row>
    <row r="405">
      <c r="A405" s="646"/>
      <c r="B405" s="647"/>
      <c r="C405" s="647"/>
      <c r="D405" s="647"/>
      <c r="E405" s="647"/>
      <c r="F405" s="647"/>
      <c r="G405" s="647"/>
      <c r="H405" s="647"/>
      <c r="I405" s="647"/>
      <c r="J405" s="647"/>
      <c r="K405" s="647"/>
      <c r="L405" s="647"/>
      <c r="M405" s="647"/>
      <c r="N405" s="647"/>
      <c r="O405" s="647"/>
      <c r="P405" s="647"/>
      <c r="Q405" s="647"/>
      <c r="R405" s="647"/>
      <c r="S405" s="647"/>
      <c r="T405" s="647"/>
      <c r="U405" s="647"/>
      <c r="V405" s="647"/>
      <c r="W405" s="647"/>
      <c r="X405" s="647"/>
    </row>
    <row r="406">
      <c r="A406" s="646"/>
      <c r="B406" s="647"/>
      <c r="C406" s="647"/>
      <c r="D406" s="647"/>
      <c r="E406" s="647"/>
      <c r="F406" s="647"/>
      <c r="G406" s="647"/>
      <c r="H406" s="647"/>
      <c r="I406" s="647"/>
      <c r="J406" s="647"/>
      <c r="K406" s="647"/>
      <c r="L406" s="647"/>
      <c r="M406" s="647"/>
      <c r="N406" s="647"/>
      <c r="O406" s="647"/>
      <c r="P406" s="647"/>
      <c r="Q406" s="647"/>
      <c r="R406" s="647"/>
      <c r="S406" s="647"/>
      <c r="T406" s="647"/>
      <c r="U406" s="647"/>
      <c r="V406" s="647"/>
      <c r="W406" s="647"/>
      <c r="X406" s="647"/>
    </row>
    <row r="407">
      <c r="A407" s="646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7"/>
      <c r="P407" s="647"/>
      <c r="Q407" s="647"/>
      <c r="R407" s="647"/>
      <c r="S407" s="647"/>
      <c r="T407" s="647"/>
      <c r="U407" s="647"/>
      <c r="V407" s="647"/>
      <c r="W407" s="647"/>
      <c r="X407" s="647"/>
    </row>
    <row r="408">
      <c r="A408" s="646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7"/>
      <c r="P408" s="647"/>
      <c r="Q408" s="647"/>
      <c r="R408" s="647"/>
      <c r="S408" s="647"/>
      <c r="T408" s="647"/>
      <c r="U408" s="647"/>
      <c r="V408" s="647"/>
      <c r="W408" s="647"/>
      <c r="X408" s="647"/>
    </row>
    <row r="409">
      <c r="A409" s="646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47"/>
      <c r="P409" s="647"/>
      <c r="Q409" s="647"/>
      <c r="R409" s="647"/>
      <c r="S409" s="647"/>
      <c r="T409" s="647"/>
      <c r="U409" s="647"/>
      <c r="V409" s="647"/>
      <c r="W409" s="647"/>
      <c r="X409" s="647"/>
    </row>
    <row r="410">
      <c r="A410" s="646"/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</row>
    <row r="411">
      <c r="A411" s="646"/>
      <c r="B411" s="647"/>
      <c r="C411" s="647"/>
      <c r="D411" s="647"/>
      <c r="E411" s="647"/>
      <c r="F411" s="647"/>
      <c r="G411" s="647"/>
      <c r="H411" s="647"/>
      <c r="I411" s="647"/>
      <c r="J411" s="647"/>
      <c r="K411" s="647"/>
      <c r="L411" s="647"/>
      <c r="M411" s="647"/>
      <c r="N411" s="647"/>
      <c r="O411" s="647"/>
      <c r="P411" s="647"/>
      <c r="Q411" s="647"/>
      <c r="R411" s="647"/>
      <c r="S411" s="647"/>
      <c r="T411" s="647"/>
      <c r="U411" s="647"/>
      <c r="V411" s="647"/>
      <c r="W411" s="647"/>
      <c r="X411" s="647"/>
    </row>
    <row r="412">
      <c r="A412" s="646"/>
      <c r="B412" s="647"/>
      <c r="C412" s="647"/>
      <c r="D412" s="647"/>
      <c r="E412" s="647"/>
      <c r="F412" s="647"/>
      <c r="G412" s="647"/>
      <c r="H412" s="647"/>
      <c r="I412" s="647"/>
      <c r="J412" s="647"/>
      <c r="K412" s="647"/>
      <c r="L412" s="647"/>
      <c r="M412" s="647"/>
      <c r="N412" s="647"/>
      <c r="O412" s="647"/>
      <c r="P412" s="647"/>
      <c r="Q412" s="647"/>
      <c r="R412" s="647"/>
      <c r="S412" s="647"/>
      <c r="T412" s="647"/>
      <c r="U412" s="647"/>
      <c r="V412" s="647"/>
      <c r="W412" s="647"/>
      <c r="X412" s="647"/>
    </row>
    <row r="413">
      <c r="A413" s="646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7"/>
      <c r="P413" s="647"/>
      <c r="Q413" s="647"/>
      <c r="R413" s="647"/>
      <c r="S413" s="647"/>
      <c r="T413" s="647"/>
      <c r="U413" s="647"/>
      <c r="V413" s="647"/>
      <c r="W413" s="647"/>
      <c r="X413" s="647"/>
    </row>
    <row r="414">
      <c r="A414" s="646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7"/>
      <c r="P414" s="647"/>
      <c r="Q414" s="647"/>
      <c r="R414" s="647"/>
      <c r="S414" s="647"/>
      <c r="T414" s="647"/>
      <c r="U414" s="647"/>
      <c r="V414" s="647"/>
      <c r="W414" s="647"/>
      <c r="X414" s="647"/>
    </row>
    <row r="415">
      <c r="A415" s="646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47"/>
      <c r="P415" s="647"/>
      <c r="Q415" s="647"/>
      <c r="R415" s="647"/>
      <c r="S415" s="647"/>
      <c r="T415" s="647"/>
      <c r="U415" s="647"/>
      <c r="V415" s="647"/>
      <c r="W415" s="647"/>
      <c r="X415" s="647"/>
    </row>
    <row r="416">
      <c r="A416" s="646"/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</row>
    <row r="417">
      <c r="A417" s="646"/>
      <c r="B417" s="647"/>
      <c r="C417" s="647"/>
      <c r="D417" s="647"/>
      <c r="E417" s="647"/>
      <c r="F417" s="647"/>
      <c r="G417" s="647"/>
      <c r="H417" s="647"/>
      <c r="I417" s="647"/>
      <c r="J417" s="647"/>
      <c r="K417" s="647"/>
      <c r="L417" s="647"/>
      <c r="M417" s="647"/>
      <c r="N417" s="647"/>
      <c r="O417" s="647"/>
      <c r="P417" s="647"/>
      <c r="Q417" s="647"/>
      <c r="R417" s="647"/>
      <c r="S417" s="647"/>
      <c r="T417" s="647"/>
      <c r="U417" s="647"/>
      <c r="V417" s="647"/>
      <c r="W417" s="647"/>
      <c r="X417" s="647"/>
    </row>
    <row r="418">
      <c r="A418" s="646"/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</row>
    <row r="419">
      <c r="A419" s="646"/>
      <c r="B419" s="647"/>
      <c r="C419" s="647"/>
      <c r="D419" s="647"/>
      <c r="E419" s="647"/>
      <c r="F419" s="647"/>
      <c r="G419" s="647"/>
      <c r="H419" s="647"/>
      <c r="I419" s="647"/>
      <c r="J419" s="647"/>
      <c r="K419" s="647"/>
      <c r="L419" s="647"/>
      <c r="M419" s="647"/>
      <c r="N419" s="647"/>
      <c r="O419" s="647"/>
      <c r="P419" s="647"/>
      <c r="Q419" s="647"/>
      <c r="R419" s="647"/>
      <c r="S419" s="647"/>
      <c r="T419" s="647"/>
      <c r="U419" s="647"/>
      <c r="V419" s="647"/>
      <c r="W419" s="647"/>
      <c r="X419" s="647"/>
    </row>
    <row r="420">
      <c r="A420" s="646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7"/>
      <c r="P420" s="647"/>
      <c r="Q420" s="647"/>
      <c r="R420" s="647"/>
      <c r="S420" s="647"/>
      <c r="T420" s="647"/>
      <c r="U420" s="647"/>
      <c r="V420" s="647"/>
      <c r="W420" s="647"/>
      <c r="X420" s="647"/>
    </row>
    <row r="421">
      <c r="A421" s="646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7"/>
      <c r="P421" s="647"/>
      <c r="Q421" s="647"/>
      <c r="R421" s="647"/>
      <c r="S421" s="647"/>
      <c r="T421" s="647"/>
      <c r="U421" s="647"/>
      <c r="V421" s="647"/>
      <c r="W421" s="647"/>
      <c r="X421" s="647"/>
    </row>
    <row r="422">
      <c r="A422" s="646"/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</row>
    <row r="423">
      <c r="A423" s="646"/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</row>
    <row r="424">
      <c r="A424" s="646"/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</row>
    <row r="425">
      <c r="A425" s="646"/>
      <c r="B425" s="647"/>
      <c r="C425" s="647"/>
      <c r="D425" s="647"/>
      <c r="E425" s="647"/>
      <c r="F425" s="647"/>
      <c r="G425" s="647"/>
      <c r="H425" s="647"/>
      <c r="I425" s="647"/>
      <c r="J425" s="647"/>
      <c r="K425" s="647"/>
      <c r="L425" s="647"/>
      <c r="M425" s="647"/>
      <c r="N425" s="647"/>
      <c r="O425" s="647"/>
      <c r="P425" s="647"/>
      <c r="Q425" s="647"/>
      <c r="R425" s="647"/>
      <c r="S425" s="647"/>
      <c r="T425" s="647"/>
      <c r="U425" s="647"/>
      <c r="V425" s="647"/>
      <c r="W425" s="647"/>
      <c r="X425" s="647"/>
    </row>
    <row r="426">
      <c r="A426" s="646"/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</row>
    <row r="427">
      <c r="A427" s="646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47"/>
      <c r="P427" s="647"/>
      <c r="Q427" s="647"/>
      <c r="R427" s="647"/>
      <c r="S427" s="647"/>
      <c r="T427" s="647"/>
      <c r="U427" s="647"/>
      <c r="V427" s="647"/>
      <c r="W427" s="647"/>
      <c r="X427" s="647"/>
    </row>
    <row r="428">
      <c r="A428" s="646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47"/>
      <c r="P428" s="647"/>
      <c r="Q428" s="647"/>
      <c r="R428" s="647"/>
      <c r="S428" s="647"/>
      <c r="T428" s="647"/>
      <c r="U428" s="647"/>
      <c r="V428" s="647"/>
      <c r="W428" s="647"/>
      <c r="X428" s="647"/>
    </row>
    <row r="429">
      <c r="A429" s="646"/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</row>
    <row r="430">
      <c r="A430" s="646"/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</row>
    <row r="431">
      <c r="A431" s="646"/>
      <c r="B431" s="647"/>
      <c r="C431" s="647"/>
      <c r="D431" s="647"/>
      <c r="E431" s="647"/>
      <c r="F431" s="647"/>
      <c r="G431" s="647"/>
      <c r="H431" s="647"/>
      <c r="I431" s="647"/>
      <c r="J431" s="647"/>
      <c r="K431" s="647"/>
      <c r="L431" s="647"/>
      <c r="M431" s="647"/>
      <c r="N431" s="647"/>
      <c r="O431" s="647"/>
      <c r="P431" s="647"/>
      <c r="Q431" s="647"/>
      <c r="R431" s="647"/>
      <c r="S431" s="647"/>
      <c r="T431" s="647"/>
      <c r="U431" s="647"/>
      <c r="V431" s="647"/>
      <c r="W431" s="647"/>
      <c r="X431" s="647"/>
    </row>
    <row r="432">
      <c r="A432" s="646"/>
      <c r="B432" s="647"/>
      <c r="C432" s="647"/>
      <c r="D432" s="647"/>
      <c r="E432" s="647"/>
      <c r="F432" s="647"/>
      <c r="G432" s="647"/>
      <c r="H432" s="647"/>
      <c r="I432" s="647"/>
      <c r="J432" s="647"/>
      <c r="K432" s="647"/>
      <c r="L432" s="647"/>
      <c r="M432" s="647"/>
      <c r="N432" s="647"/>
      <c r="O432" s="647"/>
      <c r="P432" s="647"/>
      <c r="Q432" s="647"/>
      <c r="R432" s="647"/>
      <c r="S432" s="647"/>
      <c r="T432" s="647"/>
      <c r="U432" s="647"/>
      <c r="V432" s="647"/>
      <c r="W432" s="647"/>
      <c r="X432" s="647"/>
    </row>
    <row r="433">
      <c r="A433" s="646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7"/>
      <c r="P433" s="647"/>
      <c r="Q433" s="647"/>
      <c r="R433" s="647"/>
      <c r="S433" s="647"/>
      <c r="T433" s="647"/>
      <c r="U433" s="647"/>
      <c r="V433" s="647"/>
      <c r="W433" s="647"/>
      <c r="X433" s="647"/>
    </row>
    <row r="434">
      <c r="A434" s="646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</row>
    <row r="435">
      <c r="A435" s="646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47"/>
      <c r="P435" s="647"/>
      <c r="Q435" s="647"/>
      <c r="R435" s="647"/>
      <c r="S435" s="647"/>
      <c r="T435" s="647"/>
      <c r="U435" s="647"/>
      <c r="V435" s="647"/>
      <c r="W435" s="647"/>
      <c r="X435" s="647"/>
    </row>
    <row r="436">
      <c r="A436" s="646"/>
      <c r="B436" s="647"/>
      <c r="C436" s="647"/>
      <c r="D436" s="647"/>
      <c r="E436" s="647"/>
      <c r="F436" s="647"/>
      <c r="G436" s="647"/>
      <c r="H436" s="647"/>
      <c r="I436" s="647"/>
      <c r="J436" s="647"/>
      <c r="K436" s="647"/>
      <c r="L436" s="647"/>
      <c r="M436" s="647"/>
      <c r="N436" s="647"/>
      <c r="O436" s="647"/>
      <c r="P436" s="647"/>
      <c r="Q436" s="647"/>
      <c r="R436" s="647"/>
      <c r="S436" s="647"/>
      <c r="T436" s="647"/>
      <c r="U436" s="647"/>
      <c r="V436" s="647"/>
      <c r="W436" s="647"/>
      <c r="X436" s="647"/>
    </row>
    <row r="437">
      <c r="A437" s="646"/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</row>
    <row r="438">
      <c r="A438" s="646"/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</row>
    <row r="439">
      <c r="A439" s="646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7"/>
      <c r="P439" s="647"/>
      <c r="Q439" s="647"/>
      <c r="R439" s="647"/>
      <c r="S439" s="647"/>
      <c r="T439" s="647"/>
      <c r="U439" s="647"/>
      <c r="V439" s="647"/>
      <c r="W439" s="647"/>
      <c r="X439" s="647"/>
    </row>
    <row r="440">
      <c r="A440" s="646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7"/>
      <c r="P440" s="647"/>
      <c r="Q440" s="647"/>
      <c r="R440" s="647"/>
      <c r="S440" s="647"/>
      <c r="T440" s="647"/>
      <c r="U440" s="647"/>
      <c r="V440" s="647"/>
      <c r="W440" s="647"/>
      <c r="X440" s="647"/>
    </row>
    <row r="441">
      <c r="A441" s="646"/>
      <c r="B441" s="647"/>
      <c r="C441" s="647"/>
      <c r="D441" s="647"/>
      <c r="E441" s="647"/>
      <c r="F441" s="647"/>
      <c r="G441" s="647"/>
      <c r="H441" s="647"/>
      <c r="I441" s="647"/>
      <c r="J441" s="647"/>
      <c r="K441" s="647"/>
      <c r="L441" s="647"/>
      <c r="M441" s="647"/>
      <c r="N441" s="647"/>
      <c r="O441" s="647"/>
      <c r="P441" s="647"/>
      <c r="Q441" s="647"/>
      <c r="R441" s="647"/>
      <c r="S441" s="647"/>
      <c r="T441" s="647"/>
      <c r="U441" s="647"/>
      <c r="V441" s="647"/>
      <c r="W441" s="647"/>
      <c r="X441" s="647"/>
    </row>
    <row r="442">
      <c r="A442" s="646"/>
      <c r="B442" s="647"/>
      <c r="C442" s="647"/>
      <c r="D442" s="647"/>
      <c r="E442" s="647"/>
      <c r="F442" s="647"/>
      <c r="G442" s="647"/>
      <c r="H442" s="647"/>
      <c r="I442" s="647"/>
      <c r="J442" s="647"/>
      <c r="K442" s="647"/>
      <c r="L442" s="647"/>
      <c r="M442" s="647"/>
      <c r="N442" s="647"/>
      <c r="O442" s="647"/>
      <c r="P442" s="647"/>
      <c r="Q442" s="647"/>
      <c r="R442" s="647"/>
      <c r="S442" s="647"/>
      <c r="T442" s="647"/>
      <c r="U442" s="647"/>
      <c r="V442" s="647"/>
      <c r="W442" s="647"/>
      <c r="X442" s="647"/>
    </row>
    <row r="443">
      <c r="A443" s="646"/>
      <c r="B443" s="647"/>
      <c r="C443" s="647"/>
      <c r="D443" s="647"/>
      <c r="E443" s="647"/>
      <c r="F443" s="647"/>
      <c r="G443" s="647"/>
      <c r="H443" s="647"/>
      <c r="I443" s="647"/>
      <c r="J443" s="647"/>
      <c r="K443" s="647"/>
      <c r="L443" s="647"/>
      <c r="M443" s="647"/>
      <c r="N443" s="647"/>
      <c r="O443" s="647"/>
      <c r="P443" s="647"/>
      <c r="Q443" s="647"/>
      <c r="R443" s="647"/>
      <c r="S443" s="647"/>
      <c r="T443" s="647"/>
      <c r="U443" s="647"/>
      <c r="V443" s="647"/>
      <c r="W443" s="647"/>
      <c r="X443" s="647"/>
    </row>
    <row r="444">
      <c r="A444" s="646"/>
      <c r="B444" s="647"/>
      <c r="C444" s="647"/>
      <c r="D444" s="647"/>
      <c r="E444" s="647"/>
      <c r="F444" s="647"/>
      <c r="G444" s="647"/>
      <c r="H444" s="647"/>
      <c r="I444" s="647"/>
      <c r="J444" s="647"/>
      <c r="K444" s="647"/>
      <c r="L444" s="647"/>
      <c r="M444" s="647"/>
      <c r="N444" s="647"/>
      <c r="O444" s="647"/>
      <c r="P444" s="647"/>
      <c r="Q444" s="647"/>
      <c r="R444" s="647"/>
      <c r="S444" s="647"/>
      <c r="T444" s="647"/>
      <c r="U444" s="647"/>
      <c r="V444" s="647"/>
      <c r="W444" s="647"/>
      <c r="X444" s="647"/>
    </row>
    <row r="445">
      <c r="A445" s="646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7"/>
      <c r="P445" s="647"/>
      <c r="Q445" s="647"/>
      <c r="R445" s="647"/>
      <c r="S445" s="647"/>
      <c r="T445" s="647"/>
      <c r="U445" s="647"/>
      <c r="V445" s="647"/>
      <c r="W445" s="647"/>
      <c r="X445" s="647"/>
    </row>
    <row r="446">
      <c r="A446" s="646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7"/>
      <c r="P446" s="647"/>
      <c r="Q446" s="647"/>
      <c r="R446" s="647"/>
      <c r="S446" s="647"/>
      <c r="T446" s="647"/>
      <c r="U446" s="647"/>
      <c r="V446" s="647"/>
      <c r="W446" s="647"/>
      <c r="X446" s="647"/>
    </row>
    <row r="447">
      <c r="A447" s="646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47"/>
      <c r="P447" s="647"/>
      <c r="Q447" s="647"/>
      <c r="R447" s="647"/>
      <c r="S447" s="647"/>
      <c r="T447" s="647"/>
      <c r="U447" s="647"/>
      <c r="V447" s="647"/>
      <c r="W447" s="647"/>
      <c r="X447" s="647"/>
    </row>
    <row r="448">
      <c r="A448" s="646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47"/>
      <c r="P448" s="647"/>
      <c r="Q448" s="647"/>
      <c r="R448" s="647"/>
      <c r="S448" s="647"/>
      <c r="T448" s="647"/>
      <c r="U448" s="647"/>
      <c r="V448" s="647"/>
      <c r="W448" s="647"/>
      <c r="X448" s="647"/>
    </row>
    <row r="449">
      <c r="A449" s="646"/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</row>
    <row r="450">
      <c r="A450" s="646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7"/>
      <c r="P450" s="647"/>
      <c r="Q450" s="647"/>
      <c r="R450" s="647"/>
      <c r="S450" s="647"/>
      <c r="T450" s="647"/>
      <c r="U450" s="647"/>
      <c r="V450" s="647"/>
      <c r="W450" s="647"/>
      <c r="X450" s="647"/>
    </row>
    <row r="451">
      <c r="A451" s="646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7"/>
      <c r="P451" s="647"/>
      <c r="Q451" s="647"/>
      <c r="R451" s="647"/>
      <c r="S451" s="647"/>
      <c r="T451" s="647"/>
      <c r="U451" s="647"/>
      <c r="V451" s="647"/>
      <c r="W451" s="647"/>
      <c r="X451" s="647"/>
    </row>
    <row r="452">
      <c r="A452" s="646"/>
      <c r="B452" s="647"/>
      <c r="C452" s="647"/>
      <c r="D452" s="647"/>
      <c r="E452" s="647"/>
      <c r="F452" s="647"/>
      <c r="G452" s="647"/>
      <c r="H452" s="647"/>
      <c r="I452" s="647"/>
      <c r="J452" s="647"/>
      <c r="K452" s="647"/>
      <c r="L452" s="647"/>
      <c r="M452" s="647"/>
      <c r="N452" s="647"/>
      <c r="O452" s="647"/>
      <c r="P452" s="647"/>
      <c r="Q452" s="647"/>
      <c r="R452" s="647"/>
      <c r="S452" s="647"/>
      <c r="T452" s="647"/>
      <c r="U452" s="647"/>
      <c r="V452" s="647"/>
      <c r="W452" s="647"/>
      <c r="X452" s="647"/>
    </row>
    <row r="453">
      <c r="A453" s="646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</row>
    <row r="454">
      <c r="A454" s="646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47"/>
      <c r="P454" s="647"/>
      <c r="Q454" s="647"/>
      <c r="R454" s="647"/>
      <c r="S454" s="647"/>
      <c r="T454" s="647"/>
      <c r="U454" s="647"/>
      <c r="V454" s="647"/>
      <c r="W454" s="647"/>
      <c r="X454" s="647"/>
    </row>
    <row r="455">
      <c r="A455" s="646"/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</row>
    <row r="456">
      <c r="A456" s="646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7"/>
      <c r="P456" s="647"/>
      <c r="Q456" s="647"/>
      <c r="R456" s="647"/>
      <c r="S456" s="647"/>
      <c r="T456" s="647"/>
      <c r="U456" s="647"/>
      <c r="V456" s="647"/>
      <c r="W456" s="647"/>
      <c r="X456" s="647"/>
    </row>
    <row r="457">
      <c r="A457" s="646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7"/>
      <c r="P457" s="647"/>
      <c r="Q457" s="647"/>
      <c r="R457" s="647"/>
      <c r="S457" s="647"/>
      <c r="T457" s="647"/>
      <c r="U457" s="647"/>
      <c r="V457" s="647"/>
      <c r="W457" s="647"/>
      <c r="X457" s="647"/>
    </row>
    <row r="458">
      <c r="A458" s="646"/>
      <c r="B458" s="647"/>
      <c r="C458" s="647"/>
      <c r="D458" s="647"/>
      <c r="E458" s="647"/>
      <c r="F458" s="647"/>
      <c r="G458" s="647"/>
      <c r="H458" s="647"/>
      <c r="I458" s="647"/>
      <c r="J458" s="647"/>
      <c r="K458" s="647"/>
      <c r="L458" s="647"/>
      <c r="M458" s="647"/>
      <c r="N458" s="647"/>
      <c r="O458" s="647"/>
      <c r="P458" s="647"/>
      <c r="Q458" s="647"/>
      <c r="R458" s="647"/>
      <c r="S458" s="647"/>
      <c r="T458" s="647"/>
      <c r="U458" s="647"/>
      <c r="V458" s="647"/>
      <c r="W458" s="647"/>
      <c r="X458" s="647"/>
    </row>
    <row r="459">
      <c r="A459" s="646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47"/>
      <c r="P459" s="647"/>
      <c r="Q459" s="647"/>
      <c r="R459" s="647"/>
      <c r="S459" s="647"/>
      <c r="T459" s="647"/>
      <c r="U459" s="647"/>
      <c r="V459" s="647"/>
      <c r="W459" s="647"/>
      <c r="X459" s="647"/>
    </row>
    <row r="460">
      <c r="A460" s="646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7"/>
      <c r="P460" s="647"/>
      <c r="Q460" s="647"/>
      <c r="R460" s="647"/>
      <c r="S460" s="647"/>
      <c r="T460" s="647"/>
      <c r="U460" s="647"/>
      <c r="V460" s="647"/>
      <c r="W460" s="647"/>
      <c r="X460" s="647"/>
    </row>
    <row r="461">
      <c r="A461" s="646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</row>
    <row r="462">
      <c r="A462" s="646"/>
      <c r="B462" s="647"/>
      <c r="C462" s="647"/>
      <c r="D462" s="647"/>
      <c r="E462" s="647"/>
      <c r="F462" s="647"/>
      <c r="G462" s="647"/>
      <c r="H462" s="647"/>
      <c r="I462" s="647"/>
      <c r="J462" s="647"/>
      <c r="K462" s="647"/>
      <c r="L462" s="647"/>
      <c r="M462" s="647"/>
      <c r="N462" s="647"/>
      <c r="O462" s="647"/>
      <c r="P462" s="647"/>
      <c r="Q462" s="647"/>
      <c r="R462" s="647"/>
      <c r="S462" s="647"/>
      <c r="T462" s="647"/>
      <c r="U462" s="647"/>
      <c r="V462" s="647"/>
      <c r="W462" s="647"/>
      <c r="X462" s="647"/>
    </row>
    <row r="463">
      <c r="A463" s="646"/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</row>
    <row r="464">
      <c r="A464" s="646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47"/>
      <c r="P464" s="647"/>
      <c r="Q464" s="647"/>
      <c r="R464" s="647"/>
      <c r="S464" s="647"/>
      <c r="T464" s="647"/>
      <c r="U464" s="647"/>
      <c r="V464" s="647"/>
      <c r="W464" s="647"/>
      <c r="X464" s="647"/>
    </row>
    <row r="465">
      <c r="A465" s="646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47"/>
      <c r="P465" s="647"/>
      <c r="Q465" s="647"/>
      <c r="R465" s="647"/>
      <c r="S465" s="647"/>
      <c r="T465" s="647"/>
      <c r="U465" s="647"/>
      <c r="V465" s="647"/>
      <c r="W465" s="647"/>
      <c r="X465" s="647"/>
    </row>
    <row r="466">
      <c r="A466" s="646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</row>
    <row r="467">
      <c r="A467" s="646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</row>
    <row r="468">
      <c r="A468" s="646"/>
      <c r="B468" s="647"/>
      <c r="C468" s="647"/>
      <c r="D468" s="647"/>
      <c r="E468" s="647"/>
      <c r="F468" s="647"/>
      <c r="G468" s="647"/>
      <c r="H468" s="647"/>
      <c r="I468" s="647"/>
      <c r="J468" s="647"/>
      <c r="K468" s="647"/>
      <c r="L468" s="647"/>
      <c r="M468" s="647"/>
      <c r="N468" s="647"/>
      <c r="O468" s="647"/>
      <c r="P468" s="647"/>
      <c r="Q468" s="647"/>
      <c r="R468" s="647"/>
      <c r="S468" s="647"/>
      <c r="T468" s="647"/>
      <c r="U468" s="647"/>
      <c r="V468" s="647"/>
      <c r="W468" s="647"/>
      <c r="X468" s="647"/>
    </row>
    <row r="469">
      <c r="A469" s="646"/>
      <c r="B469" s="647"/>
      <c r="C469" s="647"/>
      <c r="D469" s="647"/>
      <c r="E469" s="647"/>
      <c r="F469" s="647"/>
      <c r="G469" s="647"/>
      <c r="H469" s="647"/>
      <c r="I469" s="647"/>
      <c r="J469" s="647"/>
      <c r="K469" s="647"/>
      <c r="L469" s="647"/>
      <c r="M469" s="647"/>
      <c r="N469" s="647"/>
      <c r="O469" s="647"/>
      <c r="P469" s="647"/>
      <c r="Q469" s="647"/>
      <c r="R469" s="647"/>
      <c r="S469" s="647"/>
      <c r="T469" s="647"/>
      <c r="U469" s="647"/>
      <c r="V469" s="647"/>
      <c r="W469" s="647"/>
      <c r="X469" s="647"/>
    </row>
    <row r="470">
      <c r="A470" s="646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</row>
    <row r="471">
      <c r="A471" s="646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47"/>
      <c r="P471" s="647"/>
      <c r="Q471" s="647"/>
      <c r="R471" s="647"/>
      <c r="S471" s="647"/>
      <c r="T471" s="647"/>
      <c r="U471" s="647"/>
      <c r="V471" s="647"/>
      <c r="W471" s="647"/>
      <c r="X471" s="647"/>
    </row>
    <row r="472">
      <c r="A472" s="646"/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</row>
    <row r="473">
      <c r="A473" s="646"/>
      <c r="B473" s="647"/>
      <c r="C473" s="647"/>
      <c r="D473" s="647"/>
      <c r="E473" s="647"/>
      <c r="F473" s="647"/>
      <c r="G473" s="647"/>
      <c r="H473" s="647"/>
      <c r="I473" s="647"/>
      <c r="J473" s="647"/>
      <c r="K473" s="647"/>
      <c r="L473" s="647"/>
      <c r="M473" s="647"/>
      <c r="N473" s="647"/>
      <c r="O473" s="647"/>
      <c r="P473" s="647"/>
      <c r="Q473" s="647"/>
      <c r="R473" s="647"/>
      <c r="S473" s="647"/>
      <c r="T473" s="647"/>
      <c r="U473" s="647"/>
      <c r="V473" s="647"/>
      <c r="W473" s="647"/>
      <c r="X473" s="647"/>
    </row>
    <row r="474">
      <c r="A474" s="646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47"/>
      <c r="P474" s="647"/>
      <c r="Q474" s="647"/>
      <c r="R474" s="647"/>
      <c r="S474" s="647"/>
      <c r="T474" s="647"/>
      <c r="U474" s="647"/>
      <c r="V474" s="647"/>
      <c r="W474" s="647"/>
      <c r="X474" s="647"/>
    </row>
    <row r="475">
      <c r="A475" s="646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47"/>
      <c r="P475" s="647"/>
      <c r="Q475" s="647"/>
      <c r="R475" s="647"/>
      <c r="S475" s="647"/>
      <c r="T475" s="647"/>
      <c r="U475" s="647"/>
      <c r="V475" s="647"/>
      <c r="W475" s="647"/>
      <c r="X475" s="647"/>
    </row>
    <row r="476">
      <c r="A476" s="646"/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</row>
    <row r="477">
      <c r="A477" s="646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7"/>
      <c r="P477" s="647"/>
      <c r="Q477" s="647"/>
      <c r="R477" s="647"/>
      <c r="S477" s="647"/>
      <c r="T477" s="647"/>
      <c r="U477" s="647"/>
      <c r="V477" s="647"/>
      <c r="W477" s="647"/>
      <c r="X477" s="647"/>
    </row>
    <row r="478">
      <c r="A478" s="646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7"/>
      <c r="P478" s="647"/>
      <c r="Q478" s="647"/>
      <c r="R478" s="647"/>
      <c r="S478" s="647"/>
      <c r="T478" s="647"/>
      <c r="U478" s="647"/>
      <c r="V478" s="647"/>
      <c r="W478" s="647"/>
      <c r="X478" s="647"/>
    </row>
    <row r="479">
      <c r="A479" s="646"/>
      <c r="B479" s="647"/>
      <c r="C479" s="647"/>
      <c r="D479" s="647"/>
      <c r="E479" s="647"/>
      <c r="F479" s="647"/>
      <c r="G479" s="647"/>
      <c r="H479" s="647"/>
      <c r="I479" s="647"/>
      <c r="J479" s="647"/>
      <c r="K479" s="647"/>
      <c r="L479" s="647"/>
      <c r="M479" s="647"/>
      <c r="N479" s="647"/>
      <c r="O479" s="647"/>
      <c r="P479" s="647"/>
      <c r="Q479" s="647"/>
      <c r="R479" s="647"/>
      <c r="S479" s="647"/>
      <c r="T479" s="647"/>
      <c r="U479" s="647"/>
      <c r="V479" s="647"/>
      <c r="W479" s="647"/>
      <c r="X479" s="647"/>
    </row>
    <row r="480">
      <c r="A480" s="646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</row>
    <row r="481">
      <c r="A481" s="646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47"/>
      <c r="P481" s="647"/>
      <c r="Q481" s="647"/>
      <c r="R481" s="647"/>
      <c r="S481" s="647"/>
      <c r="T481" s="647"/>
      <c r="U481" s="647"/>
      <c r="V481" s="647"/>
      <c r="W481" s="647"/>
      <c r="X481" s="647"/>
    </row>
    <row r="482">
      <c r="A482" s="646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7"/>
      <c r="P482" s="647"/>
      <c r="Q482" s="647"/>
      <c r="R482" s="647"/>
      <c r="S482" s="647"/>
      <c r="T482" s="647"/>
      <c r="U482" s="647"/>
      <c r="V482" s="647"/>
      <c r="W482" s="647"/>
      <c r="X482" s="647"/>
    </row>
    <row r="483">
      <c r="A483" s="646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</row>
    <row r="484">
      <c r="A484" s="646"/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</row>
    <row r="485">
      <c r="A485" s="646"/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</row>
    <row r="486">
      <c r="A486" s="646"/>
      <c r="B486" s="647"/>
      <c r="C486" s="647"/>
      <c r="D486" s="647"/>
      <c r="E486" s="647"/>
      <c r="F486" s="647"/>
      <c r="G486" s="647"/>
      <c r="H486" s="647"/>
      <c r="I486" s="647"/>
      <c r="J486" s="647"/>
      <c r="K486" s="647"/>
      <c r="L486" s="647"/>
      <c r="M486" s="647"/>
      <c r="N486" s="647"/>
      <c r="O486" s="647"/>
      <c r="P486" s="647"/>
      <c r="Q486" s="647"/>
      <c r="R486" s="647"/>
      <c r="S486" s="647"/>
      <c r="T486" s="647"/>
      <c r="U486" s="647"/>
      <c r="V486" s="647"/>
      <c r="W486" s="647"/>
      <c r="X486" s="647"/>
    </row>
    <row r="487">
      <c r="A487" s="646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7"/>
      <c r="P487" s="647"/>
      <c r="Q487" s="647"/>
      <c r="R487" s="647"/>
      <c r="S487" s="647"/>
      <c r="T487" s="647"/>
      <c r="U487" s="647"/>
      <c r="V487" s="647"/>
      <c r="W487" s="647"/>
      <c r="X487" s="647"/>
    </row>
    <row r="488">
      <c r="A488" s="646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7"/>
      <c r="P488" s="647"/>
      <c r="Q488" s="647"/>
      <c r="R488" s="647"/>
      <c r="S488" s="647"/>
      <c r="T488" s="647"/>
      <c r="U488" s="647"/>
      <c r="V488" s="647"/>
      <c r="W488" s="647"/>
      <c r="X488" s="647"/>
    </row>
    <row r="489">
      <c r="A489" s="646"/>
      <c r="B489" s="647"/>
      <c r="C489" s="647"/>
      <c r="D489" s="647"/>
      <c r="E489" s="647"/>
      <c r="F489" s="647"/>
      <c r="G489" s="647"/>
      <c r="H489" s="647"/>
      <c r="I489" s="647"/>
      <c r="J489" s="647"/>
      <c r="K489" s="647"/>
      <c r="L489" s="647"/>
      <c r="M489" s="647"/>
      <c r="N489" s="647"/>
      <c r="O489" s="647"/>
      <c r="P489" s="647"/>
      <c r="Q489" s="647"/>
      <c r="R489" s="647"/>
      <c r="S489" s="647"/>
      <c r="T489" s="647"/>
      <c r="U489" s="647"/>
      <c r="V489" s="647"/>
      <c r="W489" s="647"/>
      <c r="X489" s="647"/>
    </row>
    <row r="490">
      <c r="A490" s="646"/>
      <c r="B490" s="647"/>
      <c r="C490" s="647"/>
      <c r="D490" s="647"/>
      <c r="E490" s="647"/>
      <c r="F490" s="647"/>
      <c r="G490" s="647"/>
      <c r="H490" s="647"/>
      <c r="I490" s="647"/>
      <c r="J490" s="647"/>
      <c r="K490" s="647"/>
      <c r="L490" s="647"/>
      <c r="M490" s="647"/>
      <c r="N490" s="647"/>
      <c r="O490" s="647"/>
      <c r="P490" s="647"/>
      <c r="Q490" s="647"/>
      <c r="R490" s="647"/>
      <c r="S490" s="647"/>
      <c r="T490" s="647"/>
      <c r="U490" s="647"/>
      <c r="V490" s="647"/>
      <c r="W490" s="647"/>
      <c r="X490" s="647"/>
    </row>
    <row r="491">
      <c r="A491" s="646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47"/>
      <c r="P491" s="647"/>
      <c r="Q491" s="647"/>
      <c r="R491" s="647"/>
      <c r="S491" s="647"/>
      <c r="T491" s="647"/>
      <c r="U491" s="647"/>
      <c r="V491" s="647"/>
      <c r="W491" s="647"/>
      <c r="X491" s="647"/>
    </row>
    <row r="492">
      <c r="A492" s="646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47"/>
      <c r="P492" s="647"/>
      <c r="Q492" s="647"/>
      <c r="R492" s="647"/>
      <c r="S492" s="647"/>
      <c r="T492" s="647"/>
      <c r="U492" s="647"/>
      <c r="V492" s="647"/>
      <c r="W492" s="647"/>
      <c r="X492" s="647"/>
    </row>
    <row r="493">
      <c r="A493" s="646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</row>
    <row r="494">
      <c r="A494" s="646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</row>
    <row r="495">
      <c r="A495" s="646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47"/>
      <c r="P495" s="647"/>
      <c r="Q495" s="647"/>
      <c r="R495" s="647"/>
      <c r="S495" s="647"/>
      <c r="T495" s="647"/>
      <c r="U495" s="647"/>
      <c r="V495" s="647"/>
      <c r="W495" s="647"/>
      <c r="X495" s="647"/>
    </row>
    <row r="496">
      <c r="A496" s="646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47"/>
      <c r="P496" s="647"/>
      <c r="Q496" s="647"/>
      <c r="R496" s="647"/>
      <c r="S496" s="647"/>
      <c r="T496" s="647"/>
      <c r="U496" s="647"/>
      <c r="V496" s="647"/>
      <c r="W496" s="647"/>
      <c r="X496" s="647"/>
    </row>
    <row r="497">
      <c r="A497" s="646"/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</row>
    <row r="498">
      <c r="A498" s="646"/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</row>
    <row r="499">
      <c r="A499" s="646"/>
      <c r="B499" s="647"/>
      <c r="C499" s="647"/>
      <c r="D499" s="647"/>
      <c r="E499" s="647"/>
      <c r="F499" s="647"/>
      <c r="G499" s="647"/>
      <c r="H499" s="647"/>
      <c r="I499" s="647"/>
      <c r="J499" s="647"/>
      <c r="K499" s="647"/>
      <c r="L499" s="647"/>
      <c r="M499" s="647"/>
      <c r="N499" s="647"/>
      <c r="O499" s="647"/>
      <c r="P499" s="647"/>
      <c r="Q499" s="647"/>
      <c r="R499" s="647"/>
      <c r="S499" s="647"/>
      <c r="T499" s="647"/>
      <c r="U499" s="647"/>
      <c r="V499" s="647"/>
      <c r="W499" s="647"/>
      <c r="X499" s="647"/>
    </row>
    <row r="500">
      <c r="A500" s="646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47"/>
      <c r="P500" s="647"/>
      <c r="Q500" s="647"/>
      <c r="R500" s="647"/>
      <c r="S500" s="647"/>
      <c r="T500" s="647"/>
      <c r="U500" s="647"/>
      <c r="V500" s="647"/>
      <c r="W500" s="647"/>
      <c r="X500" s="647"/>
    </row>
    <row r="501">
      <c r="A501" s="646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47"/>
      <c r="P501" s="647"/>
      <c r="Q501" s="647"/>
      <c r="R501" s="647"/>
      <c r="S501" s="647"/>
      <c r="T501" s="647"/>
      <c r="U501" s="647"/>
      <c r="V501" s="647"/>
      <c r="W501" s="647"/>
      <c r="X501" s="647"/>
    </row>
    <row r="502">
      <c r="A502" s="646"/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</row>
    <row r="503">
      <c r="A503" s="646"/>
      <c r="B503" s="647"/>
      <c r="C503" s="647"/>
      <c r="D503" s="647"/>
      <c r="E503" s="647"/>
      <c r="F503" s="647"/>
      <c r="G503" s="647"/>
      <c r="H503" s="647"/>
      <c r="I503" s="647"/>
      <c r="J503" s="647"/>
      <c r="K503" s="647"/>
      <c r="L503" s="647"/>
      <c r="M503" s="647"/>
      <c r="N503" s="647"/>
      <c r="O503" s="647"/>
      <c r="P503" s="647"/>
      <c r="Q503" s="647"/>
      <c r="R503" s="647"/>
      <c r="S503" s="647"/>
      <c r="T503" s="647"/>
      <c r="U503" s="647"/>
      <c r="V503" s="647"/>
      <c r="W503" s="647"/>
      <c r="X503" s="647"/>
    </row>
    <row r="504">
      <c r="A504" s="646"/>
      <c r="B504" s="647"/>
      <c r="C504" s="647"/>
      <c r="D504" s="647"/>
      <c r="E504" s="647"/>
      <c r="F504" s="647"/>
      <c r="G504" s="647"/>
      <c r="H504" s="647"/>
      <c r="I504" s="647"/>
      <c r="J504" s="647"/>
      <c r="K504" s="647"/>
      <c r="L504" s="647"/>
      <c r="M504" s="647"/>
      <c r="N504" s="647"/>
      <c r="O504" s="647"/>
      <c r="P504" s="647"/>
      <c r="Q504" s="647"/>
      <c r="R504" s="647"/>
      <c r="S504" s="647"/>
      <c r="T504" s="647"/>
      <c r="U504" s="647"/>
      <c r="V504" s="647"/>
      <c r="W504" s="647"/>
      <c r="X504" s="647"/>
    </row>
    <row r="505">
      <c r="A505" s="646"/>
      <c r="B505" s="647"/>
      <c r="C505" s="647"/>
      <c r="D505" s="647"/>
      <c r="E505" s="647"/>
      <c r="F505" s="647"/>
      <c r="G505" s="647"/>
      <c r="H505" s="647"/>
      <c r="I505" s="647"/>
      <c r="J505" s="647"/>
      <c r="K505" s="647"/>
      <c r="L505" s="647"/>
      <c r="M505" s="647"/>
      <c r="N505" s="647"/>
      <c r="O505" s="647"/>
      <c r="P505" s="647"/>
      <c r="Q505" s="647"/>
      <c r="R505" s="647"/>
      <c r="S505" s="647"/>
      <c r="T505" s="647"/>
      <c r="U505" s="647"/>
      <c r="V505" s="647"/>
      <c r="W505" s="647"/>
      <c r="X505" s="647"/>
    </row>
    <row r="506">
      <c r="A506" s="646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</row>
    <row r="507">
      <c r="A507" s="646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7"/>
      <c r="P507" s="647"/>
      <c r="Q507" s="647"/>
      <c r="R507" s="647"/>
      <c r="S507" s="647"/>
      <c r="T507" s="647"/>
      <c r="U507" s="647"/>
      <c r="V507" s="647"/>
      <c r="W507" s="647"/>
      <c r="X507" s="647"/>
    </row>
    <row r="508">
      <c r="A508" s="646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7"/>
      <c r="P508" s="647"/>
      <c r="Q508" s="647"/>
      <c r="R508" s="647"/>
      <c r="S508" s="647"/>
      <c r="T508" s="647"/>
      <c r="U508" s="647"/>
      <c r="V508" s="647"/>
      <c r="W508" s="647"/>
      <c r="X508" s="647"/>
    </row>
    <row r="509">
      <c r="A509" s="646"/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</row>
    <row r="510">
      <c r="A510" s="646"/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</row>
    <row r="511">
      <c r="A511" s="646"/>
      <c r="B511" s="647"/>
      <c r="C511" s="647"/>
      <c r="D511" s="647"/>
      <c r="E511" s="647"/>
      <c r="F511" s="647"/>
      <c r="G511" s="647"/>
      <c r="H511" s="647"/>
      <c r="I511" s="647"/>
      <c r="J511" s="647"/>
      <c r="K511" s="647"/>
      <c r="L511" s="647"/>
      <c r="M511" s="647"/>
      <c r="N511" s="647"/>
      <c r="O511" s="647"/>
      <c r="P511" s="647"/>
      <c r="Q511" s="647"/>
      <c r="R511" s="647"/>
      <c r="S511" s="647"/>
      <c r="T511" s="647"/>
      <c r="U511" s="647"/>
      <c r="V511" s="647"/>
      <c r="W511" s="647"/>
      <c r="X511" s="647"/>
    </row>
    <row r="512">
      <c r="A512" s="646"/>
      <c r="B512" s="647"/>
      <c r="C512" s="647"/>
      <c r="D512" s="647"/>
      <c r="E512" s="647"/>
      <c r="F512" s="647"/>
      <c r="G512" s="647"/>
      <c r="H512" s="647"/>
      <c r="I512" s="647"/>
      <c r="J512" s="647"/>
      <c r="K512" s="647"/>
      <c r="L512" s="647"/>
      <c r="M512" s="647"/>
      <c r="N512" s="647"/>
      <c r="O512" s="647"/>
      <c r="P512" s="647"/>
      <c r="Q512" s="647"/>
      <c r="R512" s="647"/>
      <c r="S512" s="647"/>
      <c r="T512" s="647"/>
      <c r="U512" s="647"/>
      <c r="V512" s="647"/>
      <c r="W512" s="647"/>
      <c r="X512" s="647"/>
    </row>
    <row r="513">
      <c r="A513" s="646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7"/>
      <c r="P513" s="647"/>
      <c r="Q513" s="647"/>
      <c r="R513" s="647"/>
      <c r="S513" s="647"/>
      <c r="T513" s="647"/>
      <c r="U513" s="647"/>
      <c r="V513" s="647"/>
      <c r="W513" s="647"/>
      <c r="X513" s="647"/>
    </row>
    <row r="514">
      <c r="A514" s="646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7"/>
      <c r="P514" s="647"/>
      <c r="Q514" s="647"/>
      <c r="R514" s="647"/>
      <c r="S514" s="647"/>
      <c r="T514" s="647"/>
      <c r="U514" s="647"/>
      <c r="V514" s="647"/>
      <c r="W514" s="647"/>
      <c r="X514" s="647"/>
    </row>
    <row r="515">
      <c r="A515" s="646"/>
      <c r="B515" s="647"/>
      <c r="C515" s="647"/>
      <c r="D515" s="647"/>
      <c r="E515" s="647"/>
      <c r="F515" s="647"/>
      <c r="G515" s="647"/>
      <c r="H515" s="647"/>
      <c r="I515" s="647"/>
      <c r="J515" s="647"/>
      <c r="K515" s="647"/>
      <c r="L515" s="647"/>
      <c r="M515" s="647"/>
      <c r="N515" s="647"/>
      <c r="O515" s="647"/>
      <c r="P515" s="647"/>
      <c r="Q515" s="647"/>
      <c r="R515" s="647"/>
      <c r="S515" s="647"/>
      <c r="T515" s="647"/>
      <c r="U515" s="647"/>
      <c r="V515" s="647"/>
      <c r="W515" s="647"/>
      <c r="X515" s="647"/>
    </row>
    <row r="516">
      <c r="A516" s="646"/>
      <c r="B516" s="647"/>
      <c r="C516" s="647"/>
      <c r="D516" s="647"/>
      <c r="E516" s="647"/>
      <c r="F516" s="647"/>
      <c r="G516" s="647"/>
      <c r="H516" s="647"/>
      <c r="I516" s="647"/>
      <c r="J516" s="647"/>
      <c r="K516" s="647"/>
      <c r="L516" s="647"/>
      <c r="M516" s="647"/>
      <c r="N516" s="647"/>
      <c r="O516" s="647"/>
      <c r="P516" s="647"/>
      <c r="Q516" s="647"/>
      <c r="R516" s="647"/>
      <c r="S516" s="647"/>
      <c r="T516" s="647"/>
      <c r="U516" s="647"/>
      <c r="V516" s="647"/>
      <c r="W516" s="647"/>
      <c r="X516" s="647"/>
    </row>
    <row r="517">
      <c r="A517" s="646"/>
      <c r="B517" s="647"/>
      <c r="C517" s="647"/>
      <c r="D517" s="647"/>
      <c r="E517" s="647"/>
      <c r="F517" s="647"/>
      <c r="G517" s="647"/>
      <c r="H517" s="647"/>
      <c r="I517" s="647"/>
      <c r="J517" s="647"/>
      <c r="K517" s="647"/>
      <c r="L517" s="647"/>
      <c r="M517" s="647"/>
      <c r="N517" s="647"/>
      <c r="O517" s="647"/>
      <c r="P517" s="647"/>
      <c r="Q517" s="647"/>
      <c r="R517" s="647"/>
      <c r="S517" s="647"/>
      <c r="T517" s="647"/>
      <c r="U517" s="647"/>
      <c r="V517" s="647"/>
      <c r="W517" s="647"/>
      <c r="X517" s="647"/>
    </row>
    <row r="518">
      <c r="A518" s="646"/>
      <c r="B518" s="647"/>
      <c r="C518" s="647"/>
      <c r="D518" s="647"/>
      <c r="E518" s="647"/>
      <c r="F518" s="647"/>
      <c r="G518" s="647"/>
      <c r="H518" s="647"/>
      <c r="I518" s="647"/>
      <c r="J518" s="647"/>
      <c r="K518" s="647"/>
      <c r="L518" s="647"/>
      <c r="M518" s="647"/>
      <c r="N518" s="647"/>
      <c r="O518" s="647"/>
      <c r="P518" s="647"/>
      <c r="Q518" s="647"/>
      <c r="R518" s="647"/>
      <c r="S518" s="647"/>
      <c r="T518" s="647"/>
      <c r="U518" s="647"/>
      <c r="V518" s="647"/>
      <c r="W518" s="647"/>
      <c r="X518" s="647"/>
    </row>
    <row r="519">
      <c r="A519" s="646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47"/>
      <c r="P519" s="647"/>
      <c r="Q519" s="647"/>
      <c r="R519" s="647"/>
      <c r="S519" s="647"/>
      <c r="T519" s="647"/>
      <c r="U519" s="647"/>
      <c r="V519" s="647"/>
      <c r="W519" s="647"/>
      <c r="X519" s="647"/>
    </row>
    <row r="520">
      <c r="A520" s="646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47"/>
      <c r="P520" s="647"/>
      <c r="Q520" s="647"/>
      <c r="R520" s="647"/>
      <c r="S520" s="647"/>
      <c r="T520" s="647"/>
      <c r="U520" s="647"/>
      <c r="V520" s="647"/>
      <c r="W520" s="647"/>
      <c r="X520" s="647"/>
    </row>
    <row r="521">
      <c r="A521" s="646"/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</row>
    <row r="522">
      <c r="A522" s="646"/>
      <c r="B522" s="647"/>
      <c r="C522" s="647"/>
      <c r="D522" s="647"/>
      <c r="E522" s="647"/>
      <c r="F522" s="647"/>
      <c r="G522" s="647"/>
      <c r="H522" s="647"/>
      <c r="I522" s="647"/>
      <c r="J522" s="647"/>
      <c r="K522" s="647"/>
      <c r="L522" s="647"/>
      <c r="M522" s="647"/>
      <c r="N522" s="647"/>
      <c r="O522" s="647"/>
      <c r="P522" s="647"/>
      <c r="Q522" s="647"/>
      <c r="R522" s="647"/>
      <c r="S522" s="647"/>
      <c r="T522" s="647"/>
      <c r="U522" s="647"/>
      <c r="V522" s="647"/>
      <c r="W522" s="647"/>
      <c r="X522" s="647"/>
    </row>
    <row r="523">
      <c r="A523" s="646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7"/>
      <c r="P523" s="647"/>
      <c r="Q523" s="647"/>
      <c r="R523" s="647"/>
      <c r="S523" s="647"/>
      <c r="T523" s="647"/>
      <c r="U523" s="647"/>
      <c r="V523" s="647"/>
      <c r="W523" s="647"/>
      <c r="X523" s="647"/>
    </row>
    <row r="524">
      <c r="A524" s="646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7"/>
      <c r="P524" s="647"/>
      <c r="Q524" s="647"/>
      <c r="R524" s="647"/>
      <c r="S524" s="647"/>
      <c r="T524" s="647"/>
      <c r="U524" s="647"/>
      <c r="V524" s="647"/>
      <c r="W524" s="647"/>
      <c r="X524" s="647"/>
    </row>
    <row r="525">
      <c r="A525" s="646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47"/>
      <c r="P525" s="647"/>
      <c r="Q525" s="647"/>
      <c r="R525" s="647"/>
      <c r="S525" s="647"/>
      <c r="T525" s="647"/>
      <c r="U525" s="647"/>
      <c r="V525" s="647"/>
      <c r="W525" s="647"/>
      <c r="X525" s="647"/>
    </row>
    <row r="526">
      <c r="A526" s="646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47"/>
      <c r="P526" s="647"/>
      <c r="Q526" s="647"/>
      <c r="R526" s="647"/>
      <c r="S526" s="647"/>
      <c r="T526" s="647"/>
      <c r="U526" s="647"/>
      <c r="V526" s="647"/>
      <c r="W526" s="647"/>
      <c r="X526" s="647"/>
    </row>
    <row r="527">
      <c r="A527" s="646"/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</row>
    <row r="528">
      <c r="A528" s="646"/>
      <c r="B528" s="647"/>
      <c r="C528" s="647"/>
      <c r="D528" s="647"/>
      <c r="E528" s="647"/>
      <c r="F528" s="647"/>
      <c r="G528" s="647"/>
      <c r="H528" s="647"/>
      <c r="I528" s="647"/>
      <c r="J528" s="647"/>
      <c r="K528" s="647"/>
      <c r="L528" s="647"/>
      <c r="M528" s="647"/>
      <c r="N528" s="647"/>
      <c r="O528" s="647"/>
      <c r="P528" s="647"/>
      <c r="Q528" s="647"/>
      <c r="R528" s="647"/>
      <c r="S528" s="647"/>
      <c r="T528" s="647"/>
      <c r="U528" s="647"/>
      <c r="V528" s="647"/>
      <c r="W528" s="647"/>
      <c r="X528" s="647"/>
    </row>
    <row r="529">
      <c r="A529" s="646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7"/>
      <c r="P529" s="647"/>
      <c r="Q529" s="647"/>
      <c r="R529" s="647"/>
      <c r="S529" s="647"/>
      <c r="T529" s="647"/>
      <c r="U529" s="647"/>
      <c r="V529" s="647"/>
      <c r="W529" s="647"/>
      <c r="X529" s="647"/>
    </row>
    <row r="530">
      <c r="A530" s="646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7"/>
      <c r="P530" s="647"/>
      <c r="Q530" s="647"/>
      <c r="R530" s="647"/>
      <c r="S530" s="647"/>
      <c r="T530" s="647"/>
      <c r="U530" s="647"/>
      <c r="V530" s="647"/>
      <c r="W530" s="647"/>
      <c r="X530" s="647"/>
    </row>
    <row r="531">
      <c r="A531" s="646"/>
      <c r="B531" s="647"/>
      <c r="C531" s="647"/>
      <c r="D531" s="647"/>
      <c r="E531" s="647"/>
      <c r="F531" s="647"/>
      <c r="G531" s="647"/>
      <c r="H531" s="647"/>
      <c r="I531" s="647"/>
      <c r="J531" s="647"/>
      <c r="K531" s="647"/>
      <c r="L531" s="647"/>
      <c r="M531" s="647"/>
      <c r="N531" s="647"/>
      <c r="O531" s="647"/>
      <c r="P531" s="647"/>
      <c r="Q531" s="647"/>
      <c r="R531" s="647"/>
      <c r="S531" s="647"/>
      <c r="T531" s="647"/>
      <c r="U531" s="647"/>
      <c r="V531" s="647"/>
      <c r="W531" s="647"/>
      <c r="X531" s="647"/>
    </row>
    <row r="532">
      <c r="A532" s="646"/>
      <c r="B532" s="647"/>
      <c r="C532" s="647"/>
      <c r="D532" s="647"/>
      <c r="E532" s="647"/>
      <c r="F532" s="647"/>
      <c r="G532" s="647"/>
      <c r="H532" s="647"/>
      <c r="I532" s="647"/>
      <c r="J532" s="647"/>
      <c r="K532" s="647"/>
      <c r="L532" s="647"/>
      <c r="M532" s="647"/>
      <c r="N532" s="647"/>
      <c r="O532" s="647"/>
      <c r="P532" s="647"/>
      <c r="Q532" s="647"/>
      <c r="R532" s="647"/>
      <c r="S532" s="647"/>
      <c r="T532" s="647"/>
      <c r="U532" s="647"/>
      <c r="V532" s="647"/>
      <c r="W532" s="647"/>
      <c r="X532" s="647"/>
    </row>
    <row r="533">
      <c r="A533" s="646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7"/>
      <c r="P533" s="647"/>
      <c r="Q533" s="647"/>
      <c r="R533" s="647"/>
      <c r="S533" s="647"/>
      <c r="T533" s="647"/>
      <c r="U533" s="647"/>
      <c r="V533" s="647"/>
      <c r="W533" s="647"/>
      <c r="X533" s="647"/>
    </row>
    <row r="534">
      <c r="A534" s="646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7"/>
      <c r="P534" s="647"/>
      <c r="Q534" s="647"/>
      <c r="R534" s="647"/>
      <c r="S534" s="647"/>
      <c r="T534" s="647"/>
      <c r="U534" s="647"/>
      <c r="V534" s="647"/>
      <c r="W534" s="647"/>
      <c r="X534" s="647"/>
    </row>
    <row r="535">
      <c r="A535" s="646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</row>
    <row r="536">
      <c r="A536" s="646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47"/>
      <c r="P536" s="647"/>
      <c r="Q536" s="647"/>
      <c r="R536" s="647"/>
      <c r="S536" s="647"/>
      <c r="T536" s="647"/>
      <c r="U536" s="647"/>
      <c r="V536" s="647"/>
      <c r="W536" s="647"/>
      <c r="X536" s="647"/>
    </row>
    <row r="537">
      <c r="A537" s="646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7"/>
      <c r="P537" s="647"/>
      <c r="Q537" s="647"/>
      <c r="R537" s="647"/>
      <c r="S537" s="647"/>
      <c r="T537" s="647"/>
      <c r="U537" s="647"/>
      <c r="V537" s="647"/>
      <c r="W537" s="647"/>
      <c r="X537" s="647"/>
    </row>
    <row r="538">
      <c r="A538" s="646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</row>
    <row r="539">
      <c r="A539" s="646"/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</row>
    <row r="540">
      <c r="A540" s="646"/>
      <c r="B540" s="647"/>
      <c r="C540" s="647"/>
      <c r="D540" s="647"/>
      <c r="E540" s="647"/>
      <c r="F540" s="647"/>
      <c r="G540" s="647"/>
      <c r="H540" s="647"/>
      <c r="I540" s="647"/>
      <c r="J540" s="647"/>
      <c r="K540" s="647"/>
      <c r="L540" s="647"/>
      <c r="M540" s="647"/>
      <c r="N540" s="647"/>
      <c r="O540" s="647"/>
      <c r="P540" s="647"/>
      <c r="Q540" s="647"/>
      <c r="R540" s="647"/>
      <c r="S540" s="647"/>
      <c r="T540" s="647"/>
      <c r="U540" s="647"/>
      <c r="V540" s="647"/>
      <c r="W540" s="647"/>
      <c r="X540" s="647"/>
    </row>
    <row r="541">
      <c r="A541" s="646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7"/>
      <c r="P541" s="647"/>
      <c r="Q541" s="647"/>
      <c r="R541" s="647"/>
      <c r="S541" s="647"/>
      <c r="T541" s="647"/>
      <c r="U541" s="647"/>
      <c r="V541" s="647"/>
      <c r="W541" s="647"/>
      <c r="X541" s="647"/>
    </row>
    <row r="542">
      <c r="A542" s="646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7"/>
      <c r="P542" s="647"/>
      <c r="Q542" s="647"/>
      <c r="R542" s="647"/>
      <c r="S542" s="647"/>
      <c r="T542" s="647"/>
      <c r="U542" s="647"/>
      <c r="V542" s="647"/>
      <c r="W542" s="647"/>
      <c r="X542" s="647"/>
    </row>
    <row r="543">
      <c r="A543" s="646"/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</row>
    <row r="544">
      <c r="A544" s="646"/>
      <c r="B544" s="647"/>
      <c r="C544" s="647"/>
      <c r="D544" s="647"/>
      <c r="E544" s="647"/>
      <c r="F544" s="647"/>
      <c r="G544" s="647"/>
      <c r="H544" s="647"/>
      <c r="I544" s="647"/>
      <c r="J544" s="647"/>
      <c r="K544" s="647"/>
      <c r="L544" s="647"/>
      <c r="M544" s="647"/>
      <c r="N544" s="647"/>
      <c r="O544" s="647"/>
      <c r="P544" s="647"/>
      <c r="Q544" s="647"/>
      <c r="R544" s="647"/>
      <c r="S544" s="647"/>
      <c r="T544" s="647"/>
      <c r="U544" s="647"/>
      <c r="V544" s="647"/>
      <c r="W544" s="647"/>
      <c r="X544" s="647"/>
    </row>
    <row r="545">
      <c r="A545" s="646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47"/>
      <c r="P545" s="647"/>
      <c r="Q545" s="647"/>
      <c r="R545" s="647"/>
      <c r="S545" s="647"/>
      <c r="T545" s="647"/>
      <c r="U545" s="647"/>
      <c r="V545" s="647"/>
      <c r="W545" s="647"/>
      <c r="X545" s="647"/>
    </row>
    <row r="546">
      <c r="A546" s="646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7"/>
      <c r="P546" s="647"/>
      <c r="Q546" s="647"/>
      <c r="R546" s="647"/>
      <c r="S546" s="647"/>
      <c r="T546" s="647"/>
      <c r="U546" s="647"/>
      <c r="V546" s="647"/>
      <c r="W546" s="647"/>
      <c r="X546" s="647"/>
    </row>
    <row r="547">
      <c r="A547" s="646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</row>
    <row r="548">
      <c r="A548" s="646"/>
      <c r="B548" s="647"/>
      <c r="C548" s="647"/>
      <c r="D548" s="647"/>
      <c r="E548" s="647"/>
      <c r="F548" s="647"/>
      <c r="G548" s="647"/>
      <c r="H548" s="647"/>
      <c r="I548" s="647"/>
      <c r="J548" s="647"/>
      <c r="K548" s="647"/>
      <c r="L548" s="647"/>
      <c r="M548" s="647"/>
      <c r="N548" s="647"/>
      <c r="O548" s="647"/>
      <c r="P548" s="647"/>
      <c r="Q548" s="647"/>
      <c r="R548" s="647"/>
      <c r="S548" s="647"/>
      <c r="T548" s="647"/>
      <c r="U548" s="647"/>
      <c r="V548" s="647"/>
      <c r="W548" s="647"/>
      <c r="X548" s="647"/>
    </row>
    <row r="549">
      <c r="A549" s="646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</row>
    <row r="550">
      <c r="A550" s="646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47"/>
      <c r="P550" s="647"/>
      <c r="Q550" s="647"/>
      <c r="R550" s="647"/>
      <c r="S550" s="647"/>
      <c r="T550" s="647"/>
      <c r="U550" s="647"/>
      <c r="V550" s="647"/>
      <c r="W550" s="647"/>
      <c r="X550" s="647"/>
    </row>
    <row r="551">
      <c r="A551" s="646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</row>
    <row r="552">
      <c r="A552" s="646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7"/>
      <c r="P552" s="647"/>
      <c r="Q552" s="647"/>
      <c r="R552" s="647"/>
      <c r="S552" s="647"/>
      <c r="T552" s="647"/>
      <c r="U552" s="647"/>
      <c r="V552" s="647"/>
      <c r="W552" s="647"/>
      <c r="X552" s="647"/>
    </row>
    <row r="553">
      <c r="A553" s="646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47"/>
      <c r="P553" s="647"/>
      <c r="Q553" s="647"/>
      <c r="R553" s="647"/>
      <c r="S553" s="647"/>
      <c r="T553" s="647"/>
      <c r="U553" s="647"/>
      <c r="V553" s="647"/>
      <c r="W553" s="647"/>
      <c r="X553" s="647"/>
    </row>
    <row r="554">
      <c r="A554" s="646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47"/>
      <c r="P554" s="647"/>
      <c r="Q554" s="647"/>
      <c r="R554" s="647"/>
      <c r="S554" s="647"/>
      <c r="T554" s="647"/>
      <c r="U554" s="647"/>
      <c r="V554" s="647"/>
      <c r="W554" s="647"/>
      <c r="X554" s="647"/>
    </row>
    <row r="555">
      <c r="A555" s="646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</row>
    <row r="556">
      <c r="A556" s="646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47"/>
      <c r="P556" s="647"/>
      <c r="Q556" s="647"/>
      <c r="R556" s="647"/>
      <c r="S556" s="647"/>
      <c r="T556" s="647"/>
      <c r="U556" s="647"/>
      <c r="V556" s="647"/>
      <c r="W556" s="647"/>
      <c r="X556" s="647"/>
    </row>
    <row r="557">
      <c r="A557" s="646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</row>
    <row r="558">
      <c r="A558" s="646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47"/>
      <c r="P558" s="647"/>
      <c r="Q558" s="647"/>
      <c r="R558" s="647"/>
      <c r="S558" s="647"/>
      <c r="T558" s="647"/>
      <c r="U558" s="647"/>
      <c r="V558" s="647"/>
      <c r="W558" s="647"/>
      <c r="X558" s="647"/>
    </row>
    <row r="559">
      <c r="A559" s="646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47"/>
      <c r="P559" s="647"/>
      <c r="Q559" s="647"/>
      <c r="R559" s="647"/>
      <c r="S559" s="647"/>
      <c r="T559" s="647"/>
      <c r="U559" s="647"/>
      <c r="V559" s="647"/>
      <c r="W559" s="647"/>
      <c r="X559" s="647"/>
    </row>
    <row r="560">
      <c r="A560" s="646"/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</row>
    <row r="561">
      <c r="A561" s="646"/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</row>
    <row r="562">
      <c r="A562" s="646"/>
      <c r="B562" s="647"/>
      <c r="C562" s="647"/>
      <c r="D562" s="647"/>
      <c r="E562" s="647"/>
      <c r="F562" s="647"/>
      <c r="G562" s="647"/>
      <c r="H562" s="647"/>
      <c r="I562" s="647"/>
      <c r="J562" s="647"/>
      <c r="K562" s="647"/>
      <c r="L562" s="647"/>
      <c r="M562" s="647"/>
      <c r="N562" s="647"/>
      <c r="O562" s="647"/>
      <c r="P562" s="647"/>
      <c r="Q562" s="647"/>
      <c r="R562" s="647"/>
      <c r="S562" s="647"/>
      <c r="T562" s="647"/>
      <c r="U562" s="647"/>
      <c r="V562" s="647"/>
      <c r="W562" s="647"/>
      <c r="X562" s="647"/>
    </row>
    <row r="563">
      <c r="A563" s="646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47"/>
      <c r="P563" s="647"/>
      <c r="Q563" s="647"/>
      <c r="R563" s="647"/>
      <c r="S563" s="647"/>
      <c r="T563" s="647"/>
      <c r="U563" s="647"/>
      <c r="V563" s="647"/>
      <c r="W563" s="647"/>
      <c r="X563" s="647"/>
    </row>
    <row r="564">
      <c r="A564" s="646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47"/>
      <c r="P564" s="647"/>
      <c r="Q564" s="647"/>
      <c r="R564" s="647"/>
      <c r="S564" s="647"/>
      <c r="T564" s="647"/>
      <c r="U564" s="647"/>
      <c r="V564" s="647"/>
      <c r="W564" s="647"/>
      <c r="X564" s="647"/>
    </row>
    <row r="565">
      <c r="A565" s="646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647"/>
      <c r="P565" s="647"/>
      <c r="Q565" s="647"/>
      <c r="R565" s="647"/>
      <c r="S565" s="647"/>
      <c r="T565" s="647"/>
      <c r="U565" s="647"/>
      <c r="V565" s="647"/>
      <c r="W565" s="647"/>
      <c r="X565" s="647"/>
    </row>
    <row r="566">
      <c r="A566" s="646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647"/>
      <c r="P566" s="647"/>
      <c r="Q566" s="647"/>
      <c r="R566" s="647"/>
      <c r="S566" s="647"/>
      <c r="T566" s="647"/>
      <c r="U566" s="647"/>
      <c r="V566" s="647"/>
      <c r="W566" s="647"/>
      <c r="X566" s="647"/>
    </row>
    <row r="567">
      <c r="A567" s="646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647"/>
      <c r="P567" s="647"/>
      <c r="Q567" s="647"/>
      <c r="R567" s="647"/>
      <c r="S567" s="647"/>
      <c r="T567" s="647"/>
      <c r="U567" s="647"/>
      <c r="V567" s="647"/>
      <c r="W567" s="647"/>
      <c r="X567" s="647"/>
    </row>
    <row r="568">
      <c r="A568" s="646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</row>
    <row r="569">
      <c r="A569" s="646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647"/>
      <c r="P569" s="647"/>
      <c r="Q569" s="647"/>
      <c r="R569" s="647"/>
      <c r="S569" s="647"/>
      <c r="T569" s="647"/>
      <c r="U569" s="647"/>
      <c r="V569" s="647"/>
      <c r="W569" s="647"/>
      <c r="X569" s="647"/>
    </row>
    <row r="570">
      <c r="A570" s="646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647"/>
      <c r="P570" s="647"/>
      <c r="Q570" s="647"/>
      <c r="R570" s="647"/>
      <c r="S570" s="647"/>
      <c r="T570" s="647"/>
      <c r="U570" s="647"/>
      <c r="V570" s="647"/>
      <c r="W570" s="647"/>
      <c r="X570" s="647"/>
    </row>
    <row r="571">
      <c r="A571" s="646"/>
      <c r="B571" s="647"/>
      <c r="C571" s="647"/>
      <c r="D571" s="647"/>
      <c r="E571" s="647"/>
      <c r="F571" s="647"/>
      <c r="G571" s="647"/>
      <c r="H571" s="647"/>
      <c r="I571" s="647"/>
      <c r="J571" s="647"/>
      <c r="K571" s="647"/>
      <c r="L571" s="647"/>
      <c r="M571" s="647"/>
      <c r="N571" s="647"/>
      <c r="O571" s="647"/>
      <c r="P571" s="647"/>
      <c r="Q571" s="647"/>
      <c r="R571" s="647"/>
      <c r="S571" s="647"/>
      <c r="T571" s="647"/>
      <c r="U571" s="647"/>
      <c r="V571" s="647"/>
      <c r="W571" s="647"/>
      <c r="X571" s="647"/>
    </row>
    <row r="572">
      <c r="A572" s="646"/>
      <c r="B572" s="647"/>
      <c r="C572" s="647"/>
      <c r="D572" s="647"/>
      <c r="E572" s="647"/>
      <c r="F572" s="647"/>
      <c r="G572" s="647"/>
      <c r="H572" s="647"/>
      <c r="I572" s="647"/>
      <c r="J572" s="647"/>
      <c r="K572" s="647"/>
      <c r="L572" s="647"/>
      <c r="M572" s="647"/>
      <c r="N572" s="647"/>
      <c r="O572" s="647"/>
      <c r="P572" s="647"/>
      <c r="Q572" s="647"/>
      <c r="R572" s="647"/>
      <c r="S572" s="647"/>
      <c r="T572" s="647"/>
      <c r="U572" s="647"/>
      <c r="V572" s="647"/>
      <c r="W572" s="647"/>
      <c r="X572" s="647"/>
    </row>
    <row r="573">
      <c r="A573" s="646"/>
      <c r="B573" s="647"/>
      <c r="C573" s="647"/>
      <c r="D573" s="647"/>
      <c r="E573" s="647"/>
      <c r="F573" s="647"/>
      <c r="G573" s="647"/>
      <c r="H573" s="647"/>
      <c r="I573" s="647"/>
      <c r="J573" s="647"/>
      <c r="K573" s="647"/>
      <c r="L573" s="647"/>
      <c r="M573" s="647"/>
      <c r="N573" s="647"/>
      <c r="O573" s="647"/>
      <c r="P573" s="647"/>
      <c r="Q573" s="647"/>
      <c r="R573" s="647"/>
      <c r="S573" s="647"/>
      <c r="T573" s="647"/>
      <c r="U573" s="647"/>
      <c r="V573" s="647"/>
      <c r="W573" s="647"/>
      <c r="X573" s="647"/>
    </row>
    <row r="574">
      <c r="A574" s="646"/>
      <c r="B574" s="647"/>
      <c r="C574" s="647"/>
      <c r="D574" s="647"/>
      <c r="E574" s="647"/>
      <c r="F574" s="647"/>
      <c r="G574" s="647"/>
      <c r="H574" s="647"/>
      <c r="I574" s="647"/>
      <c r="J574" s="647"/>
      <c r="K574" s="647"/>
      <c r="L574" s="647"/>
      <c r="M574" s="647"/>
      <c r="N574" s="647"/>
      <c r="O574" s="647"/>
      <c r="P574" s="647"/>
      <c r="Q574" s="647"/>
      <c r="R574" s="647"/>
      <c r="S574" s="647"/>
      <c r="T574" s="647"/>
      <c r="U574" s="647"/>
      <c r="V574" s="647"/>
      <c r="W574" s="647"/>
      <c r="X574" s="647"/>
    </row>
    <row r="575">
      <c r="A575" s="646"/>
      <c r="B575" s="647"/>
      <c r="C575" s="647"/>
      <c r="D575" s="647"/>
      <c r="E575" s="647"/>
      <c r="F575" s="647"/>
      <c r="G575" s="647"/>
      <c r="H575" s="647"/>
      <c r="I575" s="647"/>
      <c r="J575" s="647"/>
      <c r="K575" s="647"/>
      <c r="L575" s="647"/>
      <c r="M575" s="647"/>
      <c r="N575" s="647"/>
      <c r="O575" s="647"/>
      <c r="P575" s="647"/>
      <c r="Q575" s="647"/>
      <c r="R575" s="647"/>
      <c r="S575" s="647"/>
      <c r="T575" s="647"/>
      <c r="U575" s="647"/>
      <c r="V575" s="647"/>
      <c r="W575" s="647"/>
      <c r="X575" s="647"/>
    </row>
    <row r="576">
      <c r="A576" s="646"/>
      <c r="B576" s="647"/>
      <c r="C576" s="647"/>
      <c r="D576" s="647"/>
      <c r="E576" s="647"/>
      <c r="F576" s="647"/>
      <c r="G576" s="647"/>
      <c r="H576" s="647"/>
      <c r="I576" s="647"/>
      <c r="J576" s="647"/>
      <c r="K576" s="647"/>
      <c r="L576" s="647"/>
      <c r="M576" s="647"/>
      <c r="N576" s="647"/>
      <c r="O576" s="647"/>
      <c r="P576" s="647"/>
      <c r="Q576" s="647"/>
      <c r="R576" s="647"/>
      <c r="S576" s="647"/>
      <c r="T576" s="647"/>
      <c r="U576" s="647"/>
      <c r="V576" s="647"/>
      <c r="W576" s="647"/>
      <c r="X576" s="647"/>
    </row>
    <row r="577">
      <c r="A577" s="646"/>
      <c r="B577" s="647"/>
      <c r="C577" s="647"/>
      <c r="D577" s="647"/>
      <c r="E577" s="647"/>
      <c r="F577" s="647"/>
      <c r="G577" s="647"/>
      <c r="H577" s="647"/>
      <c r="I577" s="647"/>
      <c r="J577" s="647"/>
      <c r="K577" s="647"/>
      <c r="L577" s="647"/>
      <c r="M577" s="647"/>
      <c r="N577" s="647"/>
      <c r="O577" s="647"/>
      <c r="P577" s="647"/>
      <c r="Q577" s="647"/>
      <c r="R577" s="647"/>
      <c r="S577" s="647"/>
      <c r="T577" s="647"/>
      <c r="U577" s="647"/>
      <c r="V577" s="647"/>
      <c r="W577" s="647"/>
      <c r="X577" s="647"/>
    </row>
    <row r="578">
      <c r="A578" s="646"/>
      <c r="B578" s="647"/>
      <c r="C578" s="647"/>
      <c r="D578" s="647"/>
      <c r="E578" s="647"/>
      <c r="F578" s="647"/>
      <c r="G578" s="647"/>
      <c r="H578" s="647"/>
      <c r="I578" s="647"/>
      <c r="J578" s="647"/>
      <c r="K578" s="647"/>
      <c r="L578" s="647"/>
      <c r="M578" s="647"/>
      <c r="N578" s="647"/>
      <c r="O578" s="647"/>
      <c r="P578" s="647"/>
      <c r="Q578" s="647"/>
      <c r="R578" s="647"/>
      <c r="S578" s="647"/>
      <c r="T578" s="647"/>
      <c r="U578" s="647"/>
      <c r="V578" s="647"/>
      <c r="W578" s="647"/>
      <c r="X578" s="647"/>
    </row>
    <row r="579">
      <c r="A579" s="646"/>
      <c r="B579" s="647"/>
      <c r="C579" s="647"/>
      <c r="D579" s="647"/>
      <c r="E579" s="647"/>
      <c r="F579" s="647"/>
      <c r="G579" s="647"/>
      <c r="H579" s="647"/>
      <c r="I579" s="647"/>
      <c r="J579" s="647"/>
      <c r="K579" s="647"/>
      <c r="L579" s="647"/>
      <c r="M579" s="647"/>
      <c r="N579" s="647"/>
      <c r="O579" s="647"/>
      <c r="P579" s="647"/>
      <c r="Q579" s="647"/>
      <c r="R579" s="647"/>
      <c r="S579" s="647"/>
      <c r="T579" s="647"/>
      <c r="U579" s="647"/>
      <c r="V579" s="647"/>
      <c r="W579" s="647"/>
      <c r="X579" s="647"/>
    </row>
    <row r="580">
      <c r="A580" s="646"/>
      <c r="B580" s="647"/>
      <c r="C580" s="647"/>
      <c r="D580" s="647"/>
      <c r="E580" s="647"/>
      <c r="F580" s="647"/>
      <c r="G580" s="647"/>
      <c r="H580" s="647"/>
      <c r="I580" s="647"/>
      <c r="J580" s="647"/>
      <c r="K580" s="647"/>
      <c r="L580" s="647"/>
      <c r="M580" s="647"/>
      <c r="N580" s="647"/>
      <c r="O580" s="647"/>
      <c r="P580" s="647"/>
      <c r="Q580" s="647"/>
      <c r="R580" s="647"/>
      <c r="S580" s="647"/>
      <c r="T580" s="647"/>
      <c r="U580" s="647"/>
      <c r="V580" s="647"/>
      <c r="W580" s="647"/>
      <c r="X580" s="647"/>
    </row>
    <row r="581">
      <c r="A581" s="646"/>
      <c r="B581" s="647"/>
      <c r="C581" s="647"/>
      <c r="D581" s="647"/>
      <c r="E581" s="647"/>
      <c r="F581" s="647"/>
      <c r="G581" s="647"/>
      <c r="H581" s="647"/>
      <c r="I581" s="647"/>
      <c r="J581" s="647"/>
      <c r="K581" s="647"/>
      <c r="L581" s="647"/>
      <c r="M581" s="647"/>
      <c r="N581" s="647"/>
      <c r="O581" s="647"/>
      <c r="P581" s="647"/>
      <c r="Q581" s="647"/>
      <c r="R581" s="647"/>
      <c r="S581" s="647"/>
      <c r="T581" s="647"/>
      <c r="U581" s="647"/>
      <c r="V581" s="647"/>
      <c r="W581" s="647"/>
      <c r="X581" s="647"/>
    </row>
    <row r="582">
      <c r="A582" s="646"/>
      <c r="B582" s="647"/>
      <c r="C582" s="647"/>
      <c r="D582" s="647"/>
      <c r="E582" s="647"/>
      <c r="F582" s="647"/>
      <c r="G582" s="647"/>
      <c r="H582" s="647"/>
      <c r="I582" s="647"/>
      <c r="J582" s="647"/>
      <c r="K582" s="647"/>
      <c r="L582" s="647"/>
      <c r="M582" s="647"/>
      <c r="N582" s="647"/>
      <c r="O582" s="647"/>
      <c r="P582" s="647"/>
      <c r="Q582" s="647"/>
      <c r="R582" s="647"/>
      <c r="S582" s="647"/>
      <c r="T582" s="647"/>
      <c r="U582" s="647"/>
      <c r="V582" s="647"/>
      <c r="W582" s="647"/>
      <c r="X582" s="647"/>
    </row>
    <row r="583">
      <c r="A583" s="646"/>
      <c r="B583" s="647"/>
      <c r="C583" s="647"/>
      <c r="D583" s="647"/>
      <c r="E583" s="647"/>
      <c r="F583" s="647"/>
      <c r="G583" s="647"/>
      <c r="H583" s="647"/>
      <c r="I583" s="647"/>
      <c r="J583" s="647"/>
      <c r="K583" s="647"/>
      <c r="L583" s="647"/>
      <c r="M583" s="647"/>
      <c r="N583" s="647"/>
      <c r="O583" s="647"/>
      <c r="P583" s="647"/>
      <c r="Q583" s="647"/>
      <c r="R583" s="647"/>
      <c r="S583" s="647"/>
      <c r="T583" s="647"/>
      <c r="U583" s="647"/>
      <c r="V583" s="647"/>
      <c r="W583" s="647"/>
      <c r="X583" s="647"/>
    </row>
    <row r="584">
      <c r="A584" s="646"/>
      <c r="B584" s="647"/>
      <c r="C584" s="647"/>
      <c r="D584" s="647"/>
      <c r="E584" s="647"/>
      <c r="F584" s="647"/>
      <c r="G584" s="647"/>
      <c r="H584" s="647"/>
      <c r="I584" s="647"/>
      <c r="J584" s="647"/>
      <c r="K584" s="647"/>
      <c r="L584" s="647"/>
      <c r="M584" s="647"/>
      <c r="N584" s="647"/>
      <c r="O584" s="647"/>
      <c r="P584" s="647"/>
      <c r="Q584" s="647"/>
      <c r="R584" s="647"/>
      <c r="S584" s="647"/>
      <c r="T584" s="647"/>
      <c r="U584" s="647"/>
      <c r="V584" s="647"/>
      <c r="W584" s="647"/>
      <c r="X584" s="647"/>
    </row>
    <row r="585">
      <c r="A585" s="646"/>
      <c r="B585" s="647"/>
      <c r="C585" s="647"/>
      <c r="D585" s="647"/>
      <c r="E585" s="647"/>
      <c r="F585" s="647"/>
      <c r="G585" s="647"/>
      <c r="H585" s="647"/>
      <c r="I585" s="647"/>
      <c r="J585" s="647"/>
      <c r="K585" s="647"/>
      <c r="L585" s="647"/>
      <c r="M585" s="647"/>
      <c r="N585" s="647"/>
      <c r="O585" s="647"/>
      <c r="P585" s="647"/>
      <c r="Q585" s="647"/>
      <c r="R585" s="647"/>
      <c r="S585" s="647"/>
      <c r="T585" s="647"/>
      <c r="U585" s="647"/>
      <c r="V585" s="647"/>
      <c r="W585" s="647"/>
      <c r="X585" s="647"/>
    </row>
    <row r="586">
      <c r="A586" s="646"/>
      <c r="B586" s="647"/>
      <c r="C586" s="647"/>
      <c r="D586" s="647"/>
      <c r="E586" s="647"/>
      <c r="F586" s="647"/>
      <c r="G586" s="647"/>
      <c r="H586" s="647"/>
      <c r="I586" s="647"/>
      <c r="J586" s="647"/>
      <c r="K586" s="647"/>
      <c r="L586" s="647"/>
      <c r="M586" s="647"/>
      <c r="N586" s="647"/>
      <c r="O586" s="647"/>
      <c r="P586" s="647"/>
      <c r="Q586" s="647"/>
      <c r="R586" s="647"/>
      <c r="S586" s="647"/>
      <c r="T586" s="647"/>
      <c r="U586" s="647"/>
      <c r="V586" s="647"/>
      <c r="W586" s="647"/>
      <c r="X586" s="647"/>
    </row>
    <row r="587">
      <c r="A587" s="646"/>
      <c r="B587" s="647"/>
      <c r="C587" s="647"/>
      <c r="D587" s="647"/>
      <c r="E587" s="647"/>
      <c r="F587" s="647"/>
      <c r="G587" s="647"/>
      <c r="H587" s="647"/>
      <c r="I587" s="647"/>
      <c r="J587" s="647"/>
      <c r="K587" s="647"/>
      <c r="L587" s="647"/>
      <c r="M587" s="647"/>
      <c r="N587" s="647"/>
      <c r="O587" s="647"/>
      <c r="P587" s="647"/>
      <c r="Q587" s="647"/>
      <c r="R587" s="647"/>
      <c r="S587" s="647"/>
      <c r="T587" s="647"/>
      <c r="U587" s="647"/>
      <c r="V587" s="647"/>
      <c r="W587" s="647"/>
      <c r="X587" s="647"/>
    </row>
    <row r="588">
      <c r="A588" s="646"/>
      <c r="B588" s="647"/>
      <c r="C588" s="647"/>
      <c r="D588" s="647"/>
      <c r="E588" s="647"/>
      <c r="F588" s="647"/>
      <c r="G588" s="647"/>
      <c r="H588" s="647"/>
      <c r="I588" s="647"/>
      <c r="J588" s="647"/>
      <c r="K588" s="647"/>
      <c r="L588" s="647"/>
      <c r="M588" s="647"/>
      <c r="N588" s="647"/>
      <c r="O588" s="647"/>
      <c r="P588" s="647"/>
      <c r="Q588" s="647"/>
      <c r="R588" s="647"/>
      <c r="S588" s="647"/>
      <c r="T588" s="647"/>
      <c r="U588" s="647"/>
      <c r="V588" s="647"/>
      <c r="W588" s="647"/>
      <c r="X588" s="647"/>
    </row>
    <row r="589">
      <c r="A589" s="646"/>
      <c r="B589" s="647"/>
      <c r="C589" s="647"/>
      <c r="D589" s="647"/>
      <c r="E589" s="647"/>
      <c r="F589" s="647"/>
      <c r="G589" s="647"/>
      <c r="H589" s="647"/>
      <c r="I589" s="647"/>
      <c r="J589" s="647"/>
      <c r="K589" s="647"/>
      <c r="L589" s="647"/>
      <c r="M589" s="647"/>
      <c r="N589" s="647"/>
      <c r="O589" s="647"/>
      <c r="P589" s="647"/>
      <c r="Q589" s="647"/>
      <c r="R589" s="647"/>
      <c r="S589" s="647"/>
      <c r="T589" s="647"/>
      <c r="U589" s="647"/>
      <c r="V589" s="647"/>
      <c r="W589" s="647"/>
      <c r="X589" s="647"/>
    </row>
    <row r="590">
      <c r="A590" s="646"/>
      <c r="B590" s="647"/>
      <c r="C590" s="647"/>
      <c r="D590" s="647"/>
      <c r="E590" s="647"/>
      <c r="F590" s="647"/>
      <c r="G590" s="647"/>
      <c r="H590" s="647"/>
      <c r="I590" s="647"/>
      <c r="J590" s="647"/>
      <c r="K590" s="647"/>
      <c r="L590" s="647"/>
      <c r="M590" s="647"/>
      <c r="N590" s="647"/>
      <c r="O590" s="647"/>
      <c r="P590" s="647"/>
      <c r="Q590" s="647"/>
      <c r="R590" s="647"/>
      <c r="S590" s="647"/>
      <c r="T590" s="647"/>
      <c r="U590" s="647"/>
      <c r="V590" s="647"/>
      <c r="W590" s="647"/>
      <c r="X590" s="647"/>
    </row>
    <row r="591">
      <c r="A591" s="646"/>
      <c r="B591" s="647"/>
      <c r="C591" s="647"/>
      <c r="D591" s="647"/>
      <c r="E591" s="647"/>
      <c r="F591" s="647"/>
      <c r="G591" s="647"/>
      <c r="H591" s="647"/>
      <c r="I591" s="647"/>
      <c r="J591" s="647"/>
      <c r="K591" s="647"/>
      <c r="L591" s="647"/>
      <c r="M591" s="647"/>
      <c r="N591" s="647"/>
      <c r="O591" s="647"/>
      <c r="P591" s="647"/>
      <c r="Q591" s="647"/>
      <c r="R591" s="647"/>
      <c r="S591" s="647"/>
      <c r="T591" s="647"/>
      <c r="U591" s="647"/>
      <c r="V591" s="647"/>
      <c r="W591" s="647"/>
      <c r="X591" s="647"/>
    </row>
    <row r="592">
      <c r="A592" s="646"/>
      <c r="B592" s="647"/>
      <c r="C592" s="647"/>
      <c r="D592" s="647"/>
      <c r="E592" s="647"/>
      <c r="F592" s="647"/>
      <c r="G592" s="647"/>
      <c r="H592" s="647"/>
      <c r="I592" s="647"/>
      <c r="J592" s="647"/>
      <c r="K592" s="647"/>
      <c r="L592" s="647"/>
      <c r="M592" s="647"/>
      <c r="N592" s="647"/>
      <c r="O592" s="647"/>
      <c r="P592" s="647"/>
      <c r="Q592" s="647"/>
      <c r="R592" s="647"/>
      <c r="S592" s="647"/>
      <c r="T592" s="647"/>
      <c r="U592" s="647"/>
      <c r="V592" s="647"/>
      <c r="W592" s="647"/>
      <c r="X592" s="647"/>
    </row>
    <row r="593">
      <c r="A593" s="646"/>
      <c r="B593" s="647"/>
      <c r="C593" s="647"/>
      <c r="D593" s="647"/>
      <c r="E593" s="647"/>
      <c r="F593" s="647"/>
      <c r="G593" s="647"/>
      <c r="H593" s="647"/>
      <c r="I593" s="647"/>
      <c r="J593" s="647"/>
      <c r="K593" s="647"/>
      <c r="L593" s="647"/>
      <c r="M593" s="647"/>
      <c r="N593" s="647"/>
      <c r="O593" s="647"/>
      <c r="P593" s="647"/>
      <c r="Q593" s="647"/>
      <c r="R593" s="647"/>
      <c r="S593" s="647"/>
      <c r="T593" s="647"/>
      <c r="U593" s="647"/>
      <c r="V593" s="647"/>
      <c r="W593" s="647"/>
      <c r="X593" s="647"/>
    </row>
    <row r="594">
      <c r="A594" s="646"/>
      <c r="B594" s="647"/>
      <c r="C594" s="647"/>
      <c r="D594" s="647"/>
      <c r="E594" s="647"/>
      <c r="F594" s="647"/>
      <c r="G594" s="647"/>
      <c r="H594" s="647"/>
      <c r="I594" s="647"/>
      <c r="J594" s="647"/>
      <c r="K594" s="647"/>
      <c r="L594" s="647"/>
      <c r="M594" s="647"/>
      <c r="N594" s="647"/>
      <c r="O594" s="647"/>
      <c r="P594" s="647"/>
      <c r="Q594" s="647"/>
      <c r="R594" s="647"/>
      <c r="S594" s="647"/>
      <c r="T594" s="647"/>
      <c r="U594" s="647"/>
      <c r="V594" s="647"/>
      <c r="W594" s="647"/>
      <c r="X594" s="647"/>
    </row>
    <row r="595">
      <c r="A595" s="646"/>
      <c r="B595" s="647"/>
      <c r="C595" s="647"/>
      <c r="D595" s="647"/>
      <c r="E595" s="647"/>
      <c r="F595" s="647"/>
      <c r="G595" s="647"/>
      <c r="H595" s="647"/>
      <c r="I595" s="647"/>
      <c r="J595" s="647"/>
      <c r="K595" s="647"/>
      <c r="L595" s="647"/>
      <c r="M595" s="647"/>
      <c r="N595" s="647"/>
      <c r="O595" s="647"/>
      <c r="P595" s="647"/>
      <c r="Q595" s="647"/>
      <c r="R595" s="647"/>
      <c r="S595" s="647"/>
      <c r="T595" s="647"/>
      <c r="U595" s="647"/>
      <c r="V595" s="647"/>
      <c r="W595" s="647"/>
      <c r="X595" s="647"/>
    </row>
    <row r="596">
      <c r="A596" s="646"/>
      <c r="B596" s="647"/>
      <c r="C596" s="647"/>
      <c r="D596" s="647"/>
      <c r="E596" s="647"/>
      <c r="F596" s="647"/>
      <c r="G596" s="647"/>
      <c r="H596" s="647"/>
      <c r="I596" s="647"/>
      <c r="J596" s="647"/>
      <c r="K596" s="647"/>
      <c r="L596" s="647"/>
      <c r="M596" s="647"/>
      <c r="N596" s="647"/>
      <c r="O596" s="647"/>
      <c r="P596" s="647"/>
      <c r="Q596" s="647"/>
      <c r="R596" s="647"/>
      <c r="S596" s="647"/>
      <c r="T596" s="647"/>
      <c r="U596" s="647"/>
      <c r="V596" s="647"/>
      <c r="W596" s="647"/>
      <c r="X596" s="647"/>
    </row>
    <row r="597">
      <c r="A597" s="646"/>
      <c r="B597" s="647"/>
      <c r="C597" s="647"/>
      <c r="D597" s="647"/>
      <c r="E597" s="647"/>
      <c r="F597" s="647"/>
      <c r="G597" s="647"/>
      <c r="H597" s="647"/>
      <c r="I597" s="647"/>
      <c r="J597" s="647"/>
      <c r="K597" s="647"/>
      <c r="L597" s="647"/>
      <c r="M597" s="647"/>
      <c r="N597" s="647"/>
      <c r="O597" s="647"/>
      <c r="P597" s="647"/>
      <c r="Q597" s="647"/>
      <c r="R597" s="647"/>
      <c r="S597" s="647"/>
      <c r="T597" s="647"/>
      <c r="U597" s="647"/>
      <c r="V597" s="647"/>
      <c r="W597" s="647"/>
      <c r="X597" s="647"/>
    </row>
    <row r="598">
      <c r="A598" s="646"/>
      <c r="B598" s="647"/>
      <c r="C598" s="647"/>
      <c r="D598" s="647"/>
      <c r="E598" s="647"/>
      <c r="F598" s="647"/>
      <c r="G598" s="647"/>
      <c r="H598" s="647"/>
      <c r="I598" s="647"/>
      <c r="J598" s="647"/>
      <c r="K598" s="647"/>
      <c r="L598" s="647"/>
      <c r="M598" s="647"/>
      <c r="N598" s="647"/>
      <c r="O598" s="647"/>
      <c r="P598" s="647"/>
      <c r="Q598" s="647"/>
      <c r="R598" s="647"/>
      <c r="S598" s="647"/>
      <c r="T598" s="647"/>
      <c r="U598" s="647"/>
      <c r="V598" s="647"/>
      <c r="W598" s="647"/>
      <c r="X598" s="647"/>
    </row>
    <row r="599">
      <c r="A599" s="646"/>
      <c r="B599" s="647"/>
      <c r="C599" s="647"/>
      <c r="D599" s="647"/>
      <c r="E599" s="647"/>
      <c r="F599" s="647"/>
      <c r="G599" s="647"/>
      <c r="H599" s="647"/>
      <c r="I599" s="647"/>
      <c r="J599" s="647"/>
      <c r="K599" s="647"/>
      <c r="L599" s="647"/>
      <c r="M599" s="647"/>
      <c r="N599" s="647"/>
      <c r="O599" s="647"/>
      <c r="P599" s="647"/>
      <c r="Q599" s="647"/>
      <c r="R599" s="647"/>
      <c r="S599" s="647"/>
      <c r="T599" s="647"/>
      <c r="U599" s="647"/>
      <c r="V599" s="647"/>
      <c r="W599" s="647"/>
      <c r="X599" s="647"/>
    </row>
    <row r="600">
      <c r="A600" s="646"/>
      <c r="B600" s="647"/>
      <c r="C600" s="647"/>
      <c r="D600" s="647"/>
      <c r="E600" s="647"/>
      <c r="F600" s="647"/>
      <c r="G600" s="647"/>
      <c r="H600" s="647"/>
      <c r="I600" s="647"/>
      <c r="J600" s="647"/>
      <c r="K600" s="647"/>
      <c r="L600" s="647"/>
      <c r="M600" s="647"/>
      <c r="N600" s="647"/>
      <c r="O600" s="647"/>
      <c r="P600" s="647"/>
      <c r="Q600" s="647"/>
      <c r="R600" s="647"/>
      <c r="S600" s="647"/>
      <c r="T600" s="647"/>
      <c r="U600" s="647"/>
      <c r="V600" s="647"/>
      <c r="W600" s="647"/>
      <c r="X600" s="647"/>
    </row>
    <row r="601">
      <c r="A601" s="646"/>
      <c r="B601" s="647"/>
      <c r="C601" s="647"/>
      <c r="D601" s="647"/>
      <c r="E601" s="647"/>
      <c r="F601" s="647"/>
      <c r="G601" s="647"/>
      <c r="H601" s="647"/>
      <c r="I601" s="647"/>
      <c r="J601" s="647"/>
      <c r="K601" s="647"/>
      <c r="L601" s="647"/>
      <c r="M601" s="647"/>
      <c r="N601" s="647"/>
      <c r="O601" s="647"/>
      <c r="P601" s="647"/>
      <c r="Q601" s="647"/>
      <c r="R601" s="647"/>
      <c r="S601" s="647"/>
      <c r="T601" s="647"/>
      <c r="U601" s="647"/>
      <c r="V601" s="647"/>
      <c r="W601" s="647"/>
      <c r="X601" s="647"/>
    </row>
    <row r="602">
      <c r="A602" s="646"/>
      <c r="B602" s="647"/>
      <c r="C602" s="647"/>
      <c r="D602" s="647"/>
      <c r="E602" s="647"/>
      <c r="F602" s="647"/>
      <c r="G602" s="647"/>
      <c r="H602" s="647"/>
      <c r="I602" s="647"/>
      <c r="J602" s="647"/>
      <c r="K602" s="647"/>
      <c r="L602" s="647"/>
      <c r="M602" s="647"/>
      <c r="N602" s="647"/>
      <c r="O602" s="647"/>
      <c r="P602" s="647"/>
      <c r="Q602" s="647"/>
      <c r="R602" s="647"/>
      <c r="S602" s="647"/>
      <c r="T602" s="647"/>
      <c r="U602" s="647"/>
      <c r="V602" s="647"/>
      <c r="W602" s="647"/>
      <c r="X602" s="647"/>
    </row>
    <row r="603">
      <c r="A603" s="646"/>
      <c r="B603" s="647"/>
      <c r="C603" s="647"/>
      <c r="D603" s="647"/>
      <c r="E603" s="647"/>
      <c r="F603" s="647"/>
      <c r="G603" s="647"/>
      <c r="H603" s="647"/>
      <c r="I603" s="647"/>
      <c r="J603" s="647"/>
      <c r="K603" s="647"/>
      <c r="L603" s="647"/>
      <c r="M603" s="647"/>
      <c r="N603" s="647"/>
      <c r="O603" s="647"/>
      <c r="P603" s="647"/>
      <c r="Q603" s="647"/>
      <c r="R603" s="647"/>
      <c r="S603" s="647"/>
      <c r="T603" s="647"/>
      <c r="U603" s="647"/>
      <c r="V603" s="647"/>
      <c r="W603" s="647"/>
      <c r="X603" s="647"/>
    </row>
    <row r="604">
      <c r="A604" s="646"/>
      <c r="B604" s="647"/>
      <c r="C604" s="647"/>
      <c r="D604" s="647"/>
      <c r="E604" s="647"/>
      <c r="F604" s="647"/>
      <c r="G604" s="647"/>
      <c r="H604" s="647"/>
      <c r="I604" s="647"/>
      <c r="J604" s="647"/>
      <c r="K604" s="647"/>
      <c r="L604" s="647"/>
      <c r="M604" s="647"/>
      <c r="N604" s="647"/>
      <c r="O604" s="647"/>
      <c r="P604" s="647"/>
      <c r="Q604" s="647"/>
      <c r="R604" s="647"/>
      <c r="S604" s="647"/>
      <c r="T604" s="647"/>
      <c r="U604" s="647"/>
      <c r="V604" s="647"/>
      <c r="W604" s="647"/>
      <c r="X604" s="647"/>
    </row>
    <row r="605">
      <c r="A605" s="646"/>
      <c r="B605" s="647"/>
      <c r="C605" s="647"/>
      <c r="D605" s="647"/>
      <c r="E605" s="647"/>
      <c r="F605" s="647"/>
      <c r="G605" s="647"/>
      <c r="H605" s="647"/>
      <c r="I605" s="647"/>
      <c r="J605" s="647"/>
      <c r="K605" s="647"/>
      <c r="L605" s="647"/>
      <c r="M605" s="647"/>
      <c r="N605" s="647"/>
      <c r="O605" s="647"/>
      <c r="P605" s="647"/>
      <c r="Q605" s="647"/>
      <c r="R605" s="647"/>
      <c r="S605" s="647"/>
      <c r="T605" s="647"/>
      <c r="U605" s="647"/>
      <c r="V605" s="647"/>
      <c r="W605" s="647"/>
      <c r="X605" s="647"/>
    </row>
    <row r="606">
      <c r="A606" s="646"/>
      <c r="B606" s="647"/>
      <c r="C606" s="647"/>
      <c r="D606" s="647"/>
      <c r="E606" s="647"/>
      <c r="F606" s="647"/>
      <c r="G606" s="647"/>
      <c r="H606" s="647"/>
      <c r="I606" s="647"/>
      <c r="J606" s="647"/>
      <c r="K606" s="647"/>
      <c r="L606" s="647"/>
      <c r="M606" s="647"/>
      <c r="N606" s="647"/>
      <c r="O606" s="647"/>
      <c r="P606" s="647"/>
      <c r="Q606" s="647"/>
      <c r="R606" s="647"/>
      <c r="S606" s="647"/>
      <c r="T606" s="647"/>
      <c r="U606" s="647"/>
      <c r="V606" s="647"/>
      <c r="W606" s="647"/>
      <c r="X606" s="647"/>
    </row>
    <row r="607">
      <c r="A607" s="646"/>
      <c r="B607" s="647"/>
      <c r="C607" s="647"/>
      <c r="D607" s="647"/>
      <c r="E607" s="647"/>
      <c r="F607" s="647"/>
      <c r="G607" s="647"/>
      <c r="H607" s="647"/>
      <c r="I607" s="647"/>
      <c r="J607" s="647"/>
      <c r="K607" s="647"/>
      <c r="L607" s="647"/>
      <c r="M607" s="647"/>
      <c r="N607" s="647"/>
      <c r="O607" s="647"/>
      <c r="P607" s="647"/>
      <c r="Q607" s="647"/>
      <c r="R607" s="647"/>
      <c r="S607" s="647"/>
      <c r="T607" s="647"/>
      <c r="U607" s="647"/>
      <c r="V607" s="647"/>
      <c r="W607" s="647"/>
      <c r="X607" s="647"/>
    </row>
    <row r="608">
      <c r="A608" s="646"/>
      <c r="B608" s="647"/>
      <c r="C608" s="647"/>
      <c r="D608" s="647"/>
      <c r="E608" s="647"/>
      <c r="F608" s="647"/>
      <c r="G608" s="647"/>
      <c r="H608" s="647"/>
      <c r="I608" s="647"/>
      <c r="J608" s="647"/>
      <c r="K608" s="647"/>
      <c r="L608" s="647"/>
      <c r="M608" s="647"/>
      <c r="N608" s="647"/>
      <c r="O608" s="647"/>
      <c r="P608" s="647"/>
      <c r="Q608" s="647"/>
      <c r="R608" s="647"/>
      <c r="S608" s="647"/>
      <c r="T608" s="647"/>
      <c r="U608" s="647"/>
      <c r="V608" s="647"/>
      <c r="W608" s="647"/>
      <c r="X608" s="647"/>
    </row>
    <row r="609">
      <c r="A609" s="646"/>
      <c r="B609" s="647"/>
      <c r="C609" s="647"/>
      <c r="D609" s="647"/>
      <c r="E609" s="647"/>
      <c r="F609" s="647"/>
      <c r="G609" s="647"/>
      <c r="H609" s="647"/>
      <c r="I609" s="647"/>
      <c r="J609" s="647"/>
      <c r="K609" s="647"/>
      <c r="L609" s="647"/>
      <c r="M609" s="647"/>
      <c r="N609" s="647"/>
      <c r="O609" s="647"/>
      <c r="P609" s="647"/>
      <c r="Q609" s="647"/>
      <c r="R609" s="647"/>
      <c r="S609" s="647"/>
      <c r="T609" s="647"/>
      <c r="U609" s="647"/>
      <c r="V609" s="647"/>
      <c r="W609" s="647"/>
      <c r="X609" s="647"/>
    </row>
    <row r="610">
      <c r="A610" s="646"/>
      <c r="B610" s="647"/>
      <c r="C610" s="647"/>
      <c r="D610" s="647"/>
      <c r="E610" s="647"/>
      <c r="F610" s="647"/>
      <c r="G610" s="647"/>
      <c r="H610" s="647"/>
      <c r="I610" s="647"/>
      <c r="J610" s="647"/>
      <c r="K610" s="647"/>
      <c r="L610" s="647"/>
      <c r="M610" s="647"/>
      <c r="N610" s="647"/>
      <c r="O610" s="647"/>
      <c r="P610" s="647"/>
      <c r="Q610" s="647"/>
      <c r="R610" s="647"/>
      <c r="S610" s="647"/>
      <c r="T610" s="647"/>
      <c r="U610" s="647"/>
      <c r="V610" s="647"/>
      <c r="W610" s="647"/>
      <c r="X610" s="647"/>
    </row>
    <row r="611">
      <c r="A611" s="646"/>
      <c r="B611" s="647"/>
      <c r="C611" s="647"/>
      <c r="D611" s="647"/>
      <c r="E611" s="647"/>
      <c r="F611" s="647"/>
      <c r="G611" s="647"/>
      <c r="H611" s="647"/>
      <c r="I611" s="647"/>
      <c r="J611" s="647"/>
      <c r="K611" s="647"/>
      <c r="L611" s="647"/>
      <c r="M611" s="647"/>
      <c r="N611" s="647"/>
      <c r="O611" s="647"/>
      <c r="P611" s="647"/>
      <c r="Q611" s="647"/>
      <c r="R611" s="647"/>
      <c r="S611" s="647"/>
      <c r="T611" s="647"/>
      <c r="U611" s="647"/>
      <c r="V611" s="647"/>
      <c r="W611" s="647"/>
      <c r="X611" s="647"/>
    </row>
    <row r="612">
      <c r="A612" s="646"/>
      <c r="B612" s="647"/>
      <c r="C612" s="647"/>
      <c r="D612" s="647"/>
      <c r="E612" s="647"/>
      <c r="F612" s="647"/>
      <c r="G612" s="647"/>
      <c r="H612" s="647"/>
      <c r="I612" s="647"/>
      <c r="J612" s="647"/>
      <c r="K612" s="647"/>
      <c r="L612" s="647"/>
      <c r="M612" s="647"/>
      <c r="N612" s="647"/>
      <c r="O612" s="647"/>
      <c r="P612" s="647"/>
      <c r="Q612" s="647"/>
      <c r="R612" s="647"/>
      <c r="S612" s="647"/>
      <c r="T612" s="647"/>
      <c r="U612" s="647"/>
      <c r="V612" s="647"/>
      <c r="W612" s="647"/>
      <c r="X612" s="647"/>
    </row>
    <row r="613">
      <c r="A613" s="646"/>
      <c r="B613" s="647"/>
      <c r="C613" s="647"/>
      <c r="D613" s="647"/>
      <c r="E613" s="647"/>
      <c r="F613" s="647"/>
      <c r="G613" s="647"/>
      <c r="H613" s="647"/>
      <c r="I613" s="647"/>
      <c r="J613" s="647"/>
      <c r="K613" s="647"/>
      <c r="L613" s="647"/>
      <c r="M613" s="647"/>
      <c r="N613" s="647"/>
      <c r="O613" s="647"/>
      <c r="P613" s="647"/>
      <c r="Q613" s="647"/>
      <c r="R613" s="647"/>
      <c r="S613" s="647"/>
      <c r="T613" s="647"/>
      <c r="U613" s="647"/>
      <c r="V613" s="647"/>
      <c r="W613" s="647"/>
      <c r="X613" s="647"/>
    </row>
    <row r="614">
      <c r="A614" s="646"/>
      <c r="B614" s="647"/>
      <c r="C614" s="647"/>
      <c r="D614" s="647"/>
      <c r="E614" s="647"/>
      <c r="F614" s="647"/>
      <c r="G614" s="647"/>
      <c r="H614" s="647"/>
      <c r="I614" s="647"/>
      <c r="J614" s="647"/>
      <c r="K614" s="647"/>
      <c r="L614" s="647"/>
      <c r="M614" s="647"/>
      <c r="N614" s="647"/>
      <c r="O614" s="647"/>
      <c r="P614" s="647"/>
      <c r="Q614" s="647"/>
      <c r="R614" s="647"/>
      <c r="S614" s="647"/>
      <c r="T614" s="647"/>
      <c r="U614" s="647"/>
      <c r="V614" s="647"/>
      <c r="W614" s="647"/>
      <c r="X614" s="647"/>
    </row>
    <row r="615">
      <c r="A615" s="646"/>
      <c r="B615" s="647"/>
      <c r="C615" s="647"/>
      <c r="D615" s="647"/>
      <c r="E615" s="647"/>
      <c r="F615" s="647"/>
      <c r="G615" s="647"/>
      <c r="H615" s="647"/>
      <c r="I615" s="647"/>
      <c r="J615" s="647"/>
      <c r="K615" s="647"/>
      <c r="L615" s="647"/>
      <c r="M615" s="647"/>
      <c r="N615" s="647"/>
      <c r="O615" s="647"/>
      <c r="P615" s="647"/>
      <c r="Q615" s="647"/>
      <c r="R615" s="647"/>
      <c r="S615" s="647"/>
      <c r="T615" s="647"/>
      <c r="U615" s="647"/>
      <c r="V615" s="647"/>
      <c r="W615" s="647"/>
      <c r="X615" s="647"/>
    </row>
    <row r="616">
      <c r="A616" s="646"/>
      <c r="B616" s="647"/>
      <c r="C616" s="647"/>
      <c r="D616" s="647"/>
      <c r="E616" s="647"/>
      <c r="F616" s="647"/>
      <c r="G616" s="647"/>
      <c r="H616" s="647"/>
      <c r="I616" s="647"/>
      <c r="J616" s="647"/>
      <c r="K616" s="647"/>
      <c r="L616" s="647"/>
      <c r="M616" s="647"/>
      <c r="N616" s="647"/>
      <c r="O616" s="647"/>
      <c r="P616" s="647"/>
      <c r="Q616" s="647"/>
      <c r="R616" s="647"/>
      <c r="S616" s="647"/>
      <c r="T616" s="647"/>
      <c r="U616" s="647"/>
      <c r="V616" s="647"/>
      <c r="W616" s="647"/>
      <c r="X616" s="647"/>
    </row>
    <row r="617">
      <c r="A617" s="646"/>
      <c r="B617" s="647"/>
      <c r="C617" s="647"/>
      <c r="D617" s="647"/>
      <c r="E617" s="647"/>
      <c r="F617" s="647"/>
      <c r="G617" s="647"/>
      <c r="H617" s="647"/>
      <c r="I617" s="647"/>
      <c r="J617" s="647"/>
      <c r="K617" s="647"/>
      <c r="L617" s="647"/>
      <c r="M617" s="647"/>
      <c r="N617" s="647"/>
      <c r="O617" s="647"/>
      <c r="P617" s="647"/>
      <c r="Q617" s="647"/>
      <c r="R617" s="647"/>
      <c r="S617" s="647"/>
      <c r="T617" s="647"/>
      <c r="U617" s="647"/>
      <c r="V617" s="647"/>
      <c r="W617" s="647"/>
      <c r="X617" s="647"/>
    </row>
    <row r="618">
      <c r="A618" s="646"/>
      <c r="B618" s="647"/>
      <c r="C618" s="647"/>
      <c r="D618" s="647"/>
      <c r="E618" s="647"/>
      <c r="F618" s="647"/>
      <c r="G618" s="647"/>
      <c r="H618" s="647"/>
      <c r="I618" s="647"/>
      <c r="J618" s="647"/>
      <c r="K618" s="647"/>
      <c r="L618" s="647"/>
      <c r="M618" s="647"/>
      <c r="N618" s="647"/>
      <c r="O618" s="647"/>
      <c r="P618" s="647"/>
      <c r="Q618" s="647"/>
      <c r="R618" s="647"/>
      <c r="S618" s="647"/>
      <c r="T618" s="647"/>
      <c r="U618" s="647"/>
      <c r="V618" s="647"/>
      <c r="W618" s="647"/>
      <c r="X618" s="647"/>
    </row>
    <row r="619">
      <c r="A619" s="646"/>
      <c r="B619" s="647"/>
      <c r="C619" s="647"/>
      <c r="D619" s="647"/>
      <c r="E619" s="647"/>
      <c r="F619" s="647"/>
      <c r="G619" s="647"/>
      <c r="H619" s="647"/>
      <c r="I619" s="647"/>
      <c r="J619" s="647"/>
      <c r="K619" s="647"/>
      <c r="L619" s="647"/>
      <c r="M619" s="647"/>
      <c r="N619" s="647"/>
      <c r="O619" s="647"/>
      <c r="P619" s="647"/>
      <c r="Q619" s="647"/>
      <c r="R619" s="647"/>
      <c r="S619" s="647"/>
      <c r="T619" s="647"/>
      <c r="U619" s="647"/>
      <c r="V619" s="647"/>
      <c r="W619" s="647"/>
      <c r="X619" s="647"/>
    </row>
    <row r="620">
      <c r="A620" s="646"/>
      <c r="B620" s="647"/>
      <c r="C620" s="647"/>
      <c r="D620" s="647"/>
      <c r="E620" s="647"/>
      <c r="F620" s="647"/>
      <c r="G620" s="647"/>
      <c r="H620" s="647"/>
      <c r="I620" s="647"/>
      <c r="J620" s="647"/>
      <c r="K620" s="647"/>
      <c r="L620" s="647"/>
      <c r="M620" s="647"/>
      <c r="N620" s="647"/>
      <c r="O620" s="647"/>
      <c r="P620" s="647"/>
      <c r="Q620" s="647"/>
      <c r="R620" s="647"/>
      <c r="S620" s="647"/>
      <c r="T620" s="647"/>
      <c r="U620" s="647"/>
      <c r="V620" s="647"/>
      <c r="W620" s="647"/>
      <c r="X620" s="647"/>
    </row>
    <row r="621">
      <c r="A621" s="646"/>
      <c r="B621" s="647"/>
      <c r="C621" s="647"/>
      <c r="D621" s="647"/>
      <c r="E621" s="647"/>
      <c r="F621" s="647"/>
      <c r="G621" s="647"/>
      <c r="H621" s="647"/>
      <c r="I621" s="647"/>
      <c r="J621" s="647"/>
      <c r="K621" s="647"/>
      <c r="L621" s="647"/>
      <c r="M621" s="647"/>
      <c r="N621" s="647"/>
      <c r="O621" s="647"/>
      <c r="P621" s="647"/>
      <c r="Q621" s="647"/>
      <c r="R621" s="647"/>
      <c r="S621" s="647"/>
      <c r="T621" s="647"/>
      <c r="U621" s="647"/>
      <c r="V621" s="647"/>
      <c r="W621" s="647"/>
      <c r="X621" s="647"/>
    </row>
    <row r="622">
      <c r="A622" s="646"/>
      <c r="B622" s="647"/>
      <c r="C622" s="647"/>
      <c r="D622" s="647"/>
      <c r="E622" s="647"/>
      <c r="F622" s="647"/>
      <c r="G622" s="647"/>
      <c r="H622" s="647"/>
      <c r="I622" s="647"/>
      <c r="J622" s="647"/>
      <c r="K622" s="647"/>
      <c r="L622" s="647"/>
      <c r="M622" s="647"/>
      <c r="N622" s="647"/>
      <c r="O622" s="647"/>
      <c r="P622" s="647"/>
      <c r="Q622" s="647"/>
      <c r="R622" s="647"/>
      <c r="S622" s="647"/>
      <c r="T622" s="647"/>
      <c r="U622" s="647"/>
      <c r="V622" s="647"/>
      <c r="W622" s="647"/>
      <c r="X622" s="647"/>
    </row>
    <row r="623">
      <c r="A623" s="646"/>
      <c r="B623" s="647"/>
      <c r="C623" s="647"/>
      <c r="D623" s="647"/>
      <c r="E623" s="647"/>
      <c r="F623" s="647"/>
      <c r="G623" s="647"/>
      <c r="H623" s="647"/>
      <c r="I623" s="647"/>
      <c r="J623" s="647"/>
      <c r="K623" s="647"/>
      <c r="L623" s="647"/>
      <c r="M623" s="647"/>
      <c r="N623" s="647"/>
      <c r="O623" s="647"/>
      <c r="P623" s="647"/>
      <c r="Q623" s="647"/>
      <c r="R623" s="647"/>
      <c r="S623" s="647"/>
      <c r="T623" s="647"/>
      <c r="U623" s="647"/>
      <c r="V623" s="647"/>
      <c r="W623" s="647"/>
      <c r="X623" s="647"/>
    </row>
    <row r="624">
      <c r="A624" s="646"/>
      <c r="B624" s="647"/>
      <c r="C624" s="647"/>
      <c r="D624" s="647"/>
      <c r="E624" s="647"/>
      <c r="F624" s="647"/>
      <c r="G624" s="647"/>
      <c r="H624" s="647"/>
      <c r="I624" s="647"/>
      <c r="J624" s="647"/>
      <c r="K624" s="647"/>
      <c r="L624" s="647"/>
      <c r="M624" s="647"/>
      <c r="N624" s="647"/>
      <c r="O624" s="647"/>
      <c r="P624" s="647"/>
      <c r="Q624" s="647"/>
      <c r="R624" s="647"/>
      <c r="S624" s="647"/>
      <c r="T624" s="647"/>
      <c r="U624" s="647"/>
      <c r="V624" s="647"/>
      <c r="W624" s="647"/>
      <c r="X624" s="647"/>
    </row>
    <row r="625">
      <c r="A625" s="646"/>
      <c r="B625" s="647"/>
      <c r="C625" s="647"/>
      <c r="D625" s="647"/>
      <c r="E625" s="647"/>
      <c r="F625" s="647"/>
      <c r="G625" s="647"/>
      <c r="H625" s="647"/>
      <c r="I625" s="647"/>
      <c r="J625" s="647"/>
      <c r="K625" s="647"/>
      <c r="L625" s="647"/>
      <c r="M625" s="647"/>
      <c r="N625" s="647"/>
      <c r="O625" s="647"/>
      <c r="P625" s="647"/>
      <c r="Q625" s="647"/>
      <c r="R625" s="647"/>
      <c r="S625" s="647"/>
      <c r="T625" s="647"/>
      <c r="U625" s="647"/>
      <c r="V625" s="647"/>
      <c r="W625" s="647"/>
      <c r="X625" s="647"/>
    </row>
    <row r="626">
      <c r="A626" s="646"/>
      <c r="B626" s="647"/>
      <c r="C626" s="647"/>
      <c r="D626" s="647"/>
      <c r="E626" s="647"/>
      <c r="F626" s="647"/>
      <c r="G626" s="647"/>
      <c r="H626" s="647"/>
      <c r="I626" s="647"/>
      <c r="J626" s="647"/>
      <c r="K626" s="647"/>
      <c r="L626" s="647"/>
      <c r="M626" s="647"/>
      <c r="N626" s="647"/>
      <c r="O626" s="647"/>
      <c r="P626" s="647"/>
      <c r="Q626" s="647"/>
      <c r="R626" s="647"/>
      <c r="S626" s="647"/>
      <c r="T626" s="647"/>
      <c r="U626" s="647"/>
      <c r="V626" s="647"/>
      <c r="W626" s="647"/>
      <c r="X626" s="647"/>
    </row>
    <row r="627">
      <c r="A627" s="646"/>
      <c r="B627" s="647"/>
      <c r="C627" s="647"/>
      <c r="D627" s="647"/>
      <c r="E627" s="647"/>
      <c r="F627" s="647"/>
      <c r="G627" s="647"/>
      <c r="H627" s="647"/>
      <c r="I627" s="647"/>
      <c r="J627" s="647"/>
      <c r="K627" s="647"/>
      <c r="L627" s="647"/>
      <c r="M627" s="647"/>
      <c r="N627" s="647"/>
      <c r="O627" s="647"/>
      <c r="P627" s="647"/>
      <c r="Q627" s="647"/>
      <c r="R627" s="647"/>
      <c r="S627" s="647"/>
      <c r="T627" s="647"/>
      <c r="U627" s="647"/>
      <c r="V627" s="647"/>
      <c r="W627" s="647"/>
      <c r="X627" s="647"/>
    </row>
    <row r="628">
      <c r="A628" s="646"/>
      <c r="B628" s="647"/>
      <c r="C628" s="647"/>
      <c r="D628" s="647"/>
      <c r="E628" s="647"/>
      <c r="F628" s="647"/>
      <c r="G628" s="647"/>
      <c r="H628" s="647"/>
      <c r="I628" s="647"/>
      <c r="J628" s="647"/>
      <c r="K628" s="647"/>
      <c r="L628" s="647"/>
      <c r="M628" s="647"/>
      <c r="N628" s="647"/>
      <c r="O628" s="647"/>
      <c r="P628" s="647"/>
      <c r="Q628" s="647"/>
      <c r="R628" s="647"/>
      <c r="S628" s="647"/>
      <c r="T628" s="647"/>
      <c r="U628" s="647"/>
      <c r="V628" s="647"/>
      <c r="W628" s="647"/>
      <c r="X628" s="647"/>
    </row>
    <row r="629">
      <c r="A629" s="646"/>
      <c r="B629" s="647"/>
      <c r="C629" s="647"/>
      <c r="D629" s="647"/>
      <c r="E629" s="647"/>
      <c r="F629" s="647"/>
      <c r="G629" s="647"/>
      <c r="H629" s="647"/>
      <c r="I629" s="647"/>
      <c r="J629" s="647"/>
      <c r="K629" s="647"/>
      <c r="L629" s="647"/>
      <c r="M629" s="647"/>
      <c r="N629" s="647"/>
      <c r="O629" s="647"/>
      <c r="P629" s="647"/>
      <c r="Q629" s="647"/>
      <c r="R629" s="647"/>
      <c r="S629" s="647"/>
      <c r="T629" s="647"/>
      <c r="U629" s="647"/>
      <c r="V629" s="647"/>
      <c r="W629" s="647"/>
      <c r="X629" s="647"/>
    </row>
    <row r="630">
      <c r="A630" s="646"/>
      <c r="B630" s="647"/>
      <c r="C630" s="647"/>
      <c r="D630" s="647"/>
      <c r="E630" s="647"/>
      <c r="F630" s="647"/>
      <c r="G630" s="647"/>
      <c r="H630" s="647"/>
      <c r="I630" s="647"/>
      <c r="J630" s="647"/>
      <c r="K630" s="647"/>
      <c r="L630" s="647"/>
      <c r="M630" s="647"/>
      <c r="N630" s="647"/>
      <c r="O630" s="647"/>
      <c r="P630" s="647"/>
      <c r="Q630" s="647"/>
      <c r="R630" s="647"/>
      <c r="S630" s="647"/>
      <c r="T630" s="647"/>
      <c r="U630" s="647"/>
      <c r="V630" s="647"/>
      <c r="W630" s="647"/>
      <c r="X630" s="647"/>
    </row>
    <row r="631">
      <c r="A631" s="646"/>
      <c r="B631" s="647"/>
      <c r="C631" s="647"/>
      <c r="D631" s="647"/>
      <c r="E631" s="647"/>
      <c r="F631" s="647"/>
      <c r="G631" s="647"/>
      <c r="H631" s="647"/>
      <c r="I631" s="647"/>
      <c r="J631" s="647"/>
      <c r="K631" s="647"/>
      <c r="L631" s="647"/>
      <c r="M631" s="647"/>
      <c r="N631" s="647"/>
      <c r="O631" s="647"/>
      <c r="P631" s="647"/>
      <c r="Q631" s="647"/>
      <c r="R631" s="647"/>
      <c r="S631" s="647"/>
      <c r="T631" s="647"/>
      <c r="U631" s="647"/>
      <c r="V631" s="647"/>
      <c r="W631" s="647"/>
      <c r="X631" s="647"/>
    </row>
    <row r="632">
      <c r="A632" s="646"/>
      <c r="B632" s="647"/>
      <c r="C632" s="647"/>
      <c r="D632" s="647"/>
      <c r="E632" s="647"/>
      <c r="F632" s="647"/>
      <c r="G632" s="647"/>
      <c r="H632" s="647"/>
      <c r="I632" s="647"/>
      <c r="J632" s="647"/>
      <c r="K632" s="647"/>
      <c r="L632" s="647"/>
      <c r="M632" s="647"/>
      <c r="N632" s="647"/>
      <c r="O632" s="647"/>
      <c r="P632" s="647"/>
      <c r="Q632" s="647"/>
      <c r="R632" s="647"/>
      <c r="S632" s="647"/>
      <c r="T632" s="647"/>
      <c r="U632" s="647"/>
      <c r="V632" s="647"/>
      <c r="W632" s="647"/>
      <c r="X632" s="647"/>
    </row>
    <row r="633">
      <c r="A633" s="646"/>
      <c r="B633" s="647"/>
      <c r="C633" s="647"/>
      <c r="D633" s="647"/>
      <c r="E633" s="647"/>
      <c r="F633" s="647"/>
      <c r="G633" s="647"/>
      <c r="H633" s="647"/>
      <c r="I633" s="647"/>
      <c r="J633" s="647"/>
      <c r="K633" s="647"/>
      <c r="L633" s="647"/>
      <c r="M633" s="647"/>
      <c r="N633" s="647"/>
      <c r="O633" s="647"/>
      <c r="P633" s="647"/>
      <c r="Q633" s="647"/>
      <c r="R633" s="647"/>
      <c r="S633" s="647"/>
      <c r="T633" s="647"/>
      <c r="U633" s="647"/>
      <c r="V633" s="647"/>
      <c r="W633" s="647"/>
      <c r="X633" s="647"/>
    </row>
    <row r="634">
      <c r="A634" s="646"/>
      <c r="B634" s="647"/>
      <c r="C634" s="647"/>
      <c r="D634" s="647"/>
      <c r="E634" s="647"/>
      <c r="F634" s="647"/>
      <c r="G634" s="647"/>
      <c r="H634" s="647"/>
      <c r="I634" s="647"/>
      <c r="J634" s="647"/>
      <c r="K634" s="647"/>
      <c r="L634" s="647"/>
      <c r="M634" s="647"/>
      <c r="N634" s="647"/>
      <c r="O634" s="647"/>
      <c r="P634" s="647"/>
      <c r="Q634" s="647"/>
      <c r="R634" s="647"/>
      <c r="S634" s="647"/>
      <c r="T634" s="647"/>
      <c r="U634" s="647"/>
      <c r="V634" s="647"/>
      <c r="W634" s="647"/>
      <c r="X634" s="647"/>
    </row>
    <row r="635">
      <c r="A635" s="646"/>
      <c r="B635" s="647"/>
      <c r="C635" s="647"/>
      <c r="D635" s="647"/>
      <c r="E635" s="647"/>
      <c r="F635" s="647"/>
      <c r="G635" s="647"/>
      <c r="H635" s="647"/>
      <c r="I635" s="647"/>
      <c r="J635" s="647"/>
      <c r="K635" s="647"/>
      <c r="L635" s="647"/>
      <c r="M635" s="647"/>
      <c r="N635" s="647"/>
      <c r="O635" s="647"/>
      <c r="P635" s="647"/>
      <c r="Q635" s="647"/>
      <c r="R635" s="647"/>
      <c r="S635" s="647"/>
      <c r="T635" s="647"/>
      <c r="U635" s="647"/>
      <c r="V635" s="647"/>
      <c r="W635" s="647"/>
      <c r="X635" s="647"/>
    </row>
    <row r="636">
      <c r="A636" s="646"/>
      <c r="B636" s="647"/>
      <c r="C636" s="647"/>
      <c r="D636" s="647"/>
      <c r="E636" s="647"/>
      <c r="F636" s="647"/>
      <c r="G636" s="647"/>
      <c r="H636" s="647"/>
      <c r="I636" s="647"/>
      <c r="J636" s="647"/>
      <c r="K636" s="647"/>
      <c r="L636" s="647"/>
      <c r="M636" s="647"/>
      <c r="N636" s="647"/>
      <c r="O636" s="647"/>
      <c r="P636" s="647"/>
      <c r="Q636" s="647"/>
      <c r="R636" s="647"/>
      <c r="S636" s="647"/>
      <c r="T636" s="647"/>
      <c r="U636" s="647"/>
      <c r="V636" s="647"/>
      <c r="W636" s="647"/>
      <c r="X636" s="647"/>
    </row>
    <row r="637">
      <c r="A637" s="646"/>
      <c r="B637" s="647"/>
      <c r="C637" s="647"/>
      <c r="D637" s="647"/>
      <c r="E637" s="647"/>
      <c r="F637" s="647"/>
      <c r="G637" s="647"/>
      <c r="H637" s="647"/>
      <c r="I637" s="647"/>
      <c r="J637" s="647"/>
      <c r="K637" s="647"/>
      <c r="L637" s="647"/>
      <c r="M637" s="647"/>
      <c r="N637" s="647"/>
      <c r="O637" s="647"/>
      <c r="P637" s="647"/>
      <c r="Q637" s="647"/>
      <c r="R637" s="647"/>
      <c r="S637" s="647"/>
      <c r="T637" s="647"/>
      <c r="U637" s="647"/>
      <c r="V637" s="647"/>
      <c r="W637" s="647"/>
      <c r="X637" s="647"/>
    </row>
    <row r="638">
      <c r="A638" s="646"/>
      <c r="B638" s="647"/>
      <c r="C638" s="647"/>
      <c r="D638" s="647"/>
      <c r="E638" s="647"/>
      <c r="F638" s="647"/>
      <c r="G638" s="647"/>
      <c r="H638" s="647"/>
      <c r="I638" s="647"/>
      <c r="J638" s="647"/>
      <c r="K638" s="647"/>
      <c r="L638" s="647"/>
      <c r="M638" s="647"/>
      <c r="N638" s="647"/>
      <c r="O638" s="647"/>
      <c r="P638" s="647"/>
      <c r="Q638" s="647"/>
      <c r="R638" s="647"/>
      <c r="S638" s="647"/>
      <c r="T638" s="647"/>
      <c r="U638" s="647"/>
      <c r="V638" s="647"/>
      <c r="W638" s="647"/>
      <c r="X638" s="647"/>
    </row>
    <row r="639">
      <c r="A639" s="646"/>
      <c r="B639" s="647"/>
      <c r="C639" s="647"/>
      <c r="D639" s="647"/>
      <c r="E639" s="647"/>
      <c r="F639" s="647"/>
      <c r="G639" s="647"/>
      <c r="H639" s="647"/>
      <c r="I639" s="647"/>
      <c r="J639" s="647"/>
      <c r="K639" s="647"/>
      <c r="L639" s="647"/>
      <c r="M639" s="647"/>
      <c r="N639" s="647"/>
      <c r="O639" s="647"/>
      <c r="P639" s="647"/>
      <c r="Q639" s="647"/>
      <c r="R639" s="647"/>
      <c r="S639" s="647"/>
      <c r="T639" s="647"/>
      <c r="U639" s="647"/>
      <c r="V639" s="647"/>
      <c r="W639" s="647"/>
      <c r="X639" s="647"/>
    </row>
    <row r="640">
      <c r="A640" s="646"/>
      <c r="B640" s="647"/>
      <c r="C640" s="647"/>
      <c r="D640" s="647"/>
      <c r="E640" s="647"/>
      <c r="F640" s="647"/>
      <c r="G640" s="647"/>
      <c r="H640" s="647"/>
      <c r="I640" s="647"/>
      <c r="J640" s="647"/>
      <c r="K640" s="647"/>
      <c r="L640" s="647"/>
      <c r="M640" s="647"/>
      <c r="N640" s="647"/>
      <c r="O640" s="647"/>
      <c r="P640" s="647"/>
      <c r="Q640" s="647"/>
      <c r="R640" s="647"/>
      <c r="S640" s="647"/>
      <c r="T640" s="647"/>
      <c r="U640" s="647"/>
      <c r="V640" s="647"/>
      <c r="W640" s="647"/>
      <c r="X640" s="647"/>
    </row>
    <row r="641">
      <c r="A641" s="646"/>
      <c r="B641" s="647"/>
      <c r="C641" s="647"/>
      <c r="D641" s="647"/>
      <c r="E641" s="647"/>
      <c r="F641" s="647"/>
      <c r="G641" s="647"/>
      <c r="H641" s="647"/>
      <c r="I641" s="647"/>
      <c r="J641" s="647"/>
      <c r="K641" s="647"/>
      <c r="L641" s="647"/>
      <c r="M641" s="647"/>
      <c r="N641" s="647"/>
      <c r="O641" s="647"/>
      <c r="P641" s="647"/>
      <c r="Q641" s="647"/>
      <c r="R641" s="647"/>
      <c r="S641" s="647"/>
      <c r="T641" s="647"/>
      <c r="U641" s="647"/>
      <c r="V641" s="647"/>
      <c r="W641" s="647"/>
      <c r="X641" s="647"/>
    </row>
    <row r="642">
      <c r="A642" s="646"/>
      <c r="B642" s="647"/>
      <c r="C642" s="647"/>
      <c r="D642" s="647"/>
      <c r="E642" s="647"/>
      <c r="F642" s="647"/>
      <c r="G642" s="647"/>
      <c r="H642" s="647"/>
      <c r="I642" s="647"/>
      <c r="J642" s="647"/>
      <c r="K642" s="647"/>
      <c r="L642" s="647"/>
      <c r="M642" s="647"/>
      <c r="N642" s="647"/>
      <c r="O642" s="647"/>
      <c r="P642" s="647"/>
      <c r="Q642" s="647"/>
      <c r="R642" s="647"/>
      <c r="S642" s="647"/>
      <c r="T642" s="647"/>
      <c r="U642" s="647"/>
      <c r="V642" s="647"/>
      <c r="W642" s="647"/>
      <c r="X642" s="647"/>
    </row>
    <row r="643">
      <c r="A643" s="646"/>
      <c r="B643" s="647"/>
      <c r="C643" s="647"/>
      <c r="D643" s="647"/>
      <c r="E643" s="647"/>
      <c r="F643" s="647"/>
      <c r="G643" s="647"/>
      <c r="H643" s="647"/>
      <c r="I643" s="647"/>
      <c r="J643" s="647"/>
      <c r="K643" s="647"/>
      <c r="L643" s="647"/>
      <c r="M643" s="647"/>
      <c r="N643" s="647"/>
      <c r="O643" s="647"/>
      <c r="P643" s="647"/>
      <c r="Q643" s="647"/>
      <c r="R643" s="647"/>
      <c r="S643" s="647"/>
      <c r="T643" s="647"/>
      <c r="U643" s="647"/>
      <c r="V643" s="647"/>
      <c r="W643" s="647"/>
      <c r="X643" s="647"/>
    </row>
    <row r="644">
      <c r="A644" s="646"/>
      <c r="B644" s="647"/>
      <c r="C644" s="647"/>
      <c r="D644" s="647"/>
      <c r="E644" s="647"/>
      <c r="F644" s="647"/>
      <c r="G644" s="647"/>
      <c r="H644" s="647"/>
      <c r="I644" s="647"/>
      <c r="J644" s="647"/>
      <c r="K644" s="647"/>
      <c r="L644" s="647"/>
      <c r="M644" s="647"/>
      <c r="N644" s="647"/>
      <c r="O644" s="647"/>
      <c r="P644" s="647"/>
      <c r="Q644" s="647"/>
      <c r="R644" s="647"/>
      <c r="S644" s="647"/>
      <c r="T644" s="647"/>
      <c r="U644" s="647"/>
      <c r="V644" s="647"/>
      <c r="W644" s="647"/>
      <c r="X644" s="647"/>
    </row>
    <row r="645">
      <c r="A645" s="646"/>
      <c r="B645" s="647"/>
      <c r="C645" s="647"/>
      <c r="D645" s="647"/>
      <c r="E645" s="647"/>
      <c r="F645" s="647"/>
      <c r="G645" s="647"/>
      <c r="H645" s="647"/>
      <c r="I645" s="647"/>
      <c r="J645" s="647"/>
      <c r="K645" s="647"/>
      <c r="L645" s="647"/>
      <c r="M645" s="647"/>
      <c r="N645" s="647"/>
      <c r="O645" s="647"/>
      <c r="P645" s="647"/>
      <c r="Q645" s="647"/>
      <c r="R645" s="647"/>
      <c r="S645" s="647"/>
      <c r="T645" s="647"/>
      <c r="U645" s="647"/>
      <c r="V645" s="647"/>
      <c r="W645" s="647"/>
      <c r="X645" s="647"/>
    </row>
    <row r="646">
      <c r="A646" s="646"/>
      <c r="B646" s="647"/>
      <c r="C646" s="647"/>
      <c r="D646" s="647"/>
      <c r="E646" s="647"/>
      <c r="F646" s="647"/>
      <c r="G646" s="647"/>
      <c r="H646" s="647"/>
      <c r="I646" s="647"/>
      <c r="J646" s="647"/>
      <c r="K646" s="647"/>
      <c r="L646" s="647"/>
      <c r="M646" s="647"/>
      <c r="N646" s="647"/>
      <c r="O646" s="647"/>
      <c r="P646" s="647"/>
      <c r="Q646" s="647"/>
      <c r="R646" s="647"/>
      <c r="S646" s="647"/>
      <c r="T646" s="647"/>
      <c r="U646" s="647"/>
      <c r="V646" s="647"/>
      <c r="W646" s="647"/>
      <c r="X646" s="647"/>
    </row>
    <row r="647">
      <c r="A647" s="646"/>
      <c r="B647" s="647"/>
      <c r="C647" s="647"/>
      <c r="D647" s="647"/>
      <c r="E647" s="647"/>
      <c r="F647" s="647"/>
      <c r="G647" s="647"/>
      <c r="H647" s="647"/>
      <c r="I647" s="647"/>
      <c r="J647" s="647"/>
      <c r="K647" s="647"/>
      <c r="L647" s="647"/>
      <c r="M647" s="647"/>
      <c r="N647" s="647"/>
      <c r="O647" s="647"/>
      <c r="P647" s="647"/>
      <c r="Q647" s="647"/>
      <c r="R647" s="647"/>
      <c r="S647" s="647"/>
      <c r="T647" s="647"/>
      <c r="U647" s="647"/>
      <c r="V647" s="647"/>
      <c r="W647" s="647"/>
      <c r="X647" s="647"/>
    </row>
    <row r="648">
      <c r="A648" s="646"/>
      <c r="B648" s="647"/>
      <c r="C648" s="647"/>
      <c r="D648" s="647"/>
      <c r="E648" s="647"/>
      <c r="F648" s="647"/>
      <c r="G648" s="647"/>
      <c r="H648" s="647"/>
      <c r="I648" s="647"/>
      <c r="J648" s="647"/>
      <c r="K648" s="647"/>
      <c r="L648" s="647"/>
      <c r="M648" s="647"/>
      <c r="N648" s="647"/>
      <c r="O648" s="647"/>
      <c r="P648" s="647"/>
      <c r="Q648" s="647"/>
      <c r="R648" s="647"/>
      <c r="S648" s="647"/>
      <c r="T648" s="647"/>
      <c r="U648" s="647"/>
      <c r="V648" s="647"/>
      <c r="W648" s="647"/>
      <c r="X648" s="647"/>
    </row>
    <row r="649">
      <c r="A649" s="646"/>
      <c r="B649" s="647"/>
      <c r="C649" s="647"/>
      <c r="D649" s="647"/>
      <c r="E649" s="647"/>
      <c r="F649" s="647"/>
      <c r="G649" s="647"/>
      <c r="H649" s="647"/>
      <c r="I649" s="647"/>
      <c r="J649" s="647"/>
      <c r="K649" s="647"/>
      <c r="L649" s="647"/>
      <c r="M649" s="647"/>
      <c r="N649" s="647"/>
      <c r="O649" s="647"/>
      <c r="P649" s="647"/>
      <c r="Q649" s="647"/>
      <c r="R649" s="647"/>
      <c r="S649" s="647"/>
      <c r="T649" s="647"/>
      <c r="U649" s="647"/>
      <c r="V649" s="647"/>
      <c r="W649" s="647"/>
      <c r="X649" s="647"/>
    </row>
    <row r="650">
      <c r="A650" s="646"/>
      <c r="B650" s="647"/>
      <c r="C650" s="647"/>
      <c r="D650" s="647"/>
      <c r="E650" s="647"/>
      <c r="F650" s="647"/>
      <c r="G650" s="647"/>
      <c r="H650" s="647"/>
      <c r="I650" s="647"/>
      <c r="J650" s="647"/>
      <c r="K650" s="647"/>
      <c r="L650" s="647"/>
      <c r="M650" s="647"/>
      <c r="N650" s="647"/>
      <c r="O650" s="647"/>
      <c r="P650" s="647"/>
      <c r="Q650" s="647"/>
      <c r="R650" s="647"/>
      <c r="S650" s="647"/>
      <c r="T650" s="647"/>
      <c r="U650" s="647"/>
      <c r="V650" s="647"/>
      <c r="W650" s="647"/>
      <c r="X650" s="647"/>
    </row>
    <row r="651">
      <c r="A651" s="646"/>
      <c r="B651" s="647"/>
      <c r="C651" s="647"/>
      <c r="D651" s="647"/>
      <c r="E651" s="647"/>
      <c r="F651" s="647"/>
      <c r="G651" s="647"/>
      <c r="H651" s="647"/>
      <c r="I651" s="647"/>
      <c r="J651" s="647"/>
      <c r="K651" s="647"/>
      <c r="L651" s="647"/>
      <c r="M651" s="647"/>
      <c r="N651" s="647"/>
      <c r="O651" s="647"/>
      <c r="P651" s="647"/>
      <c r="Q651" s="647"/>
      <c r="R651" s="647"/>
      <c r="S651" s="647"/>
      <c r="T651" s="647"/>
      <c r="U651" s="647"/>
      <c r="V651" s="647"/>
      <c r="W651" s="647"/>
      <c r="X651" s="647"/>
    </row>
    <row r="652">
      <c r="A652" s="646"/>
      <c r="B652" s="647"/>
      <c r="C652" s="647"/>
      <c r="D652" s="647"/>
      <c r="E652" s="647"/>
      <c r="F652" s="647"/>
      <c r="G652" s="647"/>
      <c r="H652" s="647"/>
      <c r="I652" s="647"/>
      <c r="J652" s="647"/>
      <c r="K652" s="647"/>
      <c r="L652" s="647"/>
      <c r="M652" s="647"/>
      <c r="N652" s="647"/>
      <c r="O652" s="647"/>
      <c r="P652" s="647"/>
      <c r="Q652" s="647"/>
      <c r="R652" s="647"/>
      <c r="S652" s="647"/>
      <c r="T652" s="647"/>
      <c r="U652" s="647"/>
      <c r="V652" s="647"/>
      <c r="W652" s="647"/>
      <c r="X652" s="647"/>
    </row>
    <row r="653">
      <c r="A653" s="646"/>
      <c r="B653" s="647"/>
      <c r="C653" s="647"/>
      <c r="D653" s="647"/>
      <c r="E653" s="647"/>
      <c r="F653" s="647"/>
      <c r="G653" s="647"/>
      <c r="H653" s="647"/>
      <c r="I653" s="647"/>
      <c r="J653" s="647"/>
      <c r="K653" s="647"/>
      <c r="L653" s="647"/>
      <c r="M653" s="647"/>
      <c r="N653" s="647"/>
      <c r="O653" s="647"/>
      <c r="P653" s="647"/>
      <c r="Q653" s="647"/>
      <c r="R653" s="647"/>
      <c r="S653" s="647"/>
      <c r="T653" s="647"/>
      <c r="U653" s="647"/>
      <c r="V653" s="647"/>
      <c r="W653" s="647"/>
      <c r="X653" s="647"/>
    </row>
    <row r="654">
      <c r="A654" s="646"/>
      <c r="B654" s="647"/>
      <c r="C654" s="647"/>
      <c r="D654" s="647"/>
      <c r="E654" s="647"/>
      <c r="F654" s="647"/>
      <c r="G654" s="647"/>
      <c r="H654" s="647"/>
      <c r="I654" s="647"/>
      <c r="J654" s="647"/>
      <c r="K654" s="647"/>
      <c r="L654" s="647"/>
      <c r="M654" s="647"/>
      <c r="N654" s="647"/>
      <c r="O654" s="647"/>
      <c r="P654" s="647"/>
      <c r="Q654" s="647"/>
      <c r="R654" s="647"/>
      <c r="S654" s="647"/>
      <c r="T654" s="647"/>
      <c r="U654" s="647"/>
      <c r="V654" s="647"/>
      <c r="W654" s="647"/>
      <c r="X654" s="647"/>
    </row>
    <row r="655">
      <c r="A655" s="646"/>
      <c r="B655" s="647"/>
      <c r="C655" s="647"/>
      <c r="D655" s="647"/>
      <c r="E655" s="647"/>
      <c r="F655" s="647"/>
      <c r="G655" s="647"/>
      <c r="H655" s="647"/>
      <c r="I655" s="647"/>
      <c r="J655" s="647"/>
      <c r="K655" s="647"/>
      <c r="L655" s="647"/>
      <c r="M655" s="647"/>
      <c r="N655" s="647"/>
      <c r="O655" s="647"/>
      <c r="P655" s="647"/>
      <c r="Q655" s="647"/>
      <c r="R655" s="647"/>
      <c r="S655" s="647"/>
      <c r="T655" s="647"/>
      <c r="U655" s="647"/>
      <c r="V655" s="647"/>
      <c r="W655" s="647"/>
      <c r="X655" s="647"/>
    </row>
    <row r="656">
      <c r="A656" s="646"/>
      <c r="B656" s="647"/>
      <c r="C656" s="647"/>
      <c r="D656" s="647"/>
      <c r="E656" s="647"/>
      <c r="F656" s="647"/>
      <c r="G656" s="647"/>
      <c r="H656" s="647"/>
      <c r="I656" s="647"/>
      <c r="J656" s="647"/>
      <c r="K656" s="647"/>
      <c r="L656" s="647"/>
      <c r="M656" s="647"/>
      <c r="N656" s="647"/>
      <c r="O656" s="647"/>
      <c r="P656" s="647"/>
      <c r="Q656" s="647"/>
      <c r="R656" s="647"/>
      <c r="S656" s="647"/>
      <c r="T656" s="647"/>
      <c r="U656" s="647"/>
      <c r="V656" s="647"/>
      <c r="W656" s="647"/>
      <c r="X656" s="647"/>
    </row>
    <row r="657">
      <c r="A657" s="646"/>
      <c r="B657" s="647"/>
      <c r="C657" s="647"/>
      <c r="D657" s="647"/>
      <c r="E657" s="647"/>
      <c r="F657" s="647"/>
      <c r="G657" s="647"/>
      <c r="H657" s="647"/>
      <c r="I657" s="647"/>
      <c r="J657" s="647"/>
      <c r="K657" s="647"/>
      <c r="L657" s="647"/>
      <c r="M657" s="647"/>
      <c r="N657" s="647"/>
      <c r="O657" s="647"/>
      <c r="P657" s="647"/>
      <c r="Q657" s="647"/>
      <c r="R657" s="647"/>
      <c r="S657" s="647"/>
      <c r="T657" s="647"/>
      <c r="U657" s="647"/>
      <c r="V657" s="647"/>
      <c r="W657" s="647"/>
      <c r="X657" s="647"/>
    </row>
    <row r="658">
      <c r="A658" s="646"/>
      <c r="B658" s="647"/>
      <c r="C658" s="647"/>
      <c r="D658" s="647"/>
      <c r="E658" s="647"/>
      <c r="F658" s="647"/>
      <c r="G658" s="647"/>
      <c r="H658" s="647"/>
      <c r="I658" s="647"/>
      <c r="J658" s="647"/>
      <c r="K658" s="647"/>
      <c r="L658" s="647"/>
      <c r="M658" s="647"/>
      <c r="N658" s="647"/>
      <c r="O658" s="647"/>
      <c r="P658" s="647"/>
      <c r="Q658" s="647"/>
      <c r="R658" s="647"/>
      <c r="S658" s="647"/>
      <c r="T658" s="647"/>
      <c r="U658" s="647"/>
      <c r="V658" s="647"/>
      <c r="W658" s="647"/>
      <c r="X658" s="647"/>
    </row>
    <row r="659">
      <c r="A659" s="646"/>
      <c r="B659" s="647"/>
      <c r="C659" s="647"/>
      <c r="D659" s="647"/>
      <c r="E659" s="647"/>
      <c r="F659" s="647"/>
      <c r="G659" s="647"/>
      <c r="H659" s="647"/>
      <c r="I659" s="647"/>
      <c r="J659" s="647"/>
      <c r="K659" s="647"/>
      <c r="L659" s="647"/>
      <c r="M659" s="647"/>
      <c r="N659" s="647"/>
      <c r="O659" s="647"/>
      <c r="P659" s="647"/>
      <c r="Q659" s="647"/>
      <c r="R659" s="647"/>
      <c r="S659" s="647"/>
      <c r="T659" s="647"/>
      <c r="U659" s="647"/>
      <c r="V659" s="647"/>
      <c r="W659" s="647"/>
      <c r="X659" s="647"/>
    </row>
    <row r="660">
      <c r="A660" s="646"/>
      <c r="B660" s="647"/>
      <c r="C660" s="647"/>
      <c r="D660" s="647"/>
      <c r="E660" s="647"/>
      <c r="F660" s="647"/>
      <c r="G660" s="647"/>
      <c r="H660" s="647"/>
      <c r="I660" s="647"/>
      <c r="J660" s="647"/>
      <c r="K660" s="647"/>
      <c r="L660" s="647"/>
      <c r="M660" s="647"/>
      <c r="N660" s="647"/>
      <c r="O660" s="647"/>
      <c r="P660" s="647"/>
      <c r="Q660" s="647"/>
      <c r="R660" s="647"/>
      <c r="S660" s="647"/>
      <c r="T660" s="647"/>
      <c r="U660" s="647"/>
      <c r="V660" s="647"/>
      <c r="W660" s="647"/>
      <c r="X660" s="647"/>
    </row>
    <row r="661">
      <c r="A661" s="646"/>
      <c r="B661" s="647"/>
      <c r="C661" s="647"/>
      <c r="D661" s="647"/>
      <c r="E661" s="647"/>
      <c r="F661" s="647"/>
      <c r="G661" s="647"/>
      <c r="H661" s="647"/>
      <c r="I661" s="647"/>
      <c r="J661" s="647"/>
      <c r="K661" s="647"/>
      <c r="L661" s="647"/>
      <c r="M661" s="647"/>
      <c r="N661" s="647"/>
      <c r="O661" s="647"/>
      <c r="P661" s="647"/>
      <c r="Q661" s="647"/>
      <c r="R661" s="647"/>
      <c r="S661" s="647"/>
      <c r="T661" s="647"/>
      <c r="U661" s="647"/>
      <c r="V661" s="647"/>
      <c r="W661" s="647"/>
      <c r="X661" s="647"/>
    </row>
    <row r="662">
      <c r="A662" s="646"/>
      <c r="B662" s="647"/>
      <c r="C662" s="647"/>
      <c r="D662" s="647"/>
      <c r="E662" s="647"/>
      <c r="F662" s="647"/>
      <c r="G662" s="647"/>
      <c r="H662" s="647"/>
      <c r="I662" s="647"/>
      <c r="J662" s="647"/>
      <c r="K662" s="647"/>
      <c r="L662" s="647"/>
      <c r="M662" s="647"/>
      <c r="N662" s="647"/>
      <c r="O662" s="647"/>
      <c r="P662" s="647"/>
      <c r="Q662" s="647"/>
      <c r="R662" s="647"/>
      <c r="S662" s="647"/>
      <c r="T662" s="647"/>
      <c r="U662" s="647"/>
      <c r="V662" s="647"/>
      <c r="W662" s="647"/>
      <c r="X662" s="647"/>
    </row>
    <row r="663">
      <c r="A663" s="646"/>
      <c r="B663" s="647"/>
      <c r="C663" s="647"/>
      <c r="D663" s="647"/>
      <c r="E663" s="647"/>
      <c r="F663" s="647"/>
      <c r="G663" s="647"/>
      <c r="H663" s="647"/>
      <c r="I663" s="647"/>
      <c r="J663" s="647"/>
      <c r="K663" s="647"/>
      <c r="L663" s="647"/>
      <c r="M663" s="647"/>
      <c r="N663" s="647"/>
      <c r="O663" s="647"/>
      <c r="P663" s="647"/>
      <c r="Q663" s="647"/>
      <c r="R663" s="647"/>
      <c r="S663" s="647"/>
      <c r="T663" s="647"/>
      <c r="U663" s="647"/>
      <c r="V663" s="647"/>
      <c r="W663" s="647"/>
      <c r="X663" s="647"/>
    </row>
    <row r="664">
      <c r="A664" s="646"/>
      <c r="B664" s="647"/>
      <c r="C664" s="647"/>
      <c r="D664" s="647"/>
      <c r="E664" s="647"/>
      <c r="F664" s="647"/>
      <c r="G664" s="647"/>
      <c r="H664" s="647"/>
      <c r="I664" s="647"/>
      <c r="J664" s="647"/>
      <c r="K664" s="647"/>
      <c r="L664" s="647"/>
      <c r="M664" s="647"/>
      <c r="N664" s="647"/>
      <c r="O664" s="647"/>
      <c r="P664" s="647"/>
      <c r="Q664" s="647"/>
      <c r="R664" s="647"/>
      <c r="S664" s="647"/>
      <c r="T664" s="647"/>
      <c r="U664" s="647"/>
      <c r="V664" s="647"/>
      <c r="W664" s="647"/>
      <c r="X664" s="647"/>
    </row>
    <row r="665">
      <c r="A665" s="646"/>
      <c r="B665" s="647"/>
      <c r="C665" s="647"/>
      <c r="D665" s="647"/>
      <c r="E665" s="647"/>
      <c r="F665" s="647"/>
      <c r="G665" s="647"/>
      <c r="H665" s="647"/>
      <c r="I665" s="647"/>
      <c r="J665" s="647"/>
      <c r="K665" s="647"/>
      <c r="L665" s="647"/>
      <c r="M665" s="647"/>
      <c r="N665" s="647"/>
      <c r="O665" s="647"/>
      <c r="P665" s="647"/>
      <c r="Q665" s="647"/>
      <c r="R665" s="647"/>
      <c r="S665" s="647"/>
      <c r="T665" s="647"/>
      <c r="U665" s="647"/>
      <c r="V665" s="647"/>
      <c r="W665" s="647"/>
      <c r="X665" s="647"/>
    </row>
    <row r="666">
      <c r="A666" s="646"/>
      <c r="B666" s="647"/>
      <c r="C666" s="647"/>
      <c r="D666" s="647"/>
      <c r="E666" s="647"/>
      <c r="F666" s="647"/>
      <c r="G666" s="647"/>
      <c r="H666" s="647"/>
      <c r="I666" s="647"/>
      <c r="J666" s="647"/>
      <c r="K666" s="647"/>
      <c r="L666" s="647"/>
      <c r="M666" s="647"/>
      <c r="N666" s="647"/>
      <c r="O666" s="647"/>
      <c r="P666" s="647"/>
      <c r="Q666" s="647"/>
      <c r="R666" s="647"/>
      <c r="S666" s="647"/>
      <c r="T666" s="647"/>
      <c r="U666" s="647"/>
      <c r="V666" s="647"/>
      <c r="W666" s="647"/>
      <c r="X666" s="647"/>
    </row>
    <row r="667">
      <c r="A667" s="646"/>
      <c r="B667" s="647"/>
      <c r="C667" s="647"/>
      <c r="D667" s="647"/>
      <c r="E667" s="647"/>
      <c r="F667" s="647"/>
      <c r="G667" s="647"/>
      <c r="H667" s="647"/>
      <c r="I667" s="647"/>
      <c r="J667" s="647"/>
      <c r="K667" s="647"/>
      <c r="L667" s="647"/>
      <c r="M667" s="647"/>
      <c r="N667" s="647"/>
      <c r="O667" s="647"/>
      <c r="P667" s="647"/>
      <c r="Q667" s="647"/>
      <c r="R667" s="647"/>
      <c r="S667" s="647"/>
      <c r="T667" s="647"/>
      <c r="U667" s="647"/>
      <c r="V667" s="647"/>
      <c r="W667" s="647"/>
      <c r="X667" s="647"/>
    </row>
    <row r="668">
      <c r="A668" s="646"/>
      <c r="B668" s="647"/>
      <c r="C668" s="647"/>
      <c r="D668" s="647"/>
      <c r="E668" s="647"/>
      <c r="F668" s="647"/>
      <c r="G668" s="647"/>
      <c r="H668" s="647"/>
      <c r="I668" s="647"/>
      <c r="J668" s="647"/>
      <c r="K668" s="647"/>
      <c r="L668" s="647"/>
      <c r="M668" s="647"/>
      <c r="N668" s="647"/>
      <c r="O668" s="647"/>
      <c r="P668" s="647"/>
      <c r="Q668" s="647"/>
      <c r="R668" s="647"/>
      <c r="S668" s="647"/>
      <c r="T668" s="647"/>
      <c r="U668" s="647"/>
      <c r="V668" s="647"/>
      <c r="W668" s="647"/>
      <c r="X668" s="647"/>
    </row>
    <row r="669">
      <c r="A669" s="646"/>
      <c r="B669" s="647"/>
      <c r="C669" s="647"/>
      <c r="D669" s="647"/>
      <c r="E669" s="647"/>
      <c r="F669" s="647"/>
      <c r="G669" s="647"/>
      <c r="H669" s="647"/>
      <c r="I669" s="647"/>
      <c r="J669" s="647"/>
      <c r="K669" s="647"/>
      <c r="L669" s="647"/>
      <c r="M669" s="647"/>
      <c r="N669" s="647"/>
      <c r="O669" s="647"/>
      <c r="P669" s="647"/>
      <c r="Q669" s="647"/>
      <c r="R669" s="647"/>
      <c r="S669" s="647"/>
      <c r="T669" s="647"/>
      <c r="U669" s="647"/>
      <c r="V669" s="647"/>
      <c r="W669" s="647"/>
      <c r="X669" s="647"/>
    </row>
    <row r="670">
      <c r="A670" s="646"/>
      <c r="B670" s="647"/>
      <c r="C670" s="647"/>
      <c r="D670" s="647"/>
      <c r="E670" s="647"/>
      <c r="F670" s="647"/>
      <c r="G670" s="647"/>
      <c r="H670" s="647"/>
      <c r="I670" s="647"/>
      <c r="J670" s="647"/>
      <c r="K670" s="647"/>
      <c r="L670" s="647"/>
      <c r="M670" s="647"/>
      <c r="N670" s="647"/>
      <c r="O670" s="647"/>
      <c r="P670" s="647"/>
      <c r="Q670" s="647"/>
      <c r="R670" s="647"/>
      <c r="S670" s="647"/>
      <c r="T670" s="647"/>
      <c r="U670" s="647"/>
      <c r="V670" s="647"/>
      <c r="W670" s="647"/>
      <c r="X670" s="647"/>
    </row>
    <row r="671">
      <c r="A671" s="646"/>
      <c r="B671" s="647"/>
      <c r="C671" s="647"/>
      <c r="D671" s="647"/>
      <c r="E671" s="647"/>
      <c r="F671" s="647"/>
      <c r="G671" s="647"/>
      <c r="H671" s="647"/>
      <c r="I671" s="647"/>
      <c r="J671" s="647"/>
      <c r="K671" s="647"/>
      <c r="L671" s="647"/>
      <c r="M671" s="647"/>
      <c r="N671" s="647"/>
      <c r="O671" s="647"/>
      <c r="P671" s="647"/>
      <c r="Q671" s="647"/>
      <c r="R671" s="647"/>
      <c r="S671" s="647"/>
      <c r="T671" s="647"/>
      <c r="U671" s="647"/>
      <c r="V671" s="647"/>
      <c r="W671" s="647"/>
      <c r="X671" s="647"/>
    </row>
    <row r="672">
      <c r="A672" s="646"/>
      <c r="B672" s="647"/>
      <c r="C672" s="647"/>
      <c r="D672" s="647"/>
      <c r="E672" s="647"/>
      <c r="F672" s="647"/>
      <c r="G672" s="647"/>
      <c r="H672" s="647"/>
      <c r="I672" s="647"/>
      <c r="J672" s="647"/>
      <c r="K672" s="647"/>
      <c r="L672" s="647"/>
      <c r="M672" s="647"/>
      <c r="N672" s="647"/>
      <c r="O672" s="647"/>
      <c r="P672" s="647"/>
      <c r="Q672" s="647"/>
      <c r="R672" s="647"/>
      <c r="S672" s="647"/>
      <c r="T672" s="647"/>
      <c r="U672" s="647"/>
      <c r="V672" s="647"/>
      <c r="W672" s="647"/>
      <c r="X672" s="647"/>
    </row>
    <row r="673">
      <c r="A673" s="646"/>
      <c r="B673" s="647"/>
      <c r="C673" s="647"/>
      <c r="D673" s="647"/>
      <c r="E673" s="647"/>
      <c r="F673" s="647"/>
      <c r="G673" s="647"/>
      <c r="H673" s="647"/>
      <c r="I673" s="647"/>
      <c r="J673" s="647"/>
      <c r="K673" s="647"/>
      <c r="L673" s="647"/>
      <c r="M673" s="647"/>
      <c r="N673" s="647"/>
      <c r="O673" s="647"/>
      <c r="P673" s="647"/>
      <c r="Q673" s="647"/>
      <c r="R673" s="647"/>
      <c r="S673" s="647"/>
      <c r="T673" s="647"/>
      <c r="U673" s="647"/>
      <c r="V673" s="647"/>
      <c r="W673" s="647"/>
      <c r="X673" s="647"/>
    </row>
    <row r="674">
      <c r="A674" s="646"/>
      <c r="B674" s="647"/>
      <c r="C674" s="647"/>
      <c r="D674" s="647"/>
      <c r="E674" s="647"/>
      <c r="F674" s="647"/>
      <c r="G674" s="647"/>
      <c r="H674" s="647"/>
      <c r="I674" s="647"/>
      <c r="J674" s="647"/>
      <c r="K674" s="647"/>
      <c r="L674" s="647"/>
      <c r="M674" s="647"/>
      <c r="N674" s="647"/>
      <c r="O674" s="647"/>
      <c r="P674" s="647"/>
      <c r="Q674" s="647"/>
      <c r="R674" s="647"/>
      <c r="S674" s="647"/>
      <c r="T674" s="647"/>
      <c r="U674" s="647"/>
      <c r="V674" s="647"/>
      <c r="W674" s="647"/>
      <c r="X674" s="647"/>
    </row>
    <row r="675">
      <c r="A675" s="646"/>
      <c r="B675" s="647"/>
      <c r="C675" s="647"/>
      <c r="D675" s="647"/>
      <c r="E675" s="647"/>
      <c r="F675" s="647"/>
      <c r="G675" s="647"/>
      <c r="H675" s="647"/>
      <c r="I675" s="647"/>
      <c r="J675" s="647"/>
      <c r="K675" s="647"/>
      <c r="L675" s="647"/>
      <c r="M675" s="647"/>
      <c r="N675" s="647"/>
      <c r="O675" s="647"/>
      <c r="P675" s="647"/>
      <c r="Q675" s="647"/>
      <c r="R675" s="647"/>
      <c r="S675" s="647"/>
      <c r="T675" s="647"/>
      <c r="U675" s="647"/>
      <c r="V675" s="647"/>
      <c r="W675" s="647"/>
      <c r="X675" s="647"/>
    </row>
    <row r="676">
      <c r="A676" s="646"/>
      <c r="B676" s="647"/>
      <c r="C676" s="647"/>
      <c r="D676" s="647"/>
      <c r="E676" s="647"/>
      <c r="F676" s="647"/>
      <c r="G676" s="647"/>
      <c r="H676" s="647"/>
      <c r="I676" s="647"/>
      <c r="J676" s="647"/>
      <c r="K676" s="647"/>
      <c r="L676" s="647"/>
      <c r="M676" s="647"/>
      <c r="N676" s="647"/>
      <c r="O676" s="647"/>
      <c r="P676" s="647"/>
      <c r="Q676" s="647"/>
      <c r="R676" s="647"/>
      <c r="S676" s="647"/>
      <c r="T676" s="647"/>
      <c r="U676" s="647"/>
      <c r="V676" s="647"/>
      <c r="W676" s="647"/>
      <c r="X676" s="647"/>
    </row>
    <row r="677">
      <c r="A677" s="646"/>
      <c r="B677" s="647"/>
      <c r="C677" s="647"/>
      <c r="D677" s="647"/>
      <c r="E677" s="647"/>
      <c r="F677" s="647"/>
      <c r="G677" s="647"/>
      <c r="H677" s="647"/>
      <c r="I677" s="647"/>
      <c r="J677" s="647"/>
      <c r="K677" s="647"/>
      <c r="L677" s="647"/>
      <c r="M677" s="647"/>
      <c r="N677" s="647"/>
      <c r="O677" s="647"/>
      <c r="P677" s="647"/>
      <c r="Q677" s="647"/>
      <c r="R677" s="647"/>
      <c r="S677" s="647"/>
      <c r="T677" s="647"/>
      <c r="U677" s="647"/>
      <c r="V677" s="647"/>
      <c r="W677" s="647"/>
      <c r="X677" s="647"/>
    </row>
    <row r="678">
      <c r="A678" s="646"/>
      <c r="B678" s="647"/>
      <c r="C678" s="647"/>
      <c r="D678" s="647"/>
      <c r="E678" s="647"/>
      <c r="F678" s="647"/>
      <c r="G678" s="647"/>
      <c r="H678" s="647"/>
      <c r="I678" s="647"/>
      <c r="J678" s="647"/>
      <c r="K678" s="647"/>
      <c r="L678" s="647"/>
      <c r="M678" s="647"/>
      <c r="N678" s="647"/>
      <c r="O678" s="647"/>
      <c r="P678" s="647"/>
      <c r="Q678" s="647"/>
      <c r="R678" s="647"/>
      <c r="S678" s="647"/>
      <c r="T678" s="647"/>
      <c r="U678" s="647"/>
      <c r="V678" s="647"/>
      <c r="W678" s="647"/>
      <c r="X678" s="647"/>
    </row>
    <row r="679">
      <c r="A679" s="646"/>
      <c r="B679" s="647"/>
      <c r="C679" s="647"/>
      <c r="D679" s="647"/>
      <c r="E679" s="647"/>
      <c r="F679" s="647"/>
      <c r="G679" s="647"/>
      <c r="H679" s="647"/>
      <c r="I679" s="647"/>
      <c r="J679" s="647"/>
      <c r="K679" s="647"/>
      <c r="L679" s="647"/>
      <c r="M679" s="647"/>
      <c r="N679" s="647"/>
      <c r="O679" s="647"/>
      <c r="P679" s="647"/>
      <c r="Q679" s="647"/>
      <c r="R679" s="647"/>
      <c r="S679" s="647"/>
      <c r="T679" s="647"/>
      <c r="U679" s="647"/>
      <c r="V679" s="647"/>
      <c r="W679" s="647"/>
      <c r="X679" s="647"/>
    </row>
    <row r="680">
      <c r="A680" s="646"/>
      <c r="B680" s="647"/>
      <c r="C680" s="647"/>
      <c r="D680" s="647"/>
      <c r="E680" s="647"/>
      <c r="F680" s="647"/>
      <c r="G680" s="647"/>
      <c r="H680" s="647"/>
      <c r="I680" s="647"/>
      <c r="J680" s="647"/>
      <c r="K680" s="647"/>
      <c r="L680" s="647"/>
      <c r="M680" s="647"/>
      <c r="N680" s="647"/>
      <c r="O680" s="647"/>
      <c r="P680" s="647"/>
      <c r="Q680" s="647"/>
      <c r="R680" s="647"/>
      <c r="S680" s="647"/>
      <c r="T680" s="647"/>
      <c r="U680" s="647"/>
      <c r="V680" s="647"/>
      <c r="W680" s="647"/>
      <c r="X680" s="647"/>
    </row>
    <row r="681">
      <c r="A681" s="646"/>
      <c r="B681" s="647"/>
      <c r="C681" s="647"/>
      <c r="D681" s="647"/>
      <c r="E681" s="647"/>
      <c r="F681" s="647"/>
      <c r="G681" s="647"/>
      <c r="H681" s="647"/>
      <c r="I681" s="647"/>
      <c r="J681" s="647"/>
      <c r="K681" s="647"/>
      <c r="L681" s="647"/>
      <c r="M681" s="647"/>
      <c r="N681" s="647"/>
      <c r="O681" s="647"/>
      <c r="P681" s="647"/>
      <c r="Q681" s="647"/>
      <c r="R681" s="647"/>
      <c r="S681" s="647"/>
      <c r="T681" s="647"/>
      <c r="U681" s="647"/>
      <c r="V681" s="647"/>
      <c r="W681" s="647"/>
      <c r="X681" s="647"/>
    </row>
    <row r="682">
      <c r="A682" s="646"/>
      <c r="B682" s="647"/>
      <c r="C682" s="647"/>
      <c r="D682" s="647"/>
      <c r="E682" s="647"/>
      <c r="F682" s="647"/>
      <c r="G682" s="647"/>
      <c r="H682" s="647"/>
      <c r="I682" s="647"/>
      <c r="J682" s="647"/>
      <c r="K682" s="647"/>
      <c r="L682" s="647"/>
      <c r="M682" s="647"/>
      <c r="N682" s="647"/>
      <c r="O682" s="647"/>
      <c r="P682" s="647"/>
      <c r="Q682" s="647"/>
      <c r="R682" s="647"/>
      <c r="S682" s="647"/>
      <c r="T682" s="647"/>
      <c r="U682" s="647"/>
      <c r="V682" s="647"/>
      <c r="W682" s="647"/>
      <c r="X682" s="647"/>
    </row>
    <row r="683">
      <c r="A683" s="646"/>
      <c r="B683" s="647"/>
      <c r="C683" s="647"/>
      <c r="D683" s="647"/>
      <c r="E683" s="647"/>
      <c r="F683" s="647"/>
      <c r="G683" s="647"/>
      <c r="H683" s="647"/>
      <c r="I683" s="647"/>
      <c r="J683" s="647"/>
      <c r="K683" s="647"/>
      <c r="L683" s="647"/>
      <c r="M683" s="647"/>
      <c r="N683" s="647"/>
      <c r="O683" s="647"/>
      <c r="P683" s="647"/>
      <c r="Q683" s="647"/>
      <c r="R683" s="647"/>
      <c r="S683" s="647"/>
      <c r="T683" s="647"/>
      <c r="U683" s="647"/>
      <c r="V683" s="647"/>
      <c r="W683" s="647"/>
      <c r="X683" s="647"/>
    </row>
    <row r="684">
      <c r="A684" s="646"/>
      <c r="B684" s="647"/>
      <c r="C684" s="647"/>
      <c r="D684" s="647"/>
      <c r="E684" s="647"/>
      <c r="F684" s="647"/>
      <c r="G684" s="647"/>
      <c r="H684" s="647"/>
      <c r="I684" s="647"/>
      <c r="J684" s="647"/>
      <c r="K684" s="647"/>
      <c r="L684" s="647"/>
      <c r="M684" s="647"/>
      <c r="N684" s="647"/>
      <c r="O684" s="647"/>
      <c r="P684" s="647"/>
      <c r="Q684" s="647"/>
      <c r="R684" s="647"/>
      <c r="S684" s="647"/>
      <c r="T684" s="647"/>
      <c r="U684" s="647"/>
      <c r="V684" s="647"/>
      <c r="W684" s="647"/>
      <c r="X684" s="647"/>
    </row>
    <row r="685">
      <c r="A685" s="646"/>
      <c r="B685" s="647"/>
      <c r="C685" s="647"/>
      <c r="D685" s="647"/>
      <c r="E685" s="647"/>
      <c r="F685" s="647"/>
      <c r="G685" s="647"/>
      <c r="H685" s="647"/>
      <c r="I685" s="647"/>
      <c r="J685" s="647"/>
      <c r="K685" s="647"/>
      <c r="L685" s="647"/>
      <c r="M685" s="647"/>
      <c r="N685" s="647"/>
      <c r="O685" s="647"/>
      <c r="P685" s="647"/>
      <c r="Q685" s="647"/>
      <c r="R685" s="647"/>
      <c r="S685" s="647"/>
      <c r="T685" s="647"/>
      <c r="U685" s="647"/>
      <c r="V685" s="647"/>
      <c r="W685" s="647"/>
      <c r="X685" s="647"/>
    </row>
    <row r="686">
      <c r="A686" s="646"/>
      <c r="B686" s="647"/>
      <c r="C686" s="647"/>
      <c r="D686" s="647"/>
      <c r="E686" s="647"/>
      <c r="F686" s="647"/>
      <c r="G686" s="647"/>
      <c r="H686" s="647"/>
      <c r="I686" s="647"/>
      <c r="J686" s="647"/>
      <c r="K686" s="647"/>
      <c r="L686" s="647"/>
      <c r="M686" s="647"/>
      <c r="N686" s="647"/>
      <c r="O686" s="647"/>
      <c r="P686" s="647"/>
      <c r="Q686" s="647"/>
      <c r="R686" s="647"/>
      <c r="S686" s="647"/>
      <c r="T686" s="647"/>
      <c r="U686" s="647"/>
      <c r="V686" s="647"/>
      <c r="W686" s="647"/>
      <c r="X686" s="647"/>
    </row>
    <row r="687">
      <c r="A687" s="646"/>
      <c r="B687" s="647"/>
      <c r="C687" s="647"/>
      <c r="D687" s="647"/>
      <c r="E687" s="647"/>
      <c r="F687" s="647"/>
      <c r="G687" s="647"/>
      <c r="H687" s="647"/>
      <c r="I687" s="647"/>
      <c r="J687" s="647"/>
      <c r="K687" s="647"/>
      <c r="L687" s="647"/>
      <c r="M687" s="647"/>
      <c r="N687" s="647"/>
      <c r="O687" s="647"/>
      <c r="P687" s="647"/>
      <c r="Q687" s="647"/>
      <c r="R687" s="647"/>
      <c r="S687" s="647"/>
      <c r="T687" s="647"/>
      <c r="U687" s="647"/>
      <c r="V687" s="647"/>
      <c r="W687" s="647"/>
      <c r="X687" s="647"/>
    </row>
    <row r="688">
      <c r="A688" s="646"/>
      <c r="B688" s="647"/>
      <c r="C688" s="647"/>
      <c r="D688" s="647"/>
      <c r="E688" s="647"/>
      <c r="F688" s="647"/>
      <c r="G688" s="647"/>
      <c r="H688" s="647"/>
      <c r="I688" s="647"/>
      <c r="J688" s="647"/>
      <c r="K688" s="647"/>
      <c r="L688" s="647"/>
      <c r="M688" s="647"/>
      <c r="N688" s="647"/>
      <c r="O688" s="647"/>
      <c r="P688" s="647"/>
      <c r="Q688" s="647"/>
      <c r="R688" s="647"/>
      <c r="S688" s="647"/>
      <c r="T688" s="647"/>
      <c r="U688" s="647"/>
      <c r="V688" s="647"/>
      <c r="W688" s="647"/>
      <c r="X688" s="647"/>
    </row>
    <row r="689">
      <c r="A689" s="646"/>
      <c r="B689" s="647"/>
      <c r="C689" s="647"/>
      <c r="D689" s="647"/>
      <c r="E689" s="647"/>
      <c r="F689" s="647"/>
      <c r="G689" s="647"/>
      <c r="H689" s="647"/>
      <c r="I689" s="647"/>
      <c r="J689" s="647"/>
      <c r="K689" s="647"/>
      <c r="L689" s="647"/>
      <c r="M689" s="647"/>
      <c r="N689" s="647"/>
      <c r="O689" s="647"/>
      <c r="P689" s="647"/>
      <c r="Q689" s="647"/>
      <c r="R689" s="647"/>
      <c r="S689" s="647"/>
      <c r="T689" s="647"/>
      <c r="U689" s="647"/>
      <c r="V689" s="647"/>
      <c r="W689" s="647"/>
      <c r="X689" s="647"/>
    </row>
    <row r="690">
      <c r="A690" s="646"/>
      <c r="B690" s="647"/>
      <c r="C690" s="647"/>
      <c r="D690" s="647"/>
      <c r="E690" s="647"/>
      <c r="F690" s="647"/>
      <c r="G690" s="647"/>
      <c r="H690" s="647"/>
      <c r="I690" s="647"/>
      <c r="J690" s="647"/>
      <c r="K690" s="647"/>
      <c r="L690" s="647"/>
      <c r="M690" s="647"/>
      <c r="N690" s="647"/>
      <c r="O690" s="647"/>
      <c r="P690" s="647"/>
      <c r="Q690" s="647"/>
      <c r="R690" s="647"/>
      <c r="S690" s="647"/>
      <c r="T690" s="647"/>
      <c r="U690" s="647"/>
      <c r="V690" s="647"/>
      <c r="W690" s="647"/>
      <c r="X690" s="647"/>
    </row>
    <row r="691">
      <c r="A691" s="646"/>
      <c r="B691" s="647"/>
      <c r="C691" s="647"/>
      <c r="D691" s="647"/>
      <c r="E691" s="647"/>
      <c r="F691" s="647"/>
      <c r="G691" s="647"/>
      <c r="H691" s="647"/>
      <c r="I691" s="647"/>
      <c r="J691" s="647"/>
      <c r="K691" s="647"/>
      <c r="L691" s="647"/>
      <c r="M691" s="647"/>
      <c r="N691" s="647"/>
      <c r="O691" s="647"/>
      <c r="P691" s="647"/>
      <c r="Q691" s="647"/>
      <c r="R691" s="647"/>
      <c r="S691" s="647"/>
      <c r="T691" s="647"/>
      <c r="U691" s="647"/>
      <c r="V691" s="647"/>
      <c r="W691" s="647"/>
      <c r="X691" s="647"/>
    </row>
    <row r="692">
      <c r="A692" s="646"/>
      <c r="B692" s="647"/>
      <c r="C692" s="647"/>
      <c r="D692" s="647"/>
      <c r="E692" s="647"/>
      <c r="F692" s="647"/>
      <c r="G692" s="647"/>
      <c r="H692" s="647"/>
      <c r="I692" s="647"/>
      <c r="J692" s="647"/>
      <c r="K692" s="647"/>
      <c r="L692" s="647"/>
      <c r="M692" s="647"/>
      <c r="N692" s="647"/>
      <c r="O692" s="647"/>
      <c r="P692" s="647"/>
      <c r="Q692" s="647"/>
      <c r="R692" s="647"/>
      <c r="S692" s="647"/>
      <c r="T692" s="647"/>
      <c r="U692" s="647"/>
      <c r="V692" s="647"/>
      <c r="W692" s="647"/>
      <c r="X692" s="647"/>
    </row>
    <row r="693">
      <c r="A693" s="646"/>
      <c r="B693" s="647"/>
      <c r="C693" s="647"/>
      <c r="D693" s="647"/>
      <c r="E693" s="647"/>
      <c r="F693" s="647"/>
      <c r="G693" s="647"/>
      <c r="H693" s="647"/>
      <c r="I693" s="647"/>
      <c r="J693" s="647"/>
      <c r="K693" s="647"/>
      <c r="L693" s="647"/>
      <c r="M693" s="647"/>
      <c r="N693" s="647"/>
      <c r="O693" s="647"/>
      <c r="P693" s="647"/>
      <c r="Q693" s="647"/>
      <c r="R693" s="647"/>
      <c r="S693" s="647"/>
      <c r="T693" s="647"/>
      <c r="U693" s="647"/>
      <c r="V693" s="647"/>
      <c r="W693" s="647"/>
      <c r="X693" s="647"/>
    </row>
    <row r="694">
      <c r="A694" s="646"/>
      <c r="B694" s="647"/>
      <c r="C694" s="647"/>
      <c r="D694" s="647"/>
      <c r="E694" s="647"/>
      <c r="F694" s="647"/>
      <c r="G694" s="647"/>
      <c r="H694" s="647"/>
      <c r="I694" s="647"/>
      <c r="J694" s="647"/>
      <c r="K694" s="647"/>
      <c r="L694" s="647"/>
      <c r="M694" s="647"/>
      <c r="N694" s="647"/>
      <c r="O694" s="647"/>
      <c r="P694" s="647"/>
      <c r="Q694" s="647"/>
      <c r="R694" s="647"/>
      <c r="S694" s="647"/>
      <c r="T694" s="647"/>
      <c r="U694" s="647"/>
      <c r="V694" s="647"/>
      <c r="W694" s="647"/>
      <c r="X694" s="647"/>
    </row>
    <row r="695">
      <c r="A695" s="646"/>
      <c r="B695" s="647"/>
      <c r="C695" s="647"/>
      <c r="D695" s="647"/>
      <c r="E695" s="647"/>
      <c r="F695" s="647"/>
      <c r="G695" s="647"/>
      <c r="H695" s="647"/>
      <c r="I695" s="647"/>
      <c r="J695" s="647"/>
      <c r="K695" s="647"/>
      <c r="L695" s="647"/>
      <c r="M695" s="647"/>
      <c r="N695" s="647"/>
      <c r="O695" s="647"/>
      <c r="P695" s="647"/>
      <c r="Q695" s="647"/>
      <c r="R695" s="647"/>
      <c r="S695" s="647"/>
      <c r="T695" s="647"/>
      <c r="U695" s="647"/>
      <c r="V695" s="647"/>
      <c r="W695" s="647"/>
      <c r="X695" s="647"/>
    </row>
    <row r="696">
      <c r="A696" s="646"/>
      <c r="B696" s="647"/>
      <c r="C696" s="647"/>
      <c r="D696" s="647"/>
      <c r="E696" s="647"/>
      <c r="F696" s="647"/>
      <c r="G696" s="647"/>
      <c r="H696" s="647"/>
      <c r="I696" s="647"/>
      <c r="J696" s="647"/>
      <c r="K696" s="647"/>
      <c r="L696" s="647"/>
      <c r="M696" s="647"/>
      <c r="N696" s="647"/>
      <c r="O696" s="647"/>
      <c r="P696" s="647"/>
      <c r="Q696" s="647"/>
      <c r="R696" s="647"/>
      <c r="S696" s="647"/>
      <c r="T696" s="647"/>
      <c r="U696" s="647"/>
      <c r="V696" s="647"/>
      <c r="W696" s="647"/>
      <c r="X696" s="647"/>
    </row>
    <row r="697">
      <c r="A697" s="646"/>
      <c r="B697" s="647"/>
      <c r="C697" s="647"/>
      <c r="D697" s="647"/>
      <c r="E697" s="647"/>
      <c r="F697" s="647"/>
      <c r="G697" s="647"/>
      <c r="H697" s="647"/>
      <c r="I697" s="647"/>
      <c r="J697" s="647"/>
      <c r="K697" s="647"/>
      <c r="L697" s="647"/>
      <c r="M697" s="647"/>
      <c r="N697" s="647"/>
      <c r="O697" s="647"/>
      <c r="P697" s="647"/>
      <c r="Q697" s="647"/>
      <c r="R697" s="647"/>
      <c r="S697" s="647"/>
      <c r="T697" s="647"/>
      <c r="U697" s="647"/>
      <c r="V697" s="647"/>
      <c r="W697" s="647"/>
      <c r="X697" s="647"/>
    </row>
    <row r="698">
      <c r="A698" s="646"/>
      <c r="B698" s="647"/>
      <c r="C698" s="647"/>
      <c r="D698" s="647"/>
      <c r="E698" s="647"/>
      <c r="F698" s="647"/>
      <c r="G698" s="647"/>
      <c r="H698" s="647"/>
      <c r="I698" s="647"/>
      <c r="J698" s="647"/>
      <c r="K698" s="647"/>
      <c r="L698" s="647"/>
      <c r="M698" s="647"/>
      <c r="N698" s="647"/>
      <c r="O698" s="647"/>
      <c r="P698" s="647"/>
      <c r="Q698" s="647"/>
      <c r="R698" s="647"/>
      <c r="S698" s="647"/>
      <c r="T698" s="647"/>
      <c r="U698" s="647"/>
      <c r="V698" s="647"/>
      <c r="W698" s="647"/>
      <c r="X698" s="647"/>
    </row>
    <row r="699">
      <c r="A699" s="646"/>
      <c r="B699" s="647"/>
      <c r="C699" s="647"/>
      <c r="D699" s="647"/>
      <c r="E699" s="647"/>
      <c r="F699" s="647"/>
      <c r="G699" s="647"/>
      <c r="H699" s="647"/>
      <c r="I699" s="647"/>
      <c r="J699" s="647"/>
      <c r="K699" s="647"/>
      <c r="L699" s="647"/>
      <c r="M699" s="647"/>
      <c r="N699" s="647"/>
      <c r="O699" s="647"/>
      <c r="P699" s="647"/>
      <c r="Q699" s="647"/>
      <c r="R699" s="647"/>
      <c r="S699" s="647"/>
      <c r="T699" s="647"/>
      <c r="U699" s="647"/>
      <c r="V699" s="647"/>
      <c r="W699" s="647"/>
      <c r="X699" s="647"/>
    </row>
    <row r="700">
      <c r="A700" s="646"/>
      <c r="B700" s="647"/>
      <c r="C700" s="647"/>
      <c r="D700" s="647"/>
      <c r="E700" s="647"/>
      <c r="F700" s="647"/>
      <c r="G700" s="647"/>
      <c r="H700" s="647"/>
      <c r="I700" s="647"/>
      <c r="J700" s="647"/>
      <c r="K700" s="647"/>
      <c r="L700" s="647"/>
      <c r="M700" s="647"/>
      <c r="N700" s="647"/>
      <c r="O700" s="647"/>
      <c r="P700" s="647"/>
      <c r="Q700" s="647"/>
      <c r="R700" s="647"/>
      <c r="S700" s="647"/>
      <c r="T700" s="647"/>
      <c r="U700" s="647"/>
      <c r="V700" s="647"/>
      <c r="W700" s="647"/>
      <c r="X700" s="647"/>
    </row>
    <row r="701">
      <c r="A701" s="646"/>
      <c r="B701" s="647"/>
      <c r="C701" s="647"/>
      <c r="D701" s="647"/>
      <c r="E701" s="647"/>
      <c r="F701" s="647"/>
      <c r="G701" s="647"/>
      <c r="H701" s="647"/>
      <c r="I701" s="647"/>
      <c r="J701" s="647"/>
      <c r="K701" s="647"/>
      <c r="L701" s="647"/>
      <c r="M701" s="647"/>
      <c r="N701" s="647"/>
      <c r="O701" s="647"/>
      <c r="P701" s="647"/>
      <c r="Q701" s="647"/>
      <c r="R701" s="647"/>
      <c r="S701" s="647"/>
      <c r="T701" s="647"/>
      <c r="U701" s="647"/>
      <c r="V701" s="647"/>
      <c r="W701" s="647"/>
      <c r="X701" s="647"/>
    </row>
    <row r="702">
      <c r="A702" s="646"/>
      <c r="B702" s="647"/>
      <c r="C702" s="647"/>
      <c r="D702" s="647"/>
      <c r="E702" s="647"/>
      <c r="F702" s="647"/>
      <c r="G702" s="647"/>
      <c r="H702" s="647"/>
      <c r="I702" s="647"/>
      <c r="J702" s="647"/>
      <c r="K702" s="647"/>
      <c r="L702" s="647"/>
      <c r="M702" s="647"/>
      <c r="N702" s="647"/>
      <c r="O702" s="647"/>
      <c r="P702" s="647"/>
      <c r="Q702" s="647"/>
      <c r="R702" s="647"/>
      <c r="S702" s="647"/>
      <c r="T702" s="647"/>
      <c r="U702" s="647"/>
      <c r="V702" s="647"/>
      <c r="W702" s="647"/>
      <c r="X702" s="647"/>
    </row>
    <row r="703">
      <c r="A703" s="646"/>
      <c r="B703" s="647"/>
      <c r="C703" s="647"/>
      <c r="D703" s="647"/>
      <c r="E703" s="647"/>
      <c r="F703" s="647"/>
      <c r="G703" s="647"/>
      <c r="H703" s="647"/>
      <c r="I703" s="647"/>
      <c r="J703" s="647"/>
      <c r="K703" s="647"/>
      <c r="L703" s="647"/>
      <c r="M703" s="647"/>
      <c r="N703" s="647"/>
      <c r="O703" s="647"/>
      <c r="P703" s="647"/>
      <c r="Q703" s="647"/>
      <c r="R703" s="647"/>
      <c r="S703" s="647"/>
      <c r="T703" s="647"/>
      <c r="U703" s="647"/>
      <c r="V703" s="647"/>
      <c r="W703" s="647"/>
      <c r="X703" s="647"/>
    </row>
    <row r="704">
      <c r="A704" s="646"/>
      <c r="B704" s="647"/>
      <c r="C704" s="647"/>
      <c r="D704" s="647"/>
      <c r="E704" s="647"/>
      <c r="F704" s="647"/>
      <c r="G704" s="647"/>
      <c r="H704" s="647"/>
      <c r="I704" s="647"/>
      <c r="J704" s="647"/>
      <c r="K704" s="647"/>
      <c r="L704" s="647"/>
      <c r="M704" s="647"/>
      <c r="N704" s="647"/>
      <c r="O704" s="647"/>
      <c r="P704" s="647"/>
      <c r="Q704" s="647"/>
      <c r="R704" s="647"/>
      <c r="S704" s="647"/>
      <c r="T704" s="647"/>
      <c r="U704" s="647"/>
      <c r="V704" s="647"/>
      <c r="W704" s="647"/>
      <c r="X704" s="647"/>
    </row>
    <row r="705">
      <c r="A705" s="646"/>
      <c r="B705" s="647"/>
      <c r="C705" s="647"/>
      <c r="D705" s="647"/>
      <c r="E705" s="647"/>
      <c r="F705" s="647"/>
      <c r="G705" s="647"/>
      <c r="H705" s="647"/>
      <c r="I705" s="647"/>
      <c r="J705" s="647"/>
      <c r="K705" s="647"/>
      <c r="L705" s="647"/>
      <c r="M705" s="647"/>
      <c r="N705" s="647"/>
      <c r="O705" s="647"/>
      <c r="P705" s="647"/>
      <c r="Q705" s="647"/>
      <c r="R705" s="647"/>
      <c r="S705" s="647"/>
      <c r="T705" s="647"/>
      <c r="U705" s="647"/>
      <c r="V705" s="647"/>
      <c r="W705" s="647"/>
      <c r="X705" s="647"/>
    </row>
    <row r="706">
      <c r="A706" s="646"/>
      <c r="B706" s="647"/>
      <c r="C706" s="647"/>
      <c r="D706" s="647"/>
      <c r="E706" s="647"/>
      <c r="F706" s="647"/>
      <c r="G706" s="647"/>
      <c r="H706" s="647"/>
      <c r="I706" s="647"/>
      <c r="J706" s="647"/>
      <c r="K706" s="647"/>
      <c r="L706" s="647"/>
      <c r="M706" s="647"/>
      <c r="N706" s="647"/>
      <c r="O706" s="647"/>
      <c r="P706" s="647"/>
      <c r="Q706" s="647"/>
      <c r="R706" s="647"/>
      <c r="S706" s="647"/>
      <c r="T706" s="647"/>
      <c r="U706" s="647"/>
      <c r="V706" s="647"/>
      <c r="W706" s="647"/>
      <c r="X706" s="647"/>
    </row>
    <row r="707">
      <c r="A707" s="646"/>
      <c r="B707" s="647"/>
      <c r="C707" s="647"/>
      <c r="D707" s="647"/>
      <c r="E707" s="647"/>
      <c r="F707" s="647"/>
      <c r="G707" s="647"/>
      <c r="H707" s="647"/>
      <c r="I707" s="647"/>
      <c r="J707" s="647"/>
      <c r="K707" s="647"/>
      <c r="L707" s="647"/>
      <c r="M707" s="647"/>
      <c r="N707" s="647"/>
      <c r="O707" s="647"/>
      <c r="P707" s="647"/>
      <c r="Q707" s="647"/>
      <c r="R707" s="647"/>
      <c r="S707" s="647"/>
      <c r="T707" s="647"/>
      <c r="U707" s="647"/>
      <c r="V707" s="647"/>
      <c r="W707" s="647"/>
      <c r="X707" s="647"/>
    </row>
    <row r="708">
      <c r="A708" s="646"/>
      <c r="B708" s="647"/>
      <c r="C708" s="647"/>
      <c r="D708" s="647"/>
      <c r="E708" s="647"/>
      <c r="F708" s="647"/>
      <c r="G708" s="647"/>
      <c r="H708" s="647"/>
      <c r="I708" s="647"/>
      <c r="J708" s="647"/>
      <c r="K708" s="647"/>
      <c r="L708" s="647"/>
      <c r="M708" s="647"/>
      <c r="N708" s="647"/>
      <c r="O708" s="647"/>
      <c r="P708" s="647"/>
      <c r="Q708" s="647"/>
      <c r="R708" s="647"/>
      <c r="S708" s="647"/>
      <c r="T708" s="647"/>
      <c r="U708" s="647"/>
      <c r="V708" s="647"/>
      <c r="W708" s="647"/>
      <c r="X708" s="647"/>
    </row>
    <row r="709">
      <c r="A709" s="646"/>
      <c r="B709" s="647"/>
      <c r="C709" s="647"/>
      <c r="D709" s="647"/>
      <c r="E709" s="647"/>
      <c r="F709" s="647"/>
      <c r="G709" s="647"/>
      <c r="H709" s="647"/>
      <c r="I709" s="647"/>
      <c r="J709" s="647"/>
      <c r="K709" s="647"/>
      <c r="L709" s="647"/>
      <c r="M709" s="647"/>
      <c r="N709" s="647"/>
      <c r="O709" s="647"/>
      <c r="P709" s="647"/>
      <c r="Q709" s="647"/>
      <c r="R709" s="647"/>
      <c r="S709" s="647"/>
      <c r="T709" s="647"/>
      <c r="U709" s="647"/>
      <c r="V709" s="647"/>
      <c r="W709" s="647"/>
      <c r="X709" s="647"/>
    </row>
    <row r="710">
      <c r="A710" s="646"/>
      <c r="B710" s="647"/>
      <c r="C710" s="647"/>
      <c r="D710" s="647"/>
      <c r="E710" s="647"/>
      <c r="F710" s="647"/>
      <c r="G710" s="647"/>
      <c r="H710" s="647"/>
      <c r="I710" s="647"/>
      <c r="J710" s="647"/>
      <c r="K710" s="647"/>
      <c r="L710" s="647"/>
      <c r="M710" s="647"/>
      <c r="N710" s="647"/>
      <c r="O710" s="647"/>
      <c r="P710" s="647"/>
      <c r="Q710" s="647"/>
      <c r="R710" s="647"/>
      <c r="S710" s="647"/>
      <c r="T710" s="647"/>
      <c r="U710" s="647"/>
      <c r="V710" s="647"/>
      <c r="W710" s="647"/>
      <c r="X710" s="647"/>
    </row>
    <row r="711">
      <c r="A711" s="646"/>
      <c r="B711" s="647"/>
      <c r="C711" s="647"/>
      <c r="D711" s="647"/>
      <c r="E711" s="647"/>
      <c r="F711" s="647"/>
      <c r="G711" s="647"/>
      <c r="H711" s="647"/>
      <c r="I711" s="647"/>
      <c r="J711" s="647"/>
      <c r="K711" s="647"/>
      <c r="L711" s="647"/>
      <c r="M711" s="647"/>
      <c r="N711" s="647"/>
      <c r="O711" s="647"/>
      <c r="P711" s="647"/>
      <c r="Q711" s="647"/>
      <c r="R711" s="647"/>
      <c r="S711" s="647"/>
      <c r="T711" s="647"/>
      <c r="U711" s="647"/>
      <c r="V711" s="647"/>
      <c r="W711" s="647"/>
      <c r="X711" s="647"/>
    </row>
    <row r="712">
      <c r="A712" s="646"/>
      <c r="B712" s="647"/>
      <c r="C712" s="647"/>
      <c r="D712" s="647"/>
      <c r="E712" s="647"/>
      <c r="F712" s="647"/>
      <c r="G712" s="647"/>
      <c r="H712" s="647"/>
      <c r="I712" s="647"/>
      <c r="J712" s="647"/>
      <c r="K712" s="647"/>
      <c r="L712" s="647"/>
      <c r="M712" s="647"/>
      <c r="N712" s="647"/>
      <c r="O712" s="647"/>
      <c r="P712" s="647"/>
      <c r="Q712" s="647"/>
      <c r="R712" s="647"/>
      <c r="S712" s="647"/>
      <c r="T712" s="647"/>
      <c r="U712" s="647"/>
      <c r="V712" s="647"/>
      <c r="W712" s="647"/>
      <c r="X712" s="647"/>
    </row>
    <row r="713">
      <c r="A713" s="646"/>
      <c r="B713" s="647"/>
      <c r="C713" s="647"/>
      <c r="D713" s="647"/>
      <c r="E713" s="647"/>
      <c r="F713" s="647"/>
      <c r="G713" s="647"/>
      <c r="H713" s="647"/>
      <c r="I713" s="647"/>
      <c r="J713" s="647"/>
      <c r="K713" s="647"/>
      <c r="L713" s="647"/>
      <c r="M713" s="647"/>
      <c r="N713" s="647"/>
      <c r="O713" s="647"/>
      <c r="P713" s="647"/>
      <c r="Q713" s="647"/>
      <c r="R713" s="647"/>
      <c r="S713" s="647"/>
      <c r="T713" s="647"/>
      <c r="U713" s="647"/>
      <c r="V713" s="647"/>
      <c r="W713" s="647"/>
      <c r="X713" s="647"/>
    </row>
    <row r="714">
      <c r="A714" s="646"/>
      <c r="B714" s="647"/>
      <c r="C714" s="647"/>
      <c r="D714" s="647"/>
      <c r="E714" s="647"/>
      <c r="F714" s="647"/>
      <c r="G714" s="647"/>
      <c r="H714" s="647"/>
      <c r="I714" s="647"/>
      <c r="J714" s="647"/>
      <c r="K714" s="647"/>
      <c r="L714" s="647"/>
      <c r="M714" s="647"/>
      <c r="N714" s="647"/>
      <c r="O714" s="647"/>
      <c r="P714" s="647"/>
      <c r="Q714" s="647"/>
      <c r="R714" s="647"/>
      <c r="S714" s="647"/>
      <c r="T714" s="647"/>
      <c r="U714" s="647"/>
      <c r="V714" s="647"/>
      <c r="W714" s="647"/>
      <c r="X714" s="647"/>
    </row>
    <row r="715">
      <c r="A715" s="646"/>
      <c r="B715" s="647"/>
      <c r="C715" s="647"/>
      <c r="D715" s="647"/>
      <c r="E715" s="647"/>
      <c r="F715" s="647"/>
      <c r="G715" s="647"/>
      <c r="H715" s="647"/>
      <c r="I715" s="647"/>
      <c r="J715" s="647"/>
      <c r="K715" s="647"/>
      <c r="L715" s="647"/>
      <c r="M715" s="647"/>
      <c r="N715" s="647"/>
      <c r="O715" s="647"/>
      <c r="P715" s="647"/>
      <c r="Q715" s="647"/>
      <c r="R715" s="647"/>
      <c r="S715" s="647"/>
      <c r="T715" s="647"/>
      <c r="U715" s="647"/>
      <c r="V715" s="647"/>
      <c r="W715" s="647"/>
      <c r="X715" s="647"/>
    </row>
    <row r="716">
      <c r="A716" s="646"/>
      <c r="B716" s="647"/>
      <c r="C716" s="647"/>
      <c r="D716" s="647"/>
      <c r="E716" s="647"/>
      <c r="F716" s="647"/>
      <c r="G716" s="647"/>
      <c r="H716" s="647"/>
      <c r="I716" s="647"/>
      <c r="J716" s="647"/>
      <c r="K716" s="647"/>
      <c r="L716" s="647"/>
      <c r="M716" s="647"/>
      <c r="N716" s="647"/>
      <c r="O716" s="647"/>
      <c r="P716" s="647"/>
      <c r="Q716" s="647"/>
      <c r="R716" s="647"/>
      <c r="S716" s="647"/>
      <c r="T716" s="647"/>
      <c r="U716" s="647"/>
      <c r="V716" s="647"/>
      <c r="W716" s="647"/>
      <c r="X716" s="647"/>
    </row>
    <row r="717">
      <c r="A717" s="646"/>
      <c r="B717" s="647"/>
      <c r="C717" s="647"/>
      <c r="D717" s="647"/>
      <c r="E717" s="647"/>
      <c r="F717" s="647"/>
      <c r="G717" s="647"/>
      <c r="H717" s="647"/>
      <c r="I717" s="647"/>
      <c r="J717" s="647"/>
      <c r="K717" s="647"/>
      <c r="L717" s="647"/>
      <c r="M717" s="647"/>
      <c r="N717" s="647"/>
      <c r="O717" s="647"/>
      <c r="P717" s="647"/>
      <c r="Q717" s="647"/>
      <c r="R717" s="647"/>
      <c r="S717" s="647"/>
      <c r="T717" s="647"/>
      <c r="U717" s="647"/>
      <c r="V717" s="647"/>
      <c r="W717" s="647"/>
      <c r="X717" s="647"/>
    </row>
    <row r="718">
      <c r="A718" s="646"/>
      <c r="B718" s="647"/>
      <c r="C718" s="647"/>
      <c r="D718" s="647"/>
      <c r="E718" s="647"/>
      <c r="F718" s="647"/>
      <c r="G718" s="647"/>
      <c r="H718" s="647"/>
      <c r="I718" s="647"/>
      <c r="J718" s="647"/>
      <c r="K718" s="647"/>
      <c r="L718" s="647"/>
      <c r="M718" s="647"/>
      <c r="N718" s="647"/>
      <c r="O718" s="647"/>
      <c r="P718" s="647"/>
      <c r="Q718" s="647"/>
      <c r="R718" s="647"/>
      <c r="S718" s="647"/>
      <c r="T718" s="647"/>
      <c r="U718" s="647"/>
      <c r="V718" s="647"/>
      <c r="W718" s="647"/>
      <c r="X718" s="647"/>
    </row>
    <row r="719">
      <c r="A719" s="646"/>
      <c r="B719" s="647"/>
      <c r="C719" s="647"/>
      <c r="D719" s="647"/>
      <c r="E719" s="647"/>
      <c r="F719" s="647"/>
      <c r="G719" s="647"/>
      <c r="H719" s="647"/>
      <c r="I719" s="647"/>
      <c r="J719" s="647"/>
      <c r="K719" s="647"/>
      <c r="L719" s="647"/>
      <c r="M719" s="647"/>
      <c r="N719" s="647"/>
      <c r="O719" s="647"/>
      <c r="P719" s="647"/>
      <c r="Q719" s="647"/>
      <c r="R719" s="647"/>
      <c r="S719" s="647"/>
      <c r="T719" s="647"/>
      <c r="U719" s="647"/>
      <c r="V719" s="647"/>
      <c r="W719" s="647"/>
      <c r="X719" s="647"/>
    </row>
    <row r="720">
      <c r="A720" s="646"/>
      <c r="B720" s="647"/>
      <c r="C720" s="647"/>
      <c r="D720" s="647"/>
      <c r="E720" s="647"/>
      <c r="F720" s="647"/>
      <c r="G720" s="647"/>
      <c r="H720" s="647"/>
      <c r="I720" s="647"/>
      <c r="J720" s="647"/>
      <c r="K720" s="647"/>
      <c r="L720" s="647"/>
      <c r="M720" s="647"/>
      <c r="N720" s="647"/>
      <c r="O720" s="647"/>
      <c r="P720" s="647"/>
      <c r="Q720" s="647"/>
      <c r="R720" s="647"/>
      <c r="S720" s="647"/>
      <c r="T720" s="647"/>
      <c r="U720" s="647"/>
      <c r="V720" s="647"/>
      <c r="W720" s="647"/>
      <c r="X720" s="647"/>
    </row>
    <row r="721">
      <c r="A721" s="646"/>
      <c r="B721" s="647"/>
      <c r="C721" s="647"/>
      <c r="D721" s="647"/>
      <c r="E721" s="647"/>
      <c r="F721" s="647"/>
      <c r="G721" s="647"/>
      <c r="H721" s="647"/>
      <c r="I721" s="647"/>
      <c r="J721" s="647"/>
      <c r="K721" s="647"/>
      <c r="L721" s="647"/>
      <c r="M721" s="647"/>
      <c r="N721" s="647"/>
      <c r="O721" s="647"/>
      <c r="P721" s="647"/>
      <c r="Q721" s="647"/>
      <c r="R721" s="647"/>
      <c r="S721" s="647"/>
      <c r="T721" s="647"/>
      <c r="U721" s="647"/>
      <c r="V721" s="647"/>
      <c r="W721" s="647"/>
      <c r="X721" s="647"/>
    </row>
    <row r="722">
      <c r="A722" s="646"/>
      <c r="B722" s="647"/>
      <c r="C722" s="647"/>
      <c r="D722" s="647"/>
      <c r="E722" s="647"/>
      <c r="F722" s="647"/>
      <c r="G722" s="647"/>
      <c r="H722" s="647"/>
      <c r="I722" s="647"/>
      <c r="J722" s="647"/>
      <c r="K722" s="647"/>
      <c r="L722" s="647"/>
      <c r="M722" s="647"/>
      <c r="N722" s="647"/>
      <c r="O722" s="647"/>
      <c r="P722" s="647"/>
      <c r="Q722" s="647"/>
      <c r="R722" s="647"/>
      <c r="S722" s="647"/>
      <c r="T722" s="647"/>
      <c r="U722" s="647"/>
      <c r="V722" s="647"/>
      <c r="W722" s="647"/>
      <c r="X722" s="647"/>
    </row>
    <row r="723">
      <c r="A723" s="646"/>
      <c r="B723" s="647"/>
      <c r="C723" s="647"/>
      <c r="D723" s="647"/>
      <c r="E723" s="647"/>
      <c r="F723" s="647"/>
      <c r="G723" s="647"/>
      <c r="H723" s="647"/>
      <c r="I723" s="647"/>
      <c r="J723" s="647"/>
      <c r="K723" s="647"/>
      <c r="L723" s="647"/>
      <c r="M723" s="647"/>
      <c r="N723" s="647"/>
      <c r="O723" s="647"/>
      <c r="P723" s="647"/>
      <c r="Q723" s="647"/>
      <c r="R723" s="647"/>
      <c r="S723" s="647"/>
      <c r="T723" s="647"/>
      <c r="U723" s="647"/>
      <c r="V723" s="647"/>
      <c r="W723" s="647"/>
      <c r="X723" s="647"/>
    </row>
    <row r="724">
      <c r="A724" s="646"/>
      <c r="B724" s="647"/>
      <c r="C724" s="647"/>
      <c r="D724" s="647"/>
      <c r="E724" s="647"/>
      <c r="F724" s="647"/>
      <c r="G724" s="647"/>
      <c r="H724" s="647"/>
      <c r="I724" s="647"/>
      <c r="J724" s="647"/>
      <c r="K724" s="647"/>
      <c r="L724" s="647"/>
      <c r="M724" s="647"/>
      <c r="N724" s="647"/>
      <c r="O724" s="647"/>
      <c r="P724" s="647"/>
      <c r="Q724" s="647"/>
      <c r="R724" s="647"/>
      <c r="S724" s="647"/>
      <c r="T724" s="647"/>
      <c r="U724" s="647"/>
      <c r="V724" s="647"/>
      <c r="W724" s="647"/>
      <c r="X724" s="647"/>
    </row>
    <row r="725">
      <c r="A725" s="646"/>
      <c r="B725" s="647"/>
      <c r="C725" s="647"/>
      <c r="D725" s="647"/>
      <c r="E725" s="647"/>
      <c r="F725" s="647"/>
      <c r="G725" s="647"/>
      <c r="H725" s="647"/>
      <c r="I725" s="647"/>
      <c r="J725" s="647"/>
      <c r="K725" s="647"/>
      <c r="L725" s="647"/>
      <c r="M725" s="647"/>
      <c r="N725" s="647"/>
      <c r="O725" s="647"/>
      <c r="P725" s="647"/>
      <c r="Q725" s="647"/>
      <c r="R725" s="647"/>
      <c r="S725" s="647"/>
      <c r="T725" s="647"/>
      <c r="U725" s="647"/>
      <c r="V725" s="647"/>
      <c r="W725" s="647"/>
      <c r="X725" s="647"/>
    </row>
    <row r="726">
      <c r="A726" s="646"/>
      <c r="B726" s="647"/>
      <c r="C726" s="647"/>
      <c r="D726" s="647"/>
      <c r="E726" s="647"/>
      <c r="F726" s="647"/>
      <c r="G726" s="647"/>
      <c r="H726" s="647"/>
      <c r="I726" s="647"/>
      <c r="J726" s="647"/>
      <c r="K726" s="647"/>
      <c r="L726" s="647"/>
      <c r="M726" s="647"/>
      <c r="N726" s="647"/>
      <c r="O726" s="647"/>
      <c r="P726" s="647"/>
      <c r="Q726" s="647"/>
      <c r="R726" s="647"/>
      <c r="S726" s="647"/>
      <c r="T726" s="647"/>
      <c r="U726" s="647"/>
      <c r="V726" s="647"/>
      <c r="W726" s="647"/>
      <c r="X726" s="647"/>
    </row>
    <row r="727">
      <c r="A727" s="646"/>
      <c r="B727" s="647"/>
      <c r="C727" s="647"/>
      <c r="D727" s="647"/>
      <c r="E727" s="647"/>
      <c r="F727" s="647"/>
      <c r="G727" s="647"/>
      <c r="H727" s="647"/>
      <c r="I727" s="647"/>
      <c r="J727" s="647"/>
      <c r="K727" s="647"/>
      <c r="L727" s="647"/>
      <c r="M727" s="647"/>
      <c r="N727" s="647"/>
      <c r="O727" s="647"/>
      <c r="P727" s="647"/>
      <c r="Q727" s="647"/>
      <c r="R727" s="647"/>
      <c r="S727" s="647"/>
      <c r="T727" s="647"/>
      <c r="U727" s="647"/>
      <c r="V727" s="647"/>
      <c r="W727" s="647"/>
      <c r="X727" s="647"/>
    </row>
    <row r="728">
      <c r="A728" s="646"/>
      <c r="B728" s="647"/>
      <c r="C728" s="647"/>
      <c r="D728" s="647"/>
      <c r="E728" s="647"/>
      <c r="F728" s="647"/>
      <c r="G728" s="647"/>
      <c r="H728" s="647"/>
      <c r="I728" s="647"/>
      <c r="J728" s="647"/>
      <c r="K728" s="647"/>
      <c r="L728" s="647"/>
      <c r="M728" s="647"/>
      <c r="N728" s="647"/>
      <c r="O728" s="647"/>
      <c r="P728" s="647"/>
      <c r="Q728" s="647"/>
      <c r="R728" s="647"/>
      <c r="S728" s="647"/>
      <c r="T728" s="647"/>
      <c r="U728" s="647"/>
      <c r="V728" s="647"/>
      <c r="W728" s="647"/>
      <c r="X728" s="647"/>
    </row>
    <row r="729">
      <c r="A729" s="646"/>
      <c r="B729" s="647"/>
      <c r="C729" s="647"/>
      <c r="D729" s="647"/>
      <c r="E729" s="647"/>
      <c r="F729" s="647"/>
      <c r="G729" s="647"/>
      <c r="H729" s="647"/>
      <c r="I729" s="647"/>
      <c r="J729" s="647"/>
      <c r="K729" s="647"/>
      <c r="L729" s="647"/>
      <c r="M729" s="647"/>
      <c r="N729" s="647"/>
      <c r="O729" s="647"/>
      <c r="P729" s="647"/>
      <c r="Q729" s="647"/>
      <c r="R729" s="647"/>
      <c r="S729" s="647"/>
      <c r="T729" s="647"/>
      <c r="U729" s="647"/>
      <c r="V729" s="647"/>
      <c r="W729" s="647"/>
      <c r="X729" s="647"/>
    </row>
    <row r="730">
      <c r="A730" s="646"/>
      <c r="B730" s="647"/>
      <c r="C730" s="647"/>
      <c r="D730" s="647"/>
      <c r="E730" s="647"/>
      <c r="F730" s="647"/>
      <c r="G730" s="647"/>
      <c r="H730" s="647"/>
      <c r="I730" s="647"/>
      <c r="J730" s="647"/>
      <c r="K730" s="647"/>
      <c r="L730" s="647"/>
      <c r="M730" s="647"/>
      <c r="N730" s="647"/>
      <c r="O730" s="647"/>
      <c r="P730" s="647"/>
      <c r="Q730" s="647"/>
      <c r="R730" s="647"/>
      <c r="S730" s="647"/>
      <c r="T730" s="647"/>
      <c r="U730" s="647"/>
      <c r="V730" s="647"/>
      <c r="W730" s="647"/>
      <c r="X730" s="647"/>
    </row>
    <row r="731">
      <c r="A731" s="646"/>
      <c r="B731" s="647"/>
      <c r="C731" s="647"/>
      <c r="D731" s="647"/>
      <c r="E731" s="647"/>
      <c r="F731" s="647"/>
      <c r="G731" s="647"/>
      <c r="H731" s="647"/>
      <c r="I731" s="647"/>
      <c r="J731" s="647"/>
      <c r="K731" s="647"/>
      <c r="L731" s="647"/>
      <c r="M731" s="647"/>
      <c r="N731" s="647"/>
      <c r="O731" s="647"/>
      <c r="P731" s="647"/>
      <c r="Q731" s="647"/>
      <c r="R731" s="647"/>
      <c r="S731" s="647"/>
      <c r="T731" s="647"/>
      <c r="U731" s="647"/>
      <c r="V731" s="647"/>
      <c r="W731" s="647"/>
      <c r="X731" s="647"/>
    </row>
    <row r="732">
      <c r="A732" s="646"/>
      <c r="B732" s="647"/>
      <c r="C732" s="647"/>
      <c r="D732" s="647"/>
      <c r="E732" s="647"/>
      <c r="F732" s="647"/>
      <c r="G732" s="647"/>
      <c r="H732" s="647"/>
      <c r="I732" s="647"/>
      <c r="J732" s="647"/>
      <c r="K732" s="647"/>
      <c r="L732" s="647"/>
      <c r="M732" s="647"/>
      <c r="N732" s="647"/>
      <c r="O732" s="647"/>
      <c r="P732" s="647"/>
      <c r="Q732" s="647"/>
      <c r="R732" s="647"/>
      <c r="S732" s="647"/>
      <c r="T732" s="647"/>
      <c r="U732" s="647"/>
      <c r="V732" s="647"/>
      <c r="W732" s="647"/>
      <c r="X732" s="647"/>
    </row>
    <row r="733">
      <c r="A733" s="646"/>
      <c r="B733" s="647"/>
      <c r="C733" s="647"/>
      <c r="D733" s="647"/>
      <c r="E733" s="647"/>
      <c r="F733" s="647"/>
      <c r="G733" s="647"/>
      <c r="H733" s="647"/>
      <c r="I733" s="647"/>
      <c r="J733" s="647"/>
      <c r="K733" s="647"/>
      <c r="L733" s="647"/>
      <c r="M733" s="647"/>
      <c r="N733" s="647"/>
      <c r="O733" s="647"/>
      <c r="P733" s="647"/>
      <c r="Q733" s="647"/>
      <c r="R733" s="647"/>
      <c r="S733" s="647"/>
      <c r="T733" s="647"/>
      <c r="U733" s="647"/>
      <c r="V733" s="647"/>
      <c r="W733" s="647"/>
      <c r="X733" s="647"/>
    </row>
    <row r="734">
      <c r="A734" s="646"/>
      <c r="B734" s="647"/>
      <c r="C734" s="647"/>
      <c r="D734" s="647"/>
      <c r="E734" s="647"/>
      <c r="F734" s="647"/>
      <c r="G734" s="647"/>
      <c r="H734" s="647"/>
      <c r="I734" s="647"/>
      <c r="J734" s="647"/>
      <c r="K734" s="647"/>
      <c r="L734" s="647"/>
      <c r="M734" s="647"/>
      <c r="N734" s="647"/>
      <c r="O734" s="647"/>
      <c r="P734" s="647"/>
      <c r="Q734" s="647"/>
      <c r="R734" s="647"/>
      <c r="S734" s="647"/>
      <c r="T734" s="647"/>
      <c r="U734" s="647"/>
      <c r="V734" s="647"/>
      <c r="W734" s="647"/>
      <c r="X734" s="647"/>
    </row>
    <row r="735">
      <c r="A735" s="646"/>
      <c r="B735" s="647"/>
      <c r="C735" s="647"/>
      <c r="D735" s="647"/>
      <c r="E735" s="647"/>
      <c r="F735" s="647"/>
      <c r="G735" s="647"/>
      <c r="H735" s="647"/>
      <c r="I735" s="647"/>
      <c r="J735" s="647"/>
      <c r="K735" s="647"/>
      <c r="L735" s="647"/>
      <c r="M735" s="647"/>
      <c r="N735" s="647"/>
      <c r="O735" s="647"/>
      <c r="P735" s="647"/>
      <c r="Q735" s="647"/>
      <c r="R735" s="647"/>
      <c r="S735" s="647"/>
      <c r="T735" s="647"/>
      <c r="U735" s="647"/>
      <c r="V735" s="647"/>
      <c r="W735" s="647"/>
      <c r="X735" s="647"/>
    </row>
    <row r="736">
      <c r="A736" s="646"/>
      <c r="B736" s="647"/>
      <c r="C736" s="647"/>
      <c r="D736" s="647"/>
      <c r="E736" s="647"/>
      <c r="F736" s="647"/>
      <c r="G736" s="647"/>
      <c r="H736" s="647"/>
      <c r="I736" s="647"/>
      <c r="J736" s="647"/>
      <c r="K736" s="647"/>
      <c r="L736" s="647"/>
      <c r="M736" s="647"/>
      <c r="N736" s="647"/>
      <c r="O736" s="647"/>
      <c r="P736" s="647"/>
      <c r="Q736" s="647"/>
      <c r="R736" s="647"/>
      <c r="S736" s="647"/>
      <c r="T736" s="647"/>
      <c r="U736" s="647"/>
      <c r="V736" s="647"/>
      <c r="W736" s="647"/>
      <c r="X736" s="647"/>
    </row>
    <row r="737">
      <c r="A737" s="646"/>
      <c r="B737" s="647"/>
      <c r="C737" s="647"/>
      <c r="D737" s="647"/>
      <c r="E737" s="647"/>
      <c r="F737" s="647"/>
      <c r="G737" s="647"/>
      <c r="H737" s="647"/>
      <c r="I737" s="647"/>
      <c r="J737" s="647"/>
      <c r="K737" s="647"/>
      <c r="L737" s="647"/>
      <c r="M737" s="647"/>
      <c r="N737" s="647"/>
      <c r="O737" s="647"/>
      <c r="P737" s="647"/>
      <c r="Q737" s="647"/>
      <c r="R737" s="647"/>
      <c r="S737" s="647"/>
      <c r="T737" s="647"/>
      <c r="U737" s="647"/>
      <c r="V737" s="647"/>
      <c r="W737" s="647"/>
      <c r="X737" s="647"/>
    </row>
    <row r="738">
      <c r="A738" s="646"/>
      <c r="B738" s="647"/>
      <c r="C738" s="647"/>
      <c r="D738" s="647"/>
      <c r="E738" s="647"/>
      <c r="F738" s="647"/>
      <c r="G738" s="647"/>
      <c r="H738" s="647"/>
      <c r="I738" s="647"/>
      <c r="J738" s="647"/>
      <c r="K738" s="647"/>
      <c r="L738" s="647"/>
      <c r="M738" s="647"/>
      <c r="N738" s="647"/>
      <c r="O738" s="647"/>
      <c r="P738" s="647"/>
      <c r="Q738" s="647"/>
      <c r="R738" s="647"/>
      <c r="S738" s="647"/>
      <c r="T738" s="647"/>
      <c r="U738" s="647"/>
      <c r="V738" s="647"/>
      <c r="W738" s="647"/>
      <c r="X738" s="647"/>
    </row>
    <row r="739">
      <c r="A739" s="646"/>
      <c r="B739" s="647"/>
      <c r="C739" s="647"/>
      <c r="D739" s="647"/>
      <c r="E739" s="647"/>
      <c r="F739" s="647"/>
      <c r="G739" s="647"/>
      <c r="H739" s="647"/>
      <c r="I739" s="647"/>
      <c r="J739" s="647"/>
      <c r="K739" s="647"/>
      <c r="L739" s="647"/>
      <c r="M739" s="647"/>
      <c r="N739" s="647"/>
      <c r="O739" s="647"/>
      <c r="P739" s="647"/>
      <c r="Q739" s="647"/>
      <c r="R739" s="647"/>
      <c r="S739" s="647"/>
      <c r="T739" s="647"/>
      <c r="U739" s="647"/>
      <c r="V739" s="647"/>
      <c r="W739" s="647"/>
      <c r="X739" s="647"/>
    </row>
    <row r="740">
      <c r="A740" s="646"/>
      <c r="B740" s="647"/>
      <c r="C740" s="647"/>
      <c r="D740" s="647"/>
      <c r="E740" s="647"/>
      <c r="F740" s="647"/>
      <c r="G740" s="647"/>
      <c r="H740" s="647"/>
      <c r="I740" s="647"/>
      <c r="J740" s="647"/>
      <c r="K740" s="647"/>
      <c r="L740" s="647"/>
      <c r="M740" s="647"/>
      <c r="N740" s="647"/>
      <c r="O740" s="647"/>
      <c r="P740" s="647"/>
      <c r="Q740" s="647"/>
      <c r="R740" s="647"/>
      <c r="S740" s="647"/>
      <c r="T740" s="647"/>
      <c r="U740" s="647"/>
      <c r="V740" s="647"/>
      <c r="W740" s="647"/>
      <c r="X740" s="647"/>
    </row>
    <row r="741">
      <c r="A741" s="646"/>
      <c r="B741" s="647"/>
      <c r="C741" s="647"/>
      <c r="D741" s="647"/>
      <c r="E741" s="647"/>
      <c r="F741" s="647"/>
      <c r="G741" s="647"/>
      <c r="H741" s="647"/>
      <c r="I741" s="647"/>
      <c r="J741" s="647"/>
      <c r="K741" s="647"/>
      <c r="L741" s="647"/>
      <c r="M741" s="647"/>
      <c r="N741" s="647"/>
      <c r="O741" s="647"/>
      <c r="P741" s="647"/>
      <c r="Q741" s="647"/>
      <c r="R741" s="647"/>
      <c r="S741" s="647"/>
      <c r="T741" s="647"/>
      <c r="U741" s="647"/>
      <c r="V741" s="647"/>
      <c r="W741" s="647"/>
      <c r="X741" s="647"/>
    </row>
    <row r="742">
      <c r="A742" s="646"/>
      <c r="B742" s="647"/>
      <c r="C742" s="647"/>
      <c r="D742" s="647"/>
      <c r="E742" s="647"/>
      <c r="F742" s="647"/>
      <c r="G742" s="647"/>
      <c r="H742" s="647"/>
      <c r="I742" s="647"/>
      <c r="J742" s="647"/>
      <c r="K742" s="647"/>
      <c r="L742" s="647"/>
      <c r="M742" s="647"/>
      <c r="N742" s="647"/>
      <c r="O742" s="647"/>
      <c r="P742" s="647"/>
      <c r="Q742" s="647"/>
      <c r="R742" s="647"/>
      <c r="S742" s="647"/>
      <c r="T742" s="647"/>
      <c r="U742" s="647"/>
      <c r="V742" s="647"/>
      <c r="W742" s="647"/>
      <c r="X742" s="647"/>
    </row>
    <row r="743">
      <c r="A743" s="646"/>
      <c r="B743" s="647"/>
      <c r="C743" s="647"/>
      <c r="D743" s="647"/>
      <c r="E743" s="647"/>
      <c r="F743" s="647"/>
      <c r="G743" s="647"/>
      <c r="H743" s="647"/>
      <c r="I743" s="647"/>
      <c r="J743" s="647"/>
      <c r="K743" s="647"/>
      <c r="L743" s="647"/>
      <c r="M743" s="647"/>
      <c r="N743" s="647"/>
      <c r="O743" s="647"/>
      <c r="P743" s="647"/>
      <c r="Q743" s="647"/>
      <c r="R743" s="647"/>
      <c r="S743" s="647"/>
      <c r="T743" s="647"/>
      <c r="U743" s="647"/>
      <c r="V743" s="647"/>
      <c r="W743" s="647"/>
      <c r="X743" s="647"/>
    </row>
    <row r="744">
      <c r="A744" s="646"/>
      <c r="B744" s="647"/>
      <c r="C744" s="647"/>
      <c r="D744" s="647"/>
      <c r="E744" s="647"/>
      <c r="F744" s="647"/>
      <c r="G744" s="647"/>
      <c r="H744" s="647"/>
      <c r="I744" s="647"/>
      <c r="J744" s="647"/>
      <c r="K744" s="647"/>
      <c r="L744" s="647"/>
      <c r="M744" s="647"/>
      <c r="N744" s="647"/>
      <c r="O744" s="647"/>
      <c r="P744" s="647"/>
      <c r="Q744" s="647"/>
      <c r="R744" s="647"/>
      <c r="S744" s="647"/>
      <c r="T744" s="647"/>
      <c r="U744" s="647"/>
      <c r="V744" s="647"/>
      <c r="W744" s="647"/>
      <c r="X744" s="647"/>
    </row>
    <row r="745">
      <c r="A745" s="646"/>
      <c r="B745" s="647"/>
      <c r="C745" s="647"/>
      <c r="D745" s="647"/>
      <c r="E745" s="647"/>
      <c r="F745" s="647"/>
      <c r="G745" s="647"/>
      <c r="H745" s="647"/>
      <c r="I745" s="647"/>
      <c r="J745" s="647"/>
      <c r="K745" s="647"/>
      <c r="L745" s="647"/>
      <c r="M745" s="647"/>
      <c r="N745" s="647"/>
      <c r="O745" s="647"/>
      <c r="P745" s="647"/>
      <c r="Q745" s="647"/>
      <c r="R745" s="647"/>
      <c r="S745" s="647"/>
      <c r="T745" s="647"/>
      <c r="U745" s="647"/>
      <c r="V745" s="647"/>
      <c r="W745" s="647"/>
      <c r="X745" s="647"/>
    </row>
    <row r="746">
      <c r="A746" s="646"/>
      <c r="B746" s="647"/>
      <c r="C746" s="647"/>
      <c r="D746" s="647"/>
      <c r="E746" s="647"/>
      <c r="F746" s="647"/>
      <c r="G746" s="647"/>
      <c r="H746" s="647"/>
      <c r="I746" s="647"/>
      <c r="J746" s="647"/>
      <c r="K746" s="647"/>
      <c r="L746" s="647"/>
      <c r="M746" s="647"/>
      <c r="N746" s="647"/>
      <c r="O746" s="647"/>
      <c r="P746" s="647"/>
      <c r="Q746" s="647"/>
      <c r="R746" s="647"/>
      <c r="S746" s="647"/>
      <c r="T746" s="647"/>
      <c r="U746" s="647"/>
      <c r="V746" s="647"/>
      <c r="W746" s="647"/>
      <c r="X746" s="647"/>
    </row>
    <row r="747">
      <c r="A747" s="646"/>
      <c r="B747" s="647"/>
      <c r="C747" s="647"/>
      <c r="D747" s="647"/>
      <c r="E747" s="647"/>
      <c r="F747" s="647"/>
      <c r="G747" s="647"/>
      <c r="H747" s="647"/>
      <c r="I747" s="647"/>
      <c r="J747" s="647"/>
      <c r="K747" s="647"/>
      <c r="L747" s="647"/>
      <c r="M747" s="647"/>
      <c r="N747" s="647"/>
      <c r="O747" s="647"/>
      <c r="P747" s="647"/>
      <c r="Q747" s="647"/>
      <c r="R747" s="647"/>
      <c r="S747" s="647"/>
      <c r="T747" s="647"/>
      <c r="U747" s="647"/>
      <c r="V747" s="647"/>
      <c r="W747" s="647"/>
      <c r="X747" s="647"/>
    </row>
    <row r="748">
      <c r="A748" s="646"/>
      <c r="B748" s="647"/>
      <c r="C748" s="647"/>
      <c r="D748" s="647"/>
      <c r="E748" s="647"/>
      <c r="F748" s="647"/>
      <c r="G748" s="647"/>
      <c r="H748" s="647"/>
      <c r="I748" s="647"/>
      <c r="J748" s="647"/>
      <c r="K748" s="647"/>
      <c r="L748" s="647"/>
      <c r="M748" s="647"/>
      <c r="N748" s="647"/>
      <c r="O748" s="647"/>
      <c r="P748" s="647"/>
      <c r="Q748" s="647"/>
      <c r="R748" s="647"/>
      <c r="S748" s="647"/>
      <c r="T748" s="647"/>
      <c r="U748" s="647"/>
      <c r="V748" s="647"/>
      <c r="W748" s="647"/>
      <c r="X748" s="647"/>
    </row>
    <row r="749">
      <c r="A749" s="646"/>
      <c r="B749" s="647"/>
      <c r="C749" s="647"/>
      <c r="D749" s="647"/>
      <c r="E749" s="647"/>
      <c r="F749" s="647"/>
      <c r="G749" s="647"/>
      <c r="H749" s="647"/>
      <c r="I749" s="647"/>
      <c r="J749" s="647"/>
      <c r="K749" s="647"/>
      <c r="L749" s="647"/>
      <c r="M749" s="647"/>
      <c r="N749" s="647"/>
      <c r="O749" s="647"/>
      <c r="P749" s="647"/>
      <c r="Q749" s="647"/>
      <c r="R749" s="647"/>
      <c r="S749" s="647"/>
      <c r="T749" s="647"/>
      <c r="U749" s="647"/>
      <c r="V749" s="647"/>
      <c r="W749" s="647"/>
      <c r="X749" s="647"/>
    </row>
    <row r="750">
      <c r="A750" s="646"/>
      <c r="B750" s="647"/>
      <c r="C750" s="647"/>
      <c r="D750" s="647"/>
      <c r="E750" s="647"/>
      <c r="F750" s="647"/>
      <c r="G750" s="647"/>
      <c r="H750" s="647"/>
      <c r="I750" s="647"/>
      <c r="J750" s="647"/>
      <c r="K750" s="647"/>
      <c r="L750" s="647"/>
      <c r="M750" s="647"/>
      <c r="N750" s="647"/>
      <c r="O750" s="647"/>
      <c r="P750" s="647"/>
      <c r="Q750" s="647"/>
      <c r="R750" s="647"/>
      <c r="S750" s="647"/>
      <c r="T750" s="647"/>
      <c r="U750" s="647"/>
      <c r="V750" s="647"/>
      <c r="W750" s="647"/>
      <c r="X750" s="647"/>
    </row>
    <row r="751">
      <c r="A751" s="646"/>
      <c r="B751" s="647"/>
      <c r="C751" s="647"/>
      <c r="D751" s="647"/>
      <c r="E751" s="647"/>
      <c r="F751" s="647"/>
      <c r="G751" s="647"/>
      <c r="H751" s="647"/>
      <c r="I751" s="647"/>
      <c r="J751" s="647"/>
      <c r="K751" s="647"/>
      <c r="L751" s="647"/>
      <c r="M751" s="647"/>
      <c r="N751" s="647"/>
      <c r="O751" s="647"/>
      <c r="P751" s="647"/>
      <c r="Q751" s="647"/>
      <c r="R751" s="647"/>
      <c r="S751" s="647"/>
      <c r="T751" s="647"/>
      <c r="U751" s="647"/>
      <c r="V751" s="647"/>
      <c r="W751" s="647"/>
      <c r="X751" s="647"/>
    </row>
    <row r="752">
      <c r="A752" s="646"/>
      <c r="B752" s="647"/>
      <c r="C752" s="647"/>
      <c r="D752" s="647"/>
      <c r="E752" s="647"/>
      <c r="F752" s="647"/>
      <c r="G752" s="647"/>
      <c r="H752" s="647"/>
      <c r="I752" s="647"/>
      <c r="J752" s="647"/>
      <c r="K752" s="647"/>
      <c r="L752" s="647"/>
      <c r="M752" s="647"/>
      <c r="N752" s="647"/>
      <c r="O752" s="647"/>
      <c r="P752" s="647"/>
      <c r="Q752" s="647"/>
      <c r="R752" s="647"/>
      <c r="S752" s="647"/>
      <c r="T752" s="647"/>
      <c r="U752" s="647"/>
      <c r="V752" s="647"/>
      <c r="W752" s="647"/>
      <c r="X752" s="647"/>
    </row>
    <row r="753">
      <c r="A753" s="646"/>
      <c r="B753" s="647"/>
      <c r="C753" s="647"/>
      <c r="D753" s="647"/>
      <c r="E753" s="647"/>
      <c r="F753" s="647"/>
      <c r="G753" s="647"/>
      <c r="H753" s="647"/>
      <c r="I753" s="647"/>
      <c r="J753" s="647"/>
      <c r="K753" s="647"/>
      <c r="L753" s="647"/>
      <c r="M753" s="647"/>
      <c r="N753" s="647"/>
      <c r="O753" s="647"/>
      <c r="P753" s="647"/>
      <c r="Q753" s="647"/>
      <c r="R753" s="647"/>
      <c r="S753" s="647"/>
      <c r="T753" s="647"/>
      <c r="U753" s="647"/>
      <c r="V753" s="647"/>
      <c r="W753" s="647"/>
      <c r="X753" s="647"/>
    </row>
    <row r="754">
      <c r="A754" s="646"/>
      <c r="B754" s="647"/>
      <c r="C754" s="647"/>
      <c r="D754" s="647"/>
      <c r="E754" s="647"/>
      <c r="F754" s="647"/>
      <c r="G754" s="647"/>
      <c r="H754" s="647"/>
      <c r="I754" s="647"/>
      <c r="J754" s="647"/>
      <c r="K754" s="647"/>
      <c r="L754" s="647"/>
      <c r="M754" s="647"/>
      <c r="N754" s="647"/>
      <c r="O754" s="647"/>
      <c r="P754" s="647"/>
      <c r="Q754" s="647"/>
      <c r="R754" s="647"/>
      <c r="S754" s="647"/>
      <c r="T754" s="647"/>
      <c r="U754" s="647"/>
      <c r="V754" s="647"/>
      <c r="W754" s="647"/>
      <c r="X754" s="647"/>
    </row>
    <row r="755">
      <c r="A755" s="646"/>
      <c r="B755" s="647"/>
      <c r="C755" s="647"/>
      <c r="D755" s="647"/>
      <c r="E755" s="647"/>
      <c r="F755" s="647"/>
      <c r="G755" s="647"/>
      <c r="H755" s="647"/>
      <c r="I755" s="647"/>
      <c r="J755" s="647"/>
      <c r="K755" s="647"/>
      <c r="L755" s="647"/>
      <c r="M755" s="647"/>
      <c r="N755" s="647"/>
      <c r="O755" s="647"/>
      <c r="P755" s="647"/>
      <c r="Q755" s="647"/>
      <c r="R755" s="647"/>
      <c r="S755" s="647"/>
      <c r="T755" s="647"/>
      <c r="U755" s="647"/>
      <c r="V755" s="647"/>
      <c r="W755" s="647"/>
      <c r="X755" s="647"/>
    </row>
    <row r="756">
      <c r="A756" s="646"/>
      <c r="B756" s="647"/>
      <c r="C756" s="647"/>
      <c r="D756" s="647"/>
      <c r="E756" s="647"/>
      <c r="F756" s="647"/>
      <c r="G756" s="647"/>
      <c r="H756" s="647"/>
      <c r="I756" s="647"/>
      <c r="J756" s="647"/>
      <c r="K756" s="647"/>
      <c r="L756" s="647"/>
      <c r="M756" s="647"/>
      <c r="N756" s="647"/>
      <c r="O756" s="647"/>
      <c r="P756" s="647"/>
      <c r="Q756" s="647"/>
      <c r="R756" s="647"/>
      <c r="S756" s="647"/>
      <c r="T756" s="647"/>
      <c r="U756" s="647"/>
      <c r="V756" s="647"/>
      <c r="W756" s="647"/>
      <c r="X756" s="647"/>
    </row>
    <row r="757">
      <c r="A757" s="646"/>
      <c r="B757" s="647"/>
      <c r="C757" s="647"/>
      <c r="D757" s="647"/>
      <c r="E757" s="647"/>
      <c r="F757" s="647"/>
      <c r="G757" s="647"/>
      <c r="H757" s="647"/>
      <c r="I757" s="647"/>
      <c r="J757" s="647"/>
      <c r="K757" s="647"/>
      <c r="L757" s="647"/>
      <c r="M757" s="647"/>
      <c r="N757" s="647"/>
      <c r="O757" s="647"/>
      <c r="P757" s="647"/>
      <c r="Q757" s="647"/>
      <c r="R757" s="647"/>
      <c r="S757" s="647"/>
      <c r="T757" s="647"/>
      <c r="U757" s="647"/>
      <c r="V757" s="647"/>
      <c r="W757" s="647"/>
      <c r="X757" s="647"/>
    </row>
    <row r="758">
      <c r="A758" s="646"/>
      <c r="B758" s="647"/>
      <c r="C758" s="647"/>
      <c r="D758" s="647"/>
      <c r="E758" s="647"/>
      <c r="F758" s="647"/>
      <c r="G758" s="647"/>
      <c r="H758" s="647"/>
      <c r="I758" s="647"/>
      <c r="J758" s="647"/>
      <c r="K758" s="647"/>
      <c r="L758" s="647"/>
      <c r="M758" s="647"/>
      <c r="N758" s="647"/>
      <c r="O758" s="647"/>
      <c r="P758" s="647"/>
      <c r="Q758" s="647"/>
      <c r="R758" s="647"/>
      <c r="S758" s="647"/>
      <c r="T758" s="647"/>
      <c r="U758" s="647"/>
      <c r="V758" s="647"/>
      <c r="W758" s="647"/>
      <c r="X758" s="647"/>
    </row>
    <row r="759">
      <c r="A759" s="646"/>
      <c r="B759" s="647"/>
      <c r="C759" s="647"/>
      <c r="D759" s="647"/>
      <c r="E759" s="647"/>
      <c r="F759" s="647"/>
      <c r="G759" s="647"/>
      <c r="H759" s="647"/>
      <c r="I759" s="647"/>
      <c r="J759" s="647"/>
      <c r="K759" s="647"/>
      <c r="L759" s="647"/>
      <c r="M759" s="647"/>
      <c r="N759" s="647"/>
      <c r="O759" s="647"/>
      <c r="P759" s="647"/>
      <c r="Q759" s="647"/>
      <c r="R759" s="647"/>
      <c r="S759" s="647"/>
      <c r="T759" s="647"/>
      <c r="U759" s="647"/>
      <c r="V759" s="647"/>
      <c r="W759" s="647"/>
      <c r="X759" s="647"/>
    </row>
    <row r="760">
      <c r="A760" s="646"/>
      <c r="B760" s="647"/>
      <c r="C760" s="647"/>
      <c r="D760" s="647"/>
      <c r="E760" s="647"/>
      <c r="F760" s="647"/>
      <c r="G760" s="647"/>
      <c r="H760" s="647"/>
      <c r="I760" s="647"/>
      <c r="J760" s="647"/>
      <c r="K760" s="647"/>
      <c r="L760" s="647"/>
      <c r="M760" s="647"/>
      <c r="N760" s="647"/>
      <c r="O760" s="647"/>
      <c r="P760" s="647"/>
      <c r="Q760" s="647"/>
      <c r="R760" s="647"/>
      <c r="S760" s="647"/>
      <c r="T760" s="647"/>
      <c r="U760" s="647"/>
      <c r="V760" s="647"/>
      <c r="W760" s="647"/>
      <c r="X760" s="647"/>
    </row>
    <row r="761">
      <c r="A761" s="646"/>
      <c r="B761" s="647"/>
      <c r="C761" s="647"/>
      <c r="D761" s="647"/>
      <c r="E761" s="647"/>
      <c r="F761" s="647"/>
      <c r="G761" s="647"/>
      <c r="H761" s="647"/>
      <c r="I761" s="647"/>
      <c r="J761" s="647"/>
      <c r="K761" s="647"/>
      <c r="L761" s="647"/>
      <c r="M761" s="647"/>
      <c r="N761" s="647"/>
      <c r="O761" s="647"/>
      <c r="P761" s="647"/>
      <c r="Q761" s="647"/>
      <c r="R761" s="647"/>
      <c r="S761" s="647"/>
      <c r="T761" s="647"/>
      <c r="U761" s="647"/>
      <c r="V761" s="647"/>
      <c r="W761" s="647"/>
      <c r="X761" s="647"/>
    </row>
    <row r="762">
      <c r="A762" s="646"/>
      <c r="B762" s="647"/>
      <c r="C762" s="647"/>
      <c r="D762" s="647"/>
      <c r="E762" s="647"/>
      <c r="F762" s="647"/>
      <c r="G762" s="647"/>
      <c r="H762" s="647"/>
      <c r="I762" s="647"/>
      <c r="J762" s="647"/>
      <c r="K762" s="647"/>
      <c r="L762" s="647"/>
      <c r="M762" s="647"/>
      <c r="N762" s="647"/>
      <c r="O762" s="647"/>
      <c r="P762" s="647"/>
      <c r="Q762" s="647"/>
      <c r="R762" s="647"/>
      <c r="S762" s="647"/>
      <c r="T762" s="647"/>
      <c r="U762" s="647"/>
      <c r="V762" s="647"/>
      <c r="W762" s="647"/>
      <c r="X762" s="647"/>
    </row>
    <row r="763">
      <c r="A763" s="646"/>
      <c r="B763" s="647"/>
      <c r="C763" s="647"/>
      <c r="D763" s="647"/>
      <c r="E763" s="647"/>
      <c r="F763" s="647"/>
      <c r="G763" s="647"/>
      <c r="H763" s="647"/>
      <c r="I763" s="647"/>
      <c r="J763" s="647"/>
      <c r="K763" s="647"/>
      <c r="L763" s="647"/>
      <c r="M763" s="647"/>
      <c r="N763" s="647"/>
      <c r="O763" s="647"/>
      <c r="P763" s="647"/>
      <c r="Q763" s="647"/>
      <c r="R763" s="647"/>
      <c r="S763" s="647"/>
      <c r="T763" s="647"/>
      <c r="U763" s="647"/>
      <c r="V763" s="647"/>
      <c r="W763" s="647"/>
      <c r="X763" s="647"/>
    </row>
    <row r="764">
      <c r="A764" s="646"/>
      <c r="B764" s="647"/>
      <c r="C764" s="647"/>
      <c r="D764" s="647"/>
      <c r="E764" s="647"/>
      <c r="F764" s="647"/>
      <c r="G764" s="647"/>
      <c r="H764" s="647"/>
      <c r="I764" s="647"/>
      <c r="J764" s="647"/>
      <c r="K764" s="647"/>
      <c r="L764" s="647"/>
      <c r="M764" s="647"/>
      <c r="N764" s="647"/>
      <c r="O764" s="647"/>
      <c r="P764" s="647"/>
      <c r="Q764" s="647"/>
      <c r="R764" s="647"/>
      <c r="S764" s="647"/>
      <c r="T764" s="647"/>
      <c r="U764" s="647"/>
      <c r="V764" s="647"/>
      <c r="W764" s="647"/>
      <c r="X764" s="647"/>
    </row>
    <row r="765">
      <c r="A765" s="646"/>
      <c r="B765" s="647"/>
      <c r="C765" s="647"/>
      <c r="D765" s="647"/>
      <c r="E765" s="647"/>
      <c r="F765" s="647"/>
      <c r="G765" s="647"/>
      <c r="H765" s="647"/>
      <c r="I765" s="647"/>
      <c r="J765" s="647"/>
      <c r="K765" s="647"/>
      <c r="L765" s="647"/>
      <c r="M765" s="647"/>
      <c r="N765" s="647"/>
      <c r="O765" s="647"/>
      <c r="P765" s="647"/>
      <c r="Q765" s="647"/>
      <c r="R765" s="647"/>
      <c r="S765" s="647"/>
      <c r="T765" s="647"/>
      <c r="U765" s="647"/>
      <c r="V765" s="647"/>
      <c r="W765" s="647"/>
      <c r="X765" s="647"/>
    </row>
    <row r="766">
      <c r="A766" s="646"/>
      <c r="B766" s="647"/>
      <c r="C766" s="647"/>
      <c r="D766" s="647"/>
      <c r="E766" s="647"/>
      <c r="F766" s="647"/>
      <c r="G766" s="647"/>
      <c r="H766" s="647"/>
      <c r="I766" s="647"/>
      <c r="J766" s="647"/>
      <c r="K766" s="647"/>
      <c r="L766" s="647"/>
      <c r="M766" s="647"/>
      <c r="N766" s="647"/>
      <c r="O766" s="647"/>
      <c r="P766" s="647"/>
      <c r="Q766" s="647"/>
      <c r="R766" s="647"/>
      <c r="S766" s="647"/>
      <c r="T766" s="647"/>
      <c r="U766" s="647"/>
      <c r="V766" s="647"/>
      <c r="W766" s="647"/>
      <c r="X766" s="647"/>
    </row>
    <row r="767">
      <c r="A767" s="646"/>
      <c r="B767" s="647"/>
      <c r="C767" s="647"/>
      <c r="D767" s="647"/>
      <c r="E767" s="647"/>
      <c r="F767" s="647"/>
      <c r="G767" s="647"/>
      <c r="H767" s="647"/>
      <c r="I767" s="647"/>
      <c r="J767" s="647"/>
      <c r="K767" s="647"/>
      <c r="L767" s="647"/>
      <c r="M767" s="647"/>
      <c r="N767" s="647"/>
      <c r="O767" s="647"/>
      <c r="P767" s="647"/>
      <c r="Q767" s="647"/>
      <c r="R767" s="647"/>
      <c r="S767" s="647"/>
      <c r="T767" s="647"/>
      <c r="U767" s="647"/>
      <c r="V767" s="647"/>
      <c r="W767" s="647"/>
      <c r="X767" s="647"/>
    </row>
    <row r="768">
      <c r="A768" s="646"/>
      <c r="B768" s="647"/>
      <c r="C768" s="647"/>
      <c r="D768" s="647"/>
      <c r="E768" s="647"/>
      <c r="F768" s="647"/>
      <c r="G768" s="647"/>
      <c r="H768" s="647"/>
      <c r="I768" s="647"/>
      <c r="J768" s="647"/>
      <c r="K768" s="647"/>
      <c r="L768" s="647"/>
      <c r="M768" s="647"/>
      <c r="N768" s="647"/>
      <c r="O768" s="647"/>
      <c r="P768" s="647"/>
      <c r="Q768" s="647"/>
      <c r="R768" s="647"/>
      <c r="S768" s="647"/>
      <c r="T768" s="647"/>
      <c r="U768" s="647"/>
      <c r="V768" s="647"/>
      <c r="W768" s="647"/>
      <c r="X768" s="647"/>
    </row>
    <row r="769">
      <c r="A769" s="646"/>
      <c r="B769" s="647"/>
      <c r="C769" s="647"/>
      <c r="D769" s="647"/>
      <c r="E769" s="647"/>
      <c r="F769" s="647"/>
      <c r="G769" s="647"/>
      <c r="H769" s="647"/>
      <c r="I769" s="647"/>
      <c r="J769" s="647"/>
      <c r="K769" s="647"/>
      <c r="L769" s="647"/>
      <c r="M769" s="647"/>
      <c r="N769" s="647"/>
      <c r="O769" s="647"/>
      <c r="P769" s="647"/>
      <c r="Q769" s="647"/>
      <c r="R769" s="647"/>
      <c r="S769" s="647"/>
      <c r="T769" s="647"/>
      <c r="U769" s="647"/>
      <c r="V769" s="647"/>
      <c r="W769" s="647"/>
      <c r="X769" s="647"/>
    </row>
    <row r="770">
      <c r="A770" s="646"/>
      <c r="B770" s="647"/>
      <c r="C770" s="647"/>
      <c r="D770" s="647"/>
      <c r="E770" s="647"/>
      <c r="F770" s="647"/>
      <c r="G770" s="647"/>
      <c r="H770" s="647"/>
      <c r="I770" s="647"/>
      <c r="J770" s="647"/>
      <c r="K770" s="647"/>
      <c r="L770" s="647"/>
      <c r="M770" s="647"/>
      <c r="N770" s="647"/>
      <c r="O770" s="647"/>
      <c r="P770" s="647"/>
      <c r="Q770" s="647"/>
      <c r="R770" s="647"/>
      <c r="S770" s="647"/>
      <c r="T770" s="647"/>
      <c r="U770" s="647"/>
      <c r="V770" s="647"/>
      <c r="W770" s="647"/>
      <c r="X770" s="647"/>
    </row>
    <row r="771">
      <c r="A771" s="646"/>
      <c r="B771" s="647"/>
      <c r="C771" s="647"/>
      <c r="D771" s="647"/>
      <c r="E771" s="647"/>
      <c r="F771" s="647"/>
      <c r="G771" s="647"/>
      <c r="H771" s="647"/>
      <c r="I771" s="647"/>
      <c r="J771" s="647"/>
      <c r="K771" s="647"/>
      <c r="L771" s="647"/>
      <c r="M771" s="647"/>
      <c r="N771" s="647"/>
      <c r="O771" s="647"/>
      <c r="P771" s="647"/>
      <c r="Q771" s="647"/>
      <c r="R771" s="647"/>
      <c r="S771" s="647"/>
      <c r="T771" s="647"/>
      <c r="U771" s="647"/>
      <c r="V771" s="647"/>
      <c r="W771" s="647"/>
      <c r="X771" s="647"/>
    </row>
    <row r="772">
      <c r="A772" s="646"/>
      <c r="B772" s="647"/>
      <c r="C772" s="647"/>
      <c r="D772" s="647"/>
      <c r="E772" s="647"/>
      <c r="F772" s="647"/>
      <c r="G772" s="647"/>
      <c r="H772" s="647"/>
      <c r="I772" s="647"/>
      <c r="J772" s="647"/>
      <c r="K772" s="647"/>
      <c r="L772" s="647"/>
      <c r="M772" s="647"/>
      <c r="N772" s="647"/>
      <c r="O772" s="647"/>
      <c r="P772" s="647"/>
      <c r="Q772" s="647"/>
      <c r="R772" s="647"/>
      <c r="S772" s="647"/>
      <c r="T772" s="647"/>
      <c r="U772" s="647"/>
      <c r="V772" s="647"/>
      <c r="W772" s="647"/>
      <c r="X772" s="647"/>
    </row>
    <row r="773">
      <c r="A773" s="646"/>
      <c r="B773" s="647"/>
      <c r="C773" s="647"/>
      <c r="D773" s="647"/>
      <c r="E773" s="647"/>
      <c r="F773" s="647"/>
      <c r="G773" s="647"/>
      <c r="H773" s="647"/>
      <c r="I773" s="647"/>
      <c r="J773" s="647"/>
      <c r="K773" s="647"/>
      <c r="L773" s="647"/>
      <c r="M773" s="647"/>
      <c r="N773" s="647"/>
      <c r="O773" s="647"/>
      <c r="P773" s="647"/>
      <c r="Q773" s="647"/>
      <c r="R773" s="647"/>
      <c r="S773" s="647"/>
      <c r="T773" s="647"/>
      <c r="U773" s="647"/>
      <c r="V773" s="647"/>
      <c r="W773" s="647"/>
      <c r="X773" s="647"/>
    </row>
    <row r="774">
      <c r="A774" s="646"/>
      <c r="B774" s="647"/>
      <c r="C774" s="647"/>
      <c r="D774" s="647"/>
      <c r="E774" s="647"/>
      <c r="F774" s="647"/>
      <c r="G774" s="647"/>
      <c r="H774" s="647"/>
      <c r="I774" s="647"/>
      <c r="J774" s="647"/>
      <c r="K774" s="647"/>
      <c r="L774" s="647"/>
      <c r="M774" s="647"/>
      <c r="N774" s="647"/>
      <c r="O774" s="647"/>
      <c r="P774" s="647"/>
      <c r="Q774" s="647"/>
      <c r="R774" s="647"/>
      <c r="S774" s="647"/>
      <c r="T774" s="647"/>
      <c r="U774" s="647"/>
      <c r="V774" s="647"/>
      <c r="W774" s="647"/>
      <c r="X774" s="647"/>
    </row>
    <row r="775">
      <c r="A775" s="646"/>
      <c r="B775" s="647"/>
      <c r="C775" s="647"/>
      <c r="D775" s="647"/>
      <c r="E775" s="647"/>
      <c r="F775" s="647"/>
      <c r="G775" s="647"/>
      <c r="H775" s="647"/>
      <c r="I775" s="647"/>
      <c r="J775" s="647"/>
      <c r="K775" s="647"/>
      <c r="L775" s="647"/>
      <c r="M775" s="647"/>
      <c r="N775" s="647"/>
      <c r="O775" s="647"/>
      <c r="P775" s="647"/>
      <c r="Q775" s="647"/>
      <c r="R775" s="647"/>
      <c r="S775" s="647"/>
      <c r="T775" s="647"/>
      <c r="U775" s="647"/>
      <c r="V775" s="647"/>
      <c r="W775" s="647"/>
      <c r="X775" s="647"/>
    </row>
    <row r="776">
      <c r="A776" s="646"/>
      <c r="B776" s="647"/>
      <c r="C776" s="647"/>
      <c r="D776" s="647"/>
      <c r="E776" s="647"/>
      <c r="F776" s="647"/>
      <c r="G776" s="647"/>
      <c r="H776" s="647"/>
      <c r="I776" s="647"/>
      <c r="J776" s="647"/>
      <c r="K776" s="647"/>
      <c r="L776" s="647"/>
      <c r="M776" s="647"/>
      <c r="N776" s="647"/>
      <c r="O776" s="647"/>
      <c r="P776" s="647"/>
      <c r="Q776" s="647"/>
      <c r="R776" s="647"/>
      <c r="S776" s="647"/>
      <c r="T776" s="647"/>
      <c r="U776" s="647"/>
      <c r="V776" s="647"/>
      <c r="W776" s="647"/>
      <c r="X776" s="647"/>
    </row>
    <row r="777">
      <c r="A777" s="646"/>
      <c r="B777" s="647"/>
      <c r="C777" s="647"/>
      <c r="D777" s="647"/>
      <c r="E777" s="647"/>
      <c r="F777" s="647"/>
      <c r="G777" s="647"/>
      <c r="H777" s="647"/>
      <c r="I777" s="647"/>
      <c r="J777" s="647"/>
      <c r="K777" s="647"/>
      <c r="L777" s="647"/>
      <c r="M777" s="647"/>
      <c r="N777" s="647"/>
      <c r="O777" s="647"/>
      <c r="P777" s="647"/>
      <c r="Q777" s="647"/>
      <c r="R777" s="647"/>
      <c r="S777" s="647"/>
      <c r="T777" s="647"/>
      <c r="U777" s="647"/>
      <c r="V777" s="647"/>
      <c r="W777" s="647"/>
      <c r="X777" s="647"/>
    </row>
    <row r="778">
      <c r="A778" s="646"/>
      <c r="B778" s="647"/>
      <c r="C778" s="647"/>
      <c r="D778" s="647"/>
      <c r="E778" s="647"/>
      <c r="F778" s="647"/>
      <c r="G778" s="647"/>
      <c r="H778" s="647"/>
      <c r="I778" s="647"/>
      <c r="J778" s="647"/>
      <c r="K778" s="647"/>
      <c r="L778" s="647"/>
      <c r="M778" s="647"/>
      <c r="N778" s="647"/>
      <c r="O778" s="647"/>
      <c r="P778" s="647"/>
      <c r="Q778" s="647"/>
      <c r="R778" s="647"/>
      <c r="S778" s="647"/>
      <c r="T778" s="647"/>
      <c r="U778" s="647"/>
      <c r="V778" s="647"/>
      <c r="W778" s="647"/>
      <c r="X778" s="647"/>
    </row>
    <row r="779">
      <c r="A779" s="646"/>
      <c r="B779" s="647"/>
      <c r="C779" s="647"/>
      <c r="D779" s="647"/>
      <c r="E779" s="647"/>
      <c r="F779" s="647"/>
      <c r="G779" s="647"/>
      <c r="H779" s="647"/>
      <c r="I779" s="647"/>
      <c r="J779" s="647"/>
      <c r="K779" s="647"/>
      <c r="L779" s="647"/>
      <c r="M779" s="647"/>
      <c r="N779" s="647"/>
      <c r="O779" s="647"/>
      <c r="P779" s="647"/>
      <c r="Q779" s="647"/>
      <c r="R779" s="647"/>
      <c r="S779" s="647"/>
      <c r="T779" s="647"/>
      <c r="U779" s="647"/>
      <c r="V779" s="647"/>
      <c r="W779" s="647"/>
      <c r="X779" s="647"/>
    </row>
    <row r="780">
      <c r="A780" s="646"/>
      <c r="B780" s="647"/>
      <c r="C780" s="647"/>
      <c r="D780" s="647"/>
      <c r="E780" s="647"/>
      <c r="F780" s="647"/>
      <c r="G780" s="647"/>
      <c r="H780" s="647"/>
      <c r="I780" s="647"/>
      <c r="J780" s="647"/>
      <c r="K780" s="647"/>
      <c r="L780" s="647"/>
      <c r="M780" s="647"/>
      <c r="N780" s="647"/>
      <c r="O780" s="647"/>
      <c r="P780" s="647"/>
      <c r="Q780" s="647"/>
      <c r="R780" s="647"/>
      <c r="S780" s="647"/>
      <c r="T780" s="647"/>
      <c r="U780" s="647"/>
      <c r="V780" s="647"/>
      <c r="W780" s="647"/>
      <c r="X780" s="647"/>
    </row>
    <row r="781">
      <c r="A781" s="646"/>
      <c r="B781" s="647"/>
      <c r="C781" s="647"/>
      <c r="D781" s="647"/>
      <c r="E781" s="647"/>
      <c r="F781" s="647"/>
      <c r="G781" s="647"/>
      <c r="H781" s="647"/>
      <c r="I781" s="647"/>
      <c r="J781" s="647"/>
      <c r="K781" s="647"/>
      <c r="L781" s="647"/>
      <c r="M781" s="647"/>
      <c r="N781" s="647"/>
      <c r="O781" s="647"/>
      <c r="P781" s="647"/>
      <c r="Q781" s="647"/>
      <c r="R781" s="647"/>
      <c r="S781" s="647"/>
      <c r="T781" s="647"/>
      <c r="U781" s="647"/>
      <c r="V781" s="647"/>
      <c r="W781" s="647"/>
      <c r="X781" s="647"/>
    </row>
    <row r="782">
      <c r="A782" s="646"/>
      <c r="B782" s="647"/>
      <c r="C782" s="647"/>
      <c r="D782" s="647"/>
      <c r="E782" s="647"/>
      <c r="F782" s="647"/>
      <c r="G782" s="647"/>
      <c r="H782" s="647"/>
      <c r="I782" s="647"/>
      <c r="J782" s="647"/>
      <c r="K782" s="647"/>
      <c r="L782" s="647"/>
      <c r="M782" s="647"/>
      <c r="N782" s="647"/>
      <c r="O782" s="647"/>
      <c r="P782" s="647"/>
      <c r="Q782" s="647"/>
      <c r="R782" s="647"/>
      <c r="S782" s="647"/>
      <c r="T782" s="647"/>
      <c r="U782" s="647"/>
      <c r="V782" s="647"/>
      <c r="W782" s="647"/>
      <c r="X782" s="647"/>
    </row>
    <row r="783">
      <c r="A783" s="646"/>
      <c r="B783" s="647"/>
      <c r="C783" s="647"/>
      <c r="D783" s="647"/>
      <c r="E783" s="647"/>
      <c r="F783" s="647"/>
      <c r="G783" s="647"/>
      <c r="H783" s="647"/>
      <c r="I783" s="647"/>
      <c r="J783" s="647"/>
      <c r="K783" s="647"/>
      <c r="L783" s="647"/>
      <c r="M783" s="647"/>
      <c r="N783" s="647"/>
      <c r="O783" s="647"/>
      <c r="P783" s="647"/>
      <c r="Q783" s="647"/>
      <c r="R783" s="647"/>
      <c r="S783" s="647"/>
      <c r="T783" s="647"/>
      <c r="U783" s="647"/>
      <c r="V783" s="647"/>
      <c r="W783" s="647"/>
      <c r="X783" s="647"/>
    </row>
    <row r="784">
      <c r="A784" s="646"/>
      <c r="B784" s="647"/>
      <c r="C784" s="647"/>
      <c r="D784" s="647"/>
      <c r="E784" s="647"/>
      <c r="F784" s="647"/>
      <c r="G784" s="647"/>
      <c r="H784" s="647"/>
      <c r="I784" s="647"/>
      <c r="J784" s="647"/>
      <c r="K784" s="647"/>
      <c r="L784" s="647"/>
      <c r="M784" s="647"/>
      <c r="N784" s="647"/>
      <c r="O784" s="647"/>
      <c r="P784" s="647"/>
      <c r="Q784" s="647"/>
      <c r="R784" s="647"/>
      <c r="S784" s="647"/>
      <c r="T784" s="647"/>
      <c r="U784" s="647"/>
      <c r="V784" s="647"/>
      <c r="W784" s="647"/>
      <c r="X784" s="647"/>
    </row>
    <row r="785">
      <c r="A785" s="646"/>
      <c r="B785" s="647"/>
      <c r="C785" s="647"/>
      <c r="D785" s="647"/>
      <c r="E785" s="647"/>
      <c r="F785" s="647"/>
      <c r="G785" s="647"/>
      <c r="H785" s="647"/>
      <c r="I785" s="647"/>
      <c r="J785" s="647"/>
      <c r="K785" s="647"/>
      <c r="L785" s="647"/>
      <c r="M785" s="647"/>
      <c r="N785" s="647"/>
      <c r="O785" s="647"/>
      <c r="P785" s="647"/>
      <c r="Q785" s="647"/>
      <c r="R785" s="647"/>
      <c r="S785" s="647"/>
      <c r="T785" s="647"/>
      <c r="U785" s="647"/>
      <c r="V785" s="647"/>
      <c r="W785" s="647"/>
      <c r="X785" s="647"/>
    </row>
    <row r="786">
      <c r="A786" s="646"/>
      <c r="B786" s="647"/>
      <c r="C786" s="647"/>
      <c r="D786" s="647"/>
      <c r="E786" s="647"/>
      <c r="F786" s="647"/>
      <c r="G786" s="647"/>
      <c r="H786" s="647"/>
      <c r="I786" s="647"/>
      <c r="J786" s="647"/>
      <c r="K786" s="647"/>
      <c r="L786" s="647"/>
      <c r="M786" s="647"/>
      <c r="N786" s="647"/>
      <c r="O786" s="647"/>
      <c r="P786" s="647"/>
      <c r="Q786" s="647"/>
      <c r="R786" s="647"/>
      <c r="S786" s="647"/>
      <c r="T786" s="647"/>
      <c r="U786" s="647"/>
      <c r="V786" s="647"/>
      <c r="W786" s="647"/>
      <c r="X786" s="647"/>
    </row>
    <row r="787">
      <c r="A787" s="646"/>
      <c r="B787" s="647"/>
      <c r="C787" s="647"/>
      <c r="D787" s="647"/>
      <c r="E787" s="647"/>
      <c r="F787" s="647"/>
      <c r="G787" s="647"/>
      <c r="H787" s="647"/>
      <c r="I787" s="647"/>
      <c r="J787" s="647"/>
      <c r="K787" s="647"/>
      <c r="L787" s="647"/>
      <c r="M787" s="647"/>
      <c r="N787" s="647"/>
      <c r="O787" s="647"/>
      <c r="P787" s="647"/>
      <c r="Q787" s="647"/>
      <c r="R787" s="647"/>
      <c r="S787" s="647"/>
      <c r="T787" s="647"/>
      <c r="U787" s="647"/>
      <c r="V787" s="647"/>
      <c r="W787" s="647"/>
      <c r="X787" s="647"/>
    </row>
    <row r="788">
      <c r="A788" s="646"/>
      <c r="B788" s="647"/>
      <c r="C788" s="647"/>
      <c r="D788" s="647"/>
      <c r="E788" s="647"/>
      <c r="F788" s="647"/>
      <c r="G788" s="647"/>
      <c r="H788" s="647"/>
      <c r="I788" s="647"/>
      <c r="J788" s="647"/>
      <c r="K788" s="647"/>
      <c r="L788" s="647"/>
      <c r="M788" s="647"/>
      <c r="N788" s="647"/>
      <c r="O788" s="647"/>
      <c r="P788" s="647"/>
      <c r="Q788" s="647"/>
      <c r="R788" s="647"/>
      <c r="S788" s="647"/>
      <c r="T788" s="647"/>
      <c r="U788" s="647"/>
      <c r="V788" s="647"/>
      <c r="W788" s="647"/>
      <c r="X788" s="647"/>
    </row>
    <row r="789">
      <c r="A789" s="646"/>
      <c r="B789" s="647"/>
      <c r="C789" s="647"/>
      <c r="D789" s="647"/>
      <c r="E789" s="647"/>
      <c r="F789" s="647"/>
      <c r="G789" s="647"/>
      <c r="H789" s="647"/>
      <c r="I789" s="647"/>
      <c r="J789" s="647"/>
      <c r="K789" s="647"/>
      <c r="L789" s="647"/>
      <c r="M789" s="647"/>
      <c r="N789" s="647"/>
      <c r="O789" s="647"/>
      <c r="P789" s="647"/>
      <c r="Q789" s="647"/>
      <c r="R789" s="647"/>
      <c r="S789" s="647"/>
      <c r="T789" s="647"/>
      <c r="U789" s="647"/>
      <c r="V789" s="647"/>
      <c r="W789" s="647"/>
      <c r="X789" s="647"/>
    </row>
    <row r="790">
      <c r="A790" s="646"/>
      <c r="B790" s="647"/>
      <c r="C790" s="647"/>
      <c r="D790" s="647"/>
      <c r="E790" s="647"/>
      <c r="F790" s="647"/>
      <c r="G790" s="647"/>
      <c r="H790" s="647"/>
      <c r="I790" s="647"/>
      <c r="J790" s="647"/>
      <c r="K790" s="647"/>
      <c r="L790" s="647"/>
      <c r="M790" s="647"/>
      <c r="N790" s="647"/>
      <c r="O790" s="647"/>
      <c r="P790" s="647"/>
      <c r="Q790" s="647"/>
      <c r="R790" s="647"/>
      <c r="S790" s="647"/>
      <c r="T790" s="647"/>
      <c r="U790" s="647"/>
      <c r="V790" s="647"/>
      <c r="W790" s="647"/>
      <c r="X790" s="647"/>
    </row>
    <row r="791">
      <c r="A791" s="646"/>
      <c r="B791" s="647"/>
      <c r="C791" s="647"/>
      <c r="D791" s="647"/>
      <c r="E791" s="647"/>
      <c r="F791" s="647"/>
      <c r="G791" s="647"/>
      <c r="H791" s="647"/>
      <c r="I791" s="647"/>
      <c r="J791" s="647"/>
      <c r="K791" s="647"/>
      <c r="L791" s="647"/>
      <c r="M791" s="647"/>
      <c r="N791" s="647"/>
      <c r="O791" s="647"/>
      <c r="P791" s="647"/>
      <c r="Q791" s="647"/>
      <c r="R791" s="647"/>
      <c r="S791" s="647"/>
      <c r="T791" s="647"/>
      <c r="U791" s="647"/>
      <c r="V791" s="647"/>
      <c r="W791" s="647"/>
      <c r="X791" s="647"/>
    </row>
    <row r="792">
      <c r="A792" s="646"/>
      <c r="B792" s="647"/>
      <c r="C792" s="647"/>
      <c r="D792" s="647"/>
      <c r="E792" s="647"/>
      <c r="F792" s="647"/>
      <c r="G792" s="647"/>
      <c r="H792" s="647"/>
      <c r="I792" s="647"/>
      <c r="J792" s="647"/>
      <c r="K792" s="647"/>
      <c r="L792" s="647"/>
      <c r="M792" s="647"/>
      <c r="N792" s="647"/>
      <c r="O792" s="647"/>
      <c r="P792" s="647"/>
      <c r="Q792" s="647"/>
      <c r="R792" s="647"/>
      <c r="S792" s="647"/>
      <c r="T792" s="647"/>
      <c r="U792" s="647"/>
      <c r="V792" s="647"/>
      <c r="W792" s="647"/>
      <c r="X792" s="647"/>
    </row>
    <row r="793">
      <c r="A793" s="646"/>
      <c r="B793" s="647"/>
      <c r="C793" s="647"/>
      <c r="D793" s="647"/>
      <c r="E793" s="647"/>
      <c r="F793" s="647"/>
      <c r="G793" s="647"/>
      <c r="H793" s="647"/>
      <c r="I793" s="647"/>
      <c r="J793" s="647"/>
      <c r="K793" s="647"/>
      <c r="L793" s="647"/>
      <c r="M793" s="647"/>
      <c r="N793" s="647"/>
      <c r="O793" s="647"/>
      <c r="P793" s="647"/>
      <c r="Q793" s="647"/>
      <c r="R793" s="647"/>
      <c r="S793" s="647"/>
      <c r="T793" s="647"/>
      <c r="U793" s="647"/>
      <c r="V793" s="647"/>
      <c r="W793" s="647"/>
      <c r="X793" s="647"/>
    </row>
    <row r="794">
      <c r="A794" s="646"/>
      <c r="B794" s="647"/>
      <c r="C794" s="647"/>
      <c r="D794" s="647"/>
      <c r="E794" s="647"/>
      <c r="F794" s="647"/>
      <c r="G794" s="647"/>
      <c r="H794" s="647"/>
      <c r="I794" s="647"/>
      <c r="J794" s="647"/>
      <c r="K794" s="647"/>
      <c r="L794" s="647"/>
      <c r="M794" s="647"/>
      <c r="N794" s="647"/>
      <c r="O794" s="647"/>
      <c r="P794" s="647"/>
      <c r="Q794" s="647"/>
      <c r="R794" s="647"/>
      <c r="S794" s="647"/>
      <c r="T794" s="647"/>
      <c r="U794" s="647"/>
      <c r="V794" s="647"/>
      <c r="W794" s="647"/>
      <c r="X794" s="647"/>
    </row>
    <row r="795">
      <c r="A795" s="646"/>
      <c r="B795" s="647"/>
      <c r="C795" s="647"/>
      <c r="D795" s="647"/>
      <c r="E795" s="647"/>
      <c r="F795" s="647"/>
      <c r="G795" s="647"/>
      <c r="H795" s="647"/>
      <c r="I795" s="647"/>
      <c r="J795" s="647"/>
      <c r="K795" s="647"/>
      <c r="L795" s="647"/>
      <c r="M795" s="647"/>
      <c r="N795" s="647"/>
      <c r="O795" s="647"/>
      <c r="P795" s="647"/>
      <c r="Q795" s="647"/>
      <c r="R795" s="647"/>
      <c r="S795" s="647"/>
      <c r="T795" s="647"/>
      <c r="U795" s="647"/>
      <c r="V795" s="647"/>
      <c r="W795" s="647"/>
      <c r="X795" s="647"/>
    </row>
    <row r="796">
      <c r="A796" s="646"/>
      <c r="B796" s="647"/>
      <c r="C796" s="647"/>
      <c r="D796" s="647"/>
      <c r="E796" s="647"/>
      <c r="F796" s="647"/>
      <c r="G796" s="647"/>
      <c r="H796" s="647"/>
      <c r="I796" s="647"/>
      <c r="J796" s="647"/>
      <c r="K796" s="647"/>
      <c r="L796" s="647"/>
      <c r="M796" s="647"/>
      <c r="N796" s="647"/>
      <c r="O796" s="647"/>
      <c r="P796" s="647"/>
      <c r="Q796" s="647"/>
      <c r="R796" s="647"/>
      <c r="S796" s="647"/>
      <c r="T796" s="647"/>
      <c r="U796" s="647"/>
      <c r="V796" s="647"/>
      <c r="W796" s="647"/>
      <c r="X796" s="647"/>
    </row>
    <row r="797">
      <c r="A797" s="646"/>
      <c r="B797" s="647"/>
      <c r="C797" s="647"/>
      <c r="D797" s="647"/>
      <c r="E797" s="647"/>
      <c r="F797" s="647"/>
      <c r="G797" s="647"/>
      <c r="H797" s="647"/>
      <c r="I797" s="647"/>
      <c r="J797" s="647"/>
      <c r="K797" s="647"/>
      <c r="L797" s="647"/>
      <c r="M797" s="647"/>
      <c r="N797" s="647"/>
      <c r="O797" s="647"/>
      <c r="P797" s="647"/>
      <c r="Q797" s="647"/>
      <c r="R797" s="647"/>
      <c r="S797" s="647"/>
      <c r="T797" s="647"/>
      <c r="U797" s="647"/>
      <c r="V797" s="647"/>
      <c r="W797" s="647"/>
      <c r="X797" s="647"/>
    </row>
    <row r="798">
      <c r="A798" s="646"/>
      <c r="B798" s="647"/>
      <c r="C798" s="647"/>
      <c r="D798" s="647"/>
      <c r="E798" s="647"/>
      <c r="F798" s="647"/>
      <c r="G798" s="647"/>
      <c r="H798" s="647"/>
      <c r="I798" s="647"/>
      <c r="J798" s="647"/>
      <c r="K798" s="647"/>
      <c r="L798" s="647"/>
      <c r="M798" s="647"/>
      <c r="N798" s="647"/>
      <c r="O798" s="647"/>
      <c r="P798" s="647"/>
      <c r="Q798" s="647"/>
      <c r="R798" s="647"/>
      <c r="S798" s="647"/>
      <c r="T798" s="647"/>
      <c r="U798" s="647"/>
      <c r="V798" s="647"/>
      <c r="W798" s="647"/>
      <c r="X798" s="647"/>
    </row>
    <row r="799">
      <c r="A799" s="646"/>
      <c r="B799" s="647"/>
      <c r="C799" s="647"/>
      <c r="D799" s="647"/>
      <c r="E799" s="647"/>
      <c r="F799" s="647"/>
      <c r="G799" s="647"/>
      <c r="H799" s="647"/>
      <c r="I799" s="647"/>
      <c r="J799" s="647"/>
      <c r="K799" s="647"/>
      <c r="L799" s="647"/>
      <c r="M799" s="647"/>
      <c r="N799" s="647"/>
      <c r="O799" s="647"/>
      <c r="P799" s="647"/>
      <c r="Q799" s="647"/>
      <c r="R799" s="647"/>
      <c r="S799" s="647"/>
      <c r="T799" s="647"/>
      <c r="U799" s="647"/>
      <c r="V799" s="647"/>
      <c r="W799" s="647"/>
      <c r="X799" s="647"/>
    </row>
    <row r="800">
      <c r="A800" s="646"/>
      <c r="B800" s="647"/>
      <c r="C800" s="647"/>
      <c r="D800" s="647"/>
      <c r="E800" s="647"/>
      <c r="F800" s="647"/>
      <c r="G800" s="647"/>
      <c r="H800" s="647"/>
      <c r="I800" s="647"/>
      <c r="J800" s="647"/>
      <c r="K800" s="647"/>
      <c r="L800" s="647"/>
      <c r="M800" s="647"/>
      <c r="N800" s="647"/>
      <c r="O800" s="647"/>
      <c r="P800" s="647"/>
      <c r="Q800" s="647"/>
      <c r="R800" s="647"/>
      <c r="S800" s="647"/>
      <c r="T800" s="647"/>
      <c r="U800" s="647"/>
      <c r="V800" s="647"/>
      <c r="W800" s="647"/>
      <c r="X800" s="647"/>
    </row>
    <row r="801">
      <c r="A801" s="646"/>
      <c r="B801" s="647"/>
      <c r="C801" s="647"/>
      <c r="D801" s="647"/>
      <c r="E801" s="647"/>
      <c r="F801" s="647"/>
      <c r="G801" s="647"/>
      <c r="H801" s="647"/>
      <c r="I801" s="647"/>
      <c r="J801" s="647"/>
      <c r="K801" s="647"/>
      <c r="L801" s="647"/>
      <c r="M801" s="647"/>
      <c r="N801" s="647"/>
      <c r="O801" s="647"/>
      <c r="P801" s="647"/>
      <c r="Q801" s="647"/>
      <c r="R801" s="647"/>
      <c r="S801" s="647"/>
      <c r="T801" s="647"/>
      <c r="U801" s="647"/>
      <c r="V801" s="647"/>
      <c r="W801" s="647"/>
      <c r="X801" s="647"/>
    </row>
    <row r="802">
      <c r="A802" s="646"/>
      <c r="B802" s="647"/>
      <c r="C802" s="647"/>
      <c r="D802" s="647"/>
      <c r="E802" s="647"/>
      <c r="F802" s="647"/>
      <c r="G802" s="647"/>
      <c r="H802" s="647"/>
      <c r="I802" s="647"/>
      <c r="J802" s="647"/>
      <c r="K802" s="647"/>
      <c r="L802" s="647"/>
      <c r="M802" s="647"/>
      <c r="N802" s="647"/>
      <c r="O802" s="647"/>
      <c r="P802" s="647"/>
      <c r="Q802" s="647"/>
      <c r="R802" s="647"/>
      <c r="S802" s="647"/>
      <c r="T802" s="647"/>
      <c r="U802" s="647"/>
      <c r="V802" s="647"/>
      <c r="W802" s="647"/>
      <c r="X802" s="647"/>
    </row>
    <row r="803">
      <c r="A803" s="646"/>
      <c r="B803" s="647"/>
      <c r="C803" s="647"/>
      <c r="D803" s="647"/>
      <c r="E803" s="647"/>
      <c r="F803" s="647"/>
      <c r="G803" s="647"/>
      <c r="H803" s="647"/>
      <c r="I803" s="647"/>
      <c r="J803" s="647"/>
      <c r="K803" s="647"/>
      <c r="L803" s="647"/>
      <c r="M803" s="647"/>
      <c r="N803" s="647"/>
      <c r="O803" s="647"/>
      <c r="P803" s="647"/>
      <c r="Q803" s="647"/>
      <c r="R803" s="647"/>
      <c r="S803" s="647"/>
      <c r="T803" s="647"/>
      <c r="U803" s="647"/>
      <c r="V803" s="647"/>
      <c r="W803" s="647"/>
      <c r="X803" s="647"/>
    </row>
    <row r="804">
      <c r="A804" s="646"/>
      <c r="B804" s="647"/>
      <c r="C804" s="647"/>
      <c r="D804" s="647"/>
      <c r="E804" s="647"/>
      <c r="F804" s="647"/>
      <c r="G804" s="647"/>
      <c r="H804" s="647"/>
      <c r="I804" s="647"/>
      <c r="J804" s="647"/>
      <c r="K804" s="647"/>
      <c r="L804" s="647"/>
      <c r="M804" s="647"/>
      <c r="N804" s="647"/>
      <c r="O804" s="647"/>
      <c r="P804" s="647"/>
      <c r="Q804" s="647"/>
      <c r="R804" s="647"/>
      <c r="S804" s="647"/>
      <c r="T804" s="647"/>
      <c r="U804" s="647"/>
      <c r="V804" s="647"/>
      <c r="W804" s="647"/>
      <c r="X804" s="647"/>
    </row>
    <row r="805">
      <c r="A805" s="646"/>
      <c r="B805" s="647"/>
      <c r="C805" s="647"/>
      <c r="D805" s="647"/>
      <c r="E805" s="647"/>
      <c r="F805" s="647"/>
      <c r="G805" s="647"/>
      <c r="H805" s="647"/>
      <c r="I805" s="647"/>
      <c r="J805" s="647"/>
      <c r="K805" s="647"/>
      <c r="L805" s="647"/>
      <c r="M805" s="647"/>
      <c r="N805" s="647"/>
      <c r="O805" s="647"/>
      <c r="P805" s="647"/>
      <c r="Q805" s="647"/>
      <c r="R805" s="647"/>
      <c r="S805" s="647"/>
      <c r="T805" s="647"/>
      <c r="U805" s="647"/>
      <c r="V805" s="647"/>
      <c r="W805" s="647"/>
      <c r="X805" s="647"/>
    </row>
    <row r="806">
      <c r="A806" s="646"/>
      <c r="B806" s="647"/>
      <c r="C806" s="647"/>
      <c r="D806" s="647"/>
      <c r="E806" s="647"/>
      <c r="F806" s="647"/>
      <c r="G806" s="647"/>
      <c r="H806" s="647"/>
      <c r="I806" s="647"/>
      <c r="J806" s="647"/>
      <c r="K806" s="647"/>
      <c r="L806" s="647"/>
      <c r="M806" s="647"/>
      <c r="N806" s="647"/>
      <c r="O806" s="647"/>
      <c r="P806" s="647"/>
      <c r="Q806" s="647"/>
      <c r="R806" s="647"/>
      <c r="S806" s="647"/>
      <c r="T806" s="647"/>
      <c r="U806" s="647"/>
      <c r="V806" s="647"/>
      <c r="W806" s="647"/>
      <c r="X806" s="647"/>
    </row>
    <row r="807">
      <c r="A807" s="646"/>
      <c r="B807" s="647"/>
      <c r="C807" s="647"/>
      <c r="D807" s="647"/>
      <c r="E807" s="647"/>
      <c r="F807" s="647"/>
      <c r="G807" s="647"/>
      <c r="H807" s="647"/>
      <c r="I807" s="647"/>
      <c r="J807" s="647"/>
      <c r="K807" s="647"/>
      <c r="L807" s="647"/>
      <c r="M807" s="647"/>
      <c r="N807" s="647"/>
      <c r="O807" s="647"/>
      <c r="P807" s="647"/>
      <c r="Q807" s="647"/>
      <c r="R807" s="647"/>
      <c r="S807" s="647"/>
      <c r="T807" s="647"/>
      <c r="U807" s="647"/>
      <c r="V807" s="647"/>
      <c r="W807" s="647"/>
      <c r="X807" s="647"/>
    </row>
    <row r="808">
      <c r="A808" s="646"/>
      <c r="B808" s="647"/>
      <c r="C808" s="647"/>
      <c r="D808" s="647"/>
      <c r="E808" s="647"/>
      <c r="F808" s="647"/>
      <c r="G808" s="647"/>
      <c r="H808" s="647"/>
      <c r="I808" s="647"/>
      <c r="J808" s="647"/>
      <c r="K808" s="647"/>
      <c r="L808" s="647"/>
      <c r="M808" s="647"/>
      <c r="N808" s="647"/>
      <c r="O808" s="647"/>
      <c r="P808" s="647"/>
      <c r="Q808" s="647"/>
      <c r="R808" s="647"/>
      <c r="S808" s="647"/>
      <c r="T808" s="647"/>
      <c r="U808" s="647"/>
      <c r="V808" s="647"/>
      <c r="W808" s="647"/>
      <c r="X808" s="647"/>
    </row>
    <row r="809">
      <c r="A809" s="646"/>
      <c r="B809" s="647"/>
      <c r="C809" s="647"/>
      <c r="D809" s="647"/>
      <c r="E809" s="647"/>
      <c r="F809" s="647"/>
      <c r="G809" s="647"/>
      <c r="H809" s="647"/>
      <c r="I809" s="647"/>
      <c r="J809" s="647"/>
      <c r="K809" s="647"/>
      <c r="L809" s="647"/>
      <c r="M809" s="647"/>
      <c r="N809" s="647"/>
      <c r="O809" s="647"/>
      <c r="P809" s="647"/>
      <c r="Q809" s="647"/>
      <c r="R809" s="647"/>
      <c r="S809" s="647"/>
      <c r="T809" s="647"/>
      <c r="U809" s="647"/>
      <c r="V809" s="647"/>
      <c r="W809" s="647"/>
      <c r="X809" s="647"/>
    </row>
    <row r="810">
      <c r="A810" s="646"/>
      <c r="B810" s="647"/>
      <c r="C810" s="647"/>
      <c r="D810" s="647"/>
      <c r="E810" s="647"/>
      <c r="F810" s="647"/>
      <c r="G810" s="647"/>
      <c r="H810" s="647"/>
      <c r="I810" s="647"/>
      <c r="J810" s="647"/>
      <c r="K810" s="647"/>
      <c r="L810" s="647"/>
      <c r="M810" s="647"/>
      <c r="N810" s="647"/>
      <c r="O810" s="647"/>
      <c r="P810" s="647"/>
      <c r="Q810" s="647"/>
      <c r="R810" s="647"/>
      <c r="S810" s="647"/>
      <c r="T810" s="647"/>
      <c r="U810" s="647"/>
      <c r="V810" s="647"/>
      <c r="W810" s="647"/>
      <c r="X810" s="647"/>
    </row>
    <row r="811">
      <c r="A811" s="646"/>
      <c r="B811" s="647"/>
      <c r="C811" s="647"/>
      <c r="D811" s="647"/>
      <c r="E811" s="647"/>
      <c r="F811" s="647"/>
      <c r="G811" s="647"/>
      <c r="H811" s="647"/>
      <c r="I811" s="647"/>
      <c r="J811" s="647"/>
      <c r="K811" s="647"/>
      <c r="L811" s="647"/>
      <c r="M811" s="647"/>
      <c r="N811" s="647"/>
      <c r="O811" s="647"/>
      <c r="P811" s="647"/>
      <c r="Q811" s="647"/>
      <c r="R811" s="647"/>
      <c r="S811" s="647"/>
      <c r="T811" s="647"/>
      <c r="U811" s="647"/>
      <c r="V811" s="647"/>
      <c r="W811" s="647"/>
      <c r="X811" s="647"/>
    </row>
    <row r="812">
      <c r="A812" s="646"/>
      <c r="B812" s="647"/>
      <c r="C812" s="647"/>
      <c r="D812" s="647"/>
      <c r="E812" s="647"/>
      <c r="F812" s="647"/>
      <c r="G812" s="647"/>
      <c r="H812" s="647"/>
      <c r="I812" s="647"/>
      <c r="J812" s="647"/>
      <c r="K812" s="647"/>
      <c r="L812" s="647"/>
      <c r="M812" s="647"/>
      <c r="N812" s="647"/>
      <c r="O812" s="647"/>
      <c r="P812" s="647"/>
      <c r="Q812" s="647"/>
      <c r="R812" s="647"/>
      <c r="S812" s="647"/>
      <c r="T812" s="647"/>
      <c r="U812" s="647"/>
      <c r="V812" s="647"/>
      <c r="W812" s="647"/>
      <c r="X812" s="647"/>
    </row>
    <row r="813">
      <c r="A813" s="646"/>
      <c r="B813" s="647"/>
      <c r="C813" s="647"/>
      <c r="D813" s="647"/>
      <c r="E813" s="647"/>
      <c r="F813" s="647"/>
      <c r="G813" s="647"/>
      <c r="H813" s="647"/>
      <c r="I813" s="647"/>
      <c r="J813" s="647"/>
      <c r="K813" s="647"/>
      <c r="L813" s="647"/>
      <c r="M813" s="647"/>
      <c r="N813" s="647"/>
      <c r="O813" s="647"/>
      <c r="P813" s="647"/>
      <c r="Q813" s="647"/>
      <c r="R813" s="647"/>
      <c r="S813" s="647"/>
      <c r="T813" s="647"/>
      <c r="U813" s="647"/>
      <c r="V813" s="647"/>
      <c r="W813" s="647"/>
      <c r="X813" s="647"/>
    </row>
    <row r="814">
      <c r="A814" s="646"/>
      <c r="B814" s="647"/>
      <c r="C814" s="647"/>
      <c r="D814" s="647"/>
      <c r="E814" s="647"/>
      <c r="F814" s="647"/>
      <c r="G814" s="647"/>
      <c r="H814" s="647"/>
      <c r="I814" s="647"/>
      <c r="J814" s="647"/>
      <c r="K814" s="647"/>
      <c r="L814" s="647"/>
      <c r="M814" s="647"/>
      <c r="N814" s="647"/>
      <c r="O814" s="647"/>
      <c r="P814" s="647"/>
      <c r="Q814" s="647"/>
      <c r="R814" s="647"/>
      <c r="S814" s="647"/>
      <c r="T814" s="647"/>
      <c r="U814" s="647"/>
      <c r="V814" s="647"/>
      <c r="W814" s="647"/>
      <c r="X814" s="647"/>
    </row>
    <row r="815">
      <c r="A815" s="646"/>
      <c r="B815" s="647"/>
      <c r="C815" s="647"/>
      <c r="D815" s="647"/>
      <c r="E815" s="647"/>
      <c r="F815" s="647"/>
      <c r="G815" s="647"/>
      <c r="H815" s="647"/>
      <c r="I815" s="647"/>
      <c r="J815" s="647"/>
      <c r="K815" s="647"/>
      <c r="L815" s="647"/>
      <c r="M815" s="647"/>
      <c r="N815" s="647"/>
      <c r="O815" s="647"/>
      <c r="P815" s="647"/>
      <c r="Q815" s="647"/>
      <c r="R815" s="647"/>
      <c r="S815" s="647"/>
      <c r="T815" s="647"/>
      <c r="U815" s="647"/>
      <c r="V815" s="647"/>
      <c r="W815" s="647"/>
      <c r="X815" s="647"/>
    </row>
    <row r="816">
      <c r="A816" s="646"/>
      <c r="B816" s="647"/>
      <c r="C816" s="647"/>
      <c r="D816" s="647"/>
      <c r="E816" s="647"/>
      <c r="F816" s="647"/>
      <c r="G816" s="647"/>
      <c r="H816" s="647"/>
      <c r="I816" s="647"/>
      <c r="J816" s="647"/>
      <c r="K816" s="647"/>
      <c r="L816" s="647"/>
      <c r="M816" s="647"/>
      <c r="N816" s="647"/>
      <c r="O816" s="647"/>
      <c r="P816" s="647"/>
      <c r="Q816" s="647"/>
      <c r="R816" s="647"/>
      <c r="S816" s="647"/>
      <c r="T816" s="647"/>
      <c r="U816" s="647"/>
      <c r="V816" s="647"/>
      <c r="W816" s="647"/>
      <c r="X816" s="647"/>
    </row>
    <row r="817">
      <c r="A817" s="646"/>
      <c r="B817" s="647"/>
      <c r="C817" s="647"/>
      <c r="D817" s="647"/>
      <c r="E817" s="647"/>
      <c r="F817" s="647"/>
      <c r="G817" s="647"/>
      <c r="H817" s="647"/>
      <c r="I817" s="647"/>
      <c r="J817" s="647"/>
      <c r="K817" s="647"/>
      <c r="L817" s="647"/>
      <c r="M817" s="647"/>
      <c r="N817" s="647"/>
      <c r="O817" s="647"/>
      <c r="P817" s="647"/>
      <c r="Q817" s="647"/>
      <c r="R817" s="647"/>
      <c r="S817" s="647"/>
      <c r="T817" s="647"/>
      <c r="U817" s="647"/>
      <c r="V817" s="647"/>
      <c r="W817" s="647"/>
      <c r="X817" s="647"/>
    </row>
    <row r="818">
      <c r="A818" s="646"/>
      <c r="B818" s="647"/>
      <c r="C818" s="647"/>
      <c r="D818" s="647"/>
      <c r="E818" s="647"/>
      <c r="F818" s="647"/>
      <c r="G818" s="647"/>
      <c r="H818" s="647"/>
      <c r="I818" s="647"/>
      <c r="J818" s="647"/>
      <c r="K818" s="647"/>
      <c r="L818" s="647"/>
      <c r="M818" s="647"/>
      <c r="N818" s="647"/>
      <c r="O818" s="647"/>
      <c r="P818" s="647"/>
      <c r="Q818" s="647"/>
      <c r="R818" s="647"/>
      <c r="S818" s="647"/>
      <c r="T818" s="647"/>
      <c r="U818" s="647"/>
      <c r="V818" s="647"/>
      <c r="W818" s="647"/>
      <c r="X818" s="647"/>
    </row>
    <row r="819">
      <c r="A819" s="646"/>
      <c r="B819" s="647"/>
      <c r="C819" s="647"/>
      <c r="D819" s="647"/>
      <c r="E819" s="647"/>
      <c r="F819" s="647"/>
      <c r="G819" s="647"/>
      <c r="H819" s="647"/>
      <c r="I819" s="647"/>
      <c r="J819" s="647"/>
      <c r="K819" s="647"/>
      <c r="L819" s="647"/>
      <c r="M819" s="647"/>
      <c r="N819" s="647"/>
      <c r="O819" s="647"/>
      <c r="P819" s="647"/>
      <c r="Q819" s="647"/>
      <c r="R819" s="647"/>
      <c r="S819" s="647"/>
      <c r="T819" s="647"/>
      <c r="U819" s="647"/>
      <c r="V819" s="647"/>
      <c r="W819" s="647"/>
      <c r="X819" s="647"/>
    </row>
    <row r="820">
      <c r="A820" s="646"/>
      <c r="B820" s="647"/>
      <c r="C820" s="647"/>
      <c r="D820" s="647"/>
      <c r="E820" s="647"/>
      <c r="F820" s="647"/>
      <c r="G820" s="647"/>
      <c r="H820" s="647"/>
      <c r="I820" s="647"/>
      <c r="J820" s="647"/>
      <c r="K820" s="647"/>
      <c r="L820" s="647"/>
      <c r="M820" s="647"/>
      <c r="N820" s="647"/>
      <c r="O820" s="647"/>
      <c r="P820" s="647"/>
      <c r="Q820" s="647"/>
      <c r="R820" s="647"/>
      <c r="S820" s="647"/>
      <c r="T820" s="647"/>
      <c r="U820" s="647"/>
      <c r="V820" s="647"/>
      <c r="W820" s="647"/>
      <c r="X820" s="647"/>
    </row>
    <row r="821">
      <c r="A821" s="646"/>
      <c r="B821" s="647"/>
      <c r="C821" s="647"/>
      <c r="D821" s="647"/>
      <c r="E821" s="647"/>
      <c r="F821" s="647"/>
      <c r="G821" s="647"/>
      <c r="H821" s="647"/>
      <c r="I821" s="647"/>
      <c r="J821" s="647"/>
      <c r="K821" s="647"/>
      <c r="L821" s="647"/>
      <c r="M821" s="647"/>
      <c r="N821" s="647"/>
      <c r="O821" s="647"/>
      <c r="P821" s="647"/>
      <c r="Q821" s="647"/>
      <c r="R821" s="647"/>
      <c r="S821" s="647"/>
      <c r="T821" s="647"/>
      <c r="U821" s="647"/>
      <c r="V821" s="647"/>
      <c r="W821" s="647"/>
      <c r="X821" s="647"/>
    </row>
    <row r="822">
      <c r="A822" s="646"/>
      <c r="B822" s="647"/>
      <c r="C822" s="647"/>
      <c r="D822" s="647"/>
      <c r="E822" s="647"/>
      <c r="F822" s="647"/>
      <c r="G822" s="647"/>
      <c r="H822" s="647"/>
      <c r="I822" s="647"/>
      <c r="J822" s="647"/>
      <c r="K822" s="647"/>
      <c r="L822" s="647"/>
      <c r="M822" s="647"/>
      <c r="N822" s="647"/>
      <c r="O822" s="647"/>
      <c r="P822" s="647"/>
      <c r="Q822" s="647"/>
      <c r="R822" s="647"/>
      <c r="S822" s="647"/>
      <c r="T822" s="647"/>
      <c r="U822" s="647"/>
      <c r="V822" s="647"/>
      <c r="W822" s="647"/>
      <c r="X822" s="647"/>
    </row>
    <row r="823">
      <c r="A823" s="646"/>
      <c r="B823" s="647"/>
      <c r="C823" s="647"/>
      <c r="D823" s="647"/>
      <c r="E823" s="647"/>
      <c r="F823" s="647"/>
      <c r="G823" s="647"/>
      <c r="H823" s="647"/>
      <c r="I823" s="647"/>
      <c r="J823" s="647"/>
      <c r="K823" s="647"/>
      <c r="L823" s="647"/>
      <c r="M823" s="647"/>
      <c r="N823" s="647"/>
      <c r="O823" s="647"/>
      <c r="P823" s="647"/>
      <c r="Q823" s="647"/>
      <c r="R823" s="647"/>
      <c r="S823" s="647"/>
      <c r="T823" s="647"/>
      <c r="U823" s="647"/>
      <c r="V823" s="647"/>
      <c r="W823" s="647"/>
      <c r="X823" s="647"/>
    </row>
    <row r="824">
      <c r="A824" s="646"/>
      <c r="B824" s="647"/>
      <c r="C824" s="647"/>
      <c r="D824" s="647"/>
      <c r="E824" s="647"/>
      <c r="F824" s="647"/>
      <c r="G824" s="647"/>
      <c r="H824" s="647"/>
      <c r="I824" s="647"/>
      <c r="J824" s="647"/>
      <c r="K824" s="647"/>
      <c r="L824" s="647"/>
      <c r="M824" s="647"/>
      <c r="N824" s="647"/>
      <c r="O824" s="647"/>
      <c r="P824" s="647"/>
      <c r="Q824" s="647"/>
      <c r="R824" s="647"/>
      <c r="S824" s="647"/>
      <c r="T824" s="647"/>
      <c r="U824" s="647"/>
      <c r="V824" s="647"/>
      <c r="W824" s="647"/>
      <c r="X824" s="647"/>
    </row>
    <row r="825">
      <c r="A825" s="646"/>
      <c r="B825" s="647"/>
      <c r="C825" s="647"/>
      <c r="D825" s="647"/>
      <c r="E825" s="647"/>
      <c r="F825" s="647"/>
      <c r="G825" s="647"/>
      <c r="H825" s="647"/>
      <c r="I825" s="647"/>
      <c r="J825" s="647"/>
      <c r="K825" s="647"/>
      <c r="L825" s="647"/>
      <c r="M825" s="647"/>
      <c r="N825" s="647"/>
      <c r="O825" s="647"/>
      <c r="P825" s="647"/>
      <c r="Q825" s="647"/>
      <c r="R825" s="647"/>
      <c r="S825" s="647"/>
      <c r="T825" s="647"/>
      <c r="U825" s="647"/>
      <c r="V825" s="647"/>
      <c r="W825" s="647"/>
      <c r="X825" s="647"/>
    </row>
    <row r="826">
      <c r="A826" s="646"/>
      <c r="B826" s="647"/>
      <c r="C826" s="647"/>
      <c r="D826" s="647"/>
      <c r="E826" s="647"/>
      <c r="F826" s="647"/>
      <c r="G826" s="647"/>
      <c r="H826" s="647"/>
      <c r="I826" s="647"/>
      <c r="J826" s="647"/>
      <c r="K826" s="647"/>
      <c r="L826" s="647"/>
      <c r="M826" s="647"/>
      <c r="N826" s="647"/>
      <c r="O826" s="647"/>
      <c r="P826" s="647"/>
      <c r="Q826" s="647"/>
      <c r="R826" s="647"/>
      <c r="S826" s="647"/>
      <c r="T826" s="647"/>
      <c r="U826" s="647"/>
      <c r="V826" s="647"/>
      <c r="W826" s="647"/>
      <c r="X826" s="647"/>
    </row>
    <row r="827">
      <c r="A827" s="646"/>
      <c r="B827" s="647"/>
      <c r="C827" s="647"/>
      <c r="D827" s="647"/>
      <c r="E827" s="647"/>
      <c r="F827" s="647"/>
      <c r="G827" s="647"/>
      <c r="H827" s="647"/>
      <c r="I827" s="647"/>
      <c r="J827" s="647"/>
      <c r="K827" s="647"/>
      <c r="L827" s="647"/>
      <c r="M827" s="647"/>
      <c r="N827" s="647"/>
      <c r="O827" s="647"/>
      <c r="P827" s="647"/>
      <c r="Q827" s="647"/>
      <c r="R827" s="647"/>
      <c r="S827" s="647"/>
      <c r="T827" s="647"/>
      <c r="U827" s="647"/>
      <c r="V827" s="647"/>
      <c r="W827" s="647"/>
      <c r="X827" s="647"/>
    </row>
    <row r="828">
      <c r="A828" s="646"/>
      <c r="B828" s="647"/>
      <c r="C828" s="647"/>
      <c r="D828" s="647"/>
      <c r="E828" s="647"/>
      <c r="F828" s="647"/>
      <c r="G828" s="647"/>
      <c r="H828" s="647"/>
      <c r="I828" s="647"/>
      <c r="J828" s="647"/>
      <c r="K828" s="647"/>
      <c r="L828" s="647"/>
      <c r="M828" s="647"/>
      <c r="N828" s="647"/>
      <c r="O828" s="647"/>
      <c r="P828" s="647"/>
      <c r="Q828" s="647"/>
      <c r="R828" s="647"/>
      <c r="S828" s="647"/>
      <c r="T828" s="647"/>
      <c r="U828" s="647"/>
      <c r="V828" s="647"/>
      <c r="W828" s="647"/>
      <c r="X828" s="647"/>
    </row>
    <row r="829">
      <c r="A829" s="646"/>
      <c r="B829" s="647"/>
      <c r="C829" s="647"/>
      <c r="D829" s="647"/>
      <c r="E829" s="647"/>
      <c r="F829" s="647"/>
      <c r="G829" s="647"/>
      <c r="H829" s="647"/>
      <c r="I829" s="647"/>
      <c r="J829" s="647"/>
      <c r="K829" s="647"/>
      <c r="L829" s="647"/>
      <c r="M829" s="647"/>
      <c r="N829" s="647"/>
      <c r="O829" s="647"/>
      <c r="P829" s="647"/>
      <c r="Q829" s="647"/>
      <c r="R829" s="647"/>
      <c r="S829" s="647"/>
      <c r="T829" s="647"/>
      <c r="U829" s="647"/>
      <c r="V829" s="647"/>
      <c r="W829" s="647"/>
      <c r="X829" s="647"/>
    </row>
    <row r="830">
      <c r="A830" s="646"/>
      <c r="B830" s="647"/>
      <c r="C830" s="647"/>
      <c r="D830" s="647"/>
      <c r="E830" s="647"/>
      <c r="F830" s="647"/>
      <c r="G830" s="647"/>
      <c r="H830" s="647"/>
      <c r="I830" s="647"/>
      <c r="J830" s="647"/>
      <c r="K830" s="647"/>
      <c r="L830" s="647"/>
      <c r="M830" s="647"/>
      <c r="N830" s="647"/>
      <c r="O830" s="647"/>
      <c r="P830" s="647"/>
      <c r="Q830" s="647"/>
      <c r="R830" s="647"/>
      <c r="S830" s="647"/>
      <c r="T830" s="647"/>
      <c r="U830" s="647"/>
      <c r="V830" s="647"/>
      <c r="W830" s="647"/>
      <c r="X830" s="647"/>
    </row>
    <row r="831">
      <c r="A831" s="646"/>
      <c r="B831" s="647"/>
      <c r="C831" s="647"/>
      <c r="D831" s="647"/>
      <c r="E831" s="647"/>
      <c r="F831" s="647"/>
      <c r="G831" s="647"/>
      <c r="H831" s="647"/>
      <c r="I831" s="647"/>
      <c r="J831" s="647"/>
      <c r="K831" s="647"/>
      <c r="L831" s="647"/>
      <c r="M831" s="647"/>
      <c r="N831" s="647"/>
      <c r="O831" s="647"/>
      <c r="P831" s="647"/>
      <c r="Q831" s="647"/>
      <c r="R831" s="647"/>
      <c r="S831" s="647"/>
      <c r="T831" s="647"/>
      <c r="U831" s="647"/>
      <c r="V831" s="647"/>
      <c r="W831" s="647"/>
      <c r="X831" s="647"/>
    </row>
    <row r="832">
      <c r="A832" s="646"/>
      <c r="B832" s="647"/>
      <c r="C832" s="647"/>
      <c r="D832" s="647"/>
      <c r="E832" s="647"/>
      <c r="F832" s="647"/>
      <c r="G832" s="647"/>
      <c r="H832" s="647"/>
      <c r="I832" s="647"/>
      <c r="J832" s="647"/>
      <c r="K832" s="647"/>
      <c r="L832" s="647"/>
      <c r="M832" s="647"/>
      <c r="N832" s="647"/>
      <c r="O832" s="647"/>
      <c r="P832" s="647"/>
      <c r="Q832" s="647"/>
      <c r="R832" s="647"/>
      <c r="S832" s="647"/>
      <c r="T832" s="647"/>
      <c r="U832" s="647"/>
      <c r="V832" s="647"/>
      <c r="W832" s="647"/>
      <c r="X832" s="647"/>
    </row>
    <row r="833">
      <c r="A833" s="646"/>
      <c r="B833" s="647"/>
      <c r="C833" s="647"/>
      <c r="D833" s="647"/>
      <c r="E833" s="647"/>
      <c r="F833" s="647"/>
      <c r="G833" s="647"/>
      <c r="H833" s="647"/>
      <c r="I833" s="647"/>
      <c r="J833" s="647"/>
      <c r="K833" s="647"/>
      <c r="L833" s="647"/>
      <c r="M833" s="647"/>
      <c r="N833" s="647"/>
      <c r="O833" s="647"/>
      <c r="P833" s="647"/>
      <c r="Q833" s="647"/>
      <c r="R833" s="647"/>
      <c r="S833" s="647"/>
      <c r="T833" s="647"/>
      <c r="U833" s="647"/>
      <c r="V833" s="647"/>
      <c r="W833" s="647"/>
      <c r="X833" s="647"/>
    </row>
    <row r="834">
      <c r="A834" s="646"/>
      <c r="B834" s="647"/>
      <c r="C834" s="647"/>
      <c r="D834" s="647"/>
      <c r="E834" s="647"/>
      <c r="F834" s="647"/>
      <c r="G834" s="647"/>
      <c r="H834" s="647"/>
      <c r="I834" s="647"/>
      <c r="J834" s="647"/>
      <c r="K834" s="647"/>
      <c r="L834" s="647"/>
      <c r="M834" s="647"/>
      <c r="N834" s="647"/>
      <c r="O834" s="647"/>
      <c r="P834" s="647"/>
      <c r="Q834" s="647"/>
      <c r="R834" s="647"/>
      <c r="S834" s="647"/>
      <c r="T834" s="647"/>
      <c r="U834" s="647"/>
      <c r="V834" s="647"/>
      <c r="W834" s="647"/>
      <c r="X834" s="647"/>
    </row>
    <row r="835">
      <c r="A835" s="646"/>
      <c r="B835" s="647"/>
      <c r="C835" s="647"/>
      <c r="D835" s="647"/>
      <c r="E835" s="647"/>
      <c r="F835" s="647"/>
      <c r="G835" s="647"/>
      <c r="H835" s="647"/>
      <c r="I835" s="647"/>
      <c r="J835" s="647"/>
      <c r="K835" s="647"/>
      <c r="L835" s="647"/>
      <c r="M835" s="647"/>
      <c r="N835" s="647"/>
      <c r="O835" s="647"/>
      <c r="P835" s="647"/>
      <c r="Q835" s="647"/>
      <c r="R835" s="647"/>
      <c r="S835" s="647"/>
      <c r="T835" s="647"/>
      <c r="U835" s="647"/>
      <c r="V835" s="647"/>
      <c r="W835" s="647"/>
      <c r="X835" s="647"/>
    </row>
    <row r="836">
      <c r="A836" s="646"/>
      <c r="B836" s="647"/>
      <c r="C836" s="647"/>
      <c r="D836" s="647"/>
      <c r="E836" s="647"/>
      <c r="F836" s="647"/>
      <c r="G836" s="647"/>
      <c r="H836" s="647"/>
      <c r="I836" s="647"/>
      <c r="J836" s="647"/>
      <c r="K836" s="647"/>
      <c r="L836" s="647"/>
      <c r="M836" s="647"/>
      <c r="N836" s="647"/>
      <c r="O836" s="647"/>
      <c r="P836" s="647"/>
      <c r="Q836" s="647"/>
      <c r="R836" s="647"/>
      <c r="S836" s="647"/>
      <c r="T836" s="647"/>
      <c r="U836" s="647"/>
      <c r="V836" s="647"/>
      <c r="W836" s="647"/>
      <c r="X836" s="647"/>
    </row>
    <row r="837">
      <c r="A837" s="646"/>
      <c r="B837" s="647"/>
      <c r="C837" s="647"/>
      <c r="D837" s="647"/>
      <c r="E837" s="647"/>
      <c r="F837" s="647"/>
      <c r="G837" s="647"/>
      <c r="H837" s="647"/>
      <c r="I837" s="647"/>
      <c r="J837" s="647"/>
      <c r="K837" s="647"/>
      <c r="L837" s="647"/>
      <c r="M837" s="647"/>
      <c r="N837" s="647"/>
      <c r="O837" s="647"/>
      <c r="P837" s="647"/>
      <c r="Q837" s="647"/>
      <c r="R837" s="647"/>
      <c r="S837" s="647"/>
      <c r="T837" s="647"/>
      <c r="U837" s="647"/>
      <c r="V837" s="647"/>
      <c r="W837" s="647"/>
      <c r="X837" s="647"/>
    </row>
    <row r="838">
      <c r="A838" s="646"/>
      <c r="B838" s="647"/>
      <c r="C838" s="647"/>
      <c r="D838" s="647"/>
      <c r="E838" s="647"/>
      <c r="F838" s="647"/>
      <c r="G838" s="647"/>
      <c r="H838" s="647"/>
      <c r="I838" s="647"/>
      <c r="J838" s="647"/>
      <c r="K838" s="647"/>
      <c r="L838" s="647"/>
      <c r="M838" s="647"/>
      <c r="N838" s="647"/>
      <c r="O838" s="647"/>
      <c r="P838" s="647"/>
      <c r="Q838" s="647"/>
      <c r="R838" s="647"/>
      <c r="S838" s="647"/>
      <c r="T838" s="647"/>
      <c r="U838" s="647"/>
      <c r="V838" s="647"/>
      <c r="W838" s="647"/>
      <c r="X838" s="647"/>
    </row>
    <row r="839">
      <c r="A839" s="646"/>
      <c r="B839" s="647"/>
      <c r="C839" s="647"/>
      <c r="D839" s="647"/>
      <c r="E839" s="647"/>
      <c r="F839" s="647"/>
      <c r="G839" s="647"/>
      <c r="H839" s="647"/>
      <c r="I839" s="647"/>
      <c r="J839" s="647"/>
      <c r="K839" s="647"/>
      <c r="L839" s="647"/>
      <c r="M839" s="647"/>
      <c r="N839" s="647"/>
      <c r="O839" s="647"/>
      <c r="P839" s="647"/>
      <c r="Q839" s="647"/>
      <c r="R839" s="647"/>
      <c r="S839" s="647"/>
      <c r="T839" s="647"/>
      <c r="U839" s="647"/>
      <c r="V839" s="647"/>
      <c r="W839" s="647"/>
      <c r="X839" s="647"/>
    </row>
    <row r="840">
      <c r="A840" s="646"/>
      <c r="B840" s="647"/>
      <c r="C840" s="647"/>
      <c r="D840" s="647"/>
      <c r="E840" s="647"/>
      <c r="F840" s="647"/>
      <c r="G840" s="647"/>
      <c r="H840" s="647"/>
      <c r="I840" s="647"/>
      <c r="J840" s="647"/>
      <c r="K840" s="647"/>
      <c r="L840" s="647"/>
      <c r="M840" s="647"/>
      <c r="N840" s="647"/>
      <c r="O840" s="647"/>
      <c r="P840" s="647"/>
      <c r="Q840" s="647"/>
      <c r="R840" s="647"/>
      <c r="S840" s="647"/>
      <c r="T840" s="647"/>
      <c r="U840" s="647"/>
      <c r="V840" s="647"/>
      <c r="W840" s="647"/>
      <c r="X840" s="647"/>
    </row>
    <row r="841">
      <c r="A841" s="646"/>
      <c r="B841" s="647"/>
      <c r="C841" s="647"/>
      <c r="D841" s="647"/>
      <c r="E841" s="647"/>
      <c r="F841" s="647"/>
      <c r="G841" s="647"/>
      <c r="H841" s="647"/>
      <c r="I841" s="647"/>
      <c r="J841" s="647"/>
      <c r="K841" s="647"/>
      <c r="L841" s="647"/>
      <c r="M841" s="647"/>
      <c r="N841" s="647"/>
      <c r="O841" s="647"/>
      <c r="P841" s="647"/>
      <c r="Q841" s="647"/>
      <c r="R841" s="647"/>
      <c r="S841" s="647"/>
      <c r="T841" s="647"/>
      <c r="U841" s="647"/>
      <c r="V841" s="647"/>
      <c r="W841" s="647"/>
      <c r="X841" s="647"/>
    </row>
    <row r="842">
      <c r="A842" s="646"/>
      <c r="B842" s="647"/>
      <c r="C842" s="647"/>
      <c r="D842" s="647"/>
      <c r="E842" s="647"/>
      <c r="F842" s="647"/>
      <c r="G842" s="647"/>
      <c r="H842" s="647"/>
      <c r="I842" s="647"/>
      <c r="J842" s="647"/>
      <c r="K842" s="647"/>
      <c r="L842" s="647"/>
      <c r="M842" s="647"/>
      <c r="N842" s="647"/>
      <c r="O842" s="647"/>
      <c r="P842" s="647"/>
      <c r="Q842" s="647"/>
      <c r="R842" s="647"/>
      <c r="S842" s="647"/>
      <c r="T842" s="647"/>
      <c r="U842" s="647"/>
      <c r="V842" s="647"/>
      <c r="W842" s="647"/>
      <c r="X842" s="647"/>
    </row>
    <row r="843">
      <c r="A843" s="646"/>
      <c r="B843" s="647"/>
      <c r="C843" s="647"/>
      <c r="D843" s="647"/>
      <c r="E843" s="647"/>
      <c r="F843" s="647"/>
      <c r="G843" s="647"/>
      <c r="H843" s="647"/>
      <c r="I843" s="647"/>
      <c r="J843" s="647"/>
      <c r="K843" s="647"/>
      <c r="L843" s="647"/>
      <c r="M843" s="647"/>
      <c r="N843" s="647"/>
      <c r="O843" s="647"/>
      <c r="P843" s="647"/>
      <c r="Q843" s="647"/>
      <c r="R843" s="647"/>
      <c r="S843" s="647"/>
      <c r="T843" s="647"/>
      <c r="U843" s="647"/>
      <c r="V843" s="647"/>
      <c r="W843" s="647"/>
      <c r="X843" s="647"/>
    </row>
    <row r="844">
      <c r="A844" s="646"/>
      <c r="B844" s="647"/>
      <c r="C844" s="647"/>
      <c r="D844" s="647"/>
      <c r="E844" s="647"/>
      <c r="F844" s="647"/>
      <c r="G844" s="647"/>
      <c r="H844" s="647"/>
      <c r="I844" s="647"/>
      <c r="J844" s="647"/>
      <c r="K844" s="647"/>
      <c r="L844" s="647"/>
      <c r="M844" s="647"/>
      <c r="N844" s="647"/>
      <c r="O844" s="647"/>
      <c r="P844" s="647"/>
      <c r="Q844" s="647"/>
      <c r="R844" s="647"/>
      <c r="S844" s="647"/>
      <c r="T844" s="647"/>
      <c r="U844" s="647"/>
      <c r="V844" s="647"/>
      <c r="W844" s="647"/>
      <c r="X844" s="647"/>
    </row>
    <row r="845">
      <c r="A845" s="646"/>
      <c r="B845" s="647"/>
      <c r="C845" s="647"/>
      <c r="D845" s="647"/>
      <c r="E845" s="647"/>
      <c r="F845" s="647"/>
      <c r="G845" s="647"/>
      <c r="H845" s="647"/>
      <c r="I845" s="647"/>
      <c r="J845" s="647"/>
      <c r="K845" s="647"/>
      <c r="L845" s="647"/>
      <c r="M845" s="647"/>
      <c r="N845" s="647"/>
      <c r="O845" s="647"/>
      <c r="P845" s="647"/>
      <c r="Q845" s="647"/>
      <c r="R845" s="647"/>
      <c r="S845" s="647"/>
      <c r="T845" s="647"/>
      <c r="U845" s="647"/>
      <c r="V845" s="647"/>
      <c r="W845" s="647"/>
      <c r="X845" s="647"/>
    </row>
    <row r="846">
      <c r="A846" s="646"/>
      <c r="B846" s="647"/>
      <c r="C846" s="647"/>
      <c r="D846" s="647"/>
      <c r="E846" s="647"/>
      <c r="F846" s="647"/>
      <c r="G846" s="647"/>
      <c r="H846" s="647"/>
      <c r="I846" s="647"/>
      <c r="J846" s="647"/>
      <c r="K846" s="647"/>
      <c r="L846" s="647"/>
      <c r="M846" s="647"/>
      <c r="N846" s="647"/>
      <c r="O846" s="647"/>
      <c r="P846" s="647"/>
      <c r="Q846" s="647"/>
      <c r="R846" s="647"/>
      <c r="S846" s="647"/>
      <c r="T846" s="647"/>
      <c r="U846" s="647"/>
      <c r="V846" s="647"/>
      <c r="W846" s="647"/>
      <c r="X846" s="647"/>
    </row>
    <row r="847">
      <c r="A847" s="646"/>
      <c r="B847" s="647"/>
      <c r="C847" s="647"/>
      <c r="D847" s="647"/>
      <c r="E847" s="647"/>
      <c r="F847" s="647"/>
      <c r="G847" s="647"/>
      <c r="H847" s="647"/>
      <c r="I847" s="647"/>
      <c r="J847" s="647"/>
      <c r="K847" s="647"/>
      <c r="L847" s="647"/>
      <c r="M847" s="647"/>
      <c r="N847" s="647"/>
      <c r="O847" s="647"/>
      <c r="P847" s="647"/>
      <c r="Q847" s="647"/>
      <c r="R847" s="647"/>
      <c r="S847" s="647"/>
      <c r="T847" s="647"/>
      <c r="U847" s="647"/>
      <c r="V847" s="647"/>
      <c r="W847" s="647"/>
      <c r="X847" s="647"/>
    </row>
    <row r="848">
      <c r="A848" s="646"/>
      <c r="B848" s="647"/>
      <c r="C848" s="647"/>
      <c r="D848" s="647"/>
      <c r="E848" s="647"/>
      <c r="F848" s="647"/>
      <c r="G848" s="647"/>
      <c r="H848" s="647"/>
      <c r="I848" s="647"/>
      <c r="J848" s="647"/>
      <c r="K848" s="647"/>
      <c r="L848" s="647"/>
      <c r="M848" s="647"/>
      <c r="N848" s="647"/>
      <c r="O848" s="647"/>
      <c r="P848" s="647"/>
      <c r="Q848" s="647"/>
      <c r="R848" s="647"/>
      <c r="S848" s="647"/>
      <c r="T848" s="647"/>
      <c r="U848" s="647"/>
      <c r="V848" s="647"/>
      <c r="W848" s="647"/>
      <c r="X848" s="647"/>
    </row>
    <row r="849">
      <c r="A849" s="646"/>
      <c r="B849" s="647"/>
      <c r="C849" s="647"/>
      <c r="D849" s="647"/>
      <c r="E849" s="647"/>
      <c r="F849" s="647"/>
      <c r="G849" s="647"/>
      <c r="H849" s="647"/>
      <c r="I849" s="647"/>
      <c r="J849" s="647"/>
      <c r="K849" s="647"/>
      <c r="L849" s="647"/>
      <c r="M849" s="647"/>
      <c r="N849" s="647"/>
      <c r="O849" s="647"/>
      <c r="P849" s="647"/>
      <c r="Q849" s="647"/>
      <c r="R849" s="647"/>
      <c r="S849" s="647"/>
      <c r="T849" s="647"/>
      <c r="U849" s="647"/>
      <c r="V849" s="647"/>
      <c r="W849" s="647"/>
      <c r="X849" s="647"/>
    </row>
    <row r="850">
      <c r="A850" s="646"/>
      <c r="B850" s="647"/>
      <c r="C850" s="647"/>
      <c r="D850" s="647"/>
      <c r="E850" s="647"/>
      <c r="F850" s="647"/>
      <c r="G850" s="647"/>
      <c r="H850" s="647"/>
      <c r="I850" s="647"/>
      <c r="J850" s="647"/>
      <c r="K850" s="647"/>
      <c r="L850" s="647"/>
      <c r="M850" s="647"/>
      <c r="N850" s="647"/>
      <c r="O850" s="647"/>
      <c r="P850" s="647"/>
      <c r="Q850" s="647"/>
      <c r="R850" s="647"/>
      <c r="S850" s="647"/>
      <c r="T850" s="647"/>
      <c r="U850" s="647"/>
      <c r="V850" s="647"/>
      <c r="W850" s="647"/>
      <c r="X850" s="647"/>
    </row>
    <row r="851">
      <c r="A851" s="646"/>
      <c r="B851" s="647"/>
      <c r="C851" s="647"/>
      <c r="D851" s="647"/>
      <c r="E851" s="647"/>
      <c r="F851" s="647"/>
      <c r="G851" s="647"/>
      <c r="H851" s="647"/>
      <c r="I851" s="647"/>
      <c r="J851" s="647"/>
      <c r="K851" s="647"/>
      <c r="L851" s="647"/>
      <c r="M851" s="647"/>
      <c r="N851" s="647"/>
      <c r="O851" s="647"/>
      <c r="P851" s="647"/>
      <c r="Q851" s="647"/>
      <c r="R851" s="647"/>
      <c r="S851" s="647"/>
      <c r="T851" s="647"/>
      <c r="U851" s="647"/>
      <c r="V851" s="647"/>
      <c r="W851" s="647"/>
      <c r="X851" s="647"/>
    </row>
    <row r="852">
      <c r="A852" s="646"/>
      <c r="B852" s="647"/>
      <c r="C852" s="647"/>
      <c r="D852" s="647"/>
      <c r="E852" s="647"/>
      <c r="F852" s="647"/>
      <c r="G852" s="647"/>
      <c r="H852" s="647"/>
      <c r="I852" s="647"/>
      <c r="J852" s="647"/>
      <c r="K852" s="647"/>
      <c r="L852" s="647"/>
      <c r="M852" s="647"/>
      <c r="N852" s="647"/>
      <c r="O852" s="647"/>
      <c r="P852" s="647"/>
      <c r="Q852" s="647"/>
      <c r="R852" s="647"/>
      <c r="S852" s="647"/>
      <c r="T852" s="647"/>
      <c r="U852" s="647"/>
      <c r="V852" s="647"/>
      <c r="W852" s="647"/>
      <c r="X852" s="647"/>
    </row>
    <row r="853">
      <c r="A853" s="646"/>
      <c r="B853" s="647"/>
      <c r="C853" s="647"/>
      <c r="D853" s="647"/>
      <c r="E853" s="647"/>
      <c r="F853" s="647"/>
      <c r="G853" s="647"/>
      <c r="H853" s="647"/>
      <c r="I853" s="647"/>
      <c r="J853" s="647"/>
      <c r="K853" s="647"/>
      <c r="L853" s="647"/>
      <c r="M853" s="647"/>
      <c r="N853" s="647"/>
      <c r="O853" s="647"/>
      <c r="P853" s="647"/>
      <c r="Q853" s="647"/>
      <c r="R853" s="647"/>
      <c r="S853" s="647"/>
      <c r="T853" s="647"/>
      <c r="U853" s="647"/>
      <c r="V853" s="647"/>
      <c r="W853" s="647"/>
      <c r="X853" s="647"/>
    </row>
    <row r="854">
      <c r="A854" s="646"/>
      <c r="B854" s="647"/>
      <c r="C854" s="647"/>
      <c r="D854" s="647"/>
      <c r="E854" s="647"/>
      <c r="F854" s="647"/>
      <c r="G854" s="647"/>
      <c r="H854" s="647"/>
      <c r="I854" s="647"/>
      <c r="J854" s="647"/>
      <c r="K854" s="647"/>
      <c r="L854" s="647"/>
      <c r="M854" s="647"/>
      <c r="N854" s="647"/>
      <c r="O854" s="647"/>
      <c r="P854" s="647"/>
      <c r="Q854" s="647"/>
      <c r="R854" s="647"/>
      <c r="S854" s="647"/>
      <c r="T854" s="647"/>
      <c r="U854" s="647"/>
      <c r="V854" s="647"/>
      <c r="W854" s="647"/>
      <c r="X854" s="647"/>
    </row>
    <row r="855">
      <c r="A855" s="646"/>
      <c r="B855" s="647"/>
      <c r="C855" s="647"/>
      <c r="D855" s="647"/>
      <c r="E855" s="647"/>
      <c r="F855" s="647"/>
      <c r="G855" s="647"/>
      <c r="H855" s="647"/>
      <c r="I855" s="647"/>
      <c r="J855" s="647"/>
      <c r="K855" s="647"/>
      <c r="L855" s="647"/>
      <c r="M855" s="647"/>
      <c r="N855" s="647"/>
      <c r="O855" s="647"/>
      <c r="P855" s="647"/>
      <c r="Q855" s="647"/>
      <c r="R855" s="647"/>
      <c r="S855" s="647"/>
      <c r="T855" s="647"/>
      <c r="U855" s="647"/>
      <c r="V855" s="647"/>
      <c r="W855" s="647"/>
      <c r="X855" s="647"/>
    </row>
    <row r="856">
      <c r="A856" s="646"/>
      <c r="B856" s="647"/>
      <c r="C856" s="647"/>
      <c r="D856" s="647"/>
      <c r="E856" s="647"/>
      <c r="F856" s="647"/>
      <c r="G856" s="647"/>
      <c r="H856" s="647"/>
      <c r="I856" s="647"/>
      <c r="J856" s="647"/>
      <c r="K856" s="647"/>
      <c r="L856" s="647"/>
      <c r="M856" s="647"/>
      <c r="N856" s="647"/>
      <c r="O856" s="647"/>
      <c r="P856" s="647"/>
      <c r="Q856" s="647"/>
      <c r="R856" s="647"/>
      <c r="S856" s="647"/>
      <c r="T856" s="647"/>
      <c r="U856" s="647"/>
      <c r="V856" s="647"/>
      <c r="W856" s="647"/>
      <c r="X856" s="647"/>
    </row>
    <row r="857">
      <c r="A857" s="646"/>
      <c r="B857" s="647"/>
      <c r="C857" s="647"/>
      <c r="D857" s="647"/>
      <c r="E857" s="647"/>
      <c r="F857" s="647"/>
      <c r="G857" s="647"/>
      <c r="H857" s="647"/>
      <c r="I857" s="647"/>
      <c r="J857" s="647"/>
      <c r="K857" s="647"/>
      <c r="L857" s="647"/>
      <c r="M857" s="647"/>
      <c r="N857" s="647"/>
      <c r="O857" s="647"/>
      <c r="P857" s="647"/>
      <c r="Q857" s="647"/>
      <c r="R857" s="647"/>
      <c r="S857" s="647"/>
      <c r="T857" s="647"/>
      <c r="U857" s="647"/>
      <c r="V857" s="647"/>
      <c r="W857" s="647"/>
      <c r="X857" s="647"/>
    </row>
    <row r="858">
      <c r="A858" s="646"/>
      <c r="B858" s="647"/>
      <c r="C858" s="647"/>
      <c r="D858" s="647"/>
      <c r="E858" s="647"/>
      <c r="F858" s="647"/>
      <c r="G858" s="647"/>
      <c r="H858" s="647"/>
      <c r="I858" s="647"/>
      <c r="J858" s="647"/>
      <c r="K858" s="647"/>
      <c r="L858" s="647"/>
      <c r="M858" s="647"/>
      <c r="N858" s="647"/>
      <c r="O858" s="647"/>
      <c r="P858" s="647"/>
      <c r="Q858" s="647"/>
      <c r="R858" s="647"/>
      <c r="S858" s="647"/>
      <c r="T858" s="647"/>
      <c r="U858" s="647"/>
      <c r="V858" s="647"/>
      <c r="W858" s="647"/>
      <c r="X858" s="647"/>
    </row>
    <row r="859">
      <c r="A859" s="646"/>
      <c r="B859" s="647"/>
      <c r="C859" s="647"/>
      <c r="D859" s="647"/>
      <c r="E859" s="647"/>
      <c r="F859" s="647"/>
      <c r="G859" s="647"/>
      <c r="H859" s="647"/>
      <c r="I859" s="647"/>
      <c r="J859" s="647"/>
      <c r="K859" s="647"/>
      <c r="L859" s="647"/>
      <c r="M859" s="647"/>
      <c r="N859" s="647"/>
      <c r="O859" s="647"/>
      <c r="P859" s="647"/>
      <c r="Q859" s="647"/>
      <c r="R859" s="647"/>
      <c r="S859" s="647"/>
      <c r="T859" s="647"/>
      <c r="U859" s="647"/>
      <c r="V859" s="647"/>
      <c r="W859" s="647"/>
      <c r="X859" s="647"/>
    </row>
    <row r="860">
      <c r="A860" s="646"/>
      <c r="B860" s="647"/>
      <c r="C860" s="647"/>
      <c r="D860" s="647"/>
      <c r="E860" s="647"/>
      <c r="F860" s="647"/>
      <c r="G860" s="647"/>
      <c r="H860" s="647"/>
      <c r="I860" s="647"/>
      <c r="J860" s="647"/>
      <c r="K860" s="647"/>
      <c r="L860" s="647"/>
      <c r="M860" s="647"/>
      <c r="N860" s="647"/>
      <c r="O860" s="647"/>
      <c r="P860" s="647"/>
      <c r="Q860" s="647"/>
      <c r="R860" s="647"/>
      <c r="S860" s="647"/>
      <c r="T860" s="647"/>
      <c r="U860" s="647"/>
      <c r="V860" s="647"/>
      <c r="W860" s="647"/>
      <c r="X860" s="647"/>
    </row>
    <row r="861">
      <c r="A861" s="646"/>
      <c r="B861" s="647"/>
      <c r="C861" s="647"/>
      <c r="D861" s="647"/>
      <c r="E861" s="647"/>
      <c r="F861" s="647"/>
      <c r="G861" s="647"/>
      <c r="H861" s="647"/>
      <c r="I861" s="647"/>
      <c r="J861" s="647"/>
      <c r="K861" s="647"/>
      <c r="L861" s="647"/>
      <c r="M861" s="647"/>
      <c r="N861" s="647"/>
      <c r="O861" s="647"/>
      <c r="P861" s="647"/>
      <c r="Q861" s="647"/>
      <c r="R861" s="647"/>
      <c r="S861" s="647"/>
      <c r="T861" s="647"/>
      <c r="U861" s="647"/>
      <c r="V861" s="647"/>
      <c r="W861" s="647"/>
      <c r="X861" s="647"/>
    </row>
    <row r="862">
      <c r="A862" s="646"/>
      <c r="B862" s="647"/>
      <c r="C862" s="647"/>
      <c r="D862" s="647"/>
      <c r="E862" s="647"/>
      <c r="F862" s="647"/>
      <c r="G862" s="647"/>
      <c r="H862" s="647"/>
      <c r="I862" s="647"/>
      <c r="J862" s="647"/>
      <c r="K862" s="647"/>
      <c r="L862" s="647"/>
      <c r="M862" s="647"/>
      <c r="N862" s="647"/>
      <c r="O862" s="647"/>
      <c r="P862" s="647"/>
      <c r="Q862" s="647"/>
      <c r="R862" s="647"/>
      <c r="S862" s="647"/>
      <c r="T862" s="647"/>
      <c r="U862" s="647"/>
      <c r="V862" s="647"/>
      <c r="W862" s="647"/>
      <c r="X862" s="647"/>
    </row>
    <row r="863">
      <c r="A863" s="646"/>
      <c r="B863" s="647"/>
      <c r="C863" s="647"/>
      <c r="D863" s="647"/>
      <c r="E863" s="647"/>
      <c r="F863" s="647"/>
      <c r="G863" s="647"/>
      <c r="H863" s="647"/>
      <c r="I863" s="647"/>
      <c r="J863" s="647"/>
      <c r="K863" s="647"/>
      <c r="L863" s="647"/>
      <c r="M863" s="647"/>
      <c r="N863" s="647"/>
      <c r="O863" s="647"/>
      <c r="P863" s="647"/>
      <c r="Q863" s="647"/>
      <c r="R863" s="647"/>
      <c r="S863" s="647"/>
      <c r="T863" s="647"/>
      <c r="U863" s="647"/>
      <c r="V863" s="647"/>
      <c r="W863" s="647"/>
      <c r="X863" s="647"/>
    </row>
    <row r="864">
      <c r="A864" s="646"/>
      <c r="B864" s="647"/>
      <c r="C864" s="647"/>
      <c r="D864" s="647"/>
      <c r="E864" s="647"/>
      <c r="F864" s="647"/>
      <c r="G864" s="647"/>
      <c r="H864" s="647"/>
      <c r="I864" s="647"/>
      <c r="J864" s="647"/>
      <c r="K864" s="647"/>
      <c r="L864" s="647"/>
      <c r="M864" s="647"/>
      <c r="N864" s="647"/>
      <c r="O864" s="647"/>
      <c r="P864" s="647"/>
      <c r="Q864" s="647"/>
      <c r="R864" s="647"/>
      <c r="S864" s="647"/>
      <c r="T864" s="647"/>
      <c r="U864" s="647"/>
      <c r="V864" s="647"/>
      <c r="W864" s="647"/>
      <c r="X864" s="647"/>
    </row>
    <row r="865">
      <c r="A865" s="646"/>
      <c r="B865" s="647"/>
      <c r="C865" s="647"/>
      <c r="D865" s="647"/>
      <c r="E865" s="647"/>
      <c r="F865" s="647"/>
      <c r="G865" s="647"/>
      <c r="H865" s="647"/>
      <c r="I865" s="647"/>
      <c r="J865" s="647"/>
      <c r="K865" s="647"/>
      <c r="L865" s="647"/>
      <c r="M865" s="647"/>
      <c r="N865" s="647"/>
      <c r="O865" s="647"/>
      <c r="P865" s="647"/>
      <c r="Q865" s="647"/>
      <c r="R865" s="647"/>
      <c r="S865" s="647"/>
      <c r="T865" s="647"/>
      <c r="U865" s="647"/>
      <c r="V865" s="647"/>
      <c r="W865" s="647"/>
      <c r="X865" s="647"/>
    </row>
    <row r="866">
      <c r="A866" s="646"/>
      <c r="B866" s="647"/>
      <c r="C866" s="647"/>
      <c r="D866" s="647"/>
      <c r="E866" s="647"/>
      <c r="F866" s="647"/>
      <c r="G866" s="647"/>
      <c r="H866" s="647"/>
      <c r="I866" s="647"/>
      <c r="J866" s="647"/>
      <c r="K866" s="647"/>
      <c r="L866" s="647"/>
      <c r="M866" s="647"/>
      <c r="N866" s="647"/>
      <c r="O866" s="647"/>
      <c r="P866" s="647"/>
      <c r="Q866" s="647"/>
      <c r="R866" s="647"/>
      <c r="S866" s="647"/>
      <c r="T866" s="647"/>
      <c r="U866" s="647"/>
      <c r="V866" s="647"/>
      <c r="W866" s="647"/>
      <c r="X866" s="647"/>
    </row>
    <row r="867">
      <c r="A867" s="646"/>
      <c r="B867" s="647"/>
      <c r="C867" s="647"/>
      <c r="D867" s="647"/>
      <c r="E867" s="647"/>
      <c r="F867" s="647"/>
      <c r="G867" s="647"/>
      <c r="H867" s="647"/>
      <c r="I867" s="647"/>
      <c r="J867" s="647"/>
      <c r="K867" s="647"/>
      <c r="L867" s="647"/>
      <c r="M867" s="647"/>
      <c r="N867" s="647"/>
      <c r="O867" s="647"/>
      <c r="P867" s="647"/>
      <c r="Q867" s="647"/>
      <c r="R867" s="647"/>
      <c r="S867" s="647"/>
      <c r="T867" s="647"/>
      <c r="U867" s="647"/>
      <c r="V867" s="647"/>
      <c r="W867" s="647"/>
      <c r="X867" s="647"/>
    </row>
    <row r="868">
      <c r="A868" s="646"/>
      <c r="B868" s="647"/>
      <c r="C868" s="647"/>
      <c r="D868" s="647"/>
      <c r="E868" s="647"/>
      <c r="F868" s="647"/>
      <c r="G868" s="647"/>
      <c r="H868" s="647"/>
      <c r="I868" s="647"/>
      <c r="J868" s="647"/>
      <c r="K868" s="647"/>
      <c r="L868" s="647"/>
      <c r="M868" s="647"/>
      <c r="N868" s="647"/>
      <c r="O868" s="647"/>
      <c r="P868" s="647"/>
      <c r="Q868" s="647"/>
      <c r="R868" s="647"/>
      <c r="S868" s="647"/>
      <c r="T868" s="647"/>
      <c r="U868" s="647"/>
      <c r="V868" s="647"/>
      <c r="W868" s="647"/>
      <c r="X868" s="647"/>
    </row>
    <row r="869">
      <c r="A869" s="646"/>
      <c r="B869" s="647"/>
      <c r="C869" s="647"/>
      <c r="D869" s="647"/>
      <c r="E869" s="647"/>
      <c r="F869" s="647"/>
      <c r="G869" s="647"/>
      <c r="H869" s="647"/>
      <c r="I869" s="647"/>
      <c r="J869" s="647"/>
      <c r="K869" s="647"/>
      <c r="L869" s="647"/>
      <c r="M869" s="647"/>
      <c r="N869" s="647"/>
      <c r="O869" s="647"/>
      <c r="P869" s="647"/>
      <c r="Q869" s="647"/>
      <c r="R869" s="647"/>
      <c r="S869" s="647"/>
      <c r="T869" s="647"/>
      <c r="U869" s="647"/>
      <c r="V869" s="647"/>
      <c r="W869" s="647"/>
      <c r="X869" s="647"/>
    </row>
    <row r="870">
      <c r="A870" s="646"/>
      <c r="B870" s="647"/>
      <c r="C870" s="647"/>
      <c r="D870" s="647"/>
      <c r="E870" s="647"/>
      <c r="F870" s="647"/>
      <c r="G870" s="647"/>
      <c r="H870" s="647"/>
      <c r="I870" s="647"/>
      <c r="J870" s="647"/>
      <c r="K870" s="647"/>
      <c r="L870" s="647"/>
      <c r="M870" s="647"/>
      <c r="N870" s="647"/>
      <c r="O870" s="647"/>
      <c r="P870" s="647"/>
      <c r="Q870" s="647"/>
      <c r="R870" s="647"/>
      <c r="S870" s="647"/>
      <c r="T870" s="647"/>
      <c r="U870" s="647"/>
      <c r="V870" s="647"/>
      <c r="W870" s="647"/>
      <c r="X870" s="647"/>
    </row>
    <row r="871">
      <c r="A871" s="646"/>
      <c r="B871" s="647"/>
      <c r="C871" s="647"/>
      <c r="D871" s="647"/>
      <c r="E871" s="647"/>
      <c r="F871" s="647"/>
      <c r="G871" s="647"/>
      <c r="H871" s="647"/>
      <c r="I871" s="647"/>
      <c r="J871" s="647"/>
      <c r="K871" s="647"/>
      <c r="L871" s="647"/>
      <c r="M871" s="647"/>
      <c r="N871" s="647"/>
      <c r="O871" s="647"/>
      <c r="P871" s="647"/>
      <c r="Q871" s="647"/>
      <c r="R871" s="647"/>
      <c r="S871" s="647"/>
      <c r="T871" s="647"/>
      <c r="U871" s="647"/>
      <c r="V871" s="647"/>
      <c r="W871" s="647"/>
      <c r="X871" s="647"/>
    </row>
    <row r="872">
      <c r="A872" s="646"/>
      <c r="B872" s="647"/>
      <c r="C872" s="647"/>
      <c r="D872" s="647"/>
      <c r="E872" s="647"/>
      <c r="F872" s="647"/>
      <c r="G872" s="647"/>
      <c r="H872" s="647"/>
      <c r="I872" s="647"/>
      <c r="J872" s="647"/>
      <c r="K872" s="647"/>
      <c r="L872" s="647"/>
      <c r="M872" s="647"/>
      <c r="N872" s="647"/>
      <c r="O872" s="647"/>
      <c r="P872" s="647"/>
      <c r="Q872" s="647"/>
      <c r="R872" s="647"/>
      <c r="S872" s="647"/>
      <c r="T872" s="647"/>
      <c r="U872" s="647"/>
      <c r="V872" s="647"/>
      <c r="W872" s="647"/>
      <c r="X872" s="647"/>
    </row>
    <row r="873">
      <c r="A873" s="646"/>
      <c r="B873" s="647"/>
      <c r="C873" s="647"/>
      <c r="D873" s="647"/>
      <c r="E873" s="647"/>
      <c r="F873" s="647"/>
      <c r="G873" s="647"/>
      <c r="H873" s="647"/>
      <c r="I873" s="647"/>
      <c r="J873" s="647"/>
      <c r="K873" s="647"/>
      <c r="L873" s="647"/>
      <c r="M873" s="647"/>
      <c r="N873" s="647"/>
      <c r="O873" s="647"/>
      <c r="P873" s="647"/>
      <c r="Q873" s="647"/>
      <c r="R873" s="647"/>
      <c r="S873" s="647"/>
      <c r="T873" s="647"/>
      <c r="U873" s="647"/>
      <c r="V873" s="647"/>
      <c r="W873" s="647"/>
      <c r="X873" s="647"/>
    </row>
    <row r="874">
      <c r="A874" s="646"/>
      <c r="B874" s="647"/>
      <c r="C874" s="647"/>
      <c r="D874" s="647"/>
      <c r="E874" s="647"/>
      <c r="F874" s="647"/>
      <c r="G874" s="647"/>
      <c r="H874" s="647"/>
      <c r="I874" s="647"/>
      <c r="J874" s="647"/>
      <c r="K874" s="647"/>
      <c r="L874" s="647"/>
      <c r="M874" s="647"/>
      <c r="N874" s="647"/>
      <c r="O874" s="647"/>
      <c r="P874" s="647"/>
      <c r="Q874" s="647"/>
      <c r="R874" s="647"/>
      <c r="S874" s="647"/>
      <c r="T874" s="647"/>
      <c r="U874" s="647"/>
      <c r="V874" s="647"/>
      <c r="W874" s="647"/>
      <c r="X874" s="647"/>
    </row>
    <row r="875">
      <c r="A875" s="646"/>
      <c r="B875" s="647"/>
      <c r="C875" s="647"/>
      <c r="D875" s="647"/>
      <c r="E875" s="647"/>
      <c r="F875" s="647"/>
      <c r="G875" s="647"/>
      <c r="H875" s="647"/>
      <c r="I875" s="647"/>
      <c r="J875" s="647"/>
      <c r="K875" s="647"/>
      <c r="L875" s="647"/>
      <c r="M875" s="647"/>
      <c r="N875" s="647"/>
      <c r="O875" s="647"/>
      <c r="P875" s="647"/>
      <c r="Q875" s="647"/>
      <c r="R875" s="647"/>
      <c r="S875" s="647"/>
      <c r="T875" s="647"/>
      <c r="U875" s="647"/>
      <c r="V875" s="647"/>
      <c r="W875" s="647"/>
      <c r="X875" s="647"/>
    </row>
    <row r="876">
      <c r="A876" s="646"/>
      <c r="B876" s="647"/>
      <c r="C876" s="647"/>
      <c r="D876" s="647"/>
      <c r="E876" s="647"/>
      <c r="F876" s="647"/>
      <c r="G876" s="647"/>
      <c r="H876" s="647"/>
      <c r="I876" s="647"/>
      <c r="J876" s="647"/>
      <c r="K876" s="647"/>
      <c r="L876" s="647"/>
      <c r="M876" s="647"/>
      <c r="N876" s="647"/>
      <c r="O876" s="647"/>
      <c r="P876" s="647"/>
      <c r="Q876" s="647"/>
      <c r="R876" s="647"/>
      <c r="S876" s="647"/>
      <c r="T876" s="647"/>
      <c r="U876" s="647"/>
      <c r="V876" s="647"/>
      <c r="W876" s="647"/>
      <c r="X876" s="647"/>
    </row>
    <row r="877">
      <c r="A877" s="646"/>
      <c r="B877" s="647"/>
      <c r="C877" s="647"/>
      <c r="D877" s="647"/>
      <c r="E877" s="647"/>
      <c r="F877" s="647"/>
      <c r="G877" s="647"/>
      <c r="H877" s="647"/>
      <c r="I877" s="647"/>
      <c r="J877" s="647"/>
      <c r="K877" s="647"/>
      <c r="L877" s="647"/>
      <c r="M877" s="647"/>
      <c r="N877" s="647"/>
      <c r="O877" s="647"/>
      <c r="P877" s="647"/>
      <c r="Q877" s="647"/>
      <c r="R877" s="647"/>
      <c r="S877" s="647"/>
      <c r="T877" s="647"/>
      <c r="U877" s="647"/>
      <c r="V877" s="647"/>
      <c r="W877" s="647"/>
      <c r="X877" s="647"/>
    </row>
    <row r="878">
      <c r="A878" s="646"/>
      <c r="B878" s="647"/>
      <c r="C878" s="647"/>
      <c r="D878" s="647"/>
      <c r="E878" s="647"/>
      <c r="F878" s="647"/>
      <c r="G878" s="647"/>
      <c r="H878" s="647"/>
      <c r="I878" s="647"/>
      <c r="J878" s="647"/>
      <c r="K878" s="647"/>
      <c r="L878" s="647"/>
      <c r="M878" s="647"/>
      <c r="N878" s="647"/>
      <c r="O878" s="647"/>
      <c r="P878" s="647"/>
      <c r="Q878" s="647"/>
      <c r="R878" s="647"/>
      <c r="S878" s="647"/>
      <c r="T878" s="647"/>
      <c r="U878" s="647"/>
      <c r="V878" s="647"/>
      <c r="W878" s="647"/>
      <c r="X878" s="647"/>
    </row>
    <row r="879">
      <c r="A879" s="646"/>
      <c r="B879" s="647"/>
      <c r="C879" s="647"/>
      <c r="D879" s="647"/>
      <c r="E879" s="647"/>
      <c r="F879" s="647"/>
      <c r="G879" s="647"/>
      <c r="H879" s="647"/>
      <c r="I879" s="647"/>
      <c r="J879" s="647"/>
      <c r="K879" s="647"/>
      <c r="L879" s="647"/>
      <c r="M879" s="647"/>
      <c r="N879" s="647"/>
      <c r="O879" s="647"/>
      <c r="P879" s="647"/>
      <c r="Q879" s="647"/>
      <c r="R879" s="647"/>
      <c r="S879" s="647"/>
      <c r="T879" s="647"/>
      <c r="U879" s="647"/>
      <c r="V879" s="647"/>
      <c r="W879" s="647"/>
      <c r="X879" s="647"/>
    </row>
    <row r="880">
      <c r="A880" s="646"/>
      <c r="B880" s="647"/>
      <c r="C880" s="647"/>
      <c r="D880" s="647"/>
      <c r="E880" s="647"/>
      <c r="F880" s="647"/>
      <c r="G880" s="647"/>
      <c r="H880" s="647"/>
      <c r="I880" s="647"/>
      <c r="J880" s="647"/>
      <c r="K880" s="647"/>
      <c r="L880" s="647"/>
      <c r="M880" s="647"/>
      <c r="N880" s="647"/>
      <c r="O880" s="647"/>
      <c r="P880" s="647"/>
      <c r="Q880" s="647"/>
      <c r="R880" s="647"/>
      <c r="S880" s="647"/>
      <c r="T880" s="647"/>
      <c r="U880" s="647"/>
      <c r="V880" s="647"/>
      <c r="W880" s="647"/>
      <c r="X880" s="647"/>
    </row>
    <row r="881">
      <c r="A881" s="646"/>
      <c r="B881" s="647"/>
      <c r="C881" s="647"/>
      <c r="D881" s="647"/>
      <c r="E881" s="647"/>
      <c r="F881" s="647"/>
      <c r="G881" s="647"/>
      <c r="H881" s="647"/>
      <c r="I881" s="647"/>
      <c r="J881" s="647"/>
      <c r="K881" s="647"/>
      <c r="L881" s="647"/>
      <c r="M881" s="647"/>
      <c r="N881" s="647"/>
      <c r="O881" s="647"/>
      <c r="P881" s="647"/>
      <c r="Q881" s="647"/>
      <c r="R881" s="647"/>
      <c r="S881" s="647"/>
      <c r="T881" s="647"/>
      <c r="U881" s="647"/>
      <c r="V881" s="647"/>
      <c r="W881" s="647"/>
      <c r="X881" s="647"/>
    </row>
    <row r="882">
      <c r="A882" s="646"/>
      <c r="B882" s="647"/>
      <c r="C882" s="647"/>
      <c r="D882" s="647"/>
      <c r="E882" s="647"/>
      <c r="F882" s="647"/>
      <c r="G882" s="647"/>
      <c r="H882" s="647"/>
      <c r="I882" s="647"/>
      <c r="J882" s="647"/>
      <c r="K882" s="647"/>
      <c r="L882" s="647"/>
      <c r="M882" s="647"/>
      <c r="N882" s="647"/>
      <c r="O882" s="647"/>
      <c r="P882" s="647"/>
      <c r="Q882" s="647"/>
      <c r="R882" s="647"/>
      <c r="S882" s="647"/>
      <c r="T882" s="647"/>
      <c r="U882" s="647"/>
      <c r="V882" s="647"/>
      <c r="W882" s="647"/>
      <c r="X882" s="647"/>
    </row>
    <row r="883">
      <c r="A883" s="646"/>
      <c r="B883" s="647"/>
      <c r="C883" s="647"/>
      <c r="D883" s="647"/>
      <c r="E883" s="647"/>
      <c r="F883" s="647"/>
      <c r="G883" s="647"/>
      <c r="H883" s="647"/>
      <c r="I883" s="647"/>
      <c r="J883" s="647"/>
      <c r="K883" s="647"/>
      <c r="L883" s="647"/>
      <c r="M883" s="647"/>
      <c r="N883" s="647"/>
      <c r="O883" s="647"/>
      <c r="P883" s="647"/>
      <c r="Q883" s="647"/>
      <c r="R883" s="647"/>
      <c r="S883" s="647"/>
      <c r="T883" s="647"/>
      <c r="U883" s="647"/>
      <c r="V883" s="647"/>
      <c r="W883" s="647"/>
      <c r="X883" s="647"/>
    </row>
    <row r="884">
      <c r="A884" s="646"/>
      <c r="B884" s="647"/>
      <c r="C884" s="647"/>
      <c r="D884" s="647"/>
      <c r="E884" s="647"/>
      <c r="F884" s="647"/>
      <c r="G884" s="647"/>
      <c r="H884" s="647"/>
      <c r="I884" s="647"/>
      <c r="J884" s="647"/>
      <c r="K884" s="647"/>
      <c r="L884" s="647"/>
      <c r="M884" s="647"/>
      <c r="N884" s="647"/>
      <c r="O884" s="647"/>
      <c r="P884" s="647"/>
      <c r="Q884" s="647"/>
      <c r="R884" s="647"/>
      <c r="S884" s="647"/>
      <c r="T884" s="647"/>
      <c r="U884" s="647"/>
      <c r="V884" s="647"/>
      <c r="W884" s="647"/>
      <c r="X884" s="647"/>
    </row>
    <row r="885">
      <c r="A885" s="646"/>
      <c r="B885" s="647"/>
      <c r="C885" s="647"/>
      <c r="D885" s="647"/>
      <c r="E885" s="647"/>
      <c r="F885" s="647"/>
      <c r="G885" s="647"/>
      <c r="H885" s="647"/>
      <c r="I885" s="647"/>
      <c r="J885" s="647"/>
      <c r="K885" s="647"/>
      <c r="L885" s="647"/>
      <c r="M885" s="647"/>
      <c r="N885" s="647"/>
      <c r="O885" s="647"/>
      <c r="P885" s="647"/>
      <c r="Q885" s="647"/>
      <c r="R885" s="647"/>
      <c r="S885" s="647"/>
      <c r="T885" s="647"/>
      <c r="U885" s="647"/>
      <c r="V885" s="647"/>
      <c r="W885" s="647"/>
      <c r="X885" s="647"/>
    </row>
    <row r="886">
      <c r="A886" s="646"/>
      <c r="B886" s="647"/>
      <c r="C886" s="647"/>
      <c r="D886" s="647"/>
      <c r="E886" s="647"/>
      <c r="F886" s="647"/>
      <c r="G886" s="647"/>
      <c r="H886" s="647"/>
      <c r="I886" s="647"/>
      <c r="J886" s="647"/>
      <c r="K886" s="647"/>
      <c r="L886" s="647"/>
      <c r="M886" s="647"/>
      <c r="N886" s="647"/>
      <c r="O886" s="647"/>
      <c r="P886" s="647"/>
      <c r="Q886" s="647"/>
      <c r="R886" s="647"/>
      <c r="S886" s="647"/>
      <c r="T886" s="647"/>
      <c r="U886" s="647"/>
      <c r="V886" s="647"/>
      <c r="W886" s="647"/>
      <c r="X886" s="647"/>
    </row>
    <row r="887">
      <c r="A887" s="646"/>
      <c r="B887" s="647"/>
      <c r="C887" s="647"/>
      <c r="D887" s="647"/>
      <c r="E887" s="647"/>
      <c r="F887" s="647"/>
      <c r="G887" s="647"/>
      <c r="H887" s="647"/>
      <c r="I887" s="647"/>
      <c r="J887" s="647"/>
      <c r="K887" s="647"/>
      <c r="L887" s="647"/>
      <c r="M887" s="647"/>
      <c r="N887" s="647"/>
      <c r="O887" s="647"/>
      <c r="P887" s="647"/>
      <c r="Q887" s="647"/>
      <c r="R887" s="647"/>
      <c r="S887" s="647"/>
      <c r="T887" s="647"/>
      <c r="U887" s="647"/>
      <c r="V887" s="647"/>
      <c r="W887" s="647"/>
      <c r="X887" s="647"/>
    </row>
    <row r="888">
      <c r="A888" s="646"/>
      <c r="B888" s="647"/>
      <c r="C888" s="647"/>
      <c r="D888" s="647"/>
      <c r="E888" s="647"/>
      <c r="F888" s="647"/>
      <c r="G888" s="647"/>
      <c r="H888" s="647"/>
      <c r="I888" s="647"/>
      <c r="J888" s="647"/>
      <c r="K888" s="647"/>
      <c r="L888" s="647"/>
      <c r="M888" s="647"/>
      <c r="N888" s="647"/>
      <c r="O888" s="647"/>
      <c r="P888" s="647"/>
      <c r="Q888" s="647"/>
      <c r="R888" s="647"/>
      <c r="S888" s="647"/>
      <c r="T888" s="647"/>
      <c r="U888" s="647"/>
      <c r="V888" s="647"/>
      <c r="W888" s="647"/>
      <c r="X888" s="647"/>
    </row>
    <row r="889">
      <c r="A889" s="646"/>
      <c r="B889" s="647"/>
      <c r="C889" s="647"/>
      <c r="D889" s="647"/>
      <c r="E889" s="647"/>
      <c r="F889" s="647"/>
      <c r="G889" s="647"/>
      <c r="H889" s="647"/>
      <c r="I889" s="647"/>
      <c r="J889" s="647"/>
      <c r="K889" s="647"/>
      <c r="L889" s="647"/>
      <c r="M889" s="647"/>
      <c r="N889" s="647"/>
      <c r="O889" s="647"/>
      <c r="P889" s="647"/>
      <c r="Q889" s="647"/>
      <c r="R889" s="647"/>
      <c r="S889" s="647"/>
      <c r="T889" s="647"/>
      <c r="U889" s="647"/>
      <c r="V889" s="647"/>
      <c r="W889" s="647"/>
      <c r="X889" s="647"/>
    </row>
    <row r="890">
      <c r="A890" s="646"/>
      <c r="B890" s="647"/>
      <c r="C890" s="647"/>
      <c r="D890" s="647"/>
      <c r="E890" s="647"/>
      <c r="F890" s="647"/>
      <c r="G890" s="647"/>
      <c r="H890" s="647"/>
      <c r="I890" s="647"/>
      <c r="J890" s="647"/>
      <c r="K890" s="647"/>
      <c r="L890" s="647"/>
      <c r="M890" s="647"/>
      <c r="N890" s="647"/>
      <c r="O890" s="647"/>
      <c r="P890" s="647"/>
      <c r="Q890" s="647"/>
      <c r="R890" s="647"/>
      <c r="S890" s="647"/>
      <c r="T890" s="647"/>
      <c r="U890" s="647"/>
      <c r="V890" s="647"/>
      <c r="W890" s="647"/>
      <c r="X890" s="647"/>
    </row>
    <row r="891">
      <c r="A891" s="646"/>
      <c r="B891" s="647"/>
      <c r="C891" s="647"/>
      <c r="D891" s="647"/>
      <c r="E891" s="647"/>
      <c r="F891" s="647"/>
      <c r="G891" s="647"/>
      <c r="H891" s="647"/>
      <c r="I891" s="647"/>
      <c r="J891" s="647"/>
      <c r="K891" s="647"/>
      <c r="L891" s="647"/>
      <c r="M891" s="647"/>
      <c r="N891" s="647"/>
      <c r="O891" s="647"/>
      <c r="P891" s="647"/>
      <c r="Q891" s="647"/>
      <c r="R891" s="647"/>
      <c r="S891" s="647"/>
      <c r="T891" s="647"/>
      <c r="U891" s="647"/>
      <c r="V891" s="647"/>
      <c r="W891" s="647"/>
      <c r="X891" s="647"/>
    </row>
    <row r="892">
      <c r="A892" s="646"/>
      <c r="B892" s="647"/>
      <c r="C892" s="647"/>
      <c r="D892" s="647"/>
      <c r="E892" s="647"/>
      <c r="F892" s="647"/>
      <c r="G892" s="647"/>
      <c r="H892" s="647"/>
      <c r="I892" s="647"/>
      <c r="J892" s="647"/>
      <c r="K892" s="647"/>
      <c r="L892" s="647"/>
      <c r="M892" s="647"/>
      <c r="N892" s="647"/>
      <c r="O892" s="647"/>
      <c r="P892" s="647"/>
      <c r="Q892" s="647"/>
      <c r="R892" s="647"/>
      <c r="S892" s="647"/>
      <c r="T892" s="647"/>
      <c r="U892" s="647"/>
      <c r="V892" s="647"/>
      <c r="W892" s="647"/>
      <c r="X892" s="647"/>
    </row>
    <row r="893">
      <c r="A893" s="646"/>
      <c r="B893" s="647"/>
      <c r="C893" s="647"/>
      <c r="D893" s="647"/>
      <c r="E893" s="647"/>
      <c r="F893" s="647"/>
      <c r="G893" s="647"/>
      <c r="H893" s="647"/>
      <c r="I893" s="647"/>
      <c r="J893" s="647"/>
      <c r="K893" s="647"/>
      <c r="L893" s="647"/>
      <c r="M893" s="647"/>
      <c r="N893" s="647"/>
      <c r="O893" s="647"/>
      <c r="P893" s="647"/>
      <c r="Q893" s="647"/>
      <c r="R893" s="647"/>
      <c r="S893" s="647"/>
      <c r="T893" s="647"/>
      <c r="U893" s="647"/>
      <c r="V893" s="647"/>
      <c r="W893" s="647"/>
      <c r="X893" s="647"/>
    </row>
    <row r="894">
      <c r="A894" s="646"/>
      <c r="B894" s="647"/>
      <c r="C894" s="647"/>
      <c r="D894" s="647"/>
      <c r="E894" s="647"/>
      <c r="F894" s="647"/>
      <c r="G894" s="647"/>
      <c r="H894" s="647"/>
      <c r="I894" s="647"/>
      <c r="J894" s="647"/>
      <c r="K894" s="647"/>
      <c r="L894" s="647"/>
      <c r="M894" s="647"/>
      <c r="N894" s="647"/>
      <c r="O894" s="647"/>
      <c r="P894" s="647"/>
      <c r="Q894" s="647"/>
      <c r="R894" s="647"/>
      <c r="S894" s="647"/>
      <c r="T894" s="647"/>
      <c r="U894" s="647"/>
      <c r="V894" s="647"/>
      <c r="W894" s="647"/>
      <c r="X894" s="647"/>
    </row>
    <row r="895">
      <c r="A895" s="646"/>
      <c r="B895" s="647"/>
      <c r="C895" s="647"/>
      <c r="D895" s="647"/>
      <c r="E895" s="647"/>
      <c r="F895" s="647"/>
      <c r="G895" s="647"/>
      <c r="H895" s="647"/>
      <c r="I895" s="647"/>
      <c r="J895" s="647"/>
      <c r="K895" s="647"/>
      <c r="L895" s="647"/>
      <c r="M895" s="647"/>
      <c r="N895" s="647"/>
      <c r="O895" s="647"/>
      <c r="P895" s="647"/>
      <c r="Q895" s="647"/>
      <c r="R895" s="647"/>
      <c r="S895" s="647"/>
      <c r="T895" s="647"/>
      <c r="U895" s="647"/>
      <c r="V895" s="647"/>
      <c r="W895" s="647"/>
      <c r="X895" s="647"/>
    </row>
    <row r="896">
      <c r="A896" s="646"/>
      <c r="B896" s="647"/>
      <c r="C896" s="647"/>
      <c r="D896" s="647"/>
      <c r="E896" s="647"/>
      <c r="F896" s="647"/>
      <c r="G896" s="647"/>
      <c r="H896" s="647"/>
      <c r="I896" s="647"/>
      <c r="J896" s="647"/>
      <c r="K896" s="647"/>
      <c r="L896" s="647"/>
      <c r="M896" s="647"/>
      <c r="N896" s="647"/>
      <c r="O896" s="647"/>
      <c r="P896" s="647"/>
      <c r="Q896" s="647"/>
      <c r="R896" s="647"/>
      <c r="S896" s="647"/>
      <c r="T896" s="647"/>
      <c r="U896" s="647"/>
      <c r="V896" s="647"/>
      <c r="W896" s="647"/>
      <c r="X896" s="647"/>
    </row>
    <row r="897">
      <c r="A897" s="646"/>
      <c r="B897" s="647"/>
      <c r="C897" s="647"/>
      <c r="D897" s="647"/>
      <c r="E897" s="647"/>
      <c r="F897" s="647"/>
      <c r="G897" s="647"/>
      <c r="H897" s="647"/>
      <c r="I897" s="647"/>
      <c r="J897" s="647"/>
      <c r="K897" s="647"/>
      <c r="L897" s="647"/>
      <c r="M897" s="647"/>
      <c r="N897" s="647"/>
      <c r="O897" s="647"/>
      <c r="P897" s="647"/>
      <c r="Q897" s="647"/>
      <c r="R897" s="647"/>
      <c r="S897" s="647"/>
      <c r="T897" s="647"/>
      <c r="U897" s="647"/>
      <c r="V897" s="647"/>
      <c r="W897" s="647"/>
      <c r="X897" s="647"/>
    </row>
    <row r="898">
      <c r="A898" s="646"/>
      <c r="B898" s="647"/>
      <c r="C898" s="647"/>
      <c r="D898" s="647"/>
      <c r="E898" s="647"/>
      <c r="F898" s="647"/>
      <c r="G898" s="647"/>
      <c r="H898" s="647"/>
      <c r="I898" s="647"/>
      <c r="J898" s="647"/>
      <c r="K898" s="647"/>
      <c r="L898" s="647"/>
      <c r="M898" s="647"/>
      <c r="N898" s="647"/>
      <c r="O898" s="647"/>
      <c r="P898" s="647"/>
      <c r="Q898" s="647"/>
      <c r="R898" s="647"/>
      <c r="S898" s="647"/>
      <c r="T898" s="647"/>
      <c r="U898" s="647"/>
      <c r="V898" s="647"/>
      <c r="W898" s="647"/>
      <c r="X898" s="647"/>
    </row>
    <row r="899">
      <c r="A899" s="646"/>
      <c r="B899" s="647"/>
      <c r="C899" s="647"/>
      <c r="D899" s="647"/>
      <c r="E899" s="647"/>
      <c r="F899" s="647"/>
      <c r="G899" s="647"/>
      <c r="H899" s="647"/>
      <c r="I899" s="647"/>
      <c r="J899" s="647"/>
      <c r="K899" s="647"/>
      <c r="L899" s="647"/>
      <c r="M899" s="647"/>
      <c r="N899" s="647"/>
      <c r="O899" s="647"/>
      <c r="P899" s="647"/>
      <c r="Q899" s="647"/>
      <c r="R899" s="647"/>
      <c r="S899" s="647"/>
      <c r="T899" s="647"/>
      <c r="U899" s="647"/>
      <c r="V899" s="647"/>
      <c r="W899" s="647"/>
      <c r="X899" s="647"/>
    </row>
    <row r="900">
      <c r="A900" s="646"/>
      <c r="B900" s="647"/>
      <c r="C900" s="647"/>
      <c r="D900" s="647"/>
      <c r="E900" s="647"/>
      <c r="F900" s="647"/>
      <c r="G900" s="647"/>
      <c r="H900" s="647"/>
      <c r="I900" s="647"/>
      <c r="J900" s="647"/>
      <c r="K900" s="647"/>
      <c r="L900" s="647"/>
      <c r="M900" s="647"/>
      <c r="N900" s="647"/>
      <c r="O900" s="647"/>
      <c r="P900" s="647"/>
      <c r="Q900" s="647"/>
      <c r="R900" s="647"/>
      <c r="S900" s="647"/>
      <c r="T900" s="647"/>
      <c r="U900" s="647"/>
      <c r="V900" s="647"/>
      <c r="W900" s="647"/>
      <c r="X900" s="647"/>
    </row>
    <row r="901">
      <c r="A901" s="646"/>
      <c r="B901" s="647"/>
      <c r="C901" s="647"/>
      <c r="D901" s="647"/>
      <c r="E901" s="647"/>
      <c r="F901" s="647"/>
      <c r="G901" s="647"/>
      <c r="H901" s="647"/>
      <c r="I901" s="647"/>
      <c r="J901" s="647"/>
      <c r="K901" s="647"/>
      <c r="L901" s="647"/>
      <c r="M901" s="647"/>
      <c r="N901" s="647"/>
      <c r="O901" s="647"/>
      <c r="P901" s="647"/>
      <c r="Q901" s="647"/>
      <c r="R901" s="647"/>
      <c r="S901" s="647"/>
      <c r="T901" s="647"/>
      <c r="U901" s="647"/>
      <c r="V901" s="647"/>
      <c r="W901" s="647"/>
      <c r="X901" s="647"/>
    </row>
    <row r="902">
      <c r="A902" s="646"/>
      <c r="B902" s="647"/>
      <c r="C902" s="647"/>
      <c r="D902" s="647"/>
      <c r="E902" s="647"/>
      <c r="F902" s="647"/>
      <c r="G902" s="647"/>
      <c r="H902" s="647"/>
      <c r="I902" s="647"/>
      <c r="J902" s="647"/>
      <c r="K902" s="647"/>
      <c r="L902" s="647"/>
      <c r="M902" s="647"/>
      <c r="N902" s="647"/>
      <c r="O902" s="647"/>
      <c r="P902" s="647"/>
      <c r="Q902" s="647"/>
      <c r="R902" s="647"/>
      <c r="S902" s="647"/>
      <c r="T902" s="647"/>
      <c r="U902" s="647"/>
      <c r="V902" s="647"/>
      <c r="W902" s="647"/>
      <c r="X902" s="647"/>
    </row>
    <row r="903">
      <c r="A903" s="646"/>
      <c r="B903" s="647"/>
      <c r="C903" s="647"/>
      <c r="D903" s="647"/>
      <c r="E903" s="647"/>
      <c r="F903" s="647"/>
      <c r="G903" s="647"/>
      <c r="H903" s="647"/>
      <c r="I903" s="647"/>
      <c r="J903" s="647"/>
      <c r="K903" s="647"/>
      <c r="L903" s="647"/>
      <c r="M903" s="647"/>
      <c r="N903" s="647"/>
      <c r="O903" s="647"/>
      <c r="P903" s="647"/>
      <c r="Q903" s="647"/>
      <c r="R903" s="647"/>
      <c r="S903" s="647"/>
      <c r="T903" s="647"/>
      <c r="U903" s="647"/>
      <c r="V903" s="647"/>
      <c r="W903" s="647"/>
      <c r="X903" s="647"/>
    </row>
    <row r="904">
      <c r="A904" s="646"/>
      <c r="B904" s="647"/>
      <c r="C904" s="647"/>
      <c r="D904" s="647"/>
      <c r="E904" s="647"/>
      <c r="F904" s="647"/>
      <c r="G904" s="647"/>
      <c r="H904" s="647"/>
      <c r="I904" s="647"/>
      <c r="J904" s="647"/>
      <c r="K904" s="647"/>
      <c r="L904" s="647"/>
      <c r="M904" s="647"/>
      <c r="N904" s="647"/>
      <c r="O904" s="647"/>
      <c r="P904" s="647"/>
      <c r="Q904" s="647"/>
      <c r="R904" s="647"/>
      <c r="S904" s="647"/>
      <c r="T904" s="647"/>
      <c r="U904" s="647"/>
      <c r="V904" s="647"/>
      <c r="W904" s="647"/>
      <c r="X904" s="647"/>
    </row>
    <row r="905">
      <c r="A905" s="646"/>
      <c r="B905" s="647"/>
      <c r="C905" s="647"/>
      <c r="D905" s="647"/>
      <c r="E905" s="647"/>
      <c r="F905" s="647"/>
      <c r="G905" s="647"/>
      <c r="H905" s="647"/>
      <c r="I905" s="647"/>
      <c r="J905" s="647"/>
      <c r="K905" s="647"/>
      <c r="L905" s="647"/>
      <c r="M905" s="647"/>
      <c r="N905" s="647"/>
      <c r="O905" s="647"/>
      <c r="P905" s="647"/>
      <c r="Q905" s="647"/>
      <c r="R905" s="647"/>
      <c r="S905" s="647"/>
      <c r="T905" s="647"/>
      <c r="U905" s="647"/>
      <c r="V905" s="647"/>
      <c r="W905" s="647"/>
      <c r="X905" s="647"/>
    </row>
    <row r="906">
      <c r="A906" s="646"/>
      <c r="B906" s="647"/>
      <c r="C906" s="647"/>
      <c r="D906" s="647"/>
      <c r="E906" s="647"/>
      <c r="F906" s="647"/>
      <c r="G906" s="647"/>
      <c r="H906" s="647"/>
      <c r="I906" s="647"/>
      <c r="J906" s="647"/>
      <c r="K906" s="647"/>
      <c r="L906" s="647"/>
      <c r="M906" s="647"/>
      <c r="N906" s="647"/>
      <c r="O906" s="647"/>
      <c r="P906" s="647"/>
      <c r="Q906" s="647"/>
      <c r="R906" s="647"/>
      <c r="S906" s="647"/>
      <c r="T906" s="647"/>
      <c r="U906" s="647"/>
      <c r="V906" s="647"/>
      <c r="W906" s="647"/>
      <c r="X906" s="647"/>
    </row>
    <row r="907">
      <c r="A907" s="646"/>
      <c r="B907" s="647"/>
      <c r="C907" s="647"/>
      <c r="D907" s="647"/>
      <c r="E907" s="647"/>
      <c r="F907" s="647"/>
      <c r="G907" s="647"/>
      <c r="H907" s="647"/>
      <c r="I907" s="647"/>
      <c r="J907" s="647"/>
      <c r="K907" s="647"/>
      <c r="L907" s="647"/>
      <c r="M907" s="647"/>
      <c r="N907" s="647"/>
      <c r="O907" s="647"/>
      <c r="P907" s="647"/>
      <c r="Q907" s="647"/>
      <c r="R907" s="647"/>
      <c r="S907" s="647"/>
      <c r="T907" s="647"/>
      <c r="U907" s="647"/>
      <c r="V907" s="647"/>
      <c r="W907" s="647"/>
      <c r="X907" s="647"/>
    </row>
    <row r="908">
      <c r="A908" s="646"/>
      <c r="B908" s="647"/>
      <c r="C908" s="647"/>
      <c r="D908" s="647"/>
      <c r="E908" s="647"/>
      <c r="F908" s="647"/>
      <c r="G908" s="647"/>
      <c r="H908" s="647"/>
      <c r="I908" s="647"/>
      <c r="J908" s="647"/>
      <c r="K908" s="647"/>
      <c r="L908" s="647"/>
      <c r="M908" s="647"/>
      <c r="N908" s="647"/>
      <c r="O908" s="647"/>
      <c r="P908" s="647"/>
      <c r="Q908" s="647"/>
      <c r="R908" s="647"/>
      <c r="S908" s="647"/>
      <c r="T908" s="647"/>
      <c r="U908" s="647"/>
      <c r="V908" s="647"/>
      <c r="W908" s="647"/>
      <c r="X908" s="647"/>
    </row>
    <row r="909">
      <c r="A909" s="646"/>
      <c r="B909" s="647"/>
      <c r="C909" s="647"/>
      <c r="D909" s="647"/>
      <c r="E909" s="647"/>
      <c r="F909" s="647"/>
      <c r="G909" s="647"/>
      <c r="H909" s="647"/>
      <c r="I909" s="647"/>
      <c r="J909" s="647"/>
      <c r="K909" s="647"/>
      <c r="L909" s="647"/>
      <c r="M909" s="647"/>
      <c r="N909" s="647"/>
      <c r="O909" s="647"/>
      <c r="P909" s="647"/>
      <c r="Q909" s="647"/>
      <c r="R909" s="647"/>
      <c r="S909" s="647"/>
      <c r="T909" s="647"/>
      <c r="U909" s="647"/>
      <c r="V909" s="647"/>
      <c r="W909" s="647"/>
      <c r="X909" s="647"/>
    </row>
    <row r="910">
      <c r="A910" s="646"/>
      <c r="B910" s="647"/>
      <c r="C910" s="647"/>
      <c r="D910" s="647"/>
      <c r="E910" s="647"/>
      <c r="F910" s="647"/>
      <c r="G910" s="647"/>
      <c r="H910" s="647"/>
      <c r="I910" s="647"/>
      <c r="J910" s="647"/>
      <c r="K910" s="647"/>
      <c r="L910" s="647"/>
      <c r="M910" s="647"/>
      <c r="N910" s="647"/>
      <c r="O910" s="647"/>
      <c r="P910" s="647"/>
      <c r="Q910" s="647"/>
      <c r="R910" s="647"/>
      <c r="S910" s="647"/>
      <c r="T910" s="647"/>
      <c r="U910" s="647"/>
      <c r="V910" s="647"/>
      <c r="W910" s="647"/>
      <c r="X910" s="647"/>
    </row>
    <row r="911">
      <c r="A911" s="646"/>
      <c r="B911" s="647"/>
      <c r="C911" s="647"/>
      <c r="D911" s="647"/>
      <c r="E911" s="647"/>
      <c r="F911" s="647"/>
      <c r="G911" s="647"/>
      <c r="H911" s="647"/>
      <c r="I911" s="647"/>
      <c r="J911" s="647"/>
      <c r="K911" s="647"/>
      <c r="L911" s="647"/>
      <c r="M911" s="647"/>
      <c r="N911" s="647"/>
      <c r="O911" s="647"/>
      <c r="P911" s="647"/>
      <c r="Q911" s="647"/>
      <c r="R911" s="647"/>
      <c r="S911" s="647"/>
      <c r="T911" s="647"/>
      <c r="U911" s="647"/>
      <c r="V911" s="647"/>
      <c r="W911" s="647"/>
      <c r="X911" s="647"/>
    </row>
    <row r="912">
      <c r="A912" s="646"/>
      <c r="B912" s="647"/>
      <c r="C912" s="647"/>
      <c r="D912" s="647"/>
      <c r="E912" s="647"/>
      <c r="F912" s="647"/>
      <c r="G912" s="647"/>
      <c r="H912" s="647"/>
      <c r="I912" s="647"/>
      <c r="J912" s="647"/>
      <c r="K912" s="647"/>
      <c r="L912" s="647"/>
      <c r="M912" s="647"/>
      <c r="N912" s="647"/>
      <c r="O912" s="647"/>
      <c r="P912" s="647"/>
      <c r="Q912" s="647"/>
      <c r="R912" s="647"/>
      <c r="S912" s="647"/>
      <c r="T912" s="647"/>
      <c r="U912" s="647"/>
      <c r="V912" s="647"/>
      <c r="W912" s="647"/>
      <c r="X912" s="647"/>
    </row>
    <row r="913">
      <c r="A913" s="646"/>
      <c r="B913" s="647"/>
      <c r="C913" s="647"/>
      <c r="D913" s="647"/>
      <c r="E913" s="647"/>
      <c r="F913" s="647"/>
      <c r="G913" s="647"/>
      <c r="H913" s="647"/>
      <c r="I913" s="647"/>
      <c r="J913" s="647"/>
      <c r="K913" s="647"/>
      <c r="L913" s="647"/>
      <c r="M913" s="647"/>
      <c r="N913" s="647"/>
      <c r="O913" s="647"/>
      <c r="P913" s="647"/>
      <c r="Q913" s="647"/>
      <c r="R913" s="647"/>
      <c r="S913" s="647"/>
      <c r="T913" s="647"/>
      <c r="U913" s="647"/>
      <c r="V913" s="647"/>
      <c r="W913" s="647"/>
      <c r="X913" s="647"/>
    </row>
    <row r="914">
      <c r="A914" s="646"/>
      <c r="B914" s="647"/>
      <c r="C914" s="647"/>
      <c r="D914" s="647"/>
      <c r="E914" s="647"/>
      <c r="F914" s="647"/>
      <c r="G914" s="647"/>
      <c r="H914" s="647"/>
      <c r="I914" s="647"/>
      <c r="J914" s="647"/>
      <c r="K914" s="647"/>
      <c r="L914" s="647"/>
      <c r="M914" s="647"/>
      <c r="N914" s="647"/>
      <c r="O914" s="647"/>
      <c r="P914" s="647"/>
      <c r="Q914" s="647"/>
      <c r="R914" s="647"/>
      <c r="S914" s="647"/>
      <c r="T914" s="647"/>
      <c r="U914" s="647"/>
      <c r="V914" s="647"/>
      <c r="W914" s="647"/>
      <c r="X914" s="647"/>
    </row>
    <row r="915">
      <c r="A915" s="646"/>
      <c r="B915" s="647"/>
      <c r="C915" s="647"/>
      <c r="D915" s="647"/>
      <c r="E915" s="647"/>
      <c r="F915" s="647"/>
      <c r="G915" s="647"/>
      <c r="H915" s="647"/>
      <c r="I915" s="647"/>
      <c r="J915" s="647"/>
      <c r="K915" s="647"/>
      <c r="L915" s="647"/>
      <c r="M915" s="647"/>
      <c r="N915" s="647"/>
      <c r="O915" s="647"/>
      <c r="P915" s="647"/>
      <c r="Q915" s="647"/>
      <c r="R915" s="647"/>
      <c r="S915" s="647"/>
      <c r="T915" s="647"/>
      <c r="U915" s="647"/>
      <c r="V915" s="647"/>
      <c r="W915" s="647"/>
      <c r="X915" s="647"/>
    </row>
    <row r="916">
      <c r="A916" s="646"/>
      <c r="B916" s="647"/>
      <c r="C916" s="647"/>
      <c r="D916" s="647"/>
      <c r="E916" s="647"/>
      <c r="F916" s="647"/>
      <c r="G916" s="647"/>
      <c r="H916" s="647"/>
      <c r="I916" s="647"/>
      <c r="J916" s="647"/>
      <c r="K916" s="647"/>
      <c r="L916" s="647"/>
      <c r="M916" s="647"/>
      <c r="N916" s="647"/>
      <c r="O916" s="647"/>
      <c r="P916" s="647"/>
      <c r="Q916" s="647"/>
      <c r="R916" s="647"/>
      <c r="S916" s="647"/>
      <c r="T916" s="647"/>
      <c r="U916" s="647"/>
      <c r="V916" s="647"/>
      <c r="W916" s="647"/>
      <c r="X916" s="647"/>
    </row>
    <row r="917">
      <c r="A917" s="646"/>
      <c r="B917" s="647"/>
      <c r="C917" s="647"/>
      <c r="D917" s="647"/>
      <c r="E917" s="647"/>
      <c r="F917" s="647"/>
      <c r="G917" s="647"/>
      <c r="H917" s="647"/>
      <c r="I917" s="647"/>
      <c r="J917" s="647"/>
      <c r="K917" s="647"/>
      <c r="L917" s="647"/>
      <c r="M917" s="647"/>
      <c r="N917" s="647"/>
      <c r="O917" s="647"/>
      <c r="P917" s="647"/>
      <c r="Q917" s="647"/>
      <c r="R917" s="647"/>
      <c r="S917" s="647"/>
      <c r="T917" s="647"/>
      <c r="U917" s="647"/>
      <c r="V917" s="647"/>
      <c r="W917" s="647"/>
      <c r="X917" s="647"/>
    </row>
    <row r="918">
      <c r="A918" s="646"/>
      <c r="B918" s="647"/>
      <c r="C918" s="647"/>
      <c r="D918" s="647"/>
      <c r="E918" s="647"/>
      <c r="F918" s="647"/>
      <c r="G918" s="647"/>
      <c r="H918" s="647"/>
      <c r="I918" s="647"/>
      <c r="J918" s="647"/>
      <c r="K918" s="647"/>
      <c r="L918" s="647"/>
      <c r="M918" s="647"/>
      <c r="N918" s="647"/>
      <c r="O918" s="647"/>
      <c r="P918" s="647"/>
      <c r="Q918" s="647"/>
      <c r="R918" s="647"/>
      <c r="S918" s="647"/>
      <c r="T918" s="647"/>
      <c r="U918" s="647"/>
      <c r="V918" s="647"/>
      <c r="W918" s="647"/>
      <c r="X918" s="647"/>
    </row>
    <row r="919">
      <c r="A919" s="646"/>
      <c r="B919" s="647"/>
      <c r="C919" s="647"/>
      <c r="D919" s="647"/>
      <c r="E919" s="647"/>
      <c r="F919" s="647"/>
      <c r="G919" s="647"/>
      <c r="H919" s="647"/>
      <c r="I919" s="647"/>
      <c r="J919" s="647"/>
      <c r="K919" s="647"/>
      <c r="L919" s="647"/>
      <c r="M919" s="647"/>
      <c r="N919" s="647"/>
      <c r="O919" s="647"/>
      <c r="P919" s="647"/>
      <c r="Q919" s="647"/>
      <c r="R919" s="647"/>
      <c r="S919" s="647"/>
      <c r="T919" s="647"/>
      <c r="U919" s="647"/>
      <c r="V919" s="647"/>
      <c r="W919" s="647"/>
      <c r="X919" s="647"/>
    </row>
    <row r="920">
      <c r="A920" s="646"/>
      <c r="B920" s="647"/>
      <c r="C920" s="647"/>
      <c r="D920" s="647"/>
      <c r="E920" s="647"/>
      <c r="F920" s="647"/>
      <c r="G920" s="647"/>
      <c r="H920" s="647"/>
      <c r="I920" s="647"/>
      <c r="J920" s="647"/>
      <c r="K920" s="647"/>
      <c r="L920" s="647"/>
      <c r="M920" s="647"/>
      <c r="N920" s="647"/>
      <c r="O920" s="647"/>
      <c r="P920" s="647"/>
      <c r="Q920" s="647"/>
      <c r="R920" s="647"/>
      <c r="S920" s="647"/>
      <c r="T920" s="647"/>
      <c r="U920" s="647"/>
      <c r="V920" s="647"/>
      <c r="W920" s="647"/>
      <c r="X920" s="647"/>
    </row>
    <row r="921">
      <c r="A921" s="646"/>
      <c r="B921" s="647"/>
      <c r="C921" s="647"/>
      <c r="D921" s="647"/>
      <c r="E921" s="647"/>
      <c r="F921" s="647"/>
      <c r="G921" s="647"/>
      <c r="H921" s="647"/>
      <c r="I921" s="647"/>
      <c r="J921" s="647"/>
      <c r="K921" s="647"/>
      <c r="L921" s="647"/>
      <c r="M921" s="647"/>
      <c r="N921" s="647"/>
      <c r="O921" s="647"/>
      <c r="P921" s="647"/>
      <c r="Q921" s="647"/>
      <c r="R921" s="647"/>
      <c r="S921" s="647"/>
      <c r="T921" s="647"/>
      <c r="U921" s="647"/>
      <c r="V921" s="647"/>
      <c r="W921" s="647"/>
      <c r="X921" s="647"/>
    </row>
    <row r="922">
      <c r="A922" s="646"/>
      <c r="B922" s="647"/>
      <c r="C922" s="647"/>
      <c r="D922" s="647"/>
      <c r="E922" s="647"/>
      <c r="F922" s="647"/>
      <c r="G922" s="647"/>
      <c r="H922" s="647"/>
      <c r="I922" s="647"/>
      <c r="J922" s="647"/>
      <c r="K922" s="647"/>
      <c r="L922" s="647"/>
      <c r="M922" s="647"/>
      <c r="N922" s="647"/>
      <c r="O922" s="647"/>
      <c r="P922" s="647"/>
      <c r="Q922" s="647"/>
      <c r="R922" s="647"/>
      <c r="S922" s="647"/>
      <c r="T922" s="647"/>
      <c r="U922" s="647"/>
      <c r="V922" s="647"/>
      <c r="W922" s="647"/>
      <c r="X922" s="647"/>
    </row>
    <row r="923">
      <c r="A923" s="646"/>
      <c r="B923" s="647"/>
      <c r="C923" s="647"/>
      <c r="D923" s="647"/>
      <c r="E923" s="647"/>
      <c r="F923" s="647"/>
      <c r="G923" s="647"/>
      <c r="H923" s="647"/>
      <c r="I923" s="647"/>
      <c r="J923" s="647"/>
      <c r="K923" s="647"/>
      <c r="L923" s="647"/>
      <c r="M923" s="647"/>
      <c r="N923" s="647"/>
      <c r="O923" s="647"/>
      <c r="P923" s="647"/>
      <c r="Q923" s="647"/>
      <c r="R923" s="647"/>
      <c r="S923" s="647"/>
      <c r="T923" s="647"/>
      <c r="U923" s="647"/>
      <c r="V923" s="647"/>
      <c r="W923" s="647"/>
      <c r="X923" s="647"/>
    </row>
    <row r="924">
      <c r="A924" s="646"/>
      <c r="B924" s="647"/>
      <c r="C924" s="647"/>
      <c r="D924" s="647"/>
      <c r="E924" s="647"/>
      <c r="F924" s="647"/>
      <c r="G924" s="647"/>
      <c r="H924" s="647"/>
      <c r="I924" s="647"/>
      <c r="J924" s="647"/>
      <c r="K924" s="647"/>
      <c r="L924" s="647"/>
      <c r="M924" s="647"/>
      <c r="N924" s="647"/>
      <c r="O924" s="647"/>
      <c r="P924" s="647"/>
      <c r="Q924" s="647"/>
      <c r="R924" s="647"/>
      <c r="S924" s="647"/>
      <c r="T924" s="647"/>
      <c r="U924" s="647"/>
      <c r="V924" s="647"/>
      <c r="W924" s="647"/>
      <c r="X924" s="647"/>
    </row>
    <row r="925">
      <c r="A925" s="646"/>
      <c r="B925" s="647"/>
      <c r="C925" s="647"/>
      <c r="D925" s="647"/>
      <c r="E925" s="647"/>
      <c r="F925" s="647"/>
      <c r="G925" s="647"/>
      <c r="H925" s="647"/>
      <c r="I925" s="647"/>
      <c r="J925" s="647"/>
      <c r="K925" s="647"/>
      <c r="L925" s="647"/>
      <c r="M925" s="647"/>
      <c r="N925" s="647"/>
      <c r="O925" s="647"/>
      <c r="P925" s="647"/>
      <c r="Q925" s="647"/>
      <c r="R925" s="647"/>
      <c r="S925" s="647"/>
      <c r="T925" s="647"/>
      <c r="U925" s="647"/>
      <c r="V925" s="647"/>
      <c r="W925" s="647"/>
      <c r="X925" s="647"/>
    </row>
    <row r="926">
      <c r="A926" s="646"/>
      <c r="B926" s="647"/>
      <c r="C926" s="647"/>
      <c r="D926" s="647"/>
      <c r="E926" s="647"/>
      <c r="F926" s="647"/>
      <c r="G926" s="647"/>
      <c r="H926" s="647"/>
      <c r="I926" s="647"/>
      <c r="J926" s="647"/>
      <c r="K926" s="647"/>
      <c r="L926" s="647"/>
      <c r="M926" s="647"/>
      <c r="N926" s="647"/>
      <c r="O926" s="647"/>
      <c r="P926" s="647"/>
      <c r="Q926" s="647"/>
      <c r="R926" s="647"/>
      <c r="S926" s="647"/>
      <c r="T926" s="647"/>
      <c r="U926" s="647"/>
      <c r="V926" s="647"/>
      <c r="W926" s="647"/>
      <c r="X926" s="647"/>
    </row>
    <row r="927">
      <c r="A927" s="646"/>
      <c r="B927" s="647"/>
      <c r="C927" s="647"/>
      <c r="D927" s="647"/>
      <c r="E927" s="647"/>
      <c r="F927" s="647"/>
      <c r="G927" s="647"/>
      <c r="H927" s="647"/>
      <c r="I927" s="647"/>
      <c r="J927" s="647"/>
      <c r="K927" s="647"/>
      <c r="L927" s="647"/>
      <c r="M927" s="647"/>
      <c r="N927" s="647"/>
      <c r="O927" s="647"/>
      <c r="P927" s="647"/>
      <c r="Q927" s="647"/>
      <c r="R927" s="647"/>
      <c r="S927" s="647"/>
      <c r="T927" s="647"/>
      <c r="U927" s="647"/>
      <c r="V927" s="647"/>
      <c r="W927" s="647"/>
      <c r="X927" s="647"/>
    </row>
    <row r="928">
      <c r="A928" s="646"/>
      <c r="B928" s="647"/>
      <c r="C928" s="647"/>
      <c r="D928" s="647"/>
      <c r="E928" s="647"/>
      <c r="F928" s="647"/>
      <c r="G928" s="647"/>
      <c r="H928" s="647"/>
      <c r="I928" s="647"/>
      <c r="J928" s="647"/>
      <c r="K928" s="647"/>
      <c r="L928" s="647"/>
      <c r="M928" s="647"/>
      <c r="N928" s="647"/>
      <c r="O928" s="647"/>
      <c r="P928" s="647"/>
      <c r="Q928" s="647"/>
      <c r="R928" s="647"/>
      <c r="S928" s="647"/>
      <c r="T928" s="647"/>
      <c r="U928" s="647"/>
      <c r="V928" s="647"/>
      <c r="W928" s="647"/>
      <c r="X928" s="647"/>
    </row>
    <row r="929">
      <c r="A929" s="646"/>
      <c r="B929" s="647"/>
      <c r="C929" s="647"/>
      <c r="D929" s="647"/>
      <c r="E929" s="647"/>
      <c r="F929" s="647"/>
      <c r="G929" s="647"/>
      <c r="H929" s="647"/>
      <c r="I929" s="647"/>
      <c r="J929" s="647"/>
      <c r="K929" s="647"/>
      <c r="L929" s="647"/>
      <c r="M929" s="647"/>
      <c r="N929" s="647"/>
      <c r="O929" s="647"/>
      <c r="P929" s="647"/>
      <c r="Q929" s="647"/>
      <c r="R929" s="647"/>
      <c r="S929" s="647"/>
      <c r="T929" s="647"/>
      <c r="U929" s="647"/>
      <c r="V929" s="647"/>
      <c r="W929" s="647"/>
      <c r="X929" s="647"/>
    </row>
    <row r="930">
      <c r="A930" s="646"/>
      <c r="B930" s="647"/>
      <c r="C930" s="647"/>
      <c r="D930" s="647"/>
      <c r="E930" s="647"/>
      <c r="F930" s="647"/>
      <c r="G930" s="647"/>
      <c r="H930" s="647"/>
      <c r="I930" s="647"/>
      <c r="J930" s="647"/>
      <c r="K930" s="647"/>
      <c r="L930" s="647"/>
      <c r="M930" s="647"/>
      <c r="N930" s="647"/>
      <c r="O930" s="647"/>
      <c r="P930" s="647"/>
      <c r="Q930" s="647"/>
      <c r="R930" s="647"/>
      <c r="S930" s="647"/>
      <c r="T930" s="647"/>
      <c r="U930" s="647"/>
      <c r="V930" s="647"/>
      <c r="W930" s="647"/>
      <c r="X930" s="647"/>
    </row>
    <row r="931">
      <c r="A931" s="646"/>
      <c r="B931" s="647"/>
      <c r="C931" s="647"/>
      <c r="D931" s="647"/>
      <c r="E931" s="647"/>
      <c r="F931" s="647"/>
      <c r="G931" s="647"/>
      <c r="H931" s="647"/>
      <c r="I931" s="647"/>
      <c r="J931" s="647"/>
      <c r="K931" s="647"/>
      <c r="L931" s="647"/>
      <c r="M931" s="647"/>
      <c r="N931" s="647"/>
      <c r="O931" s="647"/>
      <c r="P931" s="647"/>
      <c r="Q931" s="647"/>
      <c r="R931" s="647"/>
      <c r="S931" s="647"/>
      <c r="T931" s="647"/>
      <c r="U931" s="647"/>
      <c r="V931" s="647"/>
      <c r="W931" s="647"/>
      <c r="X931" s="647"/>
    </row>
    <row r="932">
      <c r="A932" s="646"/>
      <c r="B932" s="647"/>
      <c r="C932" s="647"/>
      <c r="D932" s="647"/>
      <c r="E932" s="647"/>
      <c r="F932" s="647"/>
      <c r="G932" s="647"/>
      <c r="H932" s="647"/>
      <c r="I932" s="647"/>
      <c r="J932" s="647"/>
      <c r="K932" s="647"/>
      <c r="L932" s="647"/>
      <c r="M932" s="647"/>
      <c r="N932" s="647"/>
      <c r="O932" s="647"/>
      <c r="P932" s="647"/>
      <c r="Q932" s="647"/>
      <c r="R932" s="647"/>
      <c r="S932" s="647"/>
      <c r="T932" s="647"/>
      <c r="U932" s="647"/>
      <c r="V932" s="647"/>
      <c r="W932" s="647"/>
      <c r="X932" s="647"/>
    </row>
    <row r="933">
      <c r="A933" s="646"/>
      <c r="B933" s="647"/>
      <c r="C933" s="647"/>
      <c r="D933" s="647"/>
      <c r="E933" s="647"/>
      <c r="F933" s="647"/>
      <c r="G933" s="647"/>
      <c r="H933" s="647"/>
      <c r="I933" s="647"/>
      <c r="J933" s="647"/>
      <c r="K933" s="647"/>
      <c r="L933" s="647"/>
      <c r="M933" s="647"/>
      <c r="N933" s="647"/>
      <c r="O933" s="647"/>
      <c r="P933" s="647"/>
      <c r="Q933" s="647"/>
      <c r="R933" s="647"/>
      <c r="S933" s="647"/>
      <c r="T933" s="647"/>
      <c r="U933" s="647"/>
      <c r="V933" s="647"/>
      <c r="W933" s="647"/>
      <c r="X933" s="647"/>
    </row>
    <row r="934">
      <c r="A934" s="646"/>
      <c r="B934" s="647"/>
      <c r="C934" s="647"/>
      <c r="D934" s="647"/>
      <c r="E934" s="647"/>
      <c r="F934" s="647"/>
      <c r="G934" s="647"/>
      <c r="H934" s="647"/>
      <c r="I934" s="647"/>
      <c r="J934" s="647"/>
      <c r="K934" s="647"/>
      <c r="L934" s="647"/>
      <c r="M934" s="647"/>
      <c r="N934" s="647"/>
      <c r="O934" s="647"/>
      <c r="P934" s="647"/>
      <c r="Q934" s="647"/>
      <c r="R934" s="647"/>
      <c r="S934" s="647"/>
      <c r="T934" s="647"/>
      <c r="U934" s="647"/>
      <c r="V934" s="647"/>
      <c r="W934" s="647"/>
      <c r="X934" s="647"/>
    </row>
    <row r="935">
      <c r="A935" s="646"/>
      <c r="B935" s="647"/>
      <c r="C935" s="647"/>
      <c r="D935" s="647"/>
      <c r="E935" s="647"/>
      <c r="F935" s="647"/>
      <c r="G935" s="647"/>
      <c r="H935" s="647"/>
      <c r="I935" s="647"/>
      <c r="J935" s="647"/>
      <c r="K935" s="647"/>
      <c r="L935" s="647"/>
      <c r="M935" s="647"/>
      <c r="N935" s="647"/>
      <c r="O935" s="647"/>
      <c r="P935" s="647"/>
      <c r="Q935" s="647"/>
      <c r="R935" s="647"/>
      <c r="S935" s="647"/>
      <c r="T935" s="647"/>
      <c r="U935" s="647"/>
      <c r="V935" s="647"/>
      <c r="W935" s="647"/>
      <c r="X935" s="647"/>
    </row>
    <row r="936">
      <c r="A936" s="646"/>
      <c r="B936" s="647"/>
      <c r="C936" s="647"/>
      <c r="D936" s="647"/>
      <c r="E936" s="647"/>
      <c r="F936" s="647"/>
      <c r="G936" s="647"/>
      <c r="H936" s="647"/>
      <c r="I936" s="647"/>
      <c r="J936" s="647"/>
      <c r="K936" s="647"/>
      <c r="L936" s="647"/>
      <c r="M936" s="647"/>
      <c r="N936" s="647"/>
      <c r="O936" s="647"/>
      <c r="P936" s="647"/>
      <c r="Q936" s="647"/>
      <c r="R936" s="647"/>
      <c r="S936" s="647"/>
      <c r="T936" s="647"/>
      <c r="U936" s="647"/>
      <c r="V936" s="647"/>
      <c r="W936" s="647"/>
      <c r="X936" s="647"/>
    </row>
    <row r="937">
      <c r="A937" s="646"/>
      <c r="B937" s="647"/>
      <c r="C937" s="647"/>
      <c r="D937" s="647"/>
      <c r="E937" s="647"/>
      <c r="F937" s="647"/>
      <c r="G937" s="647"/>
      <c r="H937" s="647"/>
      <c r="I937" s="647"/>
      <c r="J937" s="647"/>
      <c r="K937" s="647"/>
      <c r="L937" s="647"/>
      <c r="M937" s="647"/>
      <c r="N937" s="647"/>
      <c r="O937" s="647"/>
      <c r="P937" s="647"/>
      <c r="Q937" s="647"/>
      <c r="R937" s="647"/>
      <c r="S937" s="647"/>
      <c r="T937" s="647"/>
      <c r="U937" s="647"/>
      <c r="V937" s="647"/>
      <c r="W937" s="647"/>
      <c r="X937" s="647"/>
    </row>
    <row r="938">
      <c r="A938" s="646"/>
      <c r="B938" s="647"/>
      <c r="C938" s="647"/>
      <c r="D938" s="647"/>
      <c r="E938" s="647"/>
      <c r="F938" s="647"/>
      <c r="G938" s="647"/>
      <c r="H938" s="647"/>
      <c r="I938" s="647"/>
      <c r="J938" s="647"/>
      <c r="K938" s="647"/>
      <c r="L938" s="647"/>
      <c r="M938" s="647"/>
      <c r="N938" s="647"/>
      <c r="O938" s="647"/>
      <c r="P938" s="647"/>
      <c r="Q938" s="647"/>
      <c r="R938" s="647"/>
      <c r="S938" s="647"/>
      <c r="T938" s="647"/>
      <c r="U938" s="647"/>
      <c r="V938" s="647"/>
      <c r="W938" s="647"/>
      <c r="X938" s="647"/>
    </row>
    <row r="939">
      <c r="A939" s="646"/>
      <c r="B939" s="647"/>
      <c r="C939" s="647"/>
      <c r="D939" s="647"/>
      <c r="E939" s="647"/>
      <c r="F939" s="647"/>
      <c r="G939" s="647"/>
      <c r="H939" s="647"/>
      <c r="I939" s="647"/>
      <c r="J939" s="647"/>
      <c r="K939" s="647"/>
      <c r="L939" s="647"/>
      <c r="M939" s="647"/>
      <c r="N939" s="647"/>
      <c r="O939" s="647"/>
      <c r="P939" s="647"/>
      <c r="Q939" s="647"/>
      <c r="R939" s="647"/>
      <c r="S939" s="647"/>
      <c r="T939" s="647"/>
      <c r="U939" s="647"/>
      <c r="V939" s="647"/>
      <c r="W939" s="647"/>
      <c r="X939" s="647"/>
    </row>
    <row r="940">
      <c r="A940" s="646"/>
      <c r="B940" s="647"/>
      <c r="C940" s="647"/>
      <c r="D940" s="647"/>
      <c r="E940" s="647"/>
      <c r="F940" s="647"/>
      <c r="G940" s="647"/>
      <c r="H940" s="647"/>
      <c r="I940" s="647"/>
      <c r="J940" s="647"/>
      <c r="K940" s="647"/>
      <c r="L940" s="647"/>
      <c r="M940" s="647"/>
      <c r="N940" s="647"/>
      <c r="O940" s="647"/>
      <c r="P940" s="647"/>
      <c r="Q940" s="647"/>
      <c r="R940" s="647"/>
      <c r="S940" s="647"/>
      <c r="T940" s="647"/>
      <c r="U940" s="647"/>
      <c r="V940" s="647"/>
      <c r="W940" s="647"/>
      <c r="X940" s="647"/>
    </row>
    <row r="941">
      <c r="A941" s="646"/>
      <c r="B941" s="647"/>
      <c r="C941" s="647"/>
      <c r="D941" s="647"/>
      <c r="E941" s="647"/>
      <c r="F941" s="647"/>
      <c r="G941" s="647"/>
      <c r="H941" s="647"/>
      <c r="I941" s="647"/>
      <c r="J941" s="647"/>
      <c r="K941" s="647"/>
      <c r="L941" s="647"/>
      <c r="M941" s="647"/>
      <c r="N941" s="647"/>
      <c r="O941" s="647"/>
      <c r="P941" s="647"/>
      <c r="Q941" s="647"/>
      <c r="R941" s="647"/>
      <c r="S941" s="647"/>
      <c r="T941" s="647"/>
      <c r="U941" s="647"/>
      <c r="V941" s="647"/>
      <c r="W941" s="647"/>
      <c r="X941" s="647"/>
    </row>
    <row r="942">
      <c r="A942" s="646"/>
      <c r="B942" s="647"/>
      <c r="C942" s="647"/>
      <c r="D942" s="647"/>
      <c r="E942" s="647"/>
      <c r="F942" s="647"/>
      <c r="G942" s="647"/>
      <c r="H942" s="647"/>
      <c r="I942" s="647"/>
      <c r="J942" s="647"/>
      <c r="K942" s="647"/>
      <c r="L942" s="647"/>
      <c r="M942" s="647"/>
      <c r="N942" s="647"/>
      <c r="O942" s="647"/>
      <c r="P942" s="647"/>
      <c r="Q942" s="647"/>
      <c r="R942" s="647"/>
      <c r="S942" s="647"/>
      <c r="T942" s="647"/>
      <c r="U942" s="647"/>
      <c r="V942" s="647"/>
      <c r="W942" s="647"/>
      <c r="X942" s="647"/>
    </row>
    <row r="943">
      <c r="A943" s="646"/>
      <c r="B943" s="647"/>
      <c r="C943" s="647"/>
      <c r="D943" s="647"/>
      <c r="E943" s="647"/>
      <c r="F943" s="647"/>
      <c r="G943" s="647"/>
      <c r="H943" s="647"/>
      <c r="I943" s="647"/>
      <c r="J943" s="647"/>
      <c r="K943" s="647"/>
      <c r="L943" s="647"/>
      <c r="M943" s="647"/>
      <c r="N943" s="647"/>
      <c r="O943" s="647"/>
      <c r="P943" s="647"/>
      <c r="Q943" s="647"/>
      <c r="R943" s="647"/>
      <c r="S943" s="647"/>
      <c r="T943" s="647"/>
      <c r="U943" s="647"/>
      <c r="V943" s="647"/>
      <c r="W943" s="647"/>
      <c r="X943" s="647"/>
    </row>
    <row r="944">
      <c r="A944" s="646"/>
      <c r="B944" s="647"/>
      <c r="C944" s="647"/>
      <c r="D944" s="647"/>
      <c r="E944" s="647"/>
      <c r="F944" s="647"/>
      <c r="G944" s="647"/>
      <c r="H944" s="647"/>
      <c r="I944" s="647"/>
      <c r="J944" s="647"/>
      <c r="K944" s="647"/>
      <c r="L944" s="647"/>
      <c r="M944" s="647"/>
      <c r="N944" s="647"/>
      <c r="O944" s="647"/>
      <c r="P944" s="647"/>
      <c r="Q944" s="647"/>
      <c r="R944" s="647"/>
      <c r="S944" s="647"/>
      <c r="T944" s="647"/>
      <c r="U944" s="647"/>
      <c r="V944" s="647"/>
      <c r="W944" s="647"/>
      <c r="X944" s="647"/>
    </row>
    <row r="945">
      <c r="A945" s="646"/>
      <c r="B945" s="647"/>
      <c r="C945" s="647"/>
      <c r="D945" s="647"/>
      <c r="E945" s="647"/>
      <c r="F945" s="647"/>
      <c r="G945" s="647"/>
      <c r="H945" s="647"/>
      <c r="I945" s="647"/>
      <c r="J945" s="647"/>
      <c r="K945" s="647"/>
      <c r="L945" s="647"/>
      <c r="M945" s="647"/>
      <c r="N945" s="647"/>
      <c r="O945" s="647"/>
      <c r="P945" s="647"/>
      <c r="Q945" s="647"/>
      <c r="R945" s="647"/>
      <c r="S945" s="647"/>
      <c r="T945" s="647"/>
      <c r="U945" s="647"/>
      <c r="V945" s="647"/>
      <c r="W945" s="647"/>
      <c r="X945" s="647"/>
    </row>
    <row r="946">
      <c r="A946" s="646"/>
      <c r="B946" s="647"/>
      <c r="C946" s="647"/>
      <c r="D946" s="647"/>
      <c r="E946" s="647"/>
      <c r="F946" s="647"/>
      <c r="G946" s="647"/>
      <c r="H946" s="647"/>
      <c r="I946" s="647"/>
      <c r="J946" s="647"/>
      <c r="K946" s="647"/>
      <c r="L946" s="647"/>
      <c r="M946" s="647"/>
      <c r="N946" s="647"/>
      <c r="O946" s="647"/>
      <c r="P946" s="647"/>
      <c r="Q946" s="647"/>
      <c r="R946" s="647"/>
      <c r="S946" s="647"/>
      <c r="T946" s="647"/>
      <c r="U946" s="647"/>
      <c r="V946" s="647"/>
      <c r="W946" s="647"/>
      <c r="X946" s="647"/>
    </row>
    <row r="947">
      <c r="A947" s="646"/>
      <c r="B947" s="647"/>
      <c r="C947" s="647"/>
      <c r="D947" s="647"/>
      <c r="E947" s="647"/>
      <c r="F947" s="647"/>
      <c r="G947" s="647"/>
      <c r="H947" s="647"/>
      <c r="I947" s="647"/>
      <c r="J947" s="647"/>
      <c r="K947" s="647"/>
      <c r="L947" s="647"/>
      <c r="M947" s="647"/>
      <c r="N947" s="647"/>
      <c r="O947" s="647"/>
      <c r="P947" s="647"/>
      <c r="Q947" s="647"/>
      <c r="R947" s="647"/>
      <c r="S947" s="647"/>
      <c r="T947" s="647"/>
      <c r="U947" s="647"/>
      <c r="V947" s="647"/>
      <c r="W947" s="647"/>
      <c r="X947" s="647"/>
    </row>
    <row r="948">
      <c r="A948" s="646"/>
      <c r="B948" s="647"/>
      <c r="C948" s="647"/>
      <c r="D948" s="647"/>
      <c r="E948" s="647"/>
      <c r="F948" s="647"/>
      <c r="G948" s="647"/>
      <c r="H948" s="647"/>
      <c r="I948" s="647"/>
      <c r="J948" s="647"/>
      <c r="K948" s="647"/>
      <c r="L948" s="647"/>
      <c r="M948" s="647"/>
      <c r="N948" s="647"/>
      <c r="O948" s="647"/>
      <c r="P948" s="647"/>
      <c r="Q948" s="647"/>
      <c r="R948" s="647"/>
      <c r="S948" s="647"/>
      <c r="T948" s="647"/>
      <c r="U948" s="647"/>
      <c r="V948" s="647"/>
      <c r="W948" s="647"/>
      <c r="X948" s="647"/>
    </row>
    <row r="949">
      <c r="A949" s="646"/>
      <c r="B949" s="647"/>
      <c r="C949" s="647"/>
      <c r="D949" s="647"/>
      <c r="E949" s="647"/>
      <c r="F949" s="647"/>
      <c r="G949" s="647"/>
      <c r="H949" s="647"/>
      <c r="I949" s="647"/>
      <c r="J949" s="647"/>
      <c r="K949" s="647"/>
      <c r="L949" s="647"/>
      <c r="M949" s="647"/>
      <c r="N949" s="647"/>
      <c r="O949" s="647"/>
      <c r="P949" s="647"/>
      <c r="Q949" s="647"/>
      <c r="R949" s="647"/>
      <c r="S949" s="647"/>
      <c r="T949" s="647"/>
      <c r="U949" s="647"/>
      <c r="V949" s="647"/>
      <c r="W949" s="647"/>
      <c r="X949" s="647"/>
    </row>
    <row r="950">
      <c r="A950" s="646"/>
      <c r="B950" s="647"/>
      <c r="C950" s="647"/>
      <c r="D950" s="647"/>
      <c r="E950" s="647"/>
      <c r="F950" s="647"/>
      <c r="G950" s="647"/>
      <c r="H950" s="647"/>
      <c r="I950" s="647"/>
      <c r="J950" s="647"/>
      <c r="K950" s="647"/>
      <c r="L950" s="647"/>
      <c r="M950" s="647"/>
      <c r="N950" s="647"/>
      <c r="O950" s="647"/>
      <c r="P950" s="647"/>
      <c r="Q950" s="647"/>
      <c r="R950" s="647"/>
      <c r="S950" s="647"/>
      <c r="T950" s="647"/>
      <c r="U950" s="647"/>
      <c r="V950" s="647"/>
      <c r="W950" s="647"/>
      <c r="X950" s="647"/>
    </row>
    <row r="951">
      <c r="A951" s="646"/>
      <c r="B951" s="647"/>
      <c r="C951" s="647"/>
      <c r="D951" s="647"/>
      <c r="E951" s="647"/>
      <c r="F951" s="647"/>
      <c r="G951" s="647"/>
      <c r="H951" s="647"/>
      <c r="I951" s="647"/>
      <c r="J951" s="647"/>
      <c r="K951" s="647"/>
      <c r="L951" s="647"/>
      <c r="M951" s="647"/>
      <c r="N951" s="647"/>
      <c r="O951" s="647"/>
      <c r="P951" s="647"/>
      <c r="Q951" s="647"/>
      <c r="R951" s="647"/>
      <c r="S951" s="647"/>
      <c r="T951" s="647"/>
      <c r="U951" s="647"/>
      <c r="V951" s="647"/>
      <c r="W951" s="647"/>
      <c r="X951" s="647"/>
    </row>
    <row r="952">
      <c r="A952" s="646"/>
      <c r="B952" s="647"/>
      <c r="C952" s="647"/>
      <c r="D952" s="647"/>
      <c r="E952" s="647"/>
      <c r="F952" s="647"/>
      <c r="G952" s="647"/>
      <c r="H952" s="647"/>
      <c r="I952" s="647"/>
      <c r="J952" s="647"/>
      <c r="K952" s="647"/>
      <c r="L952" s="647"/>
      <c r="M952" s="647"/>
      <c r="N952" s="647"/>
      <c r="O952" s="647"/>
      <c r="P952" s="647"/>
      <c r="Q952" s="647"/>
      <c r="R952" s="647"/>
      <c r="S952" s="647"/>
      <c r="T952" s="647"/>
      <c r="U952" s="647"/>
      <c r="V952" s="647"/>
      <c r="W952" s="647"/>
      <c r="X952" s="647"/>
    </row>
    <row r="953">
      <c r="A953" s="646"/>
      <c r="B953" s="647"/>
      <c r="C953" s="647"/>
      <c r="D953" s="647"/>
      <c r="E953" s="647"/>
      <c r="F953" s="647"/>
      <c r="G953" s="647"/>
      <c r="H953" s="647"/>
      <c r="I953" s="647"/>
      <c r="J953" s="647"/>
      <c r="K953" s="647"/>
      <c r="L953" s="647"/>
      <c r="M953" s="647"/>
      <c r="N953" s="647"/>
      <c r="O953" s="647"/>
      <c r="P953" s="647"/>
      <c r="Q953" s="647"/>
      <c r="R953" s="647"/>
      <c r="S953" s="647"/>
      <c r="T953" s="647"/>
      <c r="U953" s="647"/>
      <c r="V953" s="647"/>
      <c r="W953" s="647"/>
      <c r="X953" s="647"/>
    </row>
    <row r="954">
      <c r="A954" s="646"/>
      <c r="B954" s="647"/>
      <c r="C954" s="647"/>
      <c r="D954" s="647"/>
      <c r="E954" s="647"/>
      <c r="F954" s="647"/>
      <c r="G954" s="647"/>
      <c r="H954" s="647"/>
      <c r="I954" s="647"/>
      <c r="J954" s="647"/>
      <c r="K954" s="647"/>
      <c r="L954" s="647"/>
      <c r="M954" s="647"/>
      <c r="N954" s="647"/>
      <c r="O954" s="647"/>
      <c r="P954" s="647"/>
      <c r="Q954" s="647"/>
      <c r="R954" s="647"/>
      <c r="S954" s="647"/>
      <c r="T954" s="647"/>
      <c r="U954" s="647"/>
      <c r="V954" s="647"/>
      <c r="W954" s="647"/>
      <c r="X954" s="647"/>
    </row>
    <row r="955">
      <c r="A955" s="646"/>
      <c r="B955" s="647"/>
      <c r="C955" s="647"/>
      <c r="D955" s="647"/>
      <c r="E955" s="647"/>
      <c r="F955" s="647"/>
      <c r="G955" s="647"/>
      <c r="H955" s="647"/>
      <c r="I955" s="647"/>
      <c r="J955" s="647"/>
      <c r="K955" s="647"/>
      <c r="L955" s="647"/>
      <c r="M955" s="647"/>
      <c r="N955" s="647"/>
      <c r="O955" s="647"/>
      <c r="P955" s="647"/>
      <c r="Q955" s="647"/>
      <c r="R955" s="647"/>
      <c r="S955" s="647"/>
      <c r="T955" s="647"/>
      <c r="U955" s="647"/>
      <c r="V955" s="647"/>
      <c r="W955" s="647"/>
      <c r="X955" s="647"/>
    </row>
    <row r="956">
      <c r="A956" s="646"/>
      <c r="B956" s="647"/>
      <c r="C956" s="647"/>
      <c r="D956" s="647"/>
      <c r="E956" s="647"/>
      <c r="F956" s="647"/>
      <c r="G956" s="647"/>
      <c r="H956" s="647"/>
      <c r="I956" s="647"/>
      <c r="J956" s="647"/>
      <c r="K956" s="647"/>
      <c r="L956" s="647"/>
      <c r="M956" s="647"/>
      <c r="N956" s="647"/>
      <c r="O956" s="647"/>
      <c r="P956" s="647"/>
      <c r="Q956" s="647"/>
      <c r="R956" s="647"/>
      <c r="S956" s="647"/>
      <c r="T956" s="647"/>
      <c r="U956" s="647"/>
      <c r="V956" s="647"/>
      <c r="W956" s="647"/>
      <c r="X956" s="647"/>
    </row>
    <row r="957">
      <c r="A957" s="646"/>
      <c r="B957" s="647"/>
      <c r="C957" s="647"/>
      <c r="D957" s="647"/>
      <c r="E957" s="647"/>
      <c r="F957" s="647"/>
      <c r="G957" s="647"/>
      <c r="H957" s="647"/>
      <c r="I957" s="647"/>
      <c r="J957" s="647"/>
      <c r="K957" s="647"/>
      <c r="L957" s="647"/>
      <c r="M957" s="647"/>
      <c r="N957" s="647"/>
      <c r="O957" s="647"/>
      <c r="P957" s="647"/>
      <c r="Q957" s="647"/>
      <c r="R957" s="647"/>
      <c r="S957" s="647"/>
      <c r="T957" s="647"/>
      <c r="U957" s="647"/>
      <c r="V957" s="647"/>
      <c r="W957" s="647"/>
      <c r="X957" s="647"/>
    </row>
    <row r="958">
      <c r="A958" s="646"/>
      <c r="B958" s="647"/>
      <c r="C958" s="647"/>
      <c r="D958" s="647"/>
      <c r="E958" s="647"/>
      <c r="F958" s="647"/>
      <c r="G958" s="647"/>
      <c r="H958" s="647"/>
      <c r="I958" s="647"/>
      <c r="J958" s="647"/>
      <c r="K958" s="647"/>
      <c r="L958" s="647"/>
      <c r="M958" s="647"/>
      <c r="N958" s="647"/>
      <c r="O958" s="647"/>
      <c r="P958" s="647"/>
      <c r="Q958" s="647"/>
      <c r="R958" s="647"/>
      <c r="S958" s="647"/>
      <c r="T958" s="647"/>
      <c r="U958" s="647"/>
      <c r="V958" s="647"/>
      <c r="W958" s="647"/>
      <c r="X958" s="647"/>
    </row>
    <row r="959">
      <c r="A959" s="646"/>
      <c r="B959" s="647"/>
      <c r="C959" s="647"/>
      <c r="D959" s="647"/>
      <c r="E959" s="647"/>
      <c r="F959" s="647"/>
      <c r="G959" s="647"/>
      <c r="H959" s="647"/>
      <c r="I959" s="647"/>
      <c r="J959" s="647"/>
      <c r="K959" s="647"/>
      <c r="L959" s="647"/>
      <c r="M959" s="647"/>
      <c r="N959" s="647"/>
      <c r="O959" s="647"/>
      <c r="P959" s="647"/>
      <c r="Q959" s="647"/>
      <c r="R959" s="647"/>
      <c r="S959" s="647"/>
      <c r="T959" s="647"/>
      <c r="U959" s="647"/>
      <c r="V959" s="647"/>
      <c r="W959" s="647"/>
      <c r="X959" s="647"/>
    </row>
    <row r="960">
      <c r="A960" s="646"/>
      <c r="B960" s="647"/>
      <c r="C960" s="647"/>
      <c r="D960" s="647"/>
      <c r="E960" s="647"/>
      <c r="F960" s="647"/>
      <c r="G960" s="647"/>
      <c r="H960" s="647"/>
      <c r="I960" s="647"/>
      <c r="J960" s="647"/>
      <c r="K960" s="647"/>
      <c r="L960" s="647"/>
      <c r="M960" s="647"/>
      <c r="N960" s="647"/>
      <c r="O960" s="647"/>
      <c r="P960" s="647"/>
      <c r="Q960" s="647"/>
      <c r="R960" s="647"/>
      <c r="S960" s="647"/>
      <c r="T960" s="647"/>
      <c r="U960" s="647"/>
      <c r="V960" s="647"/>
      <c r="W960" s="647"/>
      <c r="X960" s="647"/>
    </row>
    <row r="961">
      <c r="A961" s="646"/>
      <c r="B961" s="647"/>
      <c r="C961" s="647"/>
      <c r="D961" s="647"/>
      <c r="E961" s="647"/>
      <c r="F961" s="647"/>
      <c r="G961" s="647"/>
      <c r="H961" s="647"/>
      <c r="I961" s="647"/>
      <c r="J961" s="647"/>
      <c r="K961" s="647"/>
      <c r="L961" s="647"/>
      <c r="M961" s="647"/>
      <c r="N961" s="647"/>
      <c r="O961" s="647"/>
      <c r="P961" s="647"/>
      <c r="Q961" s="647"/>
      <c r="R961" s="647"/>
      <c r="S961" s="647"/>
      <c r="T961" s="647"/>
      <c r="U961" s="647"/>
      <c r="V961" s="647"/>
      <c r="W961" s="647"/>
      <c r="X961" s="647"/>
    </row>
    <row r="962">
      <c r="A962" s="646"/>
      <c r="B962" s="647"/>
      <c r="C962" s="647"/>
      <c r="D962" s="647"/>
      <c r="E962" s="647"/>
      <c r="F962" s="647"/>
      <c r="G962" s="647"/>
      <c r="H962" s="647"/>
      <c r="I962" s="647"/>
      <c r="J962" s="647"/>
      <c r="K962" s="647"/>
      <c r="L962" s="647"/>
      <c r="M962" s="647"/>
      <c r="N962" s="647"/>
      <c r="O962" s="647"/>
      <c r="P962" s="647"/>
      <c r="Q962" s="647"/>
      <c r="R962" s="647"/>
      <c r="S962" s="647"/>
      <c r="T962" s="647"/>
      <c r="U962" s="647"/>
      <c r="V962" s="647"/>
      <c r="W962" s="647"/>
      <c r="X962" s="647"/>
    </row>
    <row r="963">
      <c r="A963" s="646"/>
      <c r="B963" s="647"/>
      <c r="C963" s="647"/>
      <c r="D963" s="647"/>
      <c r="E963" s="647"/>
      <c r="F963" s="647"/>
      <c r="G963" s="647"/>
      <c r="H963" s="647"/>
      <c r="I963" s="647"/>
      <c r="J963" s="647"/>
      <c r="K963" s="647"/>
      <c r="L963" s="647"/>
      <c r="M963" s="647"/>
      <c r="N963" s="647"/>
      <c r="O963" s="647"/>
      <c r="P963" s="647"/>
      <c r="Q963" s="647"/>
      <c r="R963" s="647"/>
      <c r="S963" s="647"/>
      <c r="T963" s="647"/>
      <c r="U963" s="647"/>
      <c r="V963" s="647"/>
      <c r="W963" s="647"/>
      <c r="X963" s="647"/>
    </row>
    <row r="964">
      <c r="A964" s="646"/>
      <c r="B964" s="647"/>
      <c r="C964" s="647"/>
      <c r="D964" s="647"/>
      <c r="E964" s="647"/>
      <c r="F964" s="647"/>
      <c r="G964" s="647"/>
      <c r="H964" s="647"/>
      <c r="I964" s="647"/>
      <c r="J964" s="647"/>
      <c r="K964" s="647"/>
      <c r="L964" s="647"/>
      <c r="M964" s="647"/>
      <c r="N964" s="647"/>
      <c r="O964" s="647"/>
      <c r="P964" s="647"/>
      <c r="Q964" s="647"/>
      <c r="R964" s="647"/>
      <c r="S964" s="647"/>
      <c r="T964" s="647"/>
      <c r="U964" s="647"/>
      <c r="V964" s="647"/>
      <c r="W964" s="647"/>
      <c r="X964" s="647"/>
    </row>
    <row r="965">
      <c r="A965" s="646"/>
      <c r="B965" s="647"/>
      <c r="C965" s="647"/>
      <c r="D965" s="647"/>
      <c r="E965" s="647"/>
      <c r="F965" s="647"/>
      <c r="G965" s="647"/>
      <c r="H965" s="647"/>
      <c r="I965" s="647"/>
      <c r="J965" s="647"/>
      <c r="K965" s="647"/>
      <c r="L965" s="647"/>
      <c r="M965" s="647"/>
      <c r="N965" s="647"/>
      <c r="O965" s="647"/>
      <c r="P965" s="647"/>
      <c r="Q965" s="647"/>
      <c r="R965" s="647"/>
      <c r="S965" s="647"/>
      <c r="T965" s="647"/>
      <c r="U965" s="647"/>
      <c r="V965" s="647"/>
      <c r="W965" s="647"/>
      <c r="X965" s="647"/>
    </row>
    <row r="966">
      <c r="A966" s="646"/>
      <c r="B966" s="647"/>
      <c r="C966" s="647"/>
      <c r="D966" s="647"/>
      <c r="E966" s="647"/>
      <c r="F966" s="647"/>
      <c r="G966" s="647"/>
      <c r="H966" s="647"/>
      <c r="I966" s="647"/>
      <c r="J966" s="647"/>
      <c r="K966" s="647"/>
      <c r="L966" s="647"/>
      <c r="M966" s="647"/>
      <c r="N966" s="647"/>
      <c r="O966" s="647"/>
      <c r="P966" s="647"/>
      <c r="Q966" s="647"/>
      <c r="R966" s="647"/>
      <c r="S966" s="647"/>
      <c r="T966" s="647"/>
      <c r="U966" s="647"/>
      <c r="V966" s="647"/>
      <c r="W966" s="647"/>
      <c r="X966" s="647"/>
    </row>
    <row r="967">
      <c r="A967" s="646"/>
      <c r="B967" s="647"/>
      <c r="C967" s="647"/>
      <c r="D967" s="647"/>
      <c r="E967" s="647"/>
      <c r="F967" s="647"/>
      <c r="G967" s="647"/>
      <c r="H967" s="647"/>
      <c r="I967" s="647"/>
      <c r="J967" s="647"/>
      <c r="K967" s="647"/>
      <c r="L967" s="647"/>
      <c r="M967" s="647"/>
      <c r="N967" s="647"/>
      <c r="O967" s="647"/>
      <c r="P967" s="647"/>
      <c r="Q967" s="647"/>
      <c r="R967" s="647"/>
      <c r="S967" s="647"/>
      <c r="T967" s="647"/>
      <c r="U967" s="647"/>
      <c r="V967" s="647"/>
      <c r="W967" s="647"/>
      <c r="X967" s="647"/>
    </row>
    <row r="968">
      <c r="A968" s="646"/>
      <c r="B968" s="647"/>
      <c r="C968" s="647"/>
      <c r="D968" s="647"/>
      <c r="E968" s="647"/>
      <c r="F968" s="647"/>
      <c r="G968" s="647"/>
      <c r="H968" s="647"/>
      <c r="I968" s="647"/>
      <c r="J968" s="647"/>
      <c r="K968" s="647"/>
      <c r="L968" s="647"/>
      <c r="M968" s="647"/>
      <c r="N968" s="647"/>
      <c r="O968" s="647"/>
      <c r="P968" s="647"/>
      <c r="Q968" s="647"/>
      <c r="R968" s="647"/>
      <c r="S968" s="647"/>
      <c r="T968" s="647"/>
      <c r="U968" s="647"/>
      <c r="V968" s="647"/>
      <c r="W968" s="647"/>
      <c r="X968" s="647"/>
    </row>
    <row r="969">
      <c r="A969" s="646"/>
      <c r="B969" s="647"/>
      <c r="C969" s="647"/>
      <c r="D969" s="647"/>
      <c r="E969" s="647"/>
      <c r="F969" s="647"/>
      <c r="G969" s="647"/>
      <c r="H969" s="647"/>
      <c r="I969" s="647"/>
      <c r="J969" s="647"/>
      <c r="K969" s="647"/>
      <c r="L969" s="647"/>
      <c r="M969" s="647"/>
      <c r="N969" s="647"/>
      <c r="O969" s="647"/>
      <c r="P969" s="647"/>
      <c r="Q969" s="647"/>
      <c r="R969" s="647"/>
      <c r="S969" s="647"/>
      <c r="T969" s="647"/>
      <c r="U969" s="647"/>
      <c r="V969" s="647"/>
      <c r="W969" s="647"/>
      <c r="X969" s="647"/>
    </row>
    <row r="970">
      <c r="A970" s="646"/>
      <c r="B970" s="647"/>
      <c r="C970" s="647"/>
      <c r="D970" s="647"/>
      <c r="E970" s="647"/>
      <c r="F970" s="647"/>
      <c r="G970" s="647"/>
      <c r="H970" s="647"/>
      <c r="I970" s="647"/>
      <c r="J970" s="647"/>
      <c r="K970" s="647"/>
      <c r="L970" s="647"/>
      <c r="M970" s="647"/>
      <c r="N970" s="647"/>
      <c r="O970" s="647"/>
      <c r="P970" s="647"/>
      <c r="Q970" s="647"/>
      <c r="R970" s="647"/>
      <c r="S970" s="647"/>
      <c r="T970" s="647"/>
      <c r="U970" s="647"/>
      <c r="V970" s="647"/>
      <c r="W970" s="647"/>
      <c r="X970" s="647"/>
    </row>
    <row r="971">
      <c r="A971" s="646"/>
      <c r="B971" s="647"/>
      <c r="C971" s="647"/>
      <c r="D971" s="647"/>
      <c r="E971" s="647"/>
      <c r="F971" s="647"/>
      <c r="G971" s="647"/>
      <c r="H971" s="647"/>
      <c r="I971" s="647"/>
      <c r="J971" s="647"/>
      <c r="K971" s="647"/>
      <c r="L971" s="647"/>
      <c r="M971" s="647"/>
      <c r="N971" s="647"/>
      <c r="O971" s="647"/>
      <c r="P971" s="647"/>
      <c r="Q971" s="647"/>
      <c r="R971" s="647"/>
      <c r="S971" s="647"/>
      <c r="T971" s="647"/>
      <c r="U971" s="647"/>
      <c r="V971" s="647"/>
      <c r="W971" s="647"/>
      <c r="X971" s="647"/>
    </row>
    <row r="972">
      <c r="A972" s="646"/>
      <c r="B972" s="647"/>
      <c r="C972" s="647"/>
      <c r="D972" s="647"/>
      <c r="E972" s="647"/>
      <c r="F972" s="647"/>
      <c r="G972" s="647"/>
      <c r="H972" s="647"/>
      <c r="I972" s="647"/>
      <c r="J972" s="647"/>
      <c r="K972" s="647"/>
      <c r="L972" s="647"/>
      <c r="M972" s="647"/>
      <c r="N972" s="647"/>
      <c r="O972" s="647"/>
      <c r="P972" s="647"/>
      <c r="Q972" s="647"/>
      <c r="R972" s="647"/>
      <c r="S972" s="647"/>
      <c r="T972" s="647"/>
      <c r="U972" s="647"/>
      <c r="V972" s="647"/>
      <c r="W972" s="647"/>
      <c r="X972" s="647"/>
    </row>
    <row r="973">
      <c r="A973" s="646"/>
      <c r="B973" s="647"/>
      <c r="C973" s="647"/>
      <c r="D973" s="647"/>
      <c r="E973" s="647"/>
      <c r="F973" s="647"/>
      <c r="G973" s="647"/>
      <c r="H973" s="647"/>
      <c r="I973" s="647"/>
      <c r="J973" s="647"/>
      <c r="K973" s="647"/>
      <c r="L973" s="647"/>
      <c r="M973" s="647"/>
      <c r="N973" s="647"/>
      <c r="O973" s="647"/>
      <c r="P973" s="647"/>
      <c r="Q973" s="647"/>
      <c r="R973" s="647"/>
      <c r="S973" s="647"/>
      <c r="T973" s="647"/>
      <c r="U973" s="647"/>
      <c r="V973" s="647"/>
      <c r="W973" s="647"/>
      <c r="X973" s="647"/>
    </row>
    <row r="974">
      <c r="A974" s="646"/>
      <c r="B974" s="647"/>
      <c r="C974" s="647"/>
      <c r="D974" s="647"/>
      <c r="E974" s="647"/>
      <c r="F974" s="647"/>
      <c r="G974" s="647"/>
      <c r="H974" s="647"/>
      <c r="I974" s="647"/>
      <c r="J974" s="647"/>
      <c r="K974" s="647"/>
      <c r="L974" s="647"/>
      <c r="M974" s="647"/>
      <c r="N974" s="647"/>
      <c r="O974" s="647"/>
      <c r="P974" s="647"/>
      <c r="Q974" s="647"/>
      <c r="R974" s="647"/>
      <c r="S974" s="647"/>
      <c r="T974" s="647"/>
      <c r="U974" s="647"/>
      <c r="V974" s="647"/>
      <c r="W974" s="647"/>
      <c r="X974" s="647"/>
    </row>
    <row r="975">
      <c r="A975" s="646"/>
      <c r="B975" s="647"/>
      <c r="C975" s="647"/>
      <c r="D975" s="647"/>
      <c r="E975" s="647"/>
      <c r="F975" s="647"/>
      <c r="G975" s="647"/>
      <c r="H975" s="647"/>
      <c r="I975" s="647"/>
      <c r="J975" s="647"/>
      <c r="K975" s="647"/>
      <c r="L975" s="647"/>
      <c r="M975" s="647"/>
      <c r="N975" s="647"/>
      <c r="O975" s="647"/>
      <c r="P975" s="647"/>
      <c r="Q975" s="647"/>
      <c r="R975" s="647"/>
      <c r="S975" s="647"/>
      <c r="T975" s="647"/>
      <c r="U975" s="647"/>
      <c r="V975" s="647"/>
      <c r="W975" s="647"/>
      <c r="X975" s="647"/>
    </row>
    <row r="976">
      <c r="A976" s="646"/>
      <c r="B976" s="647"/>
      <c r="C976" s="647"/>
      <c r="D976" s="647"/>
      <c r="E976" s="647"/>
      <c r="F976" s="647"/>
      <c r="G976" s="647"/>
      <c r="H976" s="647"/>
      <c r="I976" s="647"/>
      <c r="J976" s="647"/>
      <c r="K976" s="647"/>
      <c r="L976" s="647"/>
      <c r="M976" s="647"/>
      <c r="N976" s="647"/>
      <c r="O976" s="647"/>
      <c r="P976" s="647"/>
      <c r="Q976" s="647"/>
      <c r="R976" s="647"/>
      <c r="S976" s="647"/>
      <c r="T976" s="647"/>
      <c r="U976" s="647"/>
      <c r="V976" s="647"/>
      <c r="W976" s="647"/>
      <c r="X976" s="647"/>
    </row>
    <row r="977">
      <c r="A977" s="646"/>
      <c r="B977" s="647"/>
      <c r="C977" s="647"/>
      <c r="D977" s="647"/>
      <c r="E977" s="647"/>
      <c r="F977" s="647"/>
      <c r="G977" s="647"/>
      <c r="H977" s="647"/>
      <c r="I977" s="647"/>
      <c r="J977" s="647"/>
      <c r="K977" s="647"/>
      <c r="L977" s="647"/>
      <c r="M977" s="647"/>
      <c r="N977" s="647"/>
      <c r="O977" s="647"/>
      <c r="P977" s="647"/>
      <c r="Q977" s="647"/>
      <c r="R977" s="647"/>
      <c r="S977" s="647"/>
      <c r="T977" s="647"/>
      <c r="U977" s="647"/>
      <c r="V977" s="647"/>
      <c r="W977" s="647"/>
      <c r="X977" s="647"/>
    </row>
    <row r="978">
      <c r="A978" s="646"/>
      <c r="B978" s="647"/>
      <c r="C978" s="647"/>
      <c r="D978" s="647"/>
      <c r="E978" s="647"/>
      <c r="F978" s="647"/>
      <c r="G978" s="647"/>
      <c r="H978" s="647"/>
      <c r="I978" s="647"/>
      <c r="J978" s="647"/>
      <c r="K978" s="647"/>
      <c r="L978" s="647"/>
      <c r="M978" s="647"/>
      <c r="N978" s="647"/>
      <c r="O978" s="647"/>
      <c r="P978" s="647"/>
      <c r="Q978" s="647"/>
      <c r="R978" s="647"/>
      <c r="S978" s="647"/>
      <c r="T978" s="647"/>
      <c r="U978" s="647"/>
      <c r="V978" s="647"/>
      <c r="W978" s="647"/>
      <c r="X978" s="647"/>
    </row>
    <row r="979">
      <c r="A979" s="646"/>
      <c r="B979" s="647"/>
      <c r="C979" s="647"/>
      <c r="D979" s="647"/>
      <c r="E979" s="647"/>
      <c r="F979" s="647"/>
      <c r="G979" s="647"/>
      <c r="H979" s="647"/>
      <c r="I979" s="647"/>
      <c r="J979" s="647"/>
      <c r="K979" s="647"/>
      <c r="L979" s="647"/>
      <c r="M979" s="647"/>
      <c r="N979" s="647"/>
      <c r="O979" s="647"/>
      <c r="P979" s="647"/>
      <c r="Q979" s="647"/>
      <c r="R979" s="647"/>
      <c r="S979" s="647"/>
      <c r="T979" s="647"/>
      <c r="U979" s="647"/>
      <c r="V979" s="647"/>
      <c r="W979" s="647"/>
      <c r="X979" s="647"/>
    </row>
    <row r="980">
      <c r="A980" s="646"/>
      <c r="B980" s="647"/>
      <c r="C980" s="647"/>
      <c r="D980" s="647"/>
      <c r="E980" s="647"/>
      <c r="F980" s="647"/>
      <c r="G980" s="647"/>
      <c r="H980" s="647"/>
      <c r="I980" s="647"/>
      <c r="J980" s="647"/>
      <c r="K980" s="647"/>
      <c r="L980" s="647"/>
      <c r="M980" s="647"/>
      <c r="N980" s="647"/>
      <c r="O980" s="647"/>
      <c r="P980" s="647"/>
      <c r="Q980" s="647"/>
      <c r="R980" s="647"/>
      <c r="S980" s="647"/>
      <c r="T980" s="647"/>
      <c r="U980" s="647"/>
      <c r="V980" s="647"/>
      <c r="W980" s="647"/>
      <c r="X980" s="647"/>
    </row>
    <row r="981">
      <c r="A981" s="646"/>
      <c r="B981" s="647"/>
      <c r="C981" s="647"/>
      <c r="D981" s="647"/>
      <c r="E981" s="647"/>
      <c r="F981" s="647"/>
      <c r="G981" s="647"/>
      <c r="H981" s="647"/>
      <c r="I981" s="647"/>
      <c r="J981" s="647"/>
      <c r="K981" s="647"/>
      <c r="L981" s="647"/>
      <c r="M981" s="647"/>
      <c r="N981" s="647"/>
      <c r="O981" s="647"/>
      <c r="P981" s="647"/>
      <c r="Q981" s="647"/>
      <c r="R981" s="647"/>
      <c r="S981" s="647"/>
      <c r="T981" s="647"/>
      <c r="U981" s="647"/>
      <c r="V981" s="647"/>
      <c r="W981" s="647"/>
      <c r="X981" s="647"/>
    </row>
    <row r="982">
      <c r="A982" s="646"/>
      <c r="B982" s="647"/>
      <c r="C982" s="647"/>
      <c r="D982" s="647"/>
      <c r="E982" s="647"/>
      <c r="F982" s="647"/>
      <c r="G982" s="647"/>
      <c r="H982" s="647"/>
      <c r="I982" s="647"/>
      <c r="J982" s="647"/>
      <c r="K982" s="647"/>
      <c r="L982" s="647"/>
      <c r="M982" s="647"/>
      <c r="N982" s="647"/>
      <c r="O982" s="647"/>
      <c r="P982" s="647"/>
      <c r="Q982" s="647"/>
      <c r="R982" s="647"/>
      <c r="S982" s="647"/>
      <c r="T982" s="647"/>
      <c r="U982" s="647"/>
      <c r="V982" s="647"/>
      <c r="W982" s="647"/>
      <c r="X982" s="647"/>
    </row>
    <row r="983">
      <c r="A983" s="646"/>
      <c r="B983" s="647"/>
      <c r="C983" s="647"/>
      <c r="D983" s="647"/>
      <c r="E983" s="647"/>
      <c r="F983" s="647"/>
      <c r="G983" s="647"/>
      <c r="H983" s="647"/>
      <c r="I983" s="647"/>
      <c r="J983" s="647"/>
      <c r="K983" s="647"/>
      <c r="L983" s="647"/>
      <c r="M983" s="647"/>
      <c r="N983" s="647"/>
      <c r="O983" s="647"/>
      <c r="P983" s="647"/>
      <c r="Q983" s="647"/>
      <c r="R983" s="647"/>
      <c r="S983" s="647"/>
      <c r="T983" s="647"/>
      <c r="U983" s="647"/>
      <c r="V983" s="647"/>
      <c r="W983" s="647"/>
      <c r="X983" s="647"/>
    </row>
    <row r="984">
      <c r="A984" s="646"/>
      <c r="B984" s="647"/>
      <c r="C984" s="647"/>
      <c r="D984" s="647"/>
      <c r="E984" s="647"/>
      <c r="F984" s="647"/>
      <c r="G984" s="647"/>
      <c r="H984" s="647"/>
      <c r="I984" s="647"/>
      <c r="J984" s="647"/>
      <c r="K984" s="647"/>
      <c r="L984" s="647"/>
      <c r="M984" s="647"/>
      <c r="N984" s="647"/>
      <c r="O984" s="647"/>
      <c r="P984" s="647"/>
      <c r="Q984" s="647"/>
      <c r="R984" s="647"/>
      <c r="S984" s="647"/>
      <c r="T984" s="647"/>
      <c r="U984" s="647"/>
      <c r="V984" s="647"/>
      <c r="W984" s="647"/>
      <c r="X984" s="647"/>
    </row>
    <row r="985">
      <c r="A985" s="646"/>
      <c r="B985" s="647"/>
      <c r="C985" s="647"/>
      <c r="D985" s="647"/>
      <c r="E985" s="647"/>
      <c r="F985" s="647"/>
      <c r="G985" s="647"/>
      <c r="H985" s="647"/>
      <c r="I985" s="647"/>
      <c r="J985" s="647"/>
      <c r="K985" s="647"/>
      <c r="L985" s="647"/>
      <c r="M985" s="647"/>
      <c r="N985" s="647"/>
      <c r="O985" s="647"/>
      <c r="P985" s="647"/>
      <c r="Q985" s="647"/>
      <c r="R985" s="647"/>
      <c r="S985" s="647"/>
      <c r="T985" s="647"/>
      <c r="U985" s="647"/>
      <c r="V985" s="647"/>
      <c r="W985" s="647"/>
      <c r="X985" s="647"/>
    </row>
    <row r="986">
      <c r="A986" s="646"/>
      <c r="B986" s="647"/>
      <c r="C986" s="647"/>
      <c r="D986" s="647"/>
      <c r="E986" s="647"/>
      <c r="F986" s="647"/>
      <c r="G986" s="647"/>
      <c r="H986" s="647"/>
      <c r="I986" s="647"/>
      <c r="J986" s="647"/>
      <c r="K986" s="647"/>
      <c r="L986" s="647"/>
      <c r="M986" s="647"/>
      <c r="N986" s="647"/>
      <c r="O986" s="647"/>
      <c r="P986" s="647"/>
      <c r="Q986" s="647"/>
      <c r="R986" s="647"/>
      <c r="S986" s="647"/>
      <c r="T986" s="647"/>
      <c r="U986" s="647"/>
      <c r="V986" s="647"/>
      <c r="W986" s="647"/>
      <c r="X986" s="647"/>
    </row>
    <row r="987">
      <c r="A987" s="646"/>
      <c r="B987" s="647"/>
      <c r="C987" s="647"/>
      <c r="D987" s="647"/>
      <c r="E987" s="647"/>
      <c r="F987" s="647"/>
      <c r="G987" s="647"/>
      <c r="H987" s="647"/>
      <c r="I987" s="647"/>
      <c r="J987" s="647"/>
      <c r="K987" s="647"/>
      <c r="L987" s="647"/>
      <c r="M987" s="647"/>
      <c r="N987" s="647"/>
      <c r="O987" s="647"/>
      <c r="P987" s="647"/>
      <c r="Q987" s="647"/>
      <c r="R987" s="647"/>
      <c r="S987" s="647"/>
      <c r="T987" s="647"/>
      <c r="U987" s="647"/>
      <c r="V987" s="647"/>
      <c r="W987" s="647"/>
      <c r="X987" s="647"/>
    </row>
    <row r="988">
      <c r="A988" s="646"/>
      <c r="B988" s="647"/>
      <c r="C988" s="647"/>
      <c r="D988" s="647"/>
      <c r="E988" s="647"/>
      <c r="F988" s="647"/>
      <c r="G988" s="647"/>
      <c r="H988" s="647"/>
      <c r="I988" s="647"/>
      <c r="J988" s="647"/>
      <c r="K988" s="647"/>
      <c r="L988" s="647"/>
      <c r="M988" s="647"/>
      <c r="N988" s="647"/>
      <c r="O988" s="647"/>
      <c r="P988" s="647"/>
      <c r="Q988" s="647"/>
      <c r="R988" s="647"/>
      <c r="S988" s="647"/>
      <c r="T988" s="647"/>
      <c r="U988" s="647"/>
      <c r="V988" s="647"/>
      <c r="W988" s="647"/>
      <c r="X988" s="647"/>
    </row>
    <row r="989">
      <c r="A989" s="646"/>
      <c r="B989" s="647"/>
      <c r="C989" s="647"/>
      <c r="D989" s="647"/>
      <c r="E989" s="647"/>
      <c r="F989" s="647"/>
      <c r="G989" s="647"/>
      <c r="H989" s="647"/>
      <c r="I989" s="647"/>
      <c r="J989" s="647"/>
      <c r="K989" s="647"/>
      <c r="L989" s="647"/>
      <c r="M989" s="647"/>
      <c r="N989" s="647"/>
      <c r="O989" s="647"/>
      <c r="P989" s="647"/>
      <c r="Q989" s="647"/>
      <c r="R989" s="647"/>
      <c r="S989" s="647"/>
      <c r="T989" s="647"/>
      <c r="U989" s="647"/>
      <c r="V989" s="647"/>
      <c r="W989" s="647"/>
      <c r="X989" s="647"/>
    </row>
    <row r="990">
      <c r="A990" s="646"/>
      <c r="B990" s="647"/>
      <c r="C990" s="647"/>
      <c r="D990" s="647"/>
      <c r="E990" s="647"/>
      <c r="F990" s="647"/>
      <c r="G990" s="647"/>
      <c r="H990" s="647"/>
      <c r="I990" s="647"/>
      <c r="J990" s="647"/>
      <c r="K990" s="647"/>
      <c r="L990" s="647"/>
      <c r="M990" s="647"/>
      <c r="N990" s="647"/>
      <c r="O990" s="647"/>
      <c r="P990" s="647"/>
      <c r="Q990" s="647"/>
      <c r="R990" s="647"/>
      <c r="S990" s="647"/>
      <c r="T990" s="647"/>
      <c r="U990" s="647"/>
      <c r="V990" s="647"/>
      <c r="W990" s="647"/>
      <c r="X990" s="647"/>
    </row>
    <row r="991">
      <c r="A991" s="646"/>
      <c r="B991" s="647"/>
      <c r="C991" s="647"/>
      <c r="D991" s="647"/>
      <c r="E991" s="647"/>
      <c r="F991" s="647"/>
      <c r="G991" s="647"/>
      <c r="H991" s="647"/>
      <c r="I991" s="647"/>
      <c r="J991" s="647"/>
      <c r="K991" s="647"/>
      <c r="L991" s="647"/>
      <c r="M991" s="647"/>
      <c r="N991" s="647"/>
      <c r="O991" s="647"/>
      <c r="P991" s="647"/>
      <c r="Q991" s="647"/>
      <c r="R991" s="647"/>
      <c r="S991" s="647"/>
      <c r="T991" s="647"/>
      <c r="U991" s="647"/>
      <c r="V991" s="647"/>
      <c r="W991" s="647"/>
      <c r="X991" s="647"/>
    </row>
    <row r="992">
      <c r="A992" s="646"/>
      <c r="B992" s="647"/>
      <c r="C992" s="647"/>
      <c r="D992" s="647"/>
      <c r="E992" s="647"/>
      <c r="F992" s="647"/>
      <c r="G992" s="647"/>
      <c r="H992" s="647"/>
      <c r="I992" s="647"/>
      <c r="J992" s="647"/>
      <c r="K992" s="647"/>
      <c r="L992" s="647"/>
      <c r="M992" s="647"/>
      <c r="N992" s="647"/>
      <c r="O992" s="647"/>
      <c r="P992" s="647"/>
      <c r="Q992" s="647"/>
      <c r="R992" s="647"/>
      <c r="S992" s="647"/>
      <c r="T992" s="647"/>
      <c r="U992" s="647"/>
      <c r="V992" s="647"/>
      <c r="W992" s="647"/>
      <c r="X992" s="647"/>
    </row>
    <row r="993">
      <c r="A993" s="646"/>
      <c r="B993" s="647"/>
      <c r="C993" s="647"/>
      <c r="D993" s="647"/>
      <c r="E993" s="647"/>
      <c r="F993" s="647"/>
      <c r="G993" s="647"/>
      <c r="H993" s="647"/>
      <c r="I993" s="647"/>
      <c r="J993" s="647"/>
      <c r="K993" s="647"/>
      <c r="L993" s="647"/>
      <c r="M993" s="647"/>
      <c r="N993" s="647"/>
      <c r="O993" s="647"/>
      <c r="P993" s="647"/>
      <c r="Q993" s="647"/>
      <c r="R993" s="647"/>
      <c r="S993" s="647"/>
      <c r="T993" s="647"/>
      <c r="U993" s="647"/>
      <c r="V993" s="647"/>
      <c r="W993" s="647"/>
      <c r="X993" s="647"/>
    </row>
    <row r="994">
      <c r="A994" s="646"/>
      <c r="B994" s="647"/>
      <c r="C994" s="647"/>
      <c r="D994" s="647"/>
      <c r="E994" s="647"/>
      <c r="F994" s="647"/>
      <c r="G994" s="647"/>
      <c r="H994" s="647"/>
      <c r="I994" s="647"/>
      <c r="J994" s="647"/>
      <c r="K994" s="647"/>
      <c r="L994" s="647"/>
      <c r="M994" s="647"/>
      <c r="N994" s="647"/>
      <c r="O994" s="647"/>
      <c r="P994" s="647"/>
      <c r="Q994" s="647"/>
      <c r="R994" s="647"/>
      <c r="S994" s="647"/>
      <c r="T994" s="647"/>
      <c r="U994" s="647"/>
      <c r="V994" s="647"/>
      <c r="W994" s="647"/>
      <c r="X994" s="647"/>
    </row>
    <row r="995">
      <c r="A995" s="646"/>
      <c r="B995" s="647"/>
      <c r="C995" s="647"/>
      <c r="D995" s="647"/>
      <c r="E995" s="647"/>
      <c r="F995" s="647"/>
      <c r="G995" s="647"/>
      <c r="H995" s="647"/>
      <c r="I995" s="647"/>
      <c r="J995" s="647"/>
      <c r="K995" s="647"/>
      <c r="L995" s="647"/>
      <c r="M995" s="647"/>
      <c r="N995" s="647"/>
      <c r="O995" s="647"/>
      <c r="P995" s="647"/>
      <c r="Q995" s="647"/>
      <c r="R995" s="647"/>
      <c r="S995" s="647"/>
      <c r="T995" s="647"/>
      <c r="U995" s="647"/>
      <c r="V995" s="647"/>
      <c r="W995" s="647"/>
      <c r="X995" s="647"/>
    </row>
    <row r="996">
      <c r="A996" s="646"/>
      <c r="B996" s="647"/>
      <c r="C996" s="647"/>
      <c r="D996" s="647"/>
      <c r="E996" s="647"/>
      <c r="F996" s="647"/>
      <c r="G996" s="647"/>
      <c r="H996" s="647"/>
      <c r="I996" s="647"/>
      <c r="J996" s="647"/>
      <c r="K996" s="647"/>
      <c r="L996" s="647"/>
      <c r="M996" s="647"/>
      <c r="N996" s="647"/>
      <c r="O996" s="647"/>
      <c r="P996" s="647"/>
      <c r="Q996" s="647"/>
      <c r="R996" s="647"/>
      <c r="S996" s="647"/>
      <c r="T996" s="647"/>
      <c r="U996" s="647"/>
      <c r="V996" s="647"/>
      <c r="W996" s="647"/>
      <c r="X996" s="647"/>
    </row>
    <row r="997">
      <c r="A997" s="646"/>
      <c r="B997" s="647"/>
      <c r="C997" s="647"/>
      <c r="D997" s="647"/>
      <c r="E997" s="647"/>
      <c r="F997" s="647"/>
      <c r="G997" s="647"/>
      <c r="H997" s="647"/>
      <c r="I997" s="647"/>
      <c r="J997" s="647"/>
      <c r="K997" s="647"/>
      <c r="L997" s="647"/>
      <c r="M997" s="647"/>
      <c r="N997" s="647"/>
      <c r="O997" s="647"/>
      <c r="P997" s="647"/>
      <c r="Q997" s="647"/>
      <c r="R997" s="647"/>
      <c r="S997" s="647"/>
      <c r="T997" s="647"/>
      <c r="U997" s="647"/>
      <c r="V997" s="647"/>
      <c r="W997" s="647"/>
      <c r="X997" s="647"/>
    </row>
    <row r="998">
      <c r="A998" s="646"/>
      <c r="B998" s="647"/>
      <c r="C998" s="647"/>
      <c r="D998" s="647"/>
      <c r="E998" s="647"/>
      <c r="F998" s="647"/>
      <c r="G998" s="647"/>
      <c r="H998" s="647"/>
      <c r="I998" s="647"/>
      <c r="J998" s="647"/>
      <c r="K998" s="647"/>
      <c r="L998" s="647"/>
      <c r="M998" s="647"/>
      <c r="N998" s="647"/>
      <c r="O998" s="647"/>
      <c r="P998" s="647"/>
      <c r="Q998" s="647"/>
      <c r="R998" s="647"/>
      <c r="S998" s="647"/>
      <c r="T998" s="647"/>
      <c r="U998" s="647"/>
      <c r="V998" s="647"/>
      <c r="W998" s="647"/>
      <c r="X998" s="647"/>
    </row>
    <row r="999">
      <c r="A999" s="646"/>
      <c r="B999" s="647"/>
      <c r="C999" s="647"/>
      <c r="D999" s="647"/>
      <c r="E999" s="647"/>
      <c r="F999" s="647"/>
      <c r="G999" s="647"/>
      <c r="H999" s="647"/>
      <c r="I999" s="647"/>
      <c r="J999" s="647"/>
      <c r="K999" s="647"/>
      <c r="L999" s="647"/>
      <c r="M999" s="647"/>
      <c r="N999" s="647"/>
      <c r="O999" s="647"/>
      <c r="P999" s="647"/>
      <c r="Q999" s="647"/>
      <c r="R999" s="647"/>
      <c r="S999" s="647"/>
      <c r="T999" s="647"/>
      <c r="U999" s="647"/>
      <c r="V999" s="647"/>
      <c r="W999" s="647"/>
      <c r="X999" s="647"/>
    </row>
    <row r="1000">
      <c r="A1000" s="646"/>
      <c r="B1000" s="647"/>
      <c r="C1000" s="647"/>
      <c r="D1000" s="647"/>
      <c r="E1000" s="647"/>
      <c r="F1000" s="647"/>
      <c r="G1000" s="647"/>
      <c r="H1000" s="647"/>
      <c r="I1000" s="647"/>
      <c r="J1000" s="647"/>
      <c r="K1000" s="647"/>
      <c r="L1000" s="647"/>
      <c r="M1000" s="647"/>
      <c r="N1000" s="647"/>
      <c r="O1000" s="647"/>
      <c r="P1000" s="647"/>
      <c r="Q1000" s="647"/>
      <c r="R1000" s="647"/>
      <c r="S1000" s="647"/>
      <c r="T1000" s="647"/>
      <c r="U1000" s="647"/>
      <c r="V1000" s="647"/>
      <c r="W1000" s="647"/>
      <c r="X1000" s="647"/>
    </row>
    <row r="1001">
      <c r="A1001" s="646"/>
      <c r="B1001" s="647"/>
      <c r="C1001" s="647"/>
      <c r="D1001" s="647"/>
      <c r="E1001" s="647"/>
      <c r="F1001" s="647"/>
      <c r="G1001" s="647"/>
      <c r="H1001" s="647"/>
      <c r="I1001" s="647"/>
      <c r="J1001" s="647"/>
      <c r="K1001" s="647"/>
      <c r="L1001" s="647"/>
      <c r="M1001" s="647"/>
      <c r="N1001" s="647"/>
      <c r="O1001" s="647"/>
      <c r="P1001" s="647"/>
      <c r="Q1001" s="647"/>
      <c r="R1001" s="647"/>
      <c r="S1001" s="647"/>
      <c r="T1001" s="647"/>
      <c r="U1001" s="647"/>
      <c r="V1001" s="647"/>
      <c r="W1001" s="647"/>
      <c r="X1001" s="647"/>
    </row>
    <row r="1002">
      <c r="A1002" s="646"/>
      <c r="B1002" s="647"/>
      <c r="C1002" s="647"/>
      <c r="D1002" s="647"/>
      <c r="E1002" s="647"/>
      <c r="F1002" s="647"/>
      <c r="G1002" s="647"/>
      <c r="H1002" s="647"/>
      <c r="I1002" s="647"/>
      <c r="J1002" s="647"/>
      <c r="K1002" s="647"/>
      <c r="L1002" s="647"/>
      <c r="M1002" s="647"/>
      <c r="N1002" s="647"/>
      <c r="O1002" s="647"/>
      <c r="P1002" s="647"/>
      <c r="Q1002" s="647"/>
      <c r="R1002" s="647"/>
      <c r="S1002" s="647"/>
      <c r="T1002" s="647"/>
      <c r="U1002" s="647"/>
      <c r="V1002" s="647"/>
      <c r="W1002" s="647"/>
      <c r="X1002" s="647"/>
    </row>
    <row r="1003">
      <c r="A1003" s="646"/>
      <c r="B1003" s="647"/>
      <c r="C1003" s="647"/>
      <c r="D1003" s="647"/>
      <c r="E1003" s="647"/>
      <c r="F1003" s="647"/>
      <c r="G1003" s="647"/>
      <c r="H1003" s="647"/>
      <c r="I1003" s="647"/>
      <c r="J1003" s="647"/>
      <c r="K1003" s="647"/>
      <c r="L1003" s="647"/>
      <c r="M1003" s="647"/>
      <c r="N1003" s="647"/>
      <c r="O1003" s="647"/>
      <c r="P1003" s="647"/>
      <c r="Q1003" s="647"/>
      <c r="R1003" s="647"/>
      <c r="S1003" s="647"/>
      <c r="T1003" s="647"/>
      <c r="U1003" s="647"/>
      <c r="V1003" s="647"/>
      <c r="W1003" s="647"/>
      <c r="X1003" s="647"/>
    </row>
    <row r="1004">
      <c r="A1004" s="646"/>
      <c r="B1004" s="647"/>
      <c r="C1004" s="647"/>
      <c r="D1004" s="647"/>
      <c r="E1004" s="647"/>
      <c r="F1004" s="647"/>
      <c r="G1004" s="647"/>
      <c r="H1004" s="647"/>
      <c r="I1004" s="647"/>
      <c r="J1004" s="647"/>
      <c r="K1004" s="647"/>
      <c r="L1004" s="647"/>
      <c r="M1004" s="647"/>
      <c r="N1004" s="647"/>
      <c r="O1004" s="647"/>
      <c r="P1004" s="647"/>
      <c r="Q1004" s="647"/>
      <c r="R1004" s="647"/>
      <c r="S1004" s="647"/>
      <c r="T1004" s="647"/>
      <c r="U1004" s="647"/>
      <c r="V1004" s="647"/>
      <c r="W1004" s="647"/>
      <c r="X1004" s="647"/>
    </row>
    <row r="1005">
      <c r="A1005" s="646"/>
      <c r="B1005" s="647"/>
      <c r="C1005" s="647"/>
      <c r="D1005" s="647"/>
      <c r="E1005" s="647"/>
      <c r="F1005" s="647"/>
      <c r="G1005" s="647"/>
      <c r="H1005" s="647"/>
      <c r="I1005" s="647"/>
      <c r="J1005" s="647"/>
      <c r="K1005" s="647"/>
      <c r="L1005" s="647"/>
      <c r="M1005" s="647"/>
      <c r="N1005" s="647"/>
      <c r="O1005" s="647"/>
      <c r="P1005" s="647"/>
      <c r="Q1005" s="647"/>
      <c r="R1005" s="647"/>
      <c r="S1005" s="647"/>
      <c r="T1005" s="647"/>
      <c r="U1005" s="647"/>
      <c r="V1005" s="647"/>
      <c r="W1005" s="647"/>
      <c r="X1005" s="647"/>
    </row>
    <row r="1006">
      <c r="A1006" s="646"/>
      <c r="B1006" s="647"/>
      <c r="C1006" s="647"/>
      <c r="D1006" s="647"/>
      <c r="E1006" s="647"/>
      <c r="F1006" s="647"/>
      <c r="G1006" s="647"/>
      <c r="H1006" s="647"/>
      <c r="I1006" s="647"/>
      <c r="J1006" s="647"/>
      <c r="K1006" s="647"/>
      <c r="L1006" s="647"/>
      <c r="M1006" s="647"/>
      <c r="N1006" s="647"/>
      <c r="O1006" s="647"/>
      <c r="P1006" s="647"/>
      <c r="Q1006" s="647"/>
      <c r="R1006" s="647"/>
      <c r="S1006" s="647"/>
      <c r="T1006" s="647"/>
      <c r="U1006" s="647"/>
      <c r="V1006" s="647"/>
      <c r="W1006" s="647"/>
      <c r="X1006" s="647"/>
    </row>
    <row r="1007">
      <c r="A1007" s="646"/>
      <c r="B1007" s="647"/>
      <c r="C1007" s="647"/>
      <c r="D1007" s="647"/>
      <c r="E1007" s="647"/>
      <c r="F1007" s="647"/>
      <c r="G1007" s="647"/>
      <c r="H1007" s="647"/>
      <c r="I1007" s="647"/>
      <c r="J1007" s="647"/>
      <c r="K1007" s="647"/>
      <c r="L1007" s="647"/>
      <c r="M1007" s="647"/>
      <c r="N1007" s="647"/>
      <c r="O1007" s="647"/>
      <c r="P1007" s="647"/>
      <c r="Q1007" s="647"/>
      <c r="R1007" s="647"/>
      <c r="S1007" s="647"/>
      <c r="T1007" s="647"/>
      <c r="U1007" s="647"/>
      <c r="V1007" s="647"/>
      <c r="W1007" s="647"/>
      <c r="X1007" s="647"/>
    </row>
    <row r="1008">
      <c r="A1008" s="646"/>
      <c r="B1008" s="647"/>
      <c r="C1008" s="647"/>
      <c r="D1008" s="647"/>
      <c r="E1008" s="647"/>
      <c r="F1008" s="647"/>
      <c r="G1008" s="647"/>
      <c r="H1008" s="647"/>
      <c r="I1008" s="647"/>
      <c r="J1008" s="647"/>
      <c r="K1008" s="647"/>
      <c r="L1008" s="647"/>
      <c r="M1008" s="647"/>
      <c r="N1008" s="647"/>
      <c r="O1008" s="647"/>
      <c r="P1008" s="647"/>
      <c r="Q1008" s="647"/>
      <c r="R1008" s="647"/>
      <c r="S1008" s="647"/>
      <c r="T1008" s="647"/>
      <c r="U1008" s="647"/>
      <c r="V1008" s="647"/>
      <c r="W1008" s="647"/>
      <c r="X1008" s="647"/>
    </row>
    <row r="1009">
      <c r="A1009" s="646"/>
      <c r="B1009" s="647"/>
      <c r="C1009" s="647"/>
      <c r="D1009" s="647"/>
      <c r="E1009" s="647"/>
      <c r="F1009" s="647"/>
      <c r="G1009" s="647"/>
      <c r="H1009" s="647"/>
      <c r="I1009" s="647"/>
      <c r="J1009" s="647"/>
      <c r="K1009" s="647"/>
      <c r="L1009" s="647"/>
      <c r="M1009" s="647"/>
      <c r="N1009" s="647"/>
      <c r="O1009" s="647"/>
      <c r="P1009" s="647"/>
      <c r="Q1009" s="647"/>
      <c r="R1009" s="647"/>
      <c r="S1009" s="647"/>
      <c r="T1009" s="647"/>
      <c r="U1009" s="647"/>
      <c r="V1009" s="647"/>
      <c r="W1009" s="647"/>
      <c r="X1009" s="647"/>
    </row>
    <row r="1010">
      <c r="A1010" s="646"/>
      <c r="B1010" s="647"/>
      <c r="C1010" s="647"/>
      <c r="D1010" s="647"/>
      <c r="E1010" s="647"/>
      <c r="F1010" s="647"/>
      <c r="G1010" s="647"/>
      <c r="H1010" s="647"/>
      <c r="I1010" s="647"/>
      <c r="J1010" s="647"/>
      <c r="K1010" s="647"/>
      <c r="L1010" s="647"/>
      <c r="M1010" s="647"/>
      <c r="N1010" s="647"/>
      <c r="O1010" s="647"/>
      <c r="P1010" s="647"/>
      <c r="Q1010" s="647"/>
      <c r="R1010" s="647"/>
      <c r="S1010" s="647"/>
      <c r="T1010" s="647"/>
      <c r="U1010" s="647"/>
      <c r="V1010" s="647"/>
      <c r="W1010" s="647"/>
      <c r="X1010" s="647"/>
    </row>
    <row r="1011">
      <c r="A1011" s="646"/>
      <c r="B1011" s="647"/>
      <c r="C1011" s="647"/>
      <c r="D1011" s="647"/>
      <c r="E1011" s="647"/>
      <c r="F1011" s="647"/>
      <c r="G1011" s="647"/>
      <c r="H1011" s="647"/>
      <c r="I1011" s="647"/>
      <c r="J1011" s="647"/>
      <c r="K1011" s="647"/>
      <c r="L1011" s="647"/>
      <c r="M1011" s="647"/>
      <c r="N1011" s="647"/>
      <c r="O1011" s="647"/>
      <c r="P1011" s="647"/>
      <c r="Q1011" s="647"/>
      <c r="R1011" s="647"/>
      <c r="S1011" s="647"/>
      <c r="T1011" s="647"/>
      <c r="U1011" s="647"/>
      <c r="V1011" s="647"/>
      <c r="W1011" s="647"/>
      <c r="X1011" s="647"/>
    </row>
  </sheetData>
  <mergeCells count="2">
    <mergeCell ref="A2:B2"/>
    <mergeCell ref="A3:B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24.25"/>
    <col customWidth="1" min="8" max="8" width="67.88"/>
    <col customWidth="1" min="9" max="9" width="24.25"/>
    <col customWidth="1" min="16" max="16" width="46.75"/>
    <col customWidth="1" min="17" max="17" width="13.0"/>
    <col customWidth="1" min="21" max="22" width="39.0"/>
    <col customWidth="1" min="23" max="23" width="15.88"/>
    <col customWidth="1" min="25" max="25" width="57.63"/>
    <col customWidth="1" min="26" max="26" width="38.75"/>
    <col customWidth="1" min="27" max="27" width="40.88"/>
    <col customWidth="1" min="28" max="28" width="57.63"/>
    <col customWidth="1" min="29" max="29" width="40.13"/>
    <col customWidth="1" min="30" max="30" width="12.88"/>
    <col customWidth="1" min="31" max="31" width="46.75"/>
    <col customWidth="1" min="32" max="34" width="40.13"/>
  </cols>
  <sheetData>
    <row r="1">
      <c r="A1" s="56" t="s">
        <v>1326</v>
      </c>
      <c r="B1" s="56" t="s">
        <v>23</v>
      </c>
      <c r="C1" s="63" t="s">
        <v>1327</v>
      </c>
      <c r="D1" s="66" t="s">
        <v>14</v>
      </c>
      <c r="E1" s="66" t="s">
        <v>15</v>
      </c>
      <c r="H1" s="56" t="s">
        <v>1326</v>
      </c>
      <c r="I1" s="56" t="s">
        <v>23</v>
      </c>
      <c r="J1" s="63" t="s">
        <v>1327</v>
      </c>
      <c r="K1" s="656" t="s">
        <v>1328</v>
      </c>
      <c r="L1" s="66" t="s">
        <v>14</v>
      </c>
      <c r="M1" s="66" t="s">
        <v>15</v>
      </c>
      <c r="P1" s="56" t="s">
        <v>1326</v>
      </c>
      <c r="Q1" s="56" t="s">
        <v>23</v>
      </c>
      <c r="R1" s="63" t="s">
        <v>1327</v>
      </c>
      <c r="S1" s="66" t="s">
        <v>14</v>
      </c>
      <c r="T1" s="66" t="s">
        <v>15</v>
      </c>
      <c r="V1" s="102" t="str">
        <f t="array" ref="V1">_xlfn.XLOOKUP("Charger",Stock1!B1,Stock1!I1,"")</f>
        <v/>
      </c>
      <c r="W1" s="102" t="str">
        <f t="array" ref="W1">_xlfn.XLOOKUP(V1,Stock1!I1,Stock1!F1,"")</f>
        <v/>
      </c>
      <c r="X1" s="102" t="str">
        <f t="array" ref="X1">_xlfn.XLOOKUP(V1,Stock1!I1,Stock1!J1,"")</f>
        <v/>
      </c>
      <c r="Y1" s="102" t="str">
        <f t="array" ref="Y1">_xlfn.XLOOKUP("Screen Protector for Android Phone and Other",Stock1!B1,Stock1!I1,"")</f>
        <v/>
      </c>
      <c r="Z1" s="102" t="str">
        <f t="array" ref="Z1">_xlfn.XLOOKUP("Screen Protector for Galaxy Phone",Stock1!B1,Stock1!I1,"")</f>
        <v/>
      </c>
      <c r="AA1" s="102" t="str">
        <f t="array" ref="AA1">_xlfn.XLOOKUP("Screen Protector for Galaxy Tab",Stock1!B1,Stock1!I1,"")</f>
        <v/>
      </c>
      <c r="AB1" s="102" t="str">
        <f t="shared" ref="AB1:AB1002" si="4">TEXTJOIN(,,Y1,Z1,AA1)</f>
        <v/>
      </c>
      <c r="AC1" s="102" t="str">
        <f t="array" ref="AC1">_xlfn.XLOOKUP(AB1,Stock1!I1,Stock1!F1,"")</f>
        <v/>
      </c>
      <c r="AD1" s="102" t="str">
        <f t="array" ref="AD1">_xlfn.XLOOKUP(AB1,Stock1!I1,Stock1!J1,"")</f>
        <v/>
      </c>
      <c r="AE1" s="102" t="str">
        <f t="array" ref="AE1">_xlfn.XLOOKUP("Storage",Stock1!B1,Stock1!I1,"")</f>
        <v/>
      </c>
      <c r="AF1" s="102" t="str">
        <f t="array" ref="AF1">_xlfn.XLOOKUP(AE1,Stock1!I1,Stock1!F1,"")</f>
        <v/>
      </c>
      <c r="AG1" s="102" t="str">
        <f t="array" ref="AG1">_xlfn.XLOOKUP(AE1,Stock1!I1,Stock1!J1,"")</f>
        <v/>
      </c>
    </row>
    <row r="2">
      <c r="A2" s="657" t="str">
        <f t="shared" ref="A2:B2" si="1">UNIQUE(V:V)</f>
        <v/>
      </c>
      <c r="B2" s="657" t="str">
        <f t="shared" si="1"/>
        <v/>
      </c>
      <c r="C2" s="658"/>
      <c r="D2" s="659" t="str">
        <f>IFERROR(VLOOKUP(B2,Stock1!F:J,5,False),"")</f>
        <v/>
      </c>
      <c r="E2" s="659" t="str">
        <f>IFERROR(VLOOKUP(B2,Stock2!F:J,5,False),"")</f>
        <v/>
      </c>
      <c r="H2" s="660" t="str">
        <f t="shared" ref="H2:I2" si="2">UNIQUE(AB:AB)</f>
        <v/>
      </c>
      <c r="I2" s="660" t="str">
        <f t="shared" si="2"/>
        <v/>
      </c>
      <c r="J2" s="660"/>
      <c r="K2" s="660"/>
      <c r="L2" s="659" t="str">
        <f>IFERROR(VLOOKUP(I2,Stock1!F:J,5,False),"")</f>
        <v/>
      </c>
      <c r="M2" s="659" t="str">
        <f>IFERROR(VLOOKUP(I2,Stock2!F:J,5,False),"")</f>
        <v/>
      </c>
      <c r="P2" s="661" t="str">
        <f t="shared" ref="P2:Q2" si="3">UNIQUE(AE:AE)</f>
        <v/>
      </c>
      <c r="Q2" s="661" t="str">
        <f t="shared" si="3"/>
        <v/>
      </c>
      <c r="R2" s="661"/>
      <c r="S2" s="661" t="str">
        <f>IFERROR(VLOOKUP(Q2,Stock1!F:J,5,False),"")</f>
        <v/>
      </c>
      <c r="T2" s="661" t="str">
        <f>IFERROR(VLOOKUP(Q2,Stock2!F:J,5,False),"")</f>
        <v/>
      </c>
      <c r="V2" s="102" t="str">
        <f t="array" ref="V2">_xlfn.XLOOKUP("Charger",Stock1!B2,Stock1!I2,"")</f>
        <v/>
      </c>
      <c r="W2" s="102" t="str">
        <f t="array" ref="W2">_xlfn.XLOOKUP(V2,Stock1!I2,Stock1!F2,"")</f>
        <v/>
      </c>
      <c r="X2" s="102" t="str">
        <f t="array" ref="X2">_xlfn.XLOOKUP(V2,Stock1!I2,Stock1!J2,"")</f>
        <v/>
      </c>
      <c r="Y2" s="102" t="str">
        <f t="array" ref="Y2">_xlfn.XLOOKUP("Screen Protector for Android Phone and Other",Stock1!B2,Stock1!I2,"")</f>
        <v/>
      </c>
      <c r="Z2" s="102" t="str">
        <f t="array" ref="Z2">_xlfn.XLOOKUP("Screen Protector for Galaxy Phone",Stock1!B2,Stock1!I2,"")</f>
        <v/>
      </c>
      <c r="AA2" s="102" t="str">
        <f t="array" ref="AA2">_xlfn.XLOOKUP("Screen Protector for Galaxy Tab",Stock1!B2,Stock1!I2,"")</f>
        <v/>
      </c>
      <c r="AB2" s="102" t="str">
        <f t="shared" si="4"/>
        <v/>
      </c>
      <c r="AC2" s="102" t="str">
        <f t="array" ref="AC2">_xlfn.XLOOKUP(AB2,Stock1!I2,Stock1!F2,"")</f>
        <v/>
      </c>
      <c r="AD2" s="102" t="str">
        <f t="array" ref="AD2">_xlfn.XLOOKUP(AB2,Stock1!I2,Stock1!J2,"")</f>
        <v/>
      </c>
      <c r="AE2" s="102" t="str">
        <f t="array" ref="AE2">_xlfn.XLOOKUP("Storage",Stock1!B2,Stock1!I2,"")</f>
        <v/>
      </c>
      <c r="AF2" s="102" t="str">
        <f t="array" ref="AF2">_xlfn.XLOOKUP(AE2,Stock1!I2,Stock1!F2,"")</f>
        <v/>
      </c>
      <c r="AG2" s="102" t="str">
        <f t="array" ref="AG2">_xlfn.XLOOKUP(AE2,Stock1!I2,Stock1!J2,"")</f>
        <v/>
      </c>
    </row>
    <row r="3">
      <c r="A3" s="657" t="s">
        <v>1329</v>
      </c>
      <c r="B3" s="662" t="s">
        <v>1330</v>
      </c>
      <c r="C3" s="658">
        <f t="array" ref="C3">IFERROR(_xlfn.XLOOKUP(B3,Stock1!F:F,Stock1!E:E,""),"")</f>
        <v>999</v>
      </c>
      <c r="D3" s="659">
        <f>IFERROR(VLOOKUP(B3,Stock1!F:J,5,False),"")</f>
        <v>8</v>
      </c>
      <c r="E3" s="659">
        <f>IFERROR(VLOOKUP(B3,Stock2!F:J,5,False),"")</f>
        <v>2</v>
      </c>
      <c r="H3" s="660" t="s">
        <v>1331</v>
      </c>
      <c r="I3" s="663" t="s">
        <v>1332</v>
      </c>
      <c r="J3" s="660">
        <f t="array" ref="J3">IFERROR(_xlfn.XLOOKUP(I3,Stock1!F:F,Stock1!E:E,""),"")</f>
        <v>249</v>
      </c>
      <c r="K3" s="660" t="str">
        <f t="array" ref="K3">IFERROR(_xlfn.XLOOKUP(I3,Incentive!B:B,Incentive!E:E,""),"")</f>
        <v/>
      </c>
      <c r="L3" s="659">
        <f>IFERROR(VLOOKUP(I3,Stock1!F:J,5,False),"")</f>
        <v>10</v>
      </c>
      <c r="M3" s="659">
        <f>IFERROR(VLOOKUP(I3,Stock2!F:J,5,False),"")</f>
        <v>10</v>
      </c>
      <c r="P3" s="661" t="e">
        <v>#REF!</v>
      </c>
      <c r="Q3" s="661" t="e">
        <v>#REF!</v>
      </c>
      <c r="R3" s="661" t="str">
        <f t="array" ref="R3">IFERROR(_xlfn.XLOOKUP(Q3,Stock1!F:F,Stock1!E:E,""),"")</f>
        <v/>
      </c>
      <c r="S3" s="661" t="str">
        <f>IFERROR(VLOOKUP(Q3,Stock1!F:J,5,False),"")</f>
        <v/>
      </c>
      <c r="T3" s="661" t="str">
        <f>IFERROR(VLOOKUP(Q3,Stock2!F:J,5,False),"")</f>
        <v/>
      </c>
      <c r="V3" s="102" t="str">
        <f t="array" ref="V3">_xlfn.XLOOKUP("Charger",Stock1!B3,Stock1!I3,"")</f>
        <v/>
      </c>
      <c r="W3" s="102" t="str">
        <f t="array" ref="W3">_xlfn.XLOOKUP(V3,Stock1!I3,Stock1!F3,"")</f>
        <v/>
      </c>
      <c r="X3" s="102" t="str">
        <f t="array" ref="X3">_xlfn.XLOOKUP(V3,Stock1!I3,Stock1!J3,"")</f>
        <v/>
      </c>
      <c r="Y3" s="102" t="str">
        <f t="array" ref="Y3">_xlfn.XLOOKUP("Screen Protector for Android Phone and Other",Stock1!B3,Stock1!I3,"")</f>
        <v/>
      </c>
      <c r="Z3" s="102" t="str">
        <f t="array" ref="Z3">_xlfn.XLOOKUP("Screen Protector for Galaxy Phone",Stock1!B3,Stock1!I3,"")</f>
        <v/>
      </c>
      <c r="AA3" s="102" t="str">
        <f t="array" ref="AA3">_xlfn.XLOOKUP("Screen Protector for Galaxy Tab",Stock1!B3,Stock1!I3,"")</f>
        <v/>
      </c>
      <c r="AB3" s="102" t="str">
        <f t="shared" si="4"/>
        <v/>
      </c>
      <c r="AC3" s="102" t="str">
        <f t="array" ref="AC3">_xlfn.XLOOKUP(AB3,Stock1!I3,Stock1!F3,"")</f>
        <v/>
      </c>
      <c r="AD3" s="102" t="str">
        <f t="array" ref="AD3">_xlfn.XLOOKUP(AB3,Stock1!I3,Stock1!J3,"")</f>
        <v/>
      </c>
      <c r="AE3" s="102" t="str">
        <f t="array" ref="AE3">_xlfn.XLOOKUP("Storage",Stock1!B3,Stock1!I3,"")</f>
        <v/>
      </c>
      <c r="AF3" s="102" t="str">
        <f t="array" ref="AF3">_xlfn.XLOOKUP(AE3,Stock1!I3,Stock1!F3,"")</f>
        <v/>
      </c>
      <c r="AG3" s="102" t="str">
        <f t="array" ref="AG3">_xlfn.XLOOKUP(AE3,Stock1!I3,Stock1!J3,"")</f>
        <v/>
      </c>
    </row>
    <row r="4">
      <c r="A4" s="657" t="s">
        <v>1333</v>
      </c>
      <c r="B4" s="662" t="s">
        <v>1334</v>
      </c>
      <c r="C4" s="658">
        <f t="array" ref="C4">IFERROR(_xlfn.XLOOKUP(B4,Stock1!F:F,Stock1!E:E,""),"")</f>
        <v>399</v>
      </c>
      <c r="D4" s="659">
        <f>IFERROR(VLOOKUP(B4,Stock1!F:J,5,False),"")</f>
        <v>48</v>
      </c>
      <c r="E4" s="659">
        <f>IFERROR(VLOOKUP(B4,Stock2!F:J,5,False),"")</f>
        <v>9</v>
      </c>
      <c r="H4" s="660" t="s">
        <v>1335</v>
      </c>
      <c r="I4" s="663" t="s">
        <v>1336</v>
      </c>
      <c r="J4" s="660">
        <f t="array" ref="J4">IFERROR(_xlfn.XLOOKUP(I4,Stock1!F:F,Stock1!E:E,""),"")</f>
        <v>299</v>
      </c>
      <c r="K4" s="660" t="str">
        <f t="array" ref="K4">IFERROR(_xlfn.XLOOKUP(I4,Incentive!B:B,Incentive!E:E,""),"")</f>
        <v/>
      </c>
      <c r="L4" s="659">
        <f>IFERROR(VLOOKUP(I4,Stock1!F:J,5,False),"")</f>
        <v>7</v>
      </c>
      <c r="M4" s="659">
        <f>IFERROR(VLOOKUP(I4,Stock2!F:J,5,False),"")</f>
        <v>15</v>
      </c>
      <c r="P4" s="661"/>
      <c r="Q4" s="661"/>
      <c r="R4" s="661" t="str">
        <f t="array" ref="R4">IFERROR(_xlfn.XLOOKUP(Q4,Stock1!F:F,Stock1!E:E,""),"")</f>
        <v/>
      </c>
      <c r="S4" s="661" t="str">
        <f>IFERROR(VLOOKUP(Q4,Stock1!F:J,5,False),"")</f>
        <v/>
      </c>
      <c r="T4" s="661" t="str">
        <f>IFERROR(VLOOKUP(Q4,Stock2!F:J,5,False),"")</f>
        <v/>
      </c>
      <c r="V4" s="102" t="str">
        <f t="array" ref="V4">_xlfn.XLOOKUP("Charger",Stock1!B4,Stock1!I4,"")</f>
        <v/>
      </c>
      <c r="W4" s="102" t="str">
        <f t="array" ref="W4">_xlfn.XLOOKUP(V4,Stock1!I4,Stock1!F4,"")</f>
        <v/>
      </c>
      <c r="X4" s="102" t="str">
        <f t="array" ref="X4">_xlfn.XLOOKUP(V4,Stock1!I4,Stock1!J4,"")</f>
        <v/>
      </c>
      <c r="Y4" s="102" t="str">
        <f t="array" ref="Y4">_xlfn.XLOOKUP("Screen Protector for Android Phone and Other",Stock1!B4,Stock1!I4,"")</f>
        <v/>
      </c>
      <c r="Z4" s="102" t="str">
        <f t="array" ref="Z4">_xlfn.XLOOKUP("Screen Protector for Galaxy Phone",Stock1!B4,Stock1!I4,"")</f>
        <v/>
      </c>
      <c r="AA4" s="102" t="str">
        <f t="array" ref="AA4">_xlfn.XLOOKUP("Screen Protector for Galaxy Tab",Stock1!B4,Stock1!I4,"")</f>
        <v/>
      </c>
      <c r="AB4" s="102" t="str">
        <f t="shared" si="4"/>
        <v/>
      </c>
      <c r="AC4" s="102" t="str">
        <f t="array" ref="AC4">_xlfn.XLOOKUP(AB4,Stock1!I4,Stock1!F4,"")</f>
        <v/>
      </c>
      <c r="AD4" s="102" t="str">
        <f t="array" ref="AD4">_xlfn.XLOOKUP(AB4,Stock1!I4,Stock1!J4,"")</f>
        <v/>
      </c>
      <c r="AE4" s="102" t="str">
        <f t="array" ref="AE4">_xlfn.XLOOKUP("Storage",Stock1!B4,Stock1!I4,"")</f>
        <v/>
      </c>
      <c r="AF4" s="102" t="str">
        <f t="array" ref="AF4">_xlfn.XLOOKUP(AE4,Stock1!I4,Stock1!F4,"")</f>
        <v/>
      </c>
      <c r="AG4" s="102" t="str">
        <f t="array" ref="AG4">_xlfn.XLOOKUP(AE4,Stock1!I4,Stock1!J4,"")</f>
        <v/>
      </c>
    </row>
    <row r="5">
      <c r="A5" s="657" t="s">
        <v>1337</v>
      </c>
      <c r="B5" s="662" t="s">
        <v>1338</v>
      </c>
      <c r="C5" s="658">
        <f t="array" ref="C5">IFERROR(_xlfn.XLOOKUP(B5,Stock1!F:F,Stock1!E:E,""),"")</f>
        <v>599</v>
      </c>
      <c r="D5" s="659">
        <f>IFERROR(VLOOKUP(B5,Stock1!F:J,5,False),"")</f>
        <v>9</v>
      </c>
      <c r="E5" s="659">
        <f>IFERROR(VLOOKUP(B5,Stock2!F:J,5,False),"")</f>
        <v>10</v>
      </c>
      <c r="H5" s="660" t="s">
        <v>1339</v>
      </c>
      <c r="I5" s="663" t="s">
        <v>1340</v>
      </c>
      <c r="J5" s="660">
        <f t="array" ref="J5">IFERROR(_xlfn.XLOOKUP(I5,Stock1!F:F,Stock1!E:E,""),"")</f>
        <v>299</v>
      </c>
      <c r="K5" s="660" t="str">
        <f t="array" ref="K5">IFERROR(_xlfn.XLOOKUP(I5,Incentive!B:B,Incentive!E:E,""),"")</f>
        <v/>
      </c>
      <c r="L5" s="659">
        <f>IFERROR(VLOOKUP(I5,Stock1!F:J,5,False),"")</f>
        <v>17</v>
      </c>
      <c r="M5" s="659">
        <f>IFERROR(VLOOKUP(I5,Stock2!F:J,5,False),"")</f>
        <v>33</v>
      </c>
      <c r="P5" s="661"/>
      <c r="Q5" s="661"/>
      <c r="R5" s="661" t="str">
        <f t="array" ref="R5">IFERROR(_xlfn.XLOOKUP(Q5,Stock1!F:F,Stock1!E:E,""),"")</f>
        <v/>
      </c>
      <c r="S5" s="661" t="str">
        <f>IFERROR(VLOOKUP(Q5,Stock1!F:J,5,False),"")</f>
        <v/>
      </c>
      <c r="T5" s="661" t="str">
        <f>IFERROR(VLOOKUP(Q5,Stock2!F:J,5,False),"")</f>
        <v/>
      </c>
      <c r="V5" s="102" t="str">
        <f t="array" ref="V5">_xlfn.XLOOKUP("Charger",Stock1!B5,Stock1!I5,"")</f>
        <v/>
      </c>
      <c r="W5" s="102" t="str">
        <f t="array" ref="W5">_xlfn.XLOOKUP(V5,Stock1!I5,Stock1!F5,"")</f>
        <v/>
      </c>
      <c r="X5" s="102" t="str">
        <f t="array" ref="X5">_xlfn.XLOOKUP(V5,Stock1!I5,Stock1!J5,"")</f>
        <v/>
      </c>
      <c r="Y5" s="102" t="str">
        <f t="array" ref="Y5">_xlfn.XLOOKUP("Screen Protector for Android Phone and Other",Stock1!B5,Stock1!I5,"")</f>
        <v/>
      </c>
      <c r="Z5" s="102" t="str">
        <f t="array" ref="Z5">_xlfn.XLOOKUP("Screen Protector for Galaxy Phone",Stock1!B5,Stock1!I5,"")</f>
        <v/>
      </c>
      <c r="AA5" s="102" t="str">
        <f t="array" ref="AA5">_xlfn.XLOOKUP("Screen Protector for Galaxy Tab",Stock1!B5,Stock1!I5,"")</f>
        <v/>
      </c>
      <c r="AB5" s="102" t="str">
        <f t="shared" si="4"/>
        <v/>
      </c>
      <c r="AC5" s="102" t="str">
        <f t="array" ref="AC5">_xlfn.XLOOKUP(AB5,Stock1!I5,Stock1!F5,"")</f>
        <v/>
      </c>
      <c r="AD5" s="102" t="str">
        <f t="array" ref="AD5">_xlfn.XLOOKUP(AB5,Stock1!I5,Stock1!J5,"")</f>
        <v/>
      </c>
      <c r="AE5" s="102" t="str">
        <f t="array" ref="AE5">_xlfn.XLOOKUP("Storage",Stock1!B5,Stock1!I5,"")</f>
        <v/>
      </c>
      <c r="AF5" s="102" t="str">
        <f t="array" ref="AF5">_xlfn.XLOOKUP(AE5,Stock1!I5,Stock1!F5,"")</f>
        <v/>
      </c>
      <c r="AG5" s="102" t="str">
        <f t="array" ref="AG5">_xlfn.XLOOKUP(AE5,Stock1!I5,Stock1!J5,"")</f>
        <v/>
      </c>
    </row>
    <row r="6">
      <c r="A6" s="657" t="s">
        <v>1341</v>
      </c>
      <c r="B6" s="662" t="s">
        <v>1342</v>
      </c>
      <c r="C6" s="658">
        <f t="array" ref="C6">IFERROR(_xlfn.XLOOKUP(B6,Stock1!F:F,Stock1!E:E,""),"")</f>
        <v>690</v>
      </c>
      <c r="D6" s="659">
        <f>IFERROR(VLOOKUP(B6,Stock1!F:J,5,False),"")</f>
        <v>52</v>
      </c>
      <c r="E6" s="659">
        <f>IFERROR(VLOOKUP(B6,Stock2!F:J,5,False),"")</f>
        <v>36</v>
      </c>
      <c r="H6" s="660" t="s">
        <v>1343</v>
      </c>
      <c r="I6" s="663" t="s">
        <v>616</v>
      </c>
      <c r="J6" s="660">
        <f t="array" ref="J6">IFERROR(_xlfn.XLOOKUP(I6,Stock1!F:F,Stock1!E:E,""),"")</f>
        <v>249</v>
      </c>
      <c r="K6" s="660">
        <f t="array" ref="K6">IFERROR(_xlfn.XLOOKUP(I6,Incentive!B:B,Incentive!E:E,""),"")</f>
        <v>10</v>
      </c>
      <c r="L6" s="659">
        <f>IFERROR(VLOOKUP(I6,Stock1!F:J,5,False),"")</f>
        <v>4</v>
      </c>
      <c r="M6" s="659">
        <f>IFERROR(VLOOKUP(I6,Stock2!F:J,5,False),"")</f>
        <v>13</v>
      </c>
      <c r="P6" s="661"/>
      <c r="Q6" s="661"/>
      <c r="R6" s="661" t="str">
        <f t="array" ref="R6">IFERROR(_xlfn.XLOOKUP(Q6,Stock1!F:F,Stock1!E:E,""),"")</f>
        <v/>
      </c>
      <c r="S6" s="661" t="str">
        <f>IFERROR(VLOOKUP(Q6,Stock1!F:J,5,False),"")</f>
        <v/>
      </c>
      <c r="T6" s="661" t="str">
        <f>IFERROR(VLOOKUP(Q6,Stock2!F:J,5,False),"")</f>
        <v/>
      </c>
      <c r="V6" s="102" t="str">
        <f t="array" ref="V6">_xlfn.XLOOKUP("Charger",Stock1!B6,Stock1!I6,"")</f>
        <v/>
      </c>
      <c r="W6" s="102" t="str">
        <f t="array" ref="W6">_xlfn.XLOOKUP(V6,Stock1!I6,Stock1!F6,"")</f>
        <v/>
      </c>
      <c r="X6" s="102" t="str">
        <f t="array" ref="X6">_xlfn.XLOOKUP(V6,Stock1!I6,Stock1!J6,"")</f>
        <v/>
      </c>
      <c r="Y6" s="102" t="str">
        <f t="array" ref="Y6">_xlfn.XLOOKUP("Screen Protector for Android Phone and Other",Stock1!B6,Stock1!I6,"")</f>
        <v/>
      </c>
      <c r="Z6" s="102" t="str">
        <f t="array" ref="Z6">_xlfn.XLOOKUP("Screen Protector for Galaxy Phone",Stock1!B6,Stock1!I6,"")</f>
        <v/>
      </c>
      <c r="AA6" s="102" t="str">
        <f t="array" ref="AA6">_xlfn.XLOOKUP("Screen Protector for Galaxy Tab",Stock1!B6,Stock1!I6,"")</f>
        <v/>
      </c>
      <c r="AB6" s="102" t="str">
        <f t="shared" si="4"/>
        <v/>
      </c>
      <c r="AC6" s="102" t="str">
        <f t="array" ref="AC6">_xlfn.XLOOKUP(AB6,Stock1!I6,Stock1!F6,"")</f>
        <v/>
      </c>
      <c r="AD6" s="102" t="str">
        <f t="array" ref="AD6">_xlfn.XLOOKUP(AB6,Stock1!I6,Stock1!J6,"")</f>
        <v/>
      </c>
      <c r="AE6" s="102" t="str">
        <f t="array" ref="AE6">_xlfn.XLOOKUP("Storage",Stock1!B6,Stock1!I6,"")</f>
        <v/>
      </c>
      <c r="AF6" s="102" t="str">
        <f t="array" ref="AF6">_xlfn.XLOOKUP(AE6,Stock1!I6,Stock1!F6,"")</f>
        <v/>
      </c>
      <c r="AG6" s="102" t="str">
        <f t="array" ref="AG6">_xlfn.XLOOKUP(AE6,Stock1!I6,Stock1!J6,"")</f>
        <v/>
      </c>
    </row>
    <row r="7">
      <c r="A7" s="657" t="s">
        <v>1344</v>
      </c>
      <c r="B7" s="662" t="s">
        <v>1345</v>
      </c>
      <c r="C7" s="658">
        <f t="array" ref="C7">IFERROR(_xlfn.XLOOKUP(B7,Stock1!F:F,Stock1!E:E,""),"")</f>
        <v>690</v>
      </c>
      <c r="D7" s="659">
        <f>IFERROR(VLOOKUP(B7,Stock1!F:J,5,False),"")</f>
        <v>42</v>
      </c>
      <c r="E7" s="659">
        <f>IFERROR(VLOOKUP(B7,Stock2!F:J,5,False),"")</f>
        <v>31</v>
      </c>
      <c r="H7" s="660" t="s">
        <v>1346</v>
      </c>
      <c r="I7" s="663" t="s">
        <v>1347</v>
      </c>
      <c r="J7" s="660">
        <f t="array" ref="J7">IFERROR(_xlfn.XLOOKUP(I7,Stock1!F:F,Stock1!E:E,""),"")</f>
        <v>249</v>
      </c>
      <c r="K7" s="660" t="str">
        <f t="array" ref="K7">IFERROR(_xlfn.XLOOKUP(I7,Incentive!B:B,Incentive!E:E,""),"")</f>
        <v/>
      </c>
      <c r="L7" s="659">
        <f>IFERROR(VLOOKUP(I7,Stock1!F:J,5,False),"")</f>
        <v>12</v>
      </c>
      <c r="M7" s="659" t="str">
        <f>IFERROR(VLOOKUP(I7,Stock2!F:J,5,False),"")</f>
        <v/>
      </c>
      <c r="P7" s="661"/>
      <c r="Q7" s="661"/>
      <c r="R7" s="661" t="str">
        <f t="array" ref="R7">IFERROR(_xlfn.XLOOKUP(Q7,Stock1!F:F,Stock1!E:E,""),"")</f>
        <v/>
      </c>
      <c r="S7" s="661" t="str">
        <f>IFERROR(VLOOKUP(Q7,Stock1!F:J,5,False),"")</f>
        <v/>
      </c>
      <c r="T7" s="661" t="str">
        <f>IFERROR(VLOOKUP(Q7,Stock2!F:J,5,False),"")</f>
        <v/>
      </c>
      <c r="V7" s="102" t="str">
        <f t="array" ref="V7">_xlfn.XLOOKUP("Charger",Stock1!B7,Stock1!I7,"")</f>
        <v/>
      </c>
      <c r="W7" s="102" t="str">
        <f t="array" ref="W7">_xlfn.XLOOKUP(V7,Stock1!I7,Stock1!F7,"")</f>
        <v/>
      </c>
      <c r="X7" s="102" t="str">
        <f t="array" ref="X7">_xlfn.XLOOKUP(V7,Stock1!I7,Stock1!J7,"")</f>
        <v/>
      </c>
      <c r="Y7" s="102" t="str">
        <f t="array" ref="Y7">_xlfn.XLOOKUP("Screen Protector for Android Phone and Other",Stock1!B7,Stock1!I7,"")</f>
        <v/>
      </c>
      <c r="Z7" s="102" t="str">
        <f t="array" ref="Z7">_xlfn.XLOOKUP("Screen Protector for Galaxy Phone",Stock1!B7,Stock1!I7,"")</f>
        <v/>
      </c>
      <c r="AA7" s="102" t="str">
        <f t="array" ref="AA7">_xlfn.XLOOKUP("Screen Protector for Galaxy Tab",Stock1!B7,Stock1!I7,"")</f>
        <v/>
      </c>
      <c r="AB7" s="102" t="str">
        <f t="shared" si="4"/>
        <v/>
      </c>
      <c r="AC7" s="102" t="str">
        <f t="array" ref="AC7">_xlfn.XLOOKUP(AB7,Stock1!I7,Stock1!F7,"")</f>
        <v/>
      </c>
      <c r="AD7" s="102" t="str">
        <f t="array" ref="AD7">_xlfn.XLOOKUP(AB7,Stock1!I7,Stock1!J7,"")</f>
        <v/>
      </c>
      <c r="AE7" s="102" t="str">
        <f t="array" ref="AE7">_xlfn.XLOOKUP("Storage",Stock1!B7,Stock1!I7,"")</f>
        <v/>
      </c>
      <c r="AF7" s="102" t="str">
        <f t="array" ref="AF7">_xlfn.XLOOKUP(AE7,Stock1!I7,Stock1!F7,"")</f>
        <v/>
      </c>
      <c r="AG7" s="102" t="str">
        <f t="array" ref="AG7">_xlfn.XLOOKUP(AE7,Stock1!I7,Stock1!J7,"")</f>
        <v/>
      </c>
    </row>
    <row r="8">
      <c r="A8" s="660" t="s">
        <v>1348</v>
      </c>
      <c r="B8" s="663" t="s">
        <v>1164</v>
      </c>
      <c r="C8" s="658">
        <f t="array" ref="C8">IFERROR(_xlfn.XLOOKUP(B8,Stock1!F:F,Stock1!E:E,""),"")</f>
        <v>1290</v>
      </c>
      <c r="D8" s="659">
        <f>IFERROR(VLOOKUP(B8,Stock1!F:J,5,False),"")</f>
        <v>7</v>
      </c>
      <c r="E8" s="659">
        <f>IFERROR(VLOOKUP(B8,Stock2!F:J,5,False),"")</f>
        <v>1</v>
      </c>
      <c r="H8" s="660" t="s">
        <v>1349</v>
      </c>
      <c r="I8" s="663" t="s">
        <v>1350</v>
      </c>
      <c r="J8" s="660">
        <f t="array" ref="J8">IFERROR(_xlfn.XLOOKUP(I8,Stock1!F:F,Stock1!E:E,""),"")</f>
        <v>299</v>
      </c>
      <c r="K8" s="660" t="str">
        <f t="array" ref="K8">IFERROR(_xlfn.XLOOKUP(I8,Incentive!B:B,Incentive!E:E,""),"")</f>
        <v/>
      </c>
      <c r="L8" s="659">
        <f>IFERROR(VLOOKUP(I8,Stock1!F:J,5,False),"")</f>
        <v>35</v>
      </c>
      <c r="M8" s="659">
        <f>IFERROR(VLOOKUP(I8,Stock2!F:J,5,False),"")</f>
        <v>18</v>
      </c>
      <c r="P8" s="661"/>
      <c r="Q8" s="661"/>
      <c r="R8" s="661" t="str">
        <f t="array" ref="R8">IFERROR(_xlfn.XLOOKUP(Q8,Stock1!F:F,Stock1!E:E,""),"")</f>
        <v/>
      </c>
      <c r="S8" s="661" t="str">
        <f>IFERROR(VLOOKUP(Q8,Stock1!F:J,5,False),"")</f>
        <v/>
      </c>
      <c r="T8" s="661" t="str">
        <f>IFERROR(VLOOKUP(Q8,Stock2!F:J,5,False),"")</f>
        <v/>
      </c>
      <c r="V8" s="102" t="str">
        <f t="array" ref="V8">_xlfn.XLOOKUP("Charger",Stock1!B8,Stock1!I8,"")</f>
        <v/>
      </c>
      <c r="W8" s="102" t="str">
        <f t="array" ref="W8">_xlfn.XLOOKUP(V8,Stock1!I8,Stock1!F8,"")</f>
        <v/>
      </c>
      <c r="X8" s="102" t="str">
        <f t="array" ref="X8">_xlfn.XLOOKUP(V8,Stock1!I8,Stock1!J8,"")</f>
        <v/>
      </c>
      <c r="Y8" s="102" t="str">
        <f t="array" ref="Y8">_xlfn.XLOOKUP("Screen Protector for Android Phone and Other",Stock1!B8,Stock1!I8,"")</f>
        <v/>
      </c>
      <c r="Z8" s="102" t="str">
        <f t="array" ref="Z8">_xlfn.XLOOKUP("Screen Protector for Galaxy Phone",Stock1!B8,Stock1!I8,"")</f>
        <v/>
      </c>
      <c r="AA8" s="102" t="str">
        <f t="array" ref="AA8">_xlfn.XLOOKUP("Screen Protector for Galaxy Tab",Stock1!B8,Stock1!I8,"")</f>
        <v/>
      </c>
      <c r="AB8" s="102" t="str">
        <f t="shared" si="4"/>
        <v/>
      </c>
      <c r="AC8" s="102" t="str">
        <f t="array" ref="AC8">_xlfn.XLOOKUP(AB8,Stock1!I8,Stock1!F8,"")</f>
        <v/>
      </c>
      <c r="AD8" s="102" t="str">
        <f t="array" ref="AD8">_xlfn.XLOOKUP(AB8,Stock1!I8,Stock1!J8,"")</f>
        <v/>
      </c>
      <c r="AE8" s="102" t="str">
        <f t="array" ref="AE8">_xlfn.XLOOKUP("Storage",Stock1!B8,Stock1!I8,"")</f>
        <v/>
      </c>
      <c r="AF8" s="102" t="str">
        <f t="array" ref="AF8">_xlfn.XLOOKUP(AE8,Stock1!I8,Stock1!F8,"")</f>
        <v/>
      </c>
      <c r="AG8" s="102" t="str">
        <f t="array" ref="AG8">_xlfn.XLOOKUP(AE8,Stock1!I8,Stock1!J8,"")</f>
        <v/>
      </c>
    </row>
    <row r="9">
      <c r="A9" s="660" t="s">
        <v>1351</v>
      </c>
      <c r="B9" s="663" t="s">
        <v>1167</v>
      </c>
      <c r="C9" s="658">
        <f t="array" ref="C9">IFERROR(_xlfn.XLOOKUP(B9,Stock1!F:F,Stock1!E:E,""),"")</f>
        <v>1290</v>
      </c>
      <c r="D9" s="659">
        <f>IFERROR(VLOOKUP(B9,Stock1!F:J,5,False),"")</f>
        <v>43</v>
      </c>
      <c r="E9" s="659">
        <f>IFERROR(VLOOKUP(B9,Stock2!F:J,5,False),"")</f>
        <v>25</v>
      </c>
      <c r="H9" s="660" t="s">
        <v>1352</v>
      </c>
      <c r="I9" s="663" t="s">
        <v>1353</v>
      </c>
      <c r="J9" s="660">
        <f t="array" ref="J9">IFERROR(_xlfn.XLOOKUP(I9,Stock1!F:F,Stock1!E:E,""),"")</f>
        <v>299</v>
      </c>
      <c r="K9" s="660" t="str">
        <f t="array" ref="K9">IFERROR(_xlfn.XLOOKUP(I9,Incentive!B:B,Incentive!E:E,""),"")</f>
        <v/>
      </c>
      <c r="L9" s="659">
        <f>IFERROR(VLOOKUP(I9,Stock1!F:J,5,False),"")</f>
        <v>10</v>
      </c>
      <c r="M9" s="659">
        <f>IFERROR(VLOOKUP(I9,Stock2!F:J,5,False),"")</f>
        <v>29</v>
      </c>
      <c r="P9" s="661"/>
      <c r="Q9" s="661"/>
      <c r="R9" s="661" t="str">
        <f t="array" ref="R9">IFERROR(_xlfn.XLOOKUP(Q9,Stock1!F:F,Stock1!E:E,""),"")</f>
        <v/>
      </c>
      <c r="S9" s="661" t="str">
        <f>IFERROR(VLOOKUP(Q9,Stock1!F:J,5,False),"")</f>
        <v/>
      </c>
      <c r="T9" s="661" t="str">
        <f>IFERROR(VLOOKUP(Q9,Stock2!F:J,5,False),"")</f>
        <v/>
      </c>
      <c r="V9" s="102" t="str">
        <f t="array" ref="V9">_xlfn.XLOOKUP("Charger",Stock1!B9,Stock1!I9,"")</f>
        <v/>
      </c>
      <c r="W9" s="102" t="str">
        <f t="array" ref="W9">_xlfn.XLOOKUP(V9,Stock1!I9,Stock1!F9,"")</f>
        <v/>
      </c>
      <c r="X9" s="102" t="str">
        <f t="array" ref="X9">_xlfn.XLOOKUP(V9,Stock1!I9,Stock1!J9,"")</f>
        <v/>
      </c>
      <c r="Y9" s="102" t="str">
        <f t="array" ref="Y9">_xlfn.XLOOKUP("Screen Protector for Android Phone and Other",Stock1!B9,Stock1!I9,"")</f>
        <v/>
      </c>
      <c r="Z9" s="102" t="str">
        <f t="array" ref="Z9">_xlfn.XLOOKUP("Screen Protector for Galaxy Phone",Stock1!B9,Stock1!I9,"")</f>
        <v/>
      </c>
      <c r="AA9" s="102" t="str">
        <f t="array" ref="AA9">_xlfn.XLOOKUP("Screen Protector for Galaxy Tab",Stock1!B9,Stock1!I9,"")</f>
        <v/>
      </c>
      <c r="AB9" s="102" t="str">
        <f t="shared" si="4"/>
        <v/>
      </c>
      <c r="AC9" s="102" t="str">
        <f t="array" ref="AC9">_xlfn.XLOOKUP(AB9,Stock1!I9,Stock1!F9,"")</f>
        <v/>
      </c>
      <c r="AD9" s="102" t="str">
        <f t="array" ref="AD9">_xlfn.XLOOKUP(AB9,Stock1!I9,Stock1!J9,"")</f>
        <v/>
      </c>
      <c r="AE9" s="102" t="str">
        <f t="array" ref="AE9">_xlfn.XLOOKUP("Storage",Stock1!B9,Stock1!I9,"")</f>
        <v/>
      </c>
      <c r="AF9" s="102" t="str">
        <f t="array" ref="AF9">_xlfn.XLOOKUP(AE9,Stock1!I9,Stock1!F9,"")</f>
        <v/>
      </c>
      <c r="AG9" s="102" t="str">
        <f t="array" ref="AG9">_xlfn.XLOOKUP(AE9,Stock1!I9,Stock1!J9,"")</f>
        <v/>
      </c>
    </row>
    <row r="10">
      <c r="A10" s="660" t="s">
        <v>1354</v>
      </c>
      <c r="B10" s="662" t="s">
        <v>1355</v>
      </c>
      <c r="C10" s="658">
        <f t="array" ref="C10">IFERROR(_xlfn.XLOOKUP(B10,Stock1!F:F,Stock1!E:E,""),"")</f>
        <v>1090</v>
      </c>
      <c r="D10" s="659">
        <f>IFERROR(VLOOKUP(B10,Stock1!F:J,5,False),"")</f>
        <v>19</v>
      </c>
      <c r="E10" s="659">
        <f>IFERROR(VLOOKUP(B10,Stock2!F:J,5,False),"")</f>
        <v>21</v>
      </c>
      <c r="H10" s="660" t="s">
        <v>1356</v>
      </c>
      <c r="I10" s="663" t="s">
        <v>620</v>
      </c>
      <c r="J10" s="660">
        <f t="array" ref="J10">IFERROR(_xlfn.XLOOKUP(I10,Stock1!F:F,Stock1!E:E,""),"")</f>
        <v>249</v>
      </c>
      <c r="K10" s="660">
        <f t="array" ref="K10">IFERROR(_xlfn.XLOOKUP(I10,Incentive!B:B,Incentive!E:E,""),"")</f>
        <v>10</v>
      </c>
      <c r="L10" s="659">
        <f>IFERROR(VLOOKUP(I10,Stock1!F:J,5,False),"")</f>
        <v>9</v>
      </c>
      <c r="M10" s="659">
        <f>IFERROR(VLOOKUP(I10,Stock2!F:J,5,False),"")</f>
        <v>12</v>
      </c>
      <c r="P10" s="661"/>
      <c r="Q10" s="661"/>
      <c r="R10" s="661" t="str">
        <f t="array" ref="R10">IFERROR(_xlfn.XLOOKUP(Q10,Stock1!F:F,Stock1!E:E,""),"")</f>
        <v/>
      </c>
      <c r="S10" s="661" t="str">
        <f>IFERROR(VLOOKUP(Q10,Stock1!F:J,5,False),"")</f>
        <v/>
      </c>
      <c r="T10" s="661" t="str">
        <f>IFERROR(VLOOKUP(Q10,Stock2!F:J,5,False),"")</f>
        <v/>
      </c>
      <c r="V10" s="102" t="str">
        <f t="array" ref="V10">_xlfn.XLOOKUP("Charger",Stock1!B10,Stock1!I10,"")</f>
        <v/>
      </c>
      <c r="W10" s="102" t="str">
        <f t="array" ref="W10">_xlfn.XLOOKUP(V10,Stock1!I10,Stock1!F10,"")</f>
        <v/>
      </c>
      <c r="X10" s="102" t="str">
        <f t="array" ref="X10">_xlfn.XLOOKUP(V10,Stock1!I10,Stock1!J10,"")</f>
        <v/>
      </c>
      <c r="Y10" s="102" t="str">
        <f t="array" ref="Y10">_xlfn.XLOOKUP("Screen Protector for Android Phone and Other",Stock1!B10,Stock1!I10,"")</f>
        <v/>
      </c>
      <c r="Z10" s="102" t="str">
        <f t="array" ref="Z10">_xlfn.XLOOKUP("Screen Protector for Galaxy Phone",Stock1!B10,Stock1!I10,"")</f>
        <v/>
      </c>
      <c r="AA10" s="102" t="str">
        <f t="array" ref="AA10">_xlfn.XLOOKUP("Screen Protector for Galaxy Tab",Stock1!B10,Stock1!I10,"")</f>
        <v/>
      </c>
      <c r="AB10" s="102" t="str">
        <f t="shared" si="4"/>
        <v/>
      </c>
      <c r="AC10" s="102" t="str">
        <f t="array" ref="AC10">_xlfn.XLOOKUP(AB10,Stock1!I10,Stock1!F10,"")</f>
        <v/>
      </c>
      <c r="AD10" s="102" t="str">
        <f t="array" ref="AD10">_xlfn.XLOOKUP(AB10,Stock1!I10,Stock1!J10,"")</f>
        <v/>
      </c>
      <c r="AE10" s="102" t="str">
        <f t="array" ref="AE10">_xlfn.XLOOKUP("Storage",Stock1!B10,Stock1!I10,"")</f>
        <v/>
      </c>
      <c r="AF10" s="102" t="str">
        <f t="array" ref="AF10">_xlfn.XLOOKUP(AE10,Stock1!I10,Stock1!F10,"")</f>
        <v/>
      </c>
      <c r="AG10" s="102" t="str">
        <f t="array" ref="AG10">_xlfn.XLOOKUP(AE10,Stock1!I10,Stock1!J10,"")</f>
        <v/>
      </c>
    </row>
    <row r="11">
      <c r="A11" s="657" t="s">
        <v>1357</v>
      </c>
      <c r="B11" s="662" t="s">
        <v>1358</v>
      </c>
      <c r="C11" s="658">
        <f t="array" ref="C11">IFERROR(_xlfn.XLOOKUP(B11,Stock1!F:F,Stock1!E:E,""),"")</f>
        <v>1490</v>
      </c>
      <c r="D11" s="659">
        <f>IFERROR(VLOOKUP(B11,Stock1!F:J,5,False),"")</f>
        <v>26</v>
      </c>
      <c r="E11" s="659">
        <f>IFERROR(VLOOKUP(B11,Stock2!F:J,5,False),"")</f>
        <v>9</v>
      </c>
      <c r="H11" s="660" t="s">
        <v>1359</v>
      </c>
      <c r="I11" s="663" t="s">
        <v>1360</v>
      </c>
      <c r="J11" s="660">
        <f t="array" ref="J11">IFERROR(_xlfn.XLOOKUP(I11,Stock1!F:F,Stock1!E:E,""),"")</f>
        <v>249</v>
      </c>
      <c r="K11" s="660" t="str">
        <f t="array" ref="K11">IFERROR(_xlfn.XLOOKUP(I11,Incentive!B:B,Incentive!E:E,""),"")</f>
        <v/>
      </c>
      <c r="L11" s="659">
        <f>IFERROR(VLOOKUP(I11,Stock1!F:J,5,False),"")</f>
        <v>36</v>
      </c>
      <c r="M11" s="659">
        <f>IFERROR(VLOOKUP(I11,Stock2!F:J,5,False),"")</f>
        <v>17</v>
      </c>
      <c r="P11" s="661"/>
      <c r="Q11" s="661"/>
      <c r="R11" s="661" t="str">
        <f t="array" ref="R11">IFERROR(_xlfn.XLOOKUP(Q11,Stock1!F:F,Stock1!E:E,""),"")</f>
        <v/>
      </c>
      <c r="S11" s="661" t="str">
        <f>IFERROR(VLOOKUP(Q11,Stock1!F:J,5,False),"")</f>
        <v/>
      </c>
      <c r="T11" s="661" t="str">
        <f>IFERROR(VLOOKUP(Q11,Stock2!F:J,5,False),"")</f>
        <v/>
      </c>
      <c r="V11" s="102" t="str">
        <f t="array" ref="V11">_xlfn.XLOOKUP("Charger",Stock1!B11,Stock1!I11,"")</f>
        <v/>
      </c>
      <c r="W11" s="102" t="str">
        <f t="array" ref="W11">_xlfn.XLOOKUP(V11,Stock1!I11,Stock1!F11,"")</f>
        <v/>
      </c>
      <c r="X11" s="102" t="str">
        <f t="array" ref="X11">_xlfn.XLOOKUP(V11,Stock1!I11,Stock1!J11,"")</f>
        <v/>
      </c>
      <c r="Y11" s="102" t="str">
        <f t="array" ref="Y11">_xlfn.XLOOKUP("Screen Protector for Android Phone and Other",Stock1!B11,Stock1!I11,"")</f>
        <v/>
      </c>
      <c r="Z11" s="102" t="str">
        <f t="array" ref="Z11">_xlfn.XLOOKUP("Screen Protector for Galaxy Phone",Stock1!B11,Stock1!I11,"")</f>
        <v/>
      </c>
      <c r="AA11" s="102" t="str">
        <f t="array" ref="AA11">_xlfn.XLOOKUP("Screen Protector for Galaxy Tab",Stock1!B11,Stock1!I11,"")</f>
        <v/>
      </c>
      <c r="AB11" s="102" t="str">
        <f t="shared" si="4"/>
        <v/>
      </c>
      <c r="AC11" s="102" t="str">
        <f t="array" ref="AC11">_xlfn.XLOOKUP(AB11,Stock1!I11,Stock1!F11,"")</f>
        <v/>
      </c>
      <c r="AD11" s="102" t="str">
        <f t="array" ref="AD11">_xlfn.XLOOKUP(AB11,Stock1!I11,Stock1!J11,"")</f>
        <v/>
      </c>
      <c r="AE11" s="102" t="str">
        <f t="array" ref="AE11">_xlfn.XLOOKUP("Storage",Stock1!B11,Stock1!I11,"")</f>
        <v/>
      </c>
      <c r="AF11" s="102" t="str">
        <f t="array" ref="AF11">_xlfn.XLOOKUP(AE11,Stock1!I11,Stock1!F11,"")</f>
        <v/>
      </c>
      <c r="AG11" s="102" t="str">
        <f t="array" ref="AG11">_xlfn.XLOOKUP(AE11,Stock1!I11,Stock1!J11,"")</f>
        <v/>
      </c>
    </row>
    <row r="12">
      <c r="A12" s="660" t="e">
        <v>#REF!</v>
      </c>
      <c r="B12" s="660" t="e">
        <v>#REF!</v>
      </c>
      <c r="C12" s="658" t="str">
        <f t="array" ref="C12">IFERROR(_xlfn.XLOOKUP(B12,Stock1!F:F,Stock1!E:E,""),"")</f>
        <v/>
      </c>
      <c r="D12" s="659" t="str">
        <f>IFERROR(VLOOKUP(B12,Stock1!F:J,5,False),"")</f>
        <v/>
      </c>
      <c r="E12" s="659" t="str">
        <f>IFERROR(VLOOKUP(B12,Stock2!F:J,5,False),"")</f>
        <v/>
      </c>
      <c r="H12" s="660" t="s">
        <v>1361</v>
      </c>
      <c r="I12" s="663" t="s">
        <v>1362</v>
      </c>
      <c r="J12" s="660">
        <f t="array" ref="J12">IFERROR(_xlfn.XLOOKUP(I12,Stock1!F:F,Stock1!E:E,""),"")</f>
        <v>590</v>
      </c>
      <c r="K12" s="660" t="str">
        <f t="array" ref="K12">IFERROR(_xlfn.XLOOKUP(I12,Incentive!B:B,Incentive!E:E,""),"")</f>
        <v/>
      </c>
      <c r="L12" s="659">
        <f>IFERROR(VLOOKUP(I12,Stock1!F:J,5,False),"")</f>
        <v>1</v>
      </c>
      <c r="M12" s="659">
        <f>IFERROR(VLOOKUP(I12,Stock2!F:J,5,False),"")</f>
        <v>1</v>
      </c>
      <c r="P12" s="661"/>
      <c r="Q12" s="661"/>
      <c r="R12" s="661" t="str">
        <f t="array" ref="R12">IFERROR(_xlfn.XLOOKUP(Q12,Stock1!F:F,Stock1!E:E,""),"")</f>
        <v/>
      </c>
      <c r="S12" s="661" t="str">
        <f>IFERROR(VLOOKUP(Q12,Stock1!F:J,5,False),"")</f>
        <v/>
      </c>
      <c r="T12" s="661" t="str">
        <f>IFERROR(VLOOKUP(Q12,Stock2!F:J,5,False),"")</f>
        <v/>
      </c>
      <c r="V12" s="102" t="str">
        <f t="array" ref="V12">_xlfn.XLOOKUP("Charger",Stock1!B12,Stock1!I12,"")</f>
        <v/>
      </c>
      <c r="W12" s="102" t="str">
        <f t="array" ref="W12">_xlfn.XLOOKUP(V12,Stock1!I12,Stock1!F12,"")</f>
        <v/>
      </c>
      <c r="X12" s="102" t="str">
        <f t="array" ref="X12">_xlfn.XLOOKUP(V12,Stock1!I12,Stock1!J12,"")</f>
        <v/>
      </c>
      <c r="Y12" s="102" t="str">
        <f t="array" ref="Y12">_xlfn.XLOOKUP("Screen Protector for Android Phone and Other",Stock1!B12,Stock1!I12,"")</f>
        <v/>
      </c>
      <c r="Z12" s="102" t="str">
        <f t="array" ref="Z12">_xlfn.XLOOKUP("Screen Protector for Galaxy Phone",Stock1!B12,Stock1!I12,"")</f>
        <v/>
      </c>
      <c r="AA12" s="102" t="str">
        <f t="array" ref="AA12">_xlfn.XLOOKUP("Screen Protector for Galaxy Tab",Stock1!B12,Stock1!I12,"")</f>
        <v/>
      </c>
      <c r="AB12" s="102" t="str">
        <f t="shared" si="4"/>
        <v/>
      </c>
      <c r="AC12" s="102" t="str">
        <f t="array" ref="AC12">_xlfn.XLOOKUP(AB12,Stock1!I12,Stock1!F12,"")</f>
        <v/>
      </c>
      <c r="AD12" s="102" t="str">
        <f t="array" ref="AD12">_xlfn.XLOOKUP(AB12,Stock1!I12,Stock1!J12,"")</f>
        <v/>
      </c>
      <c r="AE12" s="102" t="str">
        <f t="array" ref="AE12">_xlfn.XLOOKUP("Storage",Stock1!B12,Stock1!I12,"")</f>
        <v/>
      </c>
      <c r="AF12" s="102" t="str">
        <f t="array" ref="AF12">_xlfn.XLOOKUP(AE12,Stock1!I12,Stock1!F12,"")</f>
        <v/>
      </c>
      <c r="AG12" s="102" t="str">
        <f t="array" ref="AG12">_xlfn.XLOOKUP(AE12,Stock1!I12,Stock1!J12,"")</f>
        <v/>
      </c>
    </row>
    <row r="13">
      <c r="A13" s="657"/>
      <c r="B13" s="657"/>
      <c r="C13" s="658" t="str">
        <f t="array" ref="C13">IFERROR(_xlfn.XLOOKUP(B13,Stock1!F:F,Stock1!E:E,""),"")</f>
        <v/>
      </c>
      <c r="D13" s="659" t="str">
        <f>IFERROR(VLOOKUP(B13,Stock1!F:J,5,False),"")</f>
        <v/>
      </c>
      <c r="E13" s="659" t="str">
        <f>IFERROR(VLOOKUP(B13,Stock2!F:J,5,False),"")</f>
        <v/>
      </c>
      <c r="H13" s="660" t="s">
        <v>1363</v>
      </c>
      <c r="I13" s="663" t="s">
        <v>1364</v>
      </c>
      <c r="J13" s="660">
        <f t="array" ref="J13">IFERROR(_xlfn.XLOOKUP(I13,Stock1!F:F,Stock1!E:E,""),"")</f>
        <v>249</v>
      </c>
      <c r="K13" s="660" t="str">
        <f t="array" ref="K13">IFERROR(_xlfn.XLOOKUP(I13,Incentive!B:B,Incentive!E:E,""),"")</f>
        <v/>
      </c>
      <c r="L13" s="659">
        <f>IFERROR(VLOOKUP(I13,Stock1!F:J,5,False),"")</f>
        <v>19</v>
      </c>
      <c r="M13" s="659">
        <f>IFERROR(VLOOKUP(I13,Stock2!F:J,5,False),"")</f>
        <v>8</v>
      </c>
      <c r="P13" s="661"/>
      <c r="Q13" s="661"/>
      <c r="R13" s="661" t="str">
        <f t="array" ref="R13">IFERROR(_xlfn.XLOOKUP(Q13,Stock1!F:F,Stock1!E:E,""),"")</f>
        <v/>
      </c>
      <c r="S13" s="661" t="str">
        <f>IFERROR(VLOOKUP(Q13,Stock1!F:J,5,False),"")</f>
        <v/>
      </c>
      <c r="T13" s="661" t="str">
        <f>IFERROR(VLOOKUP(Q13,Stock2!F:J,5,False),"")</f>
        <v/>
      </c>
      <c r="V13" s="102" t="str">
        <f t="array" ref="V13">_xlfn.XLOOKUP("Charger",Stock1!B13,Stock1!I13,"")</f>
        <v/>
      </c>
      <c r="W13" s="102" t="str">
        <f t="array" ref="W13">_xlfn.XLOOKUP(V13,Stock1!I13,Stock1!F13,"")</f>
        <v/>
      </c>
      <c r="X13" s="102" t="str">
        <f t="array" ref="X13">_xlfn.XLOOKUP(V13,Stock1!I13,Stock1!J13,"")</f>
        <v/>
      </c>
      <c r="Y13" s="102" t="str">
        <f t="array" ref="Y13">_xlfn.XLOOKUP("Screen Protector for Android Phone and Other",Stock1!B13,Stock1!I13,"")</f>
        <v/>
      </c>
      <c r="Z13" s="102" t="str">
        <f t="array" ref="Z13">_xlfn.XLOOKUP("Screen Protector for Galaxy Phone",Stock1!B13,Stock1!I13,"")</f>
        <v/>
      </c>
      <c r="AA13" s="102" t="str">
        <f t="array" ref="AA13">_xlfn.XLOOKUP("Screen Protector for Galaxy Tab",Stock1!B13,Stock1!I13,"")</f>
        <v/>
      </c>
      <c r="AB13" s="102" t="str">
        <f t="shared" si="4"/>
        <v/>
      </c>
      <c r="AC13" s="102" t="str">
        <f t="array" ref="AC13">_xlfn.XLOOKUP(AB13,Stock1!I13,Stock1!F13,"")</f>
        <v/>
      </c>
      <c r="AD13" s="102" t="str">
        <f t="array" ref="AD13">_xlfn.XLOOKUP(AB13,Stock1!I13,Stock1!J13,"")</f>
        <v/>
      </c>
      <c r="AE13" s="102" t="str">
        <f t="array" ref="AE13">_xlfn.XLOOKUP("Storage",Stock1!B13,Stock1!I13,"")</f>
        <v/>
      </c>
      <c r="AF13" s="102" t="str">
        <f t="array" ref="AF13">_xlfn.XLOOKUP(AE13,Stock1!I13,Stock1!F13,"")</f>
        <v/>
      </c>
      <c r="AG13" s="102" t="str">
        <f t="array" ref="AG13">_xlfn.XLOOKUP(AE13,Stock1!I13,Stock1!J13,"")</f>
        <v/>
      </c>
    </row>
    <row r="14">
      <c r="A14" s="657"/>
      <c r="B14" s="657"/>
      <c r="C14" s="658" t="str">
        <f t="array" ref="C14">IFERROR(_xlfn.XLOOKUP(B14,Stock1!F:F,Stock1!E:E,""),"")</f>
        <v/>
      </c>
      <c r="D14" s="659" t="str">
        <f>IFERROR(VLOOKUP(B14,Stock1!F:J,5,False),"")</f>
        <v/>
      </c>
      <c r="E14" s="659" t="str">
        <f>IFERROR(VLOOKUP(B14,Stock2!F:J,5,False),"")</f>
        <v/>
      </c>
      <c r="H14" s="660" t="s">
        <v>1386</v>
      </c>
      <c r="I14" s="663" t="s">
        <v>1387</v>
      </c>
      <c r="J14" s="660">
        <f t="array" ref="J14">IFERROR(_xlfn.XLOOKUP(I14,Stock1!F:F,Stock1!E:E,""),"")</f>
        <v>299</v>
      </c>
      <c r="K14" s="660" t="str">
        <f t="array" ref="K14">IFERROR(_xlfn.XLOOKUP(I14,Incentive!B:B,Incentive!E:E,""),"")</f>
        <v/>
      </c>
      <c r="L14" s="659">
        <f>IFERROR(VLOOKUP(I14,Stock1!F:J,5,False),"")</f>
        <v>11</v>
      </c>
      <c r="M14" s="659">
        <f>IFERROR(VLOOKUP(I14,Stock2!F:J,5,False),"")</f>
        <v>20</v>
      </c>
      <c r="P14" s="661"/>
      <c r="Q14" s="661"/>
      <c r="R14" s="661" t="str">
        <f t="array" ref="R14">IFERROR(_xlfn.XLOOKUP(Q14,Stock1!F:F,Stock1!E:E,""),"")</f>
        <v/>
      </c>
      <c r="S14" s="661" t="str">
        <f>IFERROR(VLOOKUP(Q14,Stock1!F:J,5,False),"")</f>
        <v/>
      </c>
      <c r="T14" s="661" t="str">
        <f>IFERROR(VLOOKUP(Q14,Stock2!F:J,5,False),"")</f>
        <v/>
      </c>
      <c r="V14" s="102" t="str">
        <f t="array" ref="V14">_xlfn.XLOOKUP("Charger",Stock1!B14,Stock1!I14,"")</f>
        <v/>
      </c>
      <c r="W14" s="102" t="str">
        <f t="array" ref="W14">_xlfn.XLOOKUP(V14,Stock1!I14,Stock1!F14,"")</f>
        <v/>
      </c>
      <c r="X14" s="102" t="str">
        <f t="array" ref="X14">_xlfn.XLOOKUP(V14,Stock1!I14,Stock1!J14,"")</f>
        <v/>
      </c>
      <c r="Y14" s="102" t="str">
        <f t="array" ref="Y14">_xlfn.XLOOKUP("Screen Protector for Android Phone and Other",Stock1!B14,Stock1!I14,"")</f>
        <v/>
      </c>
      <c r="Z14" s="102" t="str">
        <f t="array" ref="Z14">_xlfn.XLOOKUP("Screen Protector for Galaxy Phone",Stock1!B14,Stock1!I14,"")</f>
        <v/>
      </c>
      <c r="AA14" s="102" t="str">
        <f t="array" ref="AA14">_xlfn.XLOOKUP("Screen Protector for Galaxy Tab",Stock1!B14,Stock1!I14,"")</f>
        <v/>
      </c>
      <c r="AB14" s="102" t="str">
        <f t="shared" si="4"/>
        <v/>
      </c>
      <c r="AC14" s="102" t="str">
        <f t="array" ref="AC14">_xlfn.XLOOKUP(AB14,Stock1!I14,Stock1!F14,"")</f>
        <v/>
      </c>
      <c r="AD14" s="102" t="str">
        <f t="array" ref="AD14">_xlfn.XLOOKUP(AB14,Stock1!I14,Stock1!J14,"")</f>
        <v/>
      </c>
      <c r="AE14" s="102" t="str">
        <f t="array" ref="AE14">_xlfn.XLOOKUP("Storage",Stock1!B14,Stock1!I14,"")</f>
        <v/>
      </c>
      <c r="AF14" s="102" t="str">
        <f t="array" ref="AF14">_xlfn.XLOOKUP(AE14,Stock1!I14,Stock1!F14,"")</f>
        <v/>
      </c>
      <c r="AG14" s="102" t="str">
        <f t="array" ref="AG14">_xlfn.XLOOKUP(AE14,Stock1!I14,Stock1!J14,"")</f>
        <v/>
      </c>
    </row>
    <row r="15">
      <c r="A15" s="660"/>
      <c r="B15" s="657"/>
      <c r="C15" s="658" t="str">
        <f t="array" ref="C15">IFERROR(_xlfn.XLOOKUP(B15,Stock1!F:F,Stock1!E:E,""),"")</f>
        <v/>
      </c>
      <c r="D15" s="659" t="str">
        <f>IFERROR(VLOOKUP(B15,Stock1!F:J,5,False),"")</f>
        <v/>
      </c>
      <c r="E15" s="659" t="str">
        <f>IFERROR(VLOOKUP(B15,Stock2!F:J,5,False),"")</f>
        <v/>
      </c>
      <c r="H15" s="660" t="s">
        <v>1440</v>
      </c>
      <c r="I15" s="663" t="s">
        <v>1441</v>
      </c>
      <c r="J15" s="660">
        <f t="array" ref="J15">IFERROR(_xlfn.XLOOKUP(I15,Stock1!F:F,Stock1!E:E,""),"")</f>
        <v>590</v>
      </c>
      <c r="K15" s="660" t="str">
        <f t="array" ref="K15">IFERROR(_xlfn.XLOOKUP(I15,Incentive!B:B,Incentive!E:E,""),"")</f>
        <v/>
      </c>
      <c r="L15" s="659">
        <f>IFERROR(VLOOKUP(I15,Stock1!F:J,5,False),"")</f>
        <v>2</v>
      </c>
      <c r="M15" s="659">
        <f>IFERROR(VLOOKUP(I15,Stock2!F:J,5,False),"")</f>
        <v>2</v>
      </c>
      <c r="P15" s="661"/>
      <c r="Q15" s="661"/>
      <c r="R15" s="661" t="str">
        <f t="array" ref="R15">IFERROR(_xlfn.XLOOKUP(Q15,Stock1!F:F,Stock1!E:E,""),"")</f>
        <v/>
      </c>
      <c r="S15" s="661" t="str">
        <f>IFERROR(VLOOKUP(Q15,Stock1!F:J,5,False),"")</f>
        <v/>
      </c>
      <c r="T15" s="661" t="str">
        <f>IFERROR(VLOOKUP(Q15,Stock2!F:J,5,False),"")</f>
        <v/>
      </c>
      <c r="V15" s="102" t="str">
        <f t="array" ref="V15">_xlfn.XLOOKUP("Charger",Stock1!B15,Stock1!I15,"")</f>
        <v/>
      </c>
      <c r="W15" s="102" t="str">
        <f t="array" ref="W15">_xlfn.XLOOKUP(V15,Stock1!I15,Stock1!F15,"")</f>
        <v/>
      </c>
      <c r="X15" s="102" t="str">
        <f t="array" ref="X15">_xlfn.XLOOKUP(V15,Stock1!I15,Stock1!J15,"")</f>
        <v/>
      </c>
      <c r="Y15" s="102" t="str">
        <f t="array" ref="Y15">_xlfn.XLOOKUP("Screen Protector for Android Phone and Other",Stock1!B15,Stock1!I15,"")</f>
        <v/>
      </c>
      <c r="Z15" s="102" t="str">
        <f t="array" ref="Z15">_xlfn.XLOOKUP("Screen Protector for Galaxy Phone",Stock1!B15,Stock1!I15,"")</f>
        <v/>
      </c>
      <c r="AA15" s="102" t="str">
        <f t="array" ref="AA15">_xlfn.XLOOKUP("Screen Protector for Galaxy Tab",Stock1!B15,Stock1!I15,"")</f>
        <v/>
      </c>
      <c r="AB15" s="102" t="str">
        <f t="shared" si="4"/>
        <v/>
      </c>
      <c r="AC15" s="102" t="str">
        <f t="array" ref="AC15">_xlfn.XLOOKUP(AB15,Stock1!I15,Stock1!F15,"")</f>
        <v/>
      </c>
      <c r="AD15" s="102" t="str">
        <f t="array" ref="AD15">_xlfn.XLOOKUP(AB15,Stock1!I15,Stock1!J15,"")</f>
        <v/>
      </c>
      <c r="AE15" s="102" t="str">
        <f t="array" ref="AE15">_xlfn.XLOOKUP("Storage",Stock1!B15,Stock1!I15,"")</f>
        <v/>
      </c>
      <c r="AF15" s="102" t="str">
        <f t="array" ref="AF15">_xlfn.XLOOKUP(AE15,Stock1!I15,Stock1!F15,"")</f>
        <v/>
      </c>
      <c r="AG15" s="102" t="str">
        <f t="array" ref="AG15">_xlfn.XLOOKUP(AE15,Stock1!I15,Stock1!J15,"")</f>
        <v/>
      </c>
    </row>
    <row r="16">
      <c r="A16" s="660"/>
      <c r="B16" s="657"/>
      <c r="C16" s="658" t="str">
        <f t="array" ref="C16">IFERROR(_xlfn.XLOOKUP(B16,Stock1!F:F,Stock1!E:E,""),"")</f>
        <v/>
      </c>
      <c r="D16" s="659" t="str">
        <f>IFERROR(VLOOKUP(B16,Stock1!F:J,5,False),"")</f>
        <v/>
      </c>
      <c r="E16" s="659" t="str">
        <f>IFERROR(VLOOKUP(B16,Stock2!F:J,5,False),"")</f>
        <v/>
      </c>
      <c r="H16" s="660" t="s">
        <v>889</v>
      </c>
      <c r="I16" s="663" t="s">
        <v>888</v>
      </c>
      <c r="J16" s="660">
        <f t="array" ref="J16">IFERROR(_xlfn.XLOOKUP(I16,Stock1!F:F,Stock1!E:E,""),"")</f>
        <v>290</v>
      </c>
      <c r="K16" s="660">
        <f t="array" ref="K16">IFERROR(_xlfn.XLOOKUP(I16,Incentive!B:B,Incentive!E:E,""),"")</f>
        <v>50</v>
      </c>
      <c r="L16" s="659">
        <f>IFERROR(VLOOKUP(I16,Stock1!F:J,5,False),"")</f>
        <v>32</v>
      </c>
      <c r="M16" s="659" t="str">
        <f>IFERROR(VLOOKUP(I16,Stock2!F:J,5,False),"")</f>
        <v/>
      </c>
      <c r="P16" s="661"/>
      <c r="Q16" s="661"/>
      <c r="R16" s="661" t="str">
        <f t="array" ref="R16">IFERROR(_xlfn.XLOOKUP(Q16,Stock1!F:F,Stock1!E:E,""),"")</f>
        <v/>
      </c>
      <c r="S16" s="661" t="str">
        <f>IFERROR(VLOOKUP(Q16,Stock1!F:J,5,False),"")</f>
        <v/>
      </c>
      <c r="T16" s="661" t="str">
        <f>IFERROR(VLOOKUP(Q16,Stock2!F:J,5,False),"")</f>
        <v/>
      </c>
      <c r="V16" s="102" t="str">
        <f t="array" ref="V16">_xlfn.XLOOKUP("Charger",Stock1!B16,Stock1!I16,"")</f>
        <v/>
      </c>
      <c r="W16" s="102" t="str">
        <f t="array" ref="W16">_xlfn.XLOOKUP(V16,Stock1!I16,Stock1!F16,"")</f>
        <v/>
      </c>
      <c r="X16" s="102" t="str">
        <f t="array" ref="X16">_xlfn.XLOOKUP(V16,Stock1!I16,Stock1!J16,"")</f>
        <v/>
      </c>
      <c r="Y16" s="102" t="str">
        <f t="array" ref="Y16">_xlfn.XLOOKUP("Screen Protector for Android Phone and Other",Stock1!B16,Stock1!I16,"")</f>
        <v/>
      </c>
      <c r="Z16" s="102" t="str">
        <f t="array" ref="Z16">_xlfn.XLOOKUP("Screen Protector for Galaxy Phone",Stock1!B16,Stock1!I16,"")</f>
        <v/>
      </c>
      <c r="AA16" s="102" t="str">
        <f t="array" ref="AA16">_xlfn.XLOOKUP("Screen Protector for Galaxy Tab",Stock1!B16,Stock1!I16,"")</f>
        <v/>
      </c>
      <c r="AB16" s="102" t="str">
        <f t="shared" si="4"/>
        <v/>
      </c>
      <c r="AC16" s="102" t="str">
        <f t="array" ref="AC16">_xlfn.XLOOKUP(AB16,Stock1!I16,Stock1!F16,"")</f>
        <v/>
      </c>
      <c r="AD16" s="102" t="str">
        <f t="array" ref="AD16">_xlfn.XLOOKUP(AB16,Stock1!I16,Stock1!J16,"")</f>
        <v/>
      </c>
      <c r="AE16" s="102" t="str">
        <f t="array" ref="AE16">_xlfn.XLOOKUP("Storage",Stock1!B16,Stock1!I16,"")</f>
        <v/>
      </c>
      <c r="AF16" s="102" t="str">
        <f t="array" ref="AF16">_xlfn.XLOOKUP(AE16,Stock1!I16,Stock1!F16,"")</f>
        <v/>
      </c>
      <c r="AG16" s="102" t="str">
        <f t="array" ref="AG16">_xlfn.XLOOKUP(AE16,Stock1!I16,Stock1!J16,"")</f>
        <v/>
      </c>
    </row>
    <row r="17">
      <c r="A17" s="660"/>
      <c r="B17" s="660"/>
      <c r="C17" s="658" t="str">
        <f t="array" ref="C17">IFERROR(_xlfn.XLOOKUP(B17,Stock1!F:F,Stock1!E:E,""),"")</f>
        <v/>
      </c>
      <c r="D17" s="659" t="str">
        <f>IFERROR(VLOOKUP(B17,Stock1!F:J,5,False),"")</f>
        <v/>
      </c>
      <c r="E17" s="659" t="str">
        <f>IFERROR(VLOOKUP(B17,Stock2!F:J,5,False),"")</f>
        <v/>
      </c>
      <c r="H17" s="660" t="s">
        <v>886</v>
      </c>
      <c r="I17" s="663" t="s">
        <v>884</v>
      </c>
      <c r="J17" s="660">
        <f t="array" ref="J17">IFERROR(_xlfn.XLOOKUP(I17,Stock1!F:F,Stock1!E:E,""),"")</f>
        <v>290</v>
      </c>
      <c r="K17" s="660">
        <f t="array" ref="K17">IFERROR(_xlfn.XLOOKUP(I17,Incentive!B:B,Incentive!E:E,""),"")</f>
        <v>50</v>
      </c>
      <c r="L17" s="659">
        <f>IFERROR(VLOOKUP(I17,Stock1!F:J,5,False),"")</f>
        <v>32</v>
      </c>
      <c r="M17" s="659" t="str">
        <f>IFERROR(VLOOKUP(I17,Stock2!F:J,5,False),"")</f>
        <v/>
      </c>
      <c r="P17" s="661"/>
      <c r="Q17" s="661"/>
      <c r="R17" s="661" t="str">
        <f t="array" ref="R17">IFERROR(_xlfn.XLOOKUP(Q17,Stock1!F:F,Stock1!E:E,""),"")</f>
        <v/>
      </c>
      <c r="S17" s="661" t="str">
        <f>IFERROR(VLOOKUP(Q17,Stock1!F:J,5,False),"")</f>
        <v/>
      </c>
      <c r="T17" s="661" t="str">
        <f>IFERROR(VLOOKUP(Q17,Stock2!F:J,5,False),"")</f>
        <v/>
      </c>
      <c r="V17" s="102" t="str">
        <f t="array" ref="V17">_xlfn.XLOOKUP("Charger",Stock1!B17,Stock1!I17,"")</f>
        <v/>
      </c>
      <c r="W17" s="102" t="str">
        <f t="array" ref="W17">_xlfn.XLOOKUP(V17,Stock1!I17,Stock1!F17,"")</f>
        <v/>
      </c>
      <c r="X17" s="102" t="str">
        <f t="array" ref="X17">_xlfn.XLOOKUP(V17,Stock1!I17,Stock1!J17,"")</f>
        <v/>
      </c>
      <c r="Y17" s="102" t="str">
        <f t="array" ref="Y17">_xlfn.XLOOKUP("Screen Protector for Android Phone and Other",Stock1!B17,Stock1!I17,"")</f>
        <v/>
      </c>
      <c r="Z17" s="102" t="str">
        <f t="array" ref="Z17">_xlfn.XLOOKUP("Screen Protector for Galaxy Phone",Stock1!B17,Stock1!I17,"")</f>
        <v/>
      </c>
      <c r="AA17" s="102" t="str">
        <f t="array" ref="AA17">_xlfn.XLOOKUP("Screen Protector for Galaxy Tab",Stock1!B17,Stock1!I17,"")</f>
        <v/>
      </c>
      <c r="AB17" s="102" t="str">
        <f t="shared" si="4"/>
        <v/>
      </c>
      <c r="AC17" s="102" t="str">
        <f t="array" ref="AC17">_xlfn.XLOOKUP(AB17,Stock1!I17,Stock1!F17,"")</f>
        <v/>
      </c>
      <c r="AD17" s="102" t="str">
        <f t="array" ref="AD17">_xlfn.XLOOKUP(AB17,Stock1!I17,Stock1!J17,"")</f>
        <v/>
      </c>
      <c r="AE17" s="102" t="str">
        <f t="array" ref="AE17">_xlfn.XLOOKUP("Storage",Stock1!B17,Stock1!I17,"")</f>
        <v/>
      </c>
      <c r="AF17" s="102" t="str">
        <f t="array" ref="AF17">_xlfn.XLOOKUP(AE17,Stock1!I17,Stock1!F17,"")</f>
        <v/>
      </c>
      <c r="AG17" s="102" t="str">
        <f t="array" ref="AG17">_xlfn.XLOOKUP(AE17,Stock1!I17,Stock1!J17,"")</f>
        <v/>
      </c>
    </row>
    <row r="18">
      <c r="A18" s="660"/>
      <c r="B18" s="660"/>
      <c r="C18" s="658" t="str">
        <f t="array" ref="C18">IFERROR(_xlfn.XLOOKUP(B18,Stock1!F:F,Stock1!E:E,""),"")</f>
        <v/>
      </c>
      <c r="D18" s="659" t="str">
        <f>IFERROR(VLOOKUP(B18,Stock1!F:J,5,False),"")</f>
        <v/>
      </c>
      <c r="E18" s="659" t="str">
        <f>IFERROR(VLOOKUP(B18,Stock2!F:J,5,False),"")</f>
        <v/>
      </c>
      <c r="H18" s="660" t="s">
        <v>1598</v>
      </c>
      <c r="I18" s="663" t="s">
        <v>546</v>
      </c>
      <c r="J18" s="660">
        <f t="array" ref="J18">IFERROR(_xlfn.XLOOKUP(I18,Stock1!F:F,Stock1!E:E,""),"")</f>
        <v>490</v>
      </c>
      <c r="K18" s="660">
        <f t="array" ref="K18">IFERROR(_xlfn.XLOOKUP(I18,Incentive!B:B,Incentive!E:E,""),"")</f>
        <v>50</v>
      </c>
      <c r="L18" s="659">
        <f>IFERROR(VLOOKUP(I18,Stock1!F:J,5,False),"")</f>
        <v>1</v>
      </c>
      <c r="M18" s="659">
        <f>IFERROR(VLOOKUP(I18,Stock2!F:J,5,False),"")</f>
        <v>2</v>
      </c>
      <c r="P18" s="661"/>
      <c r="Q18" s="661"/>
      <c r="R18" s="661" t="str">
        <f t="array" ref="R18">IFERROR(_xlfn.XLOOKUP(Q18,Stock1!F:F,Stock1!E:E,""),"")</f>
        <v/>
      </c>
      <c r="S18" s="661" t="str">
        <f>IFERROR(VLOOKUP(Q18,Stock1!F:J,5,False),"")</f>
        <v/>
      </c>
      <c r="T18" s="661" t="str">
        <f>IFERROR(VLOOKUP(Q18,Stock2!F:J,5,False),"")</f>
        <v/>
      </c>
      <c r="V18" s="102" t="str">
        <f t="array" ref="V18">_xlfn.XLOOKUP("Charger",Stock1!B18,Stock1!I18,"")</f>
        <v/>
      </c>
      <c r="W18" s="102" t="str">
        <f t="array" ref="W18">_xlfn.XLOOKUP(V18,Stock1!I18,Stock1!F18,"")</f>
        <v/>
      </c>
      <c r="X18" s="102" t="str">
        <f t="array" ref="X18">_xlfn.XLOOKUP(V18,Stock1!I18,Stock1!J18,"")</f>
        <v/>
      </c>
      <c r="Y18" s="102" t="str">
        <f t="array" ref="Y18">_xlfn.XLOOKUP("Screen Protector for Android Phone and Other",Stock1!B18,Stock1!I18,"")</f>
        <v/>
      </c>
      <c r="Z18" s="102" t="str">
        <f t="array" ref="Z18">_xlfn.XLOOKUP("Screen Protector for Galaxy Phone",Stock1!B18,Stock1!I18,"")</f>
        <v/>
      </c>
      <c r="AA18" s="102" t="str">
        <f t="array" ref="AA18">_xlfn.XLOOKUP("Screen Protector for Galaxy Tab",Stock1!B18,Stock1!I18,"")</f>
        <v/>
      </c>
      <c r="AB18" s="102" t="str">
        <f t="shared" si="4"/>
        <v/>
      </c>
      <c r="AC18" s="102" t="str">
        <f t="array" ref="AC18">_xlfn.XLOOKUP(AB18,Stock1!I18,Stock1!F18,"")</f>
        <v/>
      </c>
      <c r="AD18" s="102" t="str">
        <f t="array" ref="AD18">_xlfn.XLOOKUP(AB18,Stock1!I18,Stock1!J18,"")</f>
        <v/>
      </c>
      <c r="AE18" s="102" t="str">
        <f t="array" ref="AE18">_xlfn.XLOOKUP("Storage",Stock1!B18,Stock1!I18,"")</f>
        <v/>
      </c>
      <c r="AF18" s="102" t="str">
        <f t="array" ref="AF18">_xlfn.XLOOKUP(AE18,Stock1!I18,Stock1!F18,"")</f>
        <v/>
      </c>
      <c r="AG18" s="102" t="str">
        <f t="array" ref="AG18">_xlfn.XLOOKUP(AE18,Stock1!I18,Stock1!J18,"")</f>
        <v/>
      </c>
    </row>
    <row r="19">
      <c r="A19" s="660"/>
      <c r="B19" s="660"/>
      <c r="C19" s="658" t="str">
        <f t="array" ref="C19">IFERROR(_xlfn.XLOOKUP(B19,Stock1!F:F,Stock1!E:E,""),"")</f>
        <v/>
      </c>
      <c r="D19" s="659" t="str">
        <f>IFERROR(VLOOKUP(B19,Stock1!F:J,5,False),"")</f>
        <v/>
      </c>
      <c r="E19" s="659" t="str">
        <f>IFERROR(VLOOKUP(B19,Stock2!F:J,5,False),"")</f>
        <v/>
      </c>
      <c r="H19" s="660" t="s">
        <v>1649</v>
      </c>
      <c r="I19" s="663" t="s">
        <v>552</v>
      </c>
      <c r="J19" s="660">
        <f t="array" ref="J19">IFERROR(_xlfn.XLOOKUP(I19,Stock1!F:F,Stock1!E:E,""),"")</f>
        <v>490</v>
      </c>
      <c r="K19" s="660">
        <f t="array" ref="K19">IFERROR(_xlfn.XLOOKUP(I19,Incentive!B:B,Incentive!E:E,""),"")</f>
        <v>50</v>
      </c>
      <c r="L19" s="659">
        <f>IFERROR(VLOOKUP(I19,Stock1!F:J,5,False),"")</f>
        <v>10</v>
      </c>
      <c r="M19" s="659">
        <f>IFERROR(VLOOKUP(I19,Stock2!F:J,5,False),"")</f>
        <v>16</v>
      </c>
      <c r="P19" s="661"/>
      <c r="Q19" s="661"/>
      <c r="R19" s="661" t="str">
        <f t="array" ref="R19">IFERROR(_xlfn.XLOOKUP(Q19,Stock1!F:F,Stock1!E:E,""),"")</f>
        <v/>
      </c>
      <c r="S19" s="661" t="str">
        <f>IFERROR(VLOOKUP(Q19,Stock1!F:J,5,False),"")</f>
        <v/>
      </c>
      <c r="T19" s="661" t="str">
        <f>IFERROR(VLOOKUP(Q19,Stock2!F:J,5,False),"")</f>
        <v/>
      </c>
      <c r="V19" s="102" t="str">
        <f t="array" ref="V19">_xlfn.XLOOKUP("Charger",Stock1!B19,Stock1!I19,"")</f>
        <v/>
      </c>
      <c r="W19" s="102" t="str">
        <f t="array" ref="W19">_xlfn.XLOOKUP(V19,Stock1!I19,Stock1!F19,"")</f>
        <v/>
      </c>
      <c r="X19" s="102" t="str">
        <f t="array" ref="X19">_xlfn.XLOOKUP(V19,Stock1!I19,Stock1!J19,"")</f>
        <v/>
      </c>
      <c r="Y19" s="102" t="str">
        <f t="array" ref="Y19">_xlfn.XLOOKUP("Screen Protector for Android Phone and Other",Stock1!B19,Stock1!I19,"")</f>
        <v/>
      </c>
      <c r="Z19" s="102" t="str">
        <f t="array" ref="Z19">_xlfn.XLOOKUP("Screen Protector for Galaxy Phone",Stock1!B19,Stock1!I19,"")</f>
        <v/>
      </c>
      <c r="AA19" s="102" t="str">
        <f t="array" ref="AA19">_xlfn.XLOOKUP("Screen Protector for Galaxy Tab",Stock1!B19,Stock1!I19,"")</f>
        <v/>
      </c>
      <c r="AB19" s="102" t="str">
        <f t="shared" si="4"/>
        <v/>
      </c>
      <c r="AC19" s="102" t="str">
        <f t="array" ref="AC19">_xlfn.XLOOKUP(AB19,Stock1!I19,Stock1!F19,"")</f>
        <v/>
      </c>
      <c r="AD19" s="102" t="str">
        <f t="array" ref="AD19">_xlfn.XLOOKUP(AB19,Stock1!I19,Stock1!J19,"")</f>
        <v/>
      </c>
      <c r="AE19" s="102" t="str">
        <f t="array" ref="AE19">_xlfn.XLOOKUP("Storage",Stock1!B19,Stock1!I19,"")</f>
        <v/>
      </c>
      <c r="AF19" s="102" t="str">
        <f t="array" ref="AF19">_xlfn.XLOOKUP(AE19,Stock1!I19,Stock1!F19,"")</f>
        <v/>
      </c>
      <c r="AG19" s="102" t="str">
        <f t="array" ref="AG19">_xlfn.XLOOKUP(AE19,Stock1!I19,Stock1!J19,"")</f>
        <v/>
      </c>
    </row>
    <row r="20">
      <c r="H20" s="660" t="s">
        <v>1683</v>
      </c>
      <c r="I20" s="663" t="s">
        <v>555</v>
      </c>
      <c r="J20" s="660">
        <f t="array" ref="J20">IFERROR(_xlfn.XLOOKUP(I20,Stock1!F:F,Stock1!E:E,""),"")</f>
        <v>690</v>
      </c>
      <c r="K20" s="660">
        <f t="array" ref="K20">IFERROR(_xlfn.XLOOKUP(I20,Incentive!B:B,Incentive!E:E,""),"")</f>
        <v>50</v>
      </c>
      <c r="L20" s="659">
        <f>IFERROR(VLOOKUP(I20,Stock1!F:J,5,False),"")</f>
        <v>3</v>
      </c>
      <c r="M20" s="659">
        <f>IFERROR(VLOOKUP(I20,Stock2!F:J,5,False),"")</f>
        <v>5</v>
      </c>
      <c r="P20" s="661"/>
      <c r="Q20" s="661"/>
      <c r="R20" s="661" t="str">
        <f t="array" ref="R20">IFERROR(_xlfn.XLOOKUP(Q20,Stock1!F:F,Stock1!E:E,""),"")</f>
        <v/>
      </c>
      <c r="S20" s="661" t="str">
        <f>IFERROR(VLOOKUP(Q20,Stock1!F:J,5,False),"")</f>
        <v/>
      </c>
      <c r="T20" s="661" t="str">
        <f>IFERROR(VLOOKUP(Q20,Stock2!F:J,5,False),"")</f>
        <v/>
      </c>
      <c r="V20" s="102" t="str">
        <f t="array" ref="V20">_xlfn.XLOOKUP("Charger",Stock1!B20,Stock1!I20,"")</f>
        <v/>
      </c>
      <c r="W20" s="102" t="str">
        <f t="array" ref="W20">_xlfn.XLOOKUP(V20,Stock1!I20,Stock1!F20,"")</f>
        <v/>
      </c>
      <c r="X20" s="102" t="str">
        <f t="array" ref="X20">_xlfn.XLOOKUP(V20,Stock1!I20,Stock1!J20,"")</f>
        <v/>
      </c>
      <c r="Y20" s="102" t="str">
        <f t="array" ref="Y20">_xlfn.XLOOKUP("Screen Protector for Android Phone and Other",Stock1!B20,Stock1!I20,"")</f>
        <v/>
      </c>
      <c r="Z20" s="102" t="str">
        <f t="array" ref="Z20">_xlfn.XLOOKUP("Screen Protector for Galaxy Phone",Stock1!B20,Stock1!I20,"")</f>
        <v/>
      </c>
      <c r="AA20" s="102" t="str">
        <f t="array" ref="AA20">_xlfn.XLOOKUP("Screen Protector for Galaxy Tab",Stock1!B20,Stock1!I20,"")</f>
        <v/>
      </c>
      <c r="AB20" s="102" t="str">
        <f t="shared" si="4"/>
        <v/>
      </c>
      <c r="AC20" s="102" t="str">
        <f t="array" ref="AC20">_xlfn.XLOOKUP(AB20,Stock1!I20,Stock1!F20,"")</f>
        <v/>
      </c>
      <c r="AD20" s="102" t="str">
        <f t="array" ref="AD20">_xlfn.XLOOKUP(AB20,Stock1!I20,Stock1!J20,"")</f>
        <v/>
      </c>
      <c r="AE20" s="102" t="str">
        <f t="array" ref="AE20">_xlfn.XLOOKUP("Storage",Stock1!B20,Stock1!I20,"")</f>
        <v/>
      </c>
      <c r="AF20" s="102" t="str">
        <f t="array" ref="AF20">_xlfn.XLOOKUP(AE20,Stock1!I20,Stock1!F20,"")</f>
        <v/>
      </c>
      <c r="AG20" s="102" t="str">
        <f t="array" ref="AG20">_xlfn.XLOOKUP(AE20,Stock1!I20,Stock1!J20,"")</f>
        <v/>
      </c>
    </row>
    <row r="21">
      <c r="H21" s="660" t="s">
        <v>1017</v>
      </c>
      <c r="I21" s="663" t="s">
        <v>1016</v>
      </c>
      <c r="J21" s="660">
        <f t="array" ref="J21">IFERROR(_xlfn.XLOOKUP(I21,Stock1!F:F,Stock1!E:E,""),"")</f>
        <v>590</v>
      </c>
      <c r="K21" s="660">
        <f t="array" ref="K21">IFERROR(_xlfn.XLOOKUP(I21,Incentive!B:B,Incentive!E:E,""),"")</f>
        <v>50</v>
      </c>
      <c r="L21" s="659">
        <f>IFERROR(VLOOKUP(I21,Stock1!F:J,5,False),"")</f>
        <v>4</v>
      </c>
      <c r="M21" s="659">
        <f>IFERROR(VLOOKUP(I21,Stock2!F:J,5,False),"")</f>
        <v>5</v>
      </c>
      <c r="P21" s="661"/>
      <c r="Q21" s="661"/>
      <c r="R21" s="661" t="str">
        <f t="array" ref="R21">IFERROR(_xlfn.XLOOKUP(Q21,Stock1!F:F,Stock1!E:E,""),"")</f>
        <v/>
      </c>
      <c r="S21" s="661" t="str">
        <f>IFERROR(VLOOKUP(Q21,Stock1!F:J,5,False),"")</f>
        <v/>
      </c>
      <c r="T21" s="661" t="str">
        <f>IFERROR(VLOOKUP(Q21,Stock2!F:J,5,False),"")</f>
        <v/>
      </c>
      <c r="V21" s="102" t="str">
        <f t="array" ref="V21">_xlfn.XLOOKUP("Charger",Stock1!B21,Stock1!I21,"")</f>
        <v/>
      </c>
      <c r="W21" s="102" t="str">
        <f t="array" ref="W21">_xlfn.XLOOKUP(V21,Stock1!I21,Stock1!F21,"")</f>
        <v/>
      </c>
      <c r="X21" s="102" t="str">
        <f t="array" ref="X21">_xlfn.XLOOKUP(V21,Stock1!I21,Stock1!J21,"")</f>
        <v/>
      </c>
      <c r="Y21" s="102" t="str">
        <f t="array" ref="Y21">_xlfn.XLOOKUP("Screen Protector for Android Phone and Other",Stock1!B21,Stock1!I21,"")</f>
        <v/>
      </c>
      <c r="Z21" s="102" t="str">
        <f t="array" ref="Z21">_xlfn.XLOOKUP("Screen Protector for Galaxy Phone",Stock1!B21,Stock1!I21,"")</f>
        <v/>
      </c>
      <c r="AA21" s="102" t="str">
        <f t="array" ref="AA21">_xlfn.XLOOKUP("Screen Protector for Galaxy Tab",Stock1!B21,Stock1!I21,"")</f>
        <v/>
      </c>
      <c r="AB21" s="102" t="str">
        <f t="shared" si="4"/>
        <v/>
      </c>
      <c r="AC21" s="102" t="str">
        <f t="array" ref="AC21">_xlfn.XLOOKUP(AB21,Stock1!I21,Stock1!F21,"")</f>
        <v/>
      </c>
      <c r="AD21" s="102" t="str">
        <f t="array" ref="AD21">_xlfn.XLOOKUP(AB21,Stock1!I21,Stock1!J21,"")</f>
        <v/>
      </c>
      <c r="AE21" s="102" t="str">
        <f t="array" ref="AE21">_xlfn.XLOOKUP("Storage",Stock1!B21,Stock1!I21,"")</f>
        <v/>
      </c>
      <c r="AF21" s="102" t="str">
        <f t="array" ref="AF21">_xlfn.XLOOKUP(AE21,Stock1!I21,Stock1!F21,"")</f>
        <v/>
      </c>
      <c r="AG21" s="102" t="str">
        <f t="array" ref="AG21">_xlfn.XLOOKUP(AE21,Stock1!I21,Stock1!J21,"")</f>
        <v/>
      </c>
    </row>
    <row r="22">
      <c r="H22" s="660" t="s">
        <v>1710</v>
      </c>
      <c r="I22" s="663" t="s">
        <v>1709</v>
      </c>
      <c r="J22" s="660">
        <f t="array" ref="J22">IFERROR(_xlfn.XLOOKUP(I22,Stock1!F:F,Stock1!E:E,""),"")</f>
        <v>590</v>
      </c>
      <c r="K22" s="660" t="str">
        <f t="array" ref="K22">IFERROR(_xlfn.XLOOKUP(I22,Incentive!B:B,Incentive!E:E,""),"")</f>
        <v/>
      </c>
      <c r="L22" s="659">
        <f>IFERROR(VLOOKUP(I22,Stock1!F:J,5,False),"")</f>
        <v>1</v>
      </c>
      <c r="M22" s="659" t="str">
        <f>IFERROR(VLOOKUP(I22,Stock2!F:J,5,False),"")</f>
        <v/>
      </c>
      <c r="P22" s="661"/>
      <c r="Q22" s="661"/>
      <c r="R22" s="661" t="str">
        <f t="array" ref="R22">IFERROR(_xlfn.XLOOKUP(Q22,Stock1!F:F,Stock1!E:E,""),"")</f>
        <v/>
      </c>
      <c r="S22" s="661" t="str">
        <f>IFERROR(VLOOKUP(Q22,Stock1!F:J,5,False),"")</f>
        <v/>
      </c>
      <c r="T22" s="661" t="str">
        <f>IFERROR(VLOOKUP(Q22,Stock2!F:J,5,False),"")</f>
        <v/>
      </c>
      <c r="V22" s="102" t="str">
        <f t="array" ref="V22">_xlfn.XLOOKUP("Charger",Stock1!B22,Stock1!I22,"")</f>
        <v/>
      </c>
      <c r="W22" s="102" t="str">
        <f t="array" ref="W22">_xlfn.XLOOKUP(V22,Stock1!I22,Stock1!F22,"")</f>
        <v/>
      </c>
      <c r="X22" s="102" t="str">
        <f t="array" ref="X22">_xlfn.XLOOKUP(V22,Stock1!I22,Stock1!J22,"")</f>
        <v/>
      </c>
      <c r="Y22" s="102" t="str">
        <f t="array" ref="Y22">_xlfn.XLOOKUP("Screen Protector for Android Phone and Other",Stock1!B22,Stock1!I22,"")</f>
        <v/>
      </c>
      <c r="Z22" s="102" t="str">
        <f t="array" ref="Z22">_xlfn.XLOOKUP("Screen Protector for Galaxy Phone",Stock1!B22,Stock1!I22,"")</f>
        <v/>
      </c>
      <c r="AA22" s="102" t="str">
        <f t="array" ref="AA22">_xlfn.XLOOKUP("Screen Protector for Galaxy Tab",Stock1!B22,Stock1!I22,"")</f>
        <v/>
      </c>
      <c r="AB22" s="102" t="str">
        <f t="shared" si="4"/>
        <v/>
      </c>
      <c r="AC22" s="102" t="str">
        <f t="array" ref="AC22">_xlfn.XLOOKUP(AB22,Stock1!I22,Stock1!F22,"")</f>
        <v/>
      </c>
      <c r="AD22" s="102" t="str">
        <f t="array" ref="AD22">_xlfn.XLOOKUP(AB22,Stock1!I22,Stock1!J22,"")</f>
        <v/>
      </c>
      <c r="AE22" s="102" t="str">
        <f t="array" ref="AE22">_xlfn.XLOOKUP("Storage",Stock1!B22,Stock1!I22,"")</f>
        <v/>
      </c>
      <c r="AF22" s="102" t="str">
        <f t="array" ref="AF22">_xlfn.XLOOKUP(AE22,Stock1!I22,Stock1!F22,"")</f>
        <v/>
      </c>
      <c r="AG22" s="102" t="str">
        <f t="array" ref="AG22">_xlfn.XLOOKUP(AE22,Stock1!I22,Stock1!J22,"")</f>
        <v/>
      </c>
    </row>
    <row r="23">
      <c r="H23" s="660" t="s">
        <v>1712</v>
      </c>
      <c r="I23" s="663" t="s">
        <v>1711</v>
      </c>
      <c r="J23" s="660">
        <f t="array" ref="J23">IFERROR(_xlfn.XLOOKUP(I23,Stock1!F:F,Stock1!E:E,""),"")</f>
        <v>490</v>
      </c>
      <c r="K23" s="660" t="str">
        <f t="array" ref="K23">IFERROR(_xlfn.XLOOKUP(I23,Incentive!B:B,Incentive!E:E,""),"")</f>
        <v/>
      </c>
      <c r="L23" s="659">
        <f>IFERROR(VLOOKUP(I23,Stock1!F:J,5,False),"")</f>
        <v>2</v>
      </c>
      <c r="M23" s="659">
        <f>IFERROR(VLOOKUP(I23,Stock2!F:J,5,False),"")</f>
        <v>4</v>
      </c>
      <c r="P23" s="661"/>
      <c r="Q23" s="661"/>
      <c r="R23" s="661" t="str">
        <f t="array" ref="R23">IFERROR(_xlfn.XLOOKUP(Q23,Stock1!F:F,Stock1!E:E,""),"")</f>
        <v/>
      </c>
      <c r="S23" s="661" t="str">
        <f>IFERROR(VLOOKUP(Q23,Stock1!F:J,5,False),"")</f>
        <v/>
      </c>
      <c r="T23" s="661" t="str">
        <f>IFERROR(VLOOKUP(Q23,Stock2!F:J,5,False),"")</f>
        <v/>
      </c>
      <c r="V23" s="102" t="str">
        <f t="array" ref="V23">_xlfn.XLOOKUP("Charger",Stock1!B23,Stock1!I23,"")</f>
        <v/>
      </c>
      <c r="W23" s="102" t="str">
        <f t="array" ref="W23">_xlfn.XLOOKUP(V23,Stock1!I23,Stock1!F23,"")</f>
        <v/>
      </c>
      <c r="X23" s="102" t="str">
        <f t="array" ref="X23">_xlfn.XLOOKUP(V23,Stock1!I23,Stock1!J23,"")</f>
        <v/>
      </c>
      <c r="Y23" s="102" t="str">
        <f t="array" ref="Y23">_xlfn.XLOOKUP("Screen Protector for Android Phone and Other",Stock1!B23,Stock1!I23,"")</f>
        <v/>
      </c>
      <c r="Z23" s="102" t="str">
        <f t="array" ref="Z23">_xlfn.XLOOKUP("Screen Protector for Galaxy Phone",Stock1!B23,Stock1!I23,"")</f>
        <v/>
      </c>
      <c r="AA23" s="102" t="str">
        <f t="array" ref="AA23">_xlfn.XLOOKUP("Screen Protector for Galaxy Tab",Stock1!B23,Stock1!I23,"")</f>
        <v/>
      </c>
      <c r="AB23" s="102" t="str">
        <f t="shared" si="4"/>
        <v/>
      </c>
      <c r="AC23" s="102" t="str">
        <f t="array" ref="AC23">_xlfn.XLOOKUP(AB23,Stock1!I23,Stock1!F23,"")</f>
        <v/>
      </c>
      <c r="AD23" s="102" t="str">
        <f t="array" ref="AD23">_xlfn.XLOOKUP(AB23,Stock1!I23,Stock1!J23,"")</f>
        <v/>
      </c>
      <c r="AE23" s="102" t="str">
        <f t="array" ref="AE23">_xlfn.XLOOKUP("Storage",Stock1!B23,Stock1!I23,"")</f>
        <v/>
      </c>
      <c r="AF23" s="102" t="str">
        <f t="array" ref="AF23">_xlfn.XLOOKUP(AE23,Stock1!I23,Stock1!F23,"")</f>
        <v/>
      </c>
      <c r="AG23" s="102" t="str">
        <f t="array" ref="AG23">_xlfn.XLOOKUP(AE23,Stock1!I23,Stock1!J23,"")</f>
        <v/>
      </c>
    </row>
    <row r="24">
      <c r="H24" s="660" t="s">
        <v>1714</v>
      </c>
      <c r="I24" s="663" t="s">
        <v>1713</v>
      </c>
      <c r="J24" s="660">
        <f t="array" ref="J24">IFERROR(_xlfn.XLOOKUP(I24,Stock1!F:F,Stock1!E:E,""),"")</f>
        <v>490</v>
      </c>
      <c r="K24" s="660" t="str">
        <f t="array" ref="K24">IFERROR(_xlfn.XLOOKUP(I24,Incentive!B:B,Incentive!E:E,""),"")</f>
        <v/>
      </c>
      <c r="L24" s="659">
        <f>IFERROR(VLOOKUP(I24,Stock1!F:J,5,False),"")</f>
        <v>3</v>
      </c>
      <c r="M24" s="659">
        <f>IFERROR(VLOOKUP(I24,Stock2!F:J,5,False),"")</f>
        <v>10</v>
      </c>
      <c r="P24" s="661"/>
      <c r="Q24" s="661"/>
      <c r="R24" s="661" t="str">
        <f t="array" ref="R24">IFERROR(_xlfn.XLOOKUP(Q24,Stock1!F:F,Stock1!E:E,""),"")</f>
        <v/>
      </c>
      <c r="S24" s="661" t="str">
        <f>IFERROR(VLOOKUP(Q24,Stock1!F:J,5,False),"")</f>
        <v/>
      </c>
      <c r="T24" s="661" t="str">
        <f>IFERROR(VLOOKUP(Q24,Stock2!F:J,5,False),"")</f>
        <v/>
      </c>
      <c r="V24" s="102" t="str">
        <f t="array" ref="V24">_xlfn.XLOOKUP("Charger",Stock1!B24,Stock1!I24,"")</f>
        <v/>
      </c>
      <c r="W24" s="102" t="str">
        <f t="array" ref="W24">_xlfn.XLOOKUP(V24,Stock1!I24,Stock1!F24,"")</f>
        <v/>
      </c>
      <c r="X24" s="102" t="str">
        <f t="array" ref="X24">_xlfn.XLOOKUP(V24,Stock1!I24,Stock1!J24,"")</f>
        <v/>
      </c>
      <c r="Y24" s="102" t="str">
        <f t="array" ref="Y24">_xlfn.XLOOKUP("Screen Protector for Android Phone and Other",Stock1!B24,Stock1!I24,"")</f>
        <v/>
      </c>
      <c r="Z24" s="102" t="str">
        <f t="array" ref="Z24">_xlfn.XLOOKUP("Screen Protector for Galaxy Phone",Stock1!B24,Stock1!I24,"")</f>
        <v/>
      </c>
      <c r="AA24" s="102" t="str">
        <f t="array" ref="AA24">_xlfn.XLOOKUP("Screen Protector for Galaxy Tab",Stock1!B24,Stock1!I24,"")</f>
        <v/>
      </c>
      <c r="AB24" s="102" t="str">
        <f t="shared" si="4"/>
        <v/>
      </c>
      <c r="AC24" s="102" t="str">
        <f t="array" ref="AC24">_xlfn.XLOOKUP(AB24,Stock1!I24,Stock1!F24,"")</f>
        <v/>
      </c>
      <c r="AD24" s="102" t="str">
        <f t="array" ref="AD24">_xlfn.XLOOKUP(AB24,Stock1!I24,Stock1!J24,"")</f>
        <v/>
      </c>
      <c r="AE24" s="102" t="str">
        <f t="array" ref="AE24">_xlfn.XLOOKUP("Storage",Stock1!B24,Stock1!I24,"")</f>
        <v/>
      </c>
      <c r="AF24" s="102" t="str">
        <f t="array" ref="AF24">_xlfn.XLOOKUP(AE24,Stock1!I24,Stock1!F24,"")</f>
        <v/>
      </c>
      <c r="AG24" s="102" t="str">
        <f t="array" ref="AG24">_xlfn.XLOOKUP(AE24,Stock1!I24,Stock1!J24,"")</f>
        <v/>
      </c>
    </row>
    <row r="25">
      <c r="H25" s="660" t="s">
        <v>1716</v>
      </c>
      <c r="I25" s="663" t="s">
        <v>1715</v>
      </c>
      <c r="J25" s="660">
        <f t="array" ref="J25">IFERROR(_xlfn.XLOOKUP(I25,Stock1!F:F,Stock1!E:E,""),"")</f>
        <v>490</v>
      </c>
      <c r="K25" s="660" t="str">
        <f t="array" ref="K25">IFERROR(_xlfn.XLOOKUP(I25,Incentive!B:B,Incentive!E:E,""),"")</f>
        <v/>
      </c>
      <c r="L25" s="659">
        <f>IFERROR(VLOOKUP(I25,Stock1!F:J,5,False),"")</f>
        <v>15</v>
      </c>
      <c r="M25" s="659">
        <f>IFERROR(VLOOKUP(I25,Stock2!F:J,5,False),"")</f>
        <v>33</v>
      </c>
      <c r="P25" s="661"/>
      <c r="Q25" s="661"/>
      <c r="R25" s="661" t="str">
        <f t="array" ref="R25">IFERROR(_xlfn.XLOOKUP(Q25,Stock1!F:F,Stock1!E:E,""),"")</f>
        <v/>
      </c>
      <c r="S25" s="661" t="str">
        <f>IFERROR(VLOOKUP(Q25,Stock1!F:J,5,False),"")</f>
        <v/>
      </c>
      <c r="T25" s="661" t="str">
        <f>IFERROR(VLOOKUP(Q25,Stock2!F:J,5,False),"")</f>
        <v/>
      </c>
      <c r="V25" s="102" t="str">
        <f t="array" ref="V25">_xlfn.XLOOKUP("Charger",Stock1!B25,Stock1!I25,"")</f>
        <v/>
      </c>
      <c r="W25" s="102" t="str">
        <f t="array" ref="W25">_xlfn.XLOOKUP(V25,Stock1!I25,Stock1!F25,"")</f>
        <v/>
      </c>
      <c r="X25" s="102" t="str">
        <f t="array" ref="X25">_xlfn.XLOOKUP(V25,Stock1!I25,Stock1!J25,"")</f>
        <v/>
      </c>
      <c r="Y25" s="102" t="str">
        <f t="array" ref="Y25">_xlfn.XLOOKUP("Screen Protector for Android Phone and Other",Stock1!B25,Stock1!I25,"")</f>
        <v/>
      </c>
      <c r="Z25" s="102" t="str">
        <f t="array" ref="Z25">_xlfn.XLOOKUP("Screen Protector for Galaxy Phone",Stock1!B25,Stock1!I25,"")</f>
        <v/>
      </c>
      <c r="AA25" s="102" t="str">
        <f t="array" ref="AA25">_xlfn.XLOOKUP("Screen Protector for Galaxy Tab",Stock1!B25,Stock1!I25,"")</f>
        <v/>
      </c>
      <c r="AB25" s="102" t="str">
        <f t="shared" si="4"/>
        <v/>
      </c>
      <c r="AC25" s="102" t="str">
        <f t="array" ref="AC25">_xlfn.XLOOKUP(AB25,Stock1!I25,Stock1!F25,"")</f>
        <v/>
      </c>
      <c r="AD25" s="102" t="str">
        <f t="array" ref="AD25">_xlfn.XLOOKUP(AB25,Stock1!I25,Stock1!J25,"")</f>
        <v/>
      </c>
      <c r="AE25" s="102" t="str">
        <f t="array" ref="AE25">_xlfn.XLOOKUP("Storage",Stock1!B25,Stock1!I25,"")</f>
        <v/>
      </c>
      <c r="AF25" s="102" t="str">
        <f t="array" ref="AF25">_xlfn.XLOOKUP(AE25,Stock1!I25,Stock1!F25,"")</f>
        <v/>
      </c>
      <c r="AG25" s="102" t="str">
        <f t="array" ref="AG25">_xlfn.XLOOKUP(AE25,Stock1!I25,Stock1!J25,"")</f>
        <v/>
      </c>
    </row>
    <row r="26">
      <c r="H26" s="660" t="s">
        <v>1718</v>
      </c>
      <c r="I26" s="663" t="s">
        <v>1717</v>
      </c>
      <c r="J26" s="660">
        <f t="array" ref="J26">IFERROR(_xlfn.XLOOKUP(I26,Stock1!F:F,Stock1!E:E,""),"")</f>
        <v>690</v>
      </c>
      <c r="K26" s="660" t="str">
        <f t="array" ref="K26">IFERROR(_xlfn.XLOOKUP(I26,Incentive!B:B,Incentive!E:E,""),"")</f>
        <v/>
      </c>
      <c r="L26" s="659">
        <f>IFERROR(VLOOKUP(I26,Stock1!F:J,5,False),"")</f>
        <v>5</v>
      </c>
      <c r="M26" s="659">
        <f>IFERROR(VLOOKUP(I26,Stock2!F:J,5,False),"")</f>
        <v>10</v>
      </c>
      <c r="P26" s="661"/>
      <c r="Q26" s="661"/>
      <c r="R26" s="661" t="str">
        <f t="array" ref="R26">IFERROR(_xlfn.XLOOKUP(Q26,Stock1!F:F,Stock1!E:E,""),"")</f>
        <v/>
      </c>
      <c r="S26" s="661" t="str">
        <f>IFERROR(VLOOKUP(Q26,Stock1!F:J,5,False),"")</f>
        <v/>
      </c>
      <c r="T26" s="661" t="str">
        <f>IFERROR(VLOOKUP(Q26,Stock2!F:J,5,False),"")</f>
        <v/>
      </c>
      <c r="V26" s="102" t="str">
        <f t="array" ref="V26">_xlfn.XLOOKUP("Charger",Stock1!B26,Stock1!I26,"")</f>
        <v/>
      </c>
      <c r="W26" s="102" t="str">
        <f t="array" ref="W26">_xlfn.XLOOKUP(V26,Stock1!I26,Stock1!F26,"")</f>
        <v/>
      </c>
      <c r="X26" s="102" t="str">
        <f t="array" ref="X26">_xlfn.XLOOKUP(V26,Stock1!I26,Stock1!J26,"")</f>
        <v/>
      </c>
      <c r="Y26" s="102" t="str">
        <f t="array" ref="Y26">_xlfn.XLOOKUP("Screen Protector for Android Phone and Other",Stock1!B26,Stock1!I26,"")</f>
        <v/>
      </c>
      <c r="Z26" s="102" t="str">
        <f t="array" ref="Z26">_xlfn.XLOOKUP("Screen Protector for Galaxy Phone",Stock1!B26,Stock1!I26,"")</f>
        <v/>
      </c>
      <c r="AA26" s="102" t="str">
        <f t="array" ref="AA26">_xlfn.XLOOKUP("Screen Protector for Galaxy Tab",Stock1!B26,Stock1!I26,"")</f>
        <v/>
      </c>
      <c r="AB26" s="102" t="str">
        <f t="shared" si="4"/>
        <v/>
      </c>
      <c r="AC26" s="102" t="str">
        <f t="array" ref="AC26">_xlfn.XLOOKUP(AB26,Stock1!I26,Stock1!F26,"")</f>
        <v/>
      </c>
      <c r="AD26" s="102" t="str">
        <f t="array" ref="AD26">_xlfn.XLOOKUP(AB26,Stock1!I26,Stock1!J26,"")</f>
        <v/>
      </c>
      <c r="AE26" s="102" t="str">
        <f t="array" ref="AE26">_xlfn.XLOOKUP("Storage",Stock1!B26,Stock1!I26,"")</f>
        <v/>
      </c>
      <c r="AF26" s="102" t="str">
        <f t="array" ref="AF26">_xlfn.XLOOKUP(AE26,Stock1!I26,Stock1!F26,"")</f>
        <v/>
      </c>
      <c r="AG26" s="102" t="str">
        <f t="array" ref="AG26">_xlfn.XLOOKUP(AE26,Stock1!I26,Stock1!J26,"")</f>
        <v/>
      </c>
    </row>
    <row r="27">
      <c r="H27" s="660" t="s">
        <v>1720</v>
      </c>
      <c r="I27" s="663" t="s">
        <v>1719</v>
      </c>
      <c r="J27" s="660">
        <f t="array" ref="J27">IFERROR(_xlfn.XLOOKUP(I27,Stock1!F:F,Stock1!E:E,""),"")</f>
        <v>690</v>
      </c>
      <c r="K27" s="660" t="str">
        <f t="array" ref="K27">IFERROR(_xlfn.XLOOKUP(I27,Incentive!B:B,Incentive!E:E,""),"")</f>
        <v/>
      </c>
      <c r="L27" s="659">
        <f>IFERROR(VLOOKUP(I27,Stock1!F:J,5,False),"")</f>
        <v>6</v>
      </c>
      <c r="M27" s="659">
        <f>IFERROR(VLOOKUP(I27,Stock2!F:J,5,False),"")</f>
        <v>5</v>
      </c>
      <c r="P27" s="661"/>
      <c r="Q27" s="661"/>
      <c r="R27" s="661" t="str">
        <f t="array" ref="R27">IFERROR(_xlfn.XLOOKUP(Q27,Stock1!F:F,Stock1!E:E,""),"")</f>
        <v/>
      </c>
      <c r="S27" s="661" t="str">
        <f>IFERROR(VLOOKUP(Q27,Stock1!F:J,5,False),"")</f>
        <v/>
      </c>
      <c r="T27" s="661" t="str">
        <f>IFERROR(VLOOKUP(Q27,Stock2!F:J,5,False),"")</f>
        <v/>
      </c>
      <c r="V27" s="102" t="str">
        <f t="array" ref="V27">_xlfn.XLOOKUP("Charger",Stock1!B27,Stock1!I27,"")</f>
        <v/>
      </c>
      <c r="W27" s="102" t="str">
        <f t="array" ref="W27">_xlfn.XLOOKUP(V27,Stock1!I27,Stock1!F27,"")</f>
        <v/>
      </c>
      <c r="X27" s="102" t="str">
        <f t="array" ref="X27">_xlfn.XLOOKUP(V27,Stock1!I27,Stock1!J27,"")</f>
        <v/>
      </c>
      <c r="Y27" s="102" t="str">
        <f t="array" ref="Y27">_xlfn.XLOOKUP("Screen Protector for Android Phone and Other",Stock1!B27,Stock1!I27,"")</f>
        <v/>
      </c>
      <c r="Z27" s="102" t="str">
        <f t="array" ref="Z27">_xlfn.XLOOKUP("Screen Protector for Galaxy Phone",Stock1!B27,Stock1!I27,"")</f>
        <v/>
      </c>
      <c r="AA27" s="102" t="str">
        <f t="array" ref="AA27">_xlfn.XLOOKUP("Screen Protector for Galaxy Tab",Stock1!B27,Stock1!I27,"")</f>
        <v/>
      </c>
      <c r="AB27" s="102" t="str">
        <f t="shared" si="4"/>
        <v/>
      </c>
      <c r="AC27" s="102" t="str">
        <f t="array" ref="AC27">_xlfn.XLOOKUP(AB27,Stock1!I27,Stock1!F27,"")</f>
        <v/>
      </c>
      <c r="AD27" s="102" t="str">
        <f t="array" ref="AD27">_xlfn.XLOOKUP(AB27,Stock1!I27,Stock1!J27,"")</f>
        <v/>
      </c>
      <c r="AE27" s="102" t="str">
        <f t="array" ref="AE27">_xlfn.XLOOKUP("Storage",Stock1!B27,Stock1!I27,"")</f>
        <v/>
      </c>
      <c r="AF27" s="102" t="str">
        <f t="array" ref="AF27">_xlfn.XLOOKUP(AE27,Stock1!I27,Stock1!F27,"")</f>
        <v/>
      </c>
      <c r="AG27" s="102" t="str">
        <f t="array" ref="AG27">_xlfn.XLOOKUP(AE27,Stock1!I27,Stock1!J27,"")</f>
        <v/>
      </c>
    </row>
    <row r="28">
      <c r="H28" s="660" t="s">
        <v>1722</v>
      </c>
      <c r="I28" s="663" t="s">
        <v>1721</v>
      </c>
      <c r="J28" s="660">
        <f t="array" ref="J28">IFERROR(_xlfn.XLOOKUP(I28,Stock1!F:F,Stock1!E:E,""),"")</f>
        <v>890</v>
      </c>
      <c r="K28" s="660" t="str">
        <f t="array" ref="K28">IFERROR(_xlfn.XLOOKUP(I28,Incentive!B:B,Incentive!E:E,""),"")</f>
        <v/>
      </c>
      <c r="L28" s="659">
        <f>IFERROR(VLOOKUP(I28,Stock1!F:J,5,False),"")</f>
        <v>2</v>
      </c>
      <c r="M28" s="659">
        <f>IFERROR(VLOOKUP(I28,Stock2!F:J,5,False),"")</f>
        <v>8</v>
      </c>
      <c r="P28" s="661"/>
      <c r="Q28" s="661"/>
      <c r="R28" s="661" t="str">
        <f t="array" ref="R28">IFERROR(_xlfn.XLOOKUP(Q28,Stock1!F:F,Stock1!E:E,""),"")</f>
        <v/>
      </c>
      <c r="S28" s="661" t="str">
        <f>IFERROR(VLOOKUP(Q28,Stock1!F:J,5,False),"")</f>
        <v/>
      </c>
      <c r="T28" s="661" t="str">
        <f>IFERROR(VLOOKUP(Q28,Stock2!F:J,5,False),"")</f>
        <v/>
      </c>
      <c r="V28" s="102" t="str">
        <f t="array" ref="V28">_xlfn.XLOOKUP("Charger",Stock1!B28,Stock1!I28,"")</f>
        <v/>
      </c>
      <c r="W28" s="102" t="str">
        <f t="array" ref="W28">_xlfn.XLOOKUP(V28,Stock1!I28,Stock1!F28,"")</f>
        <v/>
      </c>
      <c r="X28" s="102" t="str">
        <f t="array" ref="X28">_xlfn.XLOOKUP(V28,Stock1!I28,Stock1!J28,"")</f>
        <v/>
      </c>
      <c r="Y28" s="102" t="str">
        <f t="array" ref="Y28">_xlfn.XLOOKUP("Screen Protector for Android Phone and Other",Stock1!B28,Stock1!I28,"")</f>
        <v/>
      </c>
      <c r="Z28" s="102" t="str">
        <f t="array" ref="Z28">_xlfn.XLOOKUP("Screen Protector for Galaxy Phone",Stock1!B28,Stock1!I28,"")</f>
        <v/>
      </c>
      <c r="AA28" s="102" t="str">
        <f t="array" ref="AA28">_xlfn.XLOOKUP("Screen Protector for Galaxy Tab",Stock1!B28,Stock1!I28,"")</f>
        <v/>
      </c>
      <c r="AB28" s="102" t="str">
        <f t="shared" si="4"/>
        <v/>
      </c>
      <c r="AC28" s="102" t="str">
        <f t="array" ref="AC28">_xlfn.XLOOKUP(AB28,Stock1!I28,Stock1!F28,"")</f>
        <v/>
      </c>
      <c r="AD28" s="102" t="str">
        <f t="array" ref="AD28">_xlfn.XLOOKUP(AB28,Stock1!I28,Stock1!J28,"")</f>
        <v/>
      </c>
      <c r="AE28" s="102" t="str">
        <f t="array" ref="AE28">_xlfn.XLOOKUP("Storage",Stock1!B28,Stock1!I28,"")</f>
        <v/>
      </c>
      <c r="AF28" s="102" t="str">
        <f t="array" ref="AF28">_xlfn.XLOOKUP(AE28,Stock1!I28,Stock1!F28,"")</f>
        <v/>
      </c>
      <c r="AG28" s="102" t="str">
        <f t="array" ref="AG28">_xlfn.XLOOKUP(AE28,Stock1!I28,Stock1!J28,"")</f>
        <v/>
      </c>
    </row>
    <row r="29">
      <c r="H29" s="706" t="s">
        <v>1724</v>
      </c>
      <c r="I29" s="707" t="s">
        <v>1723</v>
      </c>
      <c r="J29" s="660">
        <f t="array" ref="J29">IFERROR(_xlfn.XLOOKUP(I29,Stock1!F:F,Stock1!E:E,""),"")</f>
        <v>249</v>
      </c>
      <c r="K29" s="660" t="str">
        <f t="array" ref="K29">IFERROR(_xlfn.XLOOKUP(I29,Incentive!B:B,Incentive!E:E,""),"")</f>
        <v/>
      </c>
      <c r="L29" s="659">
        <f>IFERROR(VLOOKUP(I29,Stock1!F:J,5,False),"")</f>
        <v>5</v>
      </c>
      <c r="M29" s="659">
        <f>IFERROR(VLOOKUP(I29,Stock2!F:J,5,False),"")</f>
        <v>4</v>
      </c>
      <c r="P29" s="661"/>
      <c r="Q29" s="661"/>
      <c r="R29" s="661" t="str">
        <f t="array" ref="R29">IFERROR(_xlfn.XLOOKUP(Q29,Stock1!F:F,Stock1!E:E,""),"")</f>
        <v/>
      </c>
      <c r="S29" s="661" t="str">
        <f>IFERROR(VLOOKUP(Q29,Stock1!F:J,5,False),"")</f>
        <v/>
      </c>
      <c r="T29" s="661" t="str">
        <f>IFERROR(VLOOKUP(Q29,Stock2!F:J,5,False),"")</f>
        <v/>
      </c>
      <c r="V29" s="102" t="str">
        <f t="array" ref="V29">_xlfn.XLOOKUP("Charger",Stock1!B29,Stock1!I29,"")</f>
        <v/>
      </c>
      <c r="W29" s="102" t="str">
        <f t="array" ref="W29">_xlfn.XLOOKUP(V29,Stock1!I29,Stock1!F29,"")</f>
        <v/>
      </c>
      <c r="X29" s="102" t="str">
        <f t="array" ref="X29">_xlfn.XLOOKUP(V29,Stock1!I29,Stock1!J29,"")</f>
        <v/>
      </c>
      <c r="Y29" s="102" t="str">
        <f t="array" ref="Y29">_xlfn.XLOOKUP("Screen Protector for Android Phone and Other",Stock1!B29,Stock1!I29,"")</f>
        <v/>
      </c>
      <c r="Z29" s="102" t="str">
        <f t="array" ref="Z29">_xlfn.XLOOKUP("Screen Protector for Galaxy Phone",Stock1!B29,Stock1!I29,"")</f>
        <v/>
      </c>
      <c r="AA29" s="102" t="str">
        <f t="array" ref="AA29">_xlfn.XLOOKUP("Screen Protector for Galaxy Tab",Stock1!B29,Stock1!I29,"")</f>
        <v/>
      </c>
      <c r="AB29" s="102" t="str">
        <f t="shared" si="4"/>
        <v/>
      </c>
      <c r="AC29" s="102" t="str">
        <f t="array" ref="AC29">_xlfn.XLOOKUP(AB29,Stock1!I29,Stock1!F29,"")</f>
        <v/>
      </c>
      <c r="AD29" s="102" t="str">
        <f t="array" ref="AD29">_xlfn.XLOOKUP(AB29,Stock1!I29,Stock1!J29,"")</f>
        <v/>
      </c>
      <c r="AE29" s="102" t="str">
        <f t="array" ref="AE29">_xlfn.XLOOKUP("Storage",Stock1!B29,Stock1!I29,"")</f>
        <v/>
      </c>
      <c r="AF29" s="102" t="str">
        <f t="array" ref="AF29">_xlfn.XLOOKUP(AE29,Stock1!I29,Stock1!F29,"")</f>
        <v/>
      </c>
      <c r="AG29" s="102" t="str">
        <f t="array" ref="AG29">_xlfn.XLOOKUP(AE29,Stock1!I29,Stock1!J29,"")</f>
        <v/>
      </c>
    </row>
    <row r="30">
      <c r="H30" s="706" t="s">
        <v>1726</v>
      </c>
      <c r="I30" s="707" t="s">
        <v>1725</v>
      </c>
      <c r="J30" s="660">
        <f t="array" ref="J30">IFERROR(_xlfn.XLOOKUP(I30,Stock1!F:F,Stock1!E:E,""),"")</f>
        <v>490</v>
      </c>
      <c r="K30" s="660" t="str">
        <f t="array" ref="K30">IFERROR(_xlfn.XLOOKUP(I30,Incentive!B:B,Incentive!E:E,""),"")</f>
        <v/>
      </c>
      <c r="L30" s="659">
        <f>IFERROR(VLOOKUP(I30,Stock1!F:J,5,False),"")</f>
        <v>2</v>
      </c>
      <c r="M30" s="659">
        <f>IFERROR(VLOOKUP(I30,Stock2!F:J,5,False),"")</f>
        <v>8</v>
      </c>
      <c r="P30" s="661"/>
      <c r="Q30" s="661"/>
      <c r="R30" s="661" t="str">
        <f t="array" ref="R30">IFERROR(_xlfn.XLOOKUP(Q30,Stock1!F:F,Stock1!E:E,""),"")</f>
        <v/>
      </c>
      <c r="S30" s="661" t="str">
        <f>IFERROR(VLOOKUP(Q30,Stock1!F:J,5,False),"")</f>
        <v/>
      </c>
      <c r="T30" s="661" t="str">
        <f>IFERROR(VLOOKUP(Q30,Stock2!F:J,5,False),"")</f>
        <v/>
      </c>
      <c r="V30" s="102" t="str">
        <f t="array" ref="V30">_xlfn.XLOOKUP("Charger",Stock1!B30,Stock1!I30,"")</f>
        <v/>
      </c>
      <c r="W30" s="102" t="str">
        <f t="array" ref="W30">_xlfn.XLOOKUP(V30,Stock1!I30,Stock1!F30,"")</f>
        <v/>
      </c>
      <c r="X30" s="102" t="str">
        <f t="array" ref="X30">_xlfn.XLOOKUP(V30,Stock1!I30,Stock1!J30,"")</f>
        <v/>
      </c>
      <c r="Y30" s="102" t="str">
        <f t="array" ref="Y30">_xlfn.XLOOKUP("Screen Protector for Android Phone and Other",Stock1!B30,Stock1!I30,"")</f>
        <v/>
      </c>
      <c r="Z30" s="102" t="str">
        <f t="array" ref="Z30">_xlfn.XLOOKUP("Screen Protector for Galaxy Phone",Stock1!B30,Stock1!I30,"")</f>
        <v/>
      </c>
      <c r="AA30" s="102" t="str">
        <f t="array" ref="AA30">_xlfn.XLOOKUP("Screen Protector for Galaxy Tab",Stock1!B30,Stock1!I30,"")</f>
        <v/>
      </c>
      <c r="AB30" s="102" t="str">
        <f t="shared" si="4"/>
        <v/>
      </c>
      <c r="AC30" s="102" t="str">
        <f t="array" ref="AC30">_xlfn.XLOOKUP(AB30,Stock1!I30,Stock1!F30,"")</f>
        <v/>
      </c>
      <c r="AD30" s="102" t="str">
        <f t="array" ref="AD30">_xlfn.XLOOKUP(AB30,Stock1!I30,Stock1!J30,"")</f>
        <v/>
      </c>
      <c r="AE30" s="102" t="str">
        <f t="array" ref="AE30">_xlfn.XLOOKUP("Storage",Stock1!B30,Stock1!I30,"")</f>
        <v/>
      </c>
      <c r="AF30" s="102" t="str">
        <f t="array" ref="AF30">_xlfn.XLOOKUP(AE30,Stock1!I30,Stock1!F30,"")</f>
        <v/>
      </c>
      <c r="AG30" s="102" t="str">
        <f t="array" ref="AG30">_xlfn.XLOOKUP(AE30,Stock1!I30,Stock1!J30,"")</f>
        <v/>
      </c>
    </row>
    <row r="31">
      <c r="H31" s="706" t="s">
        <v>1728</v>
      </c>
      <c r="I31" s="707" t="s">
        <v>1727</v>
      </c>
      <c r="J31" s="660">
        <f t="array" ref="J31">IFERROR(_xlfn.XLOOKUP(I31,Stock1!F:F,Stock1!E:E,""),"")</f>
        <v>490</v>
      </c>
      <c r="K31" s="660" t="str">
        <f t="array" ref="K31">IFERROR(_xlfn.XLOOKUP(I31,Incentive!B:B,Incentive!E:E,""),"")</f>
        <v/>
      </c>
      <c r="L31" s="659">
        <f>IFERROR(VLOOKUP(I31,Stock1!F:J,5,False),"")</f>
        <v>5</v>
      </c>
      <c r="M31" s="659">
        <f>IFERROR(VLOOKUP(I31,Stock2!F:J,5,False),"")</f>
        <v>8</v>
      </c>
      <c r="P31" s="661"/>
      <c r="Q31" s="661"/>
      <c r="R31" s="661" t="str">
        <f t="array" ref="R31">IFERROR(_xlfn.XLOOKUP(Q31,Stock1!F:F,Stock1!E:E,""),"")</f>
        <v/>
      </c>
      <c r="S31" s="661" t="str">
        <f>IFERROR(VLOOKUP(Q31,Stock1!F:J,5,False),"")</f>
        <v/>
      </c>
      <c r="T31" s="661" t="str">
        <f>IFERROR(VLOOKUP(Q31,Stock2!F:J,5,False),"")</f>
        <v/>
      </c>
      <c r="V31" s="102" t="str">
        <f t="array" ref="V31">_xlfn.XLOOKUP("Charger",Stock1!B31,Stock1!I31,"")</f>
        <v/>
      </c>
      <c r="W31" s="102" t="str">
        <f t="array" ref="W31">_xlfn.XLOOKUP(V31,Stock1!I31,Stock1!F31,"")</f>
        <v/>
      </c>
      <c r="X31" s="102" t="str">
        <f t="array" ref="X31">_xlfn.XLOOKUP(V31,Stock1!I31,Stock1!J31,"")</f>
        <v/>
      </c>
      <c r="Y31" s="102" t="str">
        <f t="array" ref="Y31">_xlfn.XLOOKUP("Screen Protector for Android Phone and Other",Stock1!B31,Stock1!I31,"")</f>
        <v/>
      </c>
      <c r="Z31" s="102" t="str">
        <f t="array" ref="Z31">_xlfn.XLOOKUP("Screen Protector for Galaxy Phone",Stock1!B31,Stock1!I31,"")</f>
        <v/>
      </c>
      <c r="AA31" s="102" t="str">
        <f t="array" ref="AA31">_xlfn.XLOOKUP("Screen Protector for Galaxy Tab",Stock1!B31,Stock1!I31,"")</f>
        <v/>
      </c>
      <c r="AB31" s="102" t="str">
        <f t="shared" si="4"/>
        <v/>
      </c>
      <c r="AC31" s="102" t="str">
        <f t="array" ref="AC31">_xlfn.XLOOKUP(AB31,Stock1!I31,Stock1!F31,"")</f>
        <v/>
      </c>
      <c r="AD31" s="102" t="str">
        <f t="array" ref="AD31">_xlfn.XLOOKUP(AB31,Stock1!I31,Stock1!J31,"")</f>
        <v/>
      </c>
      <c r="AE31" s="102" t="str">
        <f t="array" ref="AE31">_xlfn.XLOOKUP("Storage",Stock1!B31,Stock1!I31,"")</f>
        <v/>
      </c>
      <c r="AF31" s="102" t="str">
        <f t="array" ref="AF31">_xlfn.XLOOKUP(AE31,Stock1!I31,Stock1!F31,"")</f>
        <v/>
      </c>
      <c r="AG31" s="102" t="str">
        <f t="array" ref="AG31">_xlfn.XLOOKUP(AE31,Stock1!I31,Stock1!J31,"")</f>
        <v/>
      </c>
    </row>
    <row r="32">
      <c r="H32" s="706" t="s">
        <v>1730</v>
      </c>
      <c r="I32" s="707" t="s">
        <v>1729</v>
      </c>
      <c r="J32" s="660">
        <f t="array" ref="J32">IFERROR(_xlfn.XLOOKUP(I32,Stock1!F:F,Stock1!E:E,""),"")</f>
        <v>590</v>
      </c>
      <c r="K32" s="660" t="str">
        <f t="array" ref="K32">IFERROR(_xlfn.XLOOKUP(I32,Incentive!B:B,Incentive!E:E,""),"")</f>
        <v/>
      </c>
      <c r="L32" s="659">
        <f>IFERROR(VLOOKUP(I32,Stock1!F:J,5,False),"")</f>
        <v>21</v>
      </c>
      <c r="M32" s="659">
        <f>IFERROR(VLOOKUP(I32,Stock2!F:J,5,False),"")</f>
        <v>20</v>
      </c>
      <c r="R32" s="102" t="str">
        <f t="array" ref="R32">IFERROR(_xlfn.XLOOKUP(Q32,Stock1!F:F,Stock1!E:E,""),"")</f>
        <v/>
      </c>
      <c r="S32" s="102" t="str">
        <f>IFERROR(VLOOKUP(Q32,Stock1!F:J,5,False),"")</f>
        <v/>
      </c>
      <c r="T32" s="102" t="str">
        <f>IFERROR(VLOOKUP(Q32,Stock2!F:J,5,False),"")</f>
        <v/>
      </c>
      <c r="V32" s="102" t="str">
        <f t="array" ref="V32">_xlfn.XLOOKUP("Charger",Stock1!B32,Stock1!I32,"")</f>
        <v/>
      </c>
      <c r="W32" s="102" t="str">
        <f t="array" ref="W32">_xlfn.XLOOKUP(V32,Stock1!I32,Stock1!F32,"")</f>
        <v/>
      </c>
      <c r="X32" s="102" t="str">
        <f t="array" ref="X32">_xlfn.XLOOKUP(V32,Stock1!I32,Stock1!J32,"")</f>
        <v/>
      </c>
      <c r="Y32" s="102" t="str">
        <f t="array" ref="Y32">_xlfn.XLOOKUP("Screen Protector for Android Phone and Other",Stock1!B32,Stock1!I32,"")</f>
        <v/>
      </c>
      <c r="Z32" s="102" t="str">
        <f t="array" ref="Z32">_xlfn.XLOOKUP("Screen Protector for Galaxy Phone",Stock1!B32,Stock1!I32,"")</f>
        <v/>
      </c>
      <c r="AA32" s="102" t="str">
        <f t="array" ref="AA32">_xlfn.XLOOKUP("Screen Protector for Galaxy Tab",Stock1!B32,Stock1!I32,"")</f>
        <v/>
      </c>
      <c r="AB32" s="102" t="str">
        <f t="shared" si="4"/>
        <v/>
      </c>
      <c r="AC32" s="102" t="str">
        <f t="array" ref="AC32">_xlfn.XLOOKUP(AB32,Stock1!I32,Stock1!F32,"")</f>
        <v/>
      </c>
      <c r="AD32" s="102" t="str">
        <f t="array" ref="AD32">_xlfn.XLOOKUP(AB32,Stock1!I32,Stock1!J32,"")</f>
        <v/>
      </c>
      <c r="AE32" s="102" t="str">
        <f t="array" ref="AE32">_xlfn.XLOOKUP("Storage",Stock1!B32,Stock1!I32,"")</f>
        <v/>
      </c>
      <c r="AF32" s="102" t="str">
        <f t="array" ref="AF32">_xlfn.XLOOKUP(AE32,Stock1!I32,Stock1!F32,"")</f>
        <v/>
      </c>
      <c r="AG32" s="102" t="str">
        <f t="array" ref="AG32">_xlfn.XLOOKUP(AE32,Stock1!I32,Stock1!J32,"")</f>
        <v/>
      </c>
    </row>
    <row r="33">
      <c r="H33" s="706" t="s">
        <v>1732</v>
      </c>
      <c r="I33" s="707" t="s">
        <v>1731</v>
      </c>
      <c r="J33" s="660">
        <f t="array" ref="J33">IFERROR(_xlfn.XLOOKUP(I33,Stock1!F:F,Stock1!E:E,""),"")</f>
        <v>590</v>
      </c>
      <c r="K33" s="660" t="str">
        <f t="array" ref="K33">IFERROR(_xlfn.XLOOKUP(I33,Incentive!B:B,Incentive!E:E,""),"")</f>
        <v/>
      </c>
      <c r="L33" s="659">
        <f>IFERROR(VLOOKUP(I33,Stock1!F:J,5,False),"")</f>
        <v>5</v>
      </c>
      <c r="M33" s="659" t="str">
        <f>IFERROR(VLOOKUP(I33,Stock2!F:J,5,False),"")</f>
        <v/>
      </c>
      <c r="R33" s="102" t="str">
        <f t="array" ref="R33">IFERROR(_xlfn.XLOOKUP(Q33,Stock1!F:F,Stock1!E:E,""),"")</f>
        <v/>
      </c>
      <c r="S33" s="102" t="str">
        <f>IFERROR(VLOOKUP(Q33,Stock1!F:J,5,False),"")</f>
        <v/>
      </c>
      <c r="T33" s="102" t="str">
        <f>IFERROR(VLOOKUP(Q33,Stock2!F:J,5,False),"")</f>
        <v/>
      </c>
      <c r="V33" s="102" t="str">
        <f t="array" ref="V33">_xlfn.XLOOKUP("Charger",Stock1!B33,Stock1!I33,"")</f>
        <v/>
      </c>
      <c r="W33" s="102" t="str">
        <f t="array" ref="W33">_xlfn.XLOOKUP(V33,Stock1!I33,Stock1!F33,"")</f>
        <v/>
      </c>
      <c r="X33" s="102" t="str">
        <f t="array" ref="X33">_xlfn.XLOOKUP(V33,Stock1!I33,Stock1!J33,"")</f>
        <v/>
      </c>
      <c r="Y33" s="102" t="str">
        <f t="array" ref="Y33">_xlfn.XLOOKUP("Screen Protector for Android Phone and Other",Stock1!B33,Stock1!I33,"")</f>
        <v/>
      </c>
      <c r="Z33" s="102" t="str">
        <f t="array" ref="Z33">_xlfn.XLOOKUP("Screen Protector for Galaxy Phone",Stock1!B33,Stock1!I33,"")</f>
        <v/>
      </c>
      <c r="AA33" s="102" t="str">
        <f t="array" ref="AA33">_xlfn.XLOOKUP("Screen Protector for Galaxy Tab",Stock1!B33,Stock1!I33,"")</f>
        <v/>
      </c>
      <c r="AB33" s="102" t="str">
        <f t="shared" si="4"/>
        <v/>
      </c>
      <c r="AC33" s="102" t="str">
        <f t="array" ref="AC33">_xlfn.XLOOKUP(AB33,Stock1!I33,Stock1!F33,"")</f>
        <v/>
      </c>
      <c r="AD33" s="102" t="str">
        <f t="array" ref="AD33">_xlfn.XLOOKUP(AB33,Stock1!I33,Stock1!J33,"")</f>
        <v/>
      </c>
      <c r="AE33" s="102" t="str">
        <f t="array" ref="AE33">_xlfn.XLOOKUP("Storage",Stock1!B33,Stock1!I33,"")</f>
        <v/>
      </c>
      <c r="AF33" s="102" t="str">
        <f t="array" ref="AF33">_xlfn.XLOOKUP(AE33,Stock1!I33,Stock1!F33,"")</f>
        <v/>
      </c>
      <c r="AG33" s="102" t="str">
        <f t="array" ref="AG33">_xlfn.XLOOKUP(AE33,Stock1!I33,Stock1!J33,"")</f>
        <v/>
      </c>
    </row>
    <row r="34">
      <c r="H34" s="706" t="s">
        <v>1734</v>
      </c>
      <c r="I34" s="707" t="s">
        <v>1733</v>
      </c>
      <c r="J34" s="660">
        <f t="array" ref="J34">IFERROR(_xlfn.XLOOKUP(I34,Stock1!F:F,Stock1!E:E,""),"")</f>
        <v>590</v>
      </c>
      <c r="K34" s="660" t="str">
        <f t="array" ref="K34">IFERROR(_xlfn.XLOOKUP(I34,Incentive!B:B,Incentive!E:E,""),"")</f>
        <v/>
      </c>
      <c r="L34" s="659">
        <f>IFERROR(VLOOKUP(I34,Stock1!F:J,5,False),"")</f>
        <v>5</v>
      </c>
      <c r="M34" s="659" t="str">
        <f>IFERROR(VLOOKUP(I34,Stock2!F:J,5,False),"")</f>
        <v/>
      </c>
      <c r="R34" s="102" t="str">
        <f t="array" ref="R34">IFERROR(_xlfn.XLOOKUP(Q34,Stock1!F:F,Stock1!E:E,""),"")</f>
        <v/>
      </c>
      <c r="S34" s="102" t="str">
        <f>IFERROR(VLOOKUP(Q34,Stock1!F:J,5,False),"")</f>
        <v/>
      </c>
      <c r="T34" s="102" t="str">
        <f>IFERROR(VLOOKUP(Q34,Stock2!F:J,5,False),"")</f>
        <v/>
      </c>
      <c r="V34" s="102" t="str">
        <f t="array" ref="V34">_xlfn.XLOOKUP("Charger",Stock1!B34,Stock1!I34,"")</f>
        <v/>
      </c>
      <c r="W34" s="102" t="str">
        <f t="array" ref="W34">_xlfn.XLOOKUP(V34,Stock1!I34,Stock1!F34,"")</f>
        <v/>
      </c>
      <c r="X34" s="102" t="str">
        <f t="array" ref="X34">_xlfn.XLOOKUP(V34,Stock1!I34,Stock1!J34,"")</f>
        <v/>
      </c>
      <c r="Y34" s="102" t="str">
        <f t="array" ref="Y34">_xlfn.XLOOKUP("Screen Protector for Android Phone and Other",Stock1!B34,Stock1!I34,"")</f>
        <v/>
      </c>
      <c r="Z34" s="102" t="str">
        <f t="array" ref="Z34">_xlfn.XLOOKUP("Screen Protector for Galaxy Phone",Stock1!B34,Stock1!I34,"")</f>
        <v/>
      </c>
      <c r="AA34" s="102" t="str">
        <f t="array" ref="AA34">_xlfn.XLOOKUP("Screen Protector for Galaxy Tab",Stock1!B34,Stock1!I34,"")</f>
        <v/>
      </c>
      <c r="AB34" s="102" t="str">
        <f t="shared" si="4"/>
        <v/>
      </c>
      <c r="AC34" s="102" t="str">
        <f t="array" ref="AC34">_xlfn.XLOOKUP(AB34,Stock1!I34,Stock1!F34,"")</f>
        <v/>
      </c>
      <c r="AD34" s="102" t="str">
        <f t="array" ref="AD34">_xlfn.XLOOKUP(AB34,Stock1!I34,Stock1!J34,"")</f>
        <v/>
      </c>
      <c r="AE34" s="102" t="str">
        <f t="array" ref="AE34">_xlfn.XLOOKUP("Storage",Stock1!B34,Stock1!I34,"")</f>
        <v/>
      </c>
      <c r="AF34" s="102" t="str">
        <f t="array" ref="AF34">_xlfn.XLOOKUP(AE34,Stock1!I34,Stock1!F34,"")</f>
        <v/>
      </c>
      <c r="AG34" s="102" t="str">
        <f t="array" ref="AG34">_xlfn.XLOOKUP(AE34,Stock1!I34,Stock1!J34,"")</f>
        <v/>
      </c>
    </row>
    <row r="35">
      <c r="H35" s="706" t="s">
        <v>1736</v>
      </c>
      <c r="I35" s="707" t="s">
        <v>1735</v>
      </c>
      <c r="J35" s="660">
        <f t="array" ref="J35">IFERROR(_xlfn.XLOOKUP(I35,Stock1!F:F,Stock1!E:E,""),"")</f>
        <v>590</v>
      </c>
      <c r="K35" s="660" t="str">
        <f t="array" ref="K35">IFERROR(_xlfn.XLOOKUP(I35,Incentive!B:B,Incentive!E:E,""),"")</f>
        <v/>
      </c>
      <c r="L35" s="659">
        <f>IFERROR(VLOOKUP(I35,Stock1!F:J,5,False),"")</f>
        <v>6</v>
      </c>
      <c r="M35" s="659">
        <f>IFERROR(VLOOKUP(I35,Stock2!F:J,5,False),"")</f>
        <v>5</v>
      </c>
      <c r="R35" s="102" t="str">
        <f t="array" ref="R35">IFERROR(_xlfn.XLOOKUP(Q35,Stock1!F:F,Stock1!E:E,""),"")</f>
        <v/>
      </c>
      <c r="S35" s="102" t="str">
        <f>IFERROR(VLOOKUP(Q35,Stock1!F:J,5,False),"")</f>
        <v/>
      </c>
      <c r="T35" s="102" t="str">
        <f>IFERROR(VLOOKUP(Q35,Stock2!F:J,5,False),"")</f>
        <v/>
      </c>
      <c r="V35" s="102" t="str">
        <f t="array" ref="V35">_xlfn.XLOOKUP("Charger",Stock1!B35,Stock1!I35,"")</f>
        <v/>
      </c>
      <c r="W35" s="102" t="str">
        <f t="array" ref="W35">_xlfn.XLOOKUP(V35,Stock1!I35,Stock1!F35,"")</f>
        <v/>
      </c>
      <c r="X35" s="102" t="str">
        <f t="array" ref="X35">_xlfn.XLOOKUP(V35,Stock1!I35,Stock1!J35,"")</f>
        <v/>
      </c>
      <c r="Y35" s="102" t="str">
        <f t="array" ref="Y35">_xlfn.XLOOKUP("Screen Protector for Android Phone and Other",Stock1!B35,Stock1!I35,"")</f>
        <v/>
      </c>
      <c r="Z35" s="102" t="str">
        <f t="array" ref="Z35">_xlfn.XLOOKUP("Screen Protector for Galaxy Phone",Stock1!B35,Stock1!I35,"")</f>
        <v/>
      </c>
      <c r="AA35" s="102" t="str">
        <f t="array" ref="AA35">_xlfn.XLOOKUP("Screen Protector for Galaxy Tab",Stock1!B35,Stock1!I35,"")</f>
        <v/>
      </c>
      <c r="AB35" s="102" t="str">
        <f t="shared" si="4"/>
        <v/>
      </c>
      <c r="AC35" s="102" t="str">
        <f t="array" ref="AC35">_xlfn.XLOOKUP(AB35,Stock1!I35,Stock1!F35,"")</f>
        <v/>
      </c>
      <c r="AD35" s="102" t="str">
        <f t="array" ref="AD35">_xlfn.XLOOKUP(AB35,Stock1!I35,Stock1!J35,"")</f>
        <v/>
      </c>
      <c r="AE35" s="102" t="str">
        <f t="array" ref="AE35">_xlfn.XLOOKUP("Storage",Stock1!B35,Stock1!I35,"")</f>
        <v/>
      </c>
      <c r="AF35" s="102" t="str">
        <f t="array" ref="AF35">_xlfn.XLOOKUP(AE35,Stock1!I35,Stock1!F35,"")</f>
        <v/>
      </c>
      <c r="AG35" s="102" t="str">
        <f t="array" ref="AG35">_xlfn.XLOOKUP(AE35,Stock1!I35,Stock1!J35,"")</f>
        <v/>
      </c>
    </row>
    <row r="36">
      <c r="H36" s="706" t="s">
        <v>1738</v>
      </c>
      <c r="I36" s="707" t="s">
        <v>1737</v>
      </c>
      <c r="J36" s="660">
        <f t="array" ref="J36">IFERROR(_xlfn.XLOOKUP(I36,Stock1!F:F,Stock1!E:E,""),"")</f>
        <v>590</v>
      </c>
      <c r="K36" s="660" t="str">
        <f t="array" ref="K36">IFERROR(_xlfn.XLOOKUP(I36,Incentive!B:B,Incentive!E:E,""),"")</f>
        <v/>
      </c>
      <c r="L36" s="659">
        <f>IFERROR(VLOOKUP(I36,Stock1!F:J,5,False),"")</f>
        <v>1</v>
      </c>
      <c r="M36" s="659">
        <f>IFERROR(VLOOKUP(I36,Stock2!F:J,5,False),"")</f>
        <v>1</v>
      </c>
      <c r="R36" s="102" t="str">
        <f t="array" ref="R36">IFERROR(_xlfn.XLOOKUP(Q36,Stock1!F:F,Stock1!E:E,""),"")</f>
        <v/>
      </c>
      <c r="S36" s="102" t="str">
        <f>IFERROR(VLOOKUP(Q36,Stock1!F:J,5,False),"")</f>
        <v/>
      </c>
      <c r="T36" s="102" t="str">
        <f>IFERROR(VLOOKUP(Q36,Stock2!F:J,5,False),"")</f>
        <v/>
      </c>
      <c r="V36" s="102" t="str">
        <f t="array" ref="V36">_xlfn.XLOOKUP("Charger",Stock1!B36,Stock1!I36,"")</f>
        <v/>
      </c>
      <c r="W36" s="102" t="str">
        <f t="array" ref="W36">_xlfn.XLOOKUP(V36,Stock1!I36,Stock1!F36,"")</f>
        <v/>
      </c>
      <c r="X36" s="102" t="str">
        <f t="array" ref="X36">_xlfn.XLOOKUP(V36,Stock1!I36,Stock1!J36,"")</f>
        <v/>
      </c>
      <c r="Y36" s="102" t="str">
        <f t="array" ref="Y36">_xlfn.XLOOKUP("Screen Protector for Android Phone and Other",Stock1!B36,Stock1!I36,"")</f>
        <v/>
      </c>
      <c r="Z36" s="102" t="str">
        <f t="array" ref="Z36">_xlfn.XLOOKUP("Screen Protector for Galaxy Phone",Stock1!B36,Stock1!I36,"")</f>
        <v/>
      </c>
      <c r="AA36" s="102" t="str">
        <f t="array" ref="AA36">_xlfn.XLOOKUP("Screen Protector for Galaxy Tab",Stock1!B36,Stock1!I36,"")</f>
        <v/>
      </c>
      <c r="AB36" s="102" t="str">
        <f t="shared" si="4"/>
        <v/>
      </c>
      <c r="AC36" s="102" t="str">
        <f t="array" ref="AC36">_xlfn.XLOOKUP(AB36,Stock1!I36,Stock1!F36,"")</f>
        <v/>
      </c>
      <c r="AD36" s="102" t="str">
        <f t="array" ref="AD36">_xlfn.XLOOKUP(AB36,Stock1!I36,Stock1!J36,"")</f>
        <v/>
      </c>
      <c r="AE36" s="102" t="str">
        <f t="array" ref="AE36">_xlfn.XLOOKUP("Storage",Stock1!B36,Stock1!I36,"")</f>
        <v/>
      </c>
      <c r="AF36" s="102" t="str">
        <f t="array" ref="AF36">_xlfn.XLOOKUP(AE36,Stock1!I36,Stock1!F36,"")</f>
        <v/>
      </c>
      <c r="AG36" s="102" t="str">
        <f t="array" ref="AG36">_xlfn.XLOOKUP(AE36,Stock1!I36,Stock1!J36,"")</f>
        <v/>
      </c>
    </row>
    <row r="37">
      <c r="H37" s="706" t="s">
        <v>1740</v>
      </c>
      <c r="I37" s="707" t="s">
        <v>1739</v>
      </c>
      <c r="J37" s="660">
        <f t="array" ref="J37">IFERROR(_xlfn.XLOOKUP(I37,Stock1!F:F,Stock1!E:E,""),"")</f>
        <v>590</v>
      </c>
      <c r="K37" s="660" t="str">
        <f t="array" ref="K37">IFERROR(_xlfn.XLOOKUP(I37,Incentive!B:B,Incentive!E:E,""),"")</f>
        <v/>
      </c>
      <c r="L37" s="659">
        <f>IFERROR(VLOOKUP(I37,Stock1!F:J,5,False),"")</f>
        <v>2</v>
      </c>
      <c r="M37" s="659">
        <f>IFERROR(VLOOKUP(I37,Stock2!F:J,5,False),"")</f>
        <v>1</v>
      </c>
      <c r="R37" s="102" t="str">
        <f t="array" ref="R37">IFERROR(_xlfn.XLOOKUP(Q37,Stock1!F:F,Stock1!E:E,""),"")</f>
        <v/>
      </c>
      <c r="S37" s="102" t="str">
        <f>IFERROR(VLOOKUP(Q37,Stock1!F:J,5,False),"")</f>
        <v/>
      </c>
      <c r="T37" s="102" t="str">
        <f>IFERROR(VLOOKUP(Q37,Stock2!F:J,5,False),"")</f>
        <v/>
      </c>
      <c r="V37" s="102" t="str">
        <f t="array" ref="V37">_xlfn.XLOOKUP("Charger",Stock1!B37,Stock1!I37,"")</f>
        <v/>
      </c>
      <c r="W37" s="102" t="str">
        <f t="array" ref="W37">_xlfn.XLOOKUP(V37,Stock1!I37,Stock1!F37,"")</f>
        <v/>
      </c>
      <c r="X37" s="102" t="str">
        <f t="array" ref="X37">_xlfn.XLOOKUP(V37,Stock1!I37,Stock1!J37,"")</f>
        <v/>
      </c>
      <c r="Y37" s="102" t="str">
        <f t="array" ref="Y37">_xlfn.XLOOKUP("Screen Protector for Android Phone and Other",Stock1!B37,Stock1!I37,"")</f>
        <v/>
      </c>
      <c r="Z37" s="102" t="str">
        <f t="array" ref="Z37">_xlfn.XLOOKUP("Screen Protector for Galaxy Phone",Stock1!B37,Stock1!I37,"")</f>
        <v/>
      </c>
      <c r="AA37" s="102" t="str">
        <f t="array" ref="AA37">_xlfn.XLOOKUP("Screen Protector for Galaxy Tab",Stock1!B37,Stock1!I37,"")</f>
        <v/>
      </c>
      <c r="AB37" s="102" t="str">
        <f t="shared" si="4"/>
        <v/>
      </c>
      <c r="AC37" s="102" t="str">
        <f t="array" ref="AC37">_xlfn.XLOOKUP(AB37,Stock1!I37,Stock1!F37,"")</f>
        <v/>
      </c>
      <c r="AD37" s="102" t="str">
        <f t="array" ref="AD37">_xlfn.XLOOKUP(AB37,Stock1!I37,Stock1!J37,"")</f>
        <v/>
      </c>
      <c r="AE37" s="102" t="str">
        <f t="array" ref="AE37">_xlfn.XLOOKUP("Storage",Stock1!B37,Stock1!I37,"")</f>
        <v/>
      </c>
      <c r="AF37" s="102" t="str">
        <f t="array" ref="AF37">_xlfn.XLOOKUP(AE37,Stock1!I37,Stock1!F37,"")</f>
        <v/>
      </c>
      <c r="AG37" s="102" t="str">
        <f t="array" ref="AG37">_xlfn.XLOOKUP(AE37,Stock1!I37,Stock1!J37,"")</f>
        <v/>
      </c>
    </row>
    <row r="38">
      <c r="H38" s="706" t="s">
        <v>1742</v>
      </c>
      <c r="I38" s="707" t="s">
        <v>590</v>
      </c>
      <c r="J38" s="660">
        <f t="array" ref="J38">IFERROR(_xlfn.XLOOKUP(I38,Stock1!F:F,Stock1!E:E,""),"")</f>
        <v>390</v>
      </c>
      <c r="K38" s="660">
        <f t="array" ref="K38">IFERROR(_xlfn.XLOOKUP(I38,Incentive!B:B,Incentive!E:E,""),"")</f>
        <v>40</v>
      </c>
      <c r="L38" s="659">
        <f>IFERROR(VLOOKUP(I38,Stock1!F:J,5,False),"")</f>
        <v>7</v>
      </c>
      <c r="M38" s="659">
        <f>IFERROR(VLOOKUP(I38,Stock2!F:J,5,False),"")</f>
        <v>3</v>
      </c>
      <c r="R38" s="102" t="str">
        <f t="array" ref="R38">IFERROR(_xlfn.XLOOKUP(Q38,Stock1!F:F,Stock1!E:E,""),"")</f>
        <v/>
      </c>
      <c r="S38" s="102" t="str">
        <f>IFERROR(VLOOKUP(Q38,Stock1!F:J,5,False),"")</f>
        <v/>
      </c>
      <c r="T38" s="102" t="str">
        <f>IFERROR(VLOOKUP(Q38,Stock2!F:J,5,False),"")</f>
        <v/>
      </c>
      <c r="V38" s="102" t="str">
        <f t="array" ref="V38">_xlfn.XLOOKUP("Charger",Stock1!B38,Stock1!I38,"")</f>
        <v/>
      </c>
      <c r="W38" s="102" t="str">
        <f t="array" ref="W38">_xlfn.XLOOKUP(V38,Stock1!I38,Stock1!F38,"")</f>
        <v/>
      </c>
      <c r="X38" s="102" t="str">
        <f t="array" ref="X38">_xlfn.XLOOKUP(V38,Stock1!I38,Stock1!J38,"")</f>
        <v/>
      </c>
      <c r="Y38" s="102" t="str">
        <f t="array" ref="Y38">_xlfn.XLOOKUP("Screen Protector for Android Phone and Other",Stock1!B38,Stock1!I38,"")</f>
        <v/>
      </c>
      <c r="Z38" s="102" t="str">
        <f t="array" ref="Z38">_xlfn.XLOOKUP("Screen Protector for Galaxy Phone",Stock1!B38,Stock1!I38,"")</f>
        <v/>
      </c>
      <c r="AA38" s="102" t="str">
        <f t="array" ref="AA38">_xlfn.XLOOKUP("Screen Protector for Galaxy Tab",Stock1!B38,Stock1!I38,"")</f>
        <v/>
      </c>
      <c r="AB38" s="102" t="str">
        <f t="shared" si="4"/>
        <v/>
      </c>
      <c r="AC38" s="102" t="str">
        <f t="array" ref="AC38">_xlfn.XLOOKUP(AB38,Stock1!I38,Stock1!F38,"")</f>
        <v/>
      </c>
      <c r="AD38" s="102" t="str">
        <f t="array" ref="AD38">_xlfn.XLOOKUP(AB38,Stock1!I38,Stock1!J38,"")</f>
        <v/>
      </c>
      <c r="AE38" s="102" t="str">
        <f t="array" ref="AE38">_xlfn.XLOOKUP("Storage",Stock1!B38,Stock1!I38,"")</f>
        <v/>
      </c>
      <c r="AF38" s="102" t="str">
        <f t="array" ref="AF38">_xlfn.XLOOKUP(AE38,Stock1!I38,Stock1!F38,"")</f>
        <v/>
      </c>
      <c r="AG38" s="102" t="str">
        <f t="array" ref="AG38">_xlfn.XLOOKUP(AE38,Stock1!I38,Stock1!J38,"")</f>
        <v/>
      </c>
    </row>
    <row r="39">
      <c r="H39" s="706" t="s">
        <v>1744</v>
      </c>
      <c r="I39" s="707" t="s">
        <v>1743</v>
      </c>
      <c r="J39" s="660">
        <f t="array" ref="J39">IFERROR(_xlfn.XLOOKUP(I39,Stock1!F:F,Stock1!E:E,""),"")</f>
        <v>390</v>
      </c>
      <c r="K39" s="660" t="str">
        <f t="array" ref="K39">IFERROR(_xlfn.XLOOKUP(I39,Incentive!B:B,Incentive!E:E,""),"")</f>
        <v/>
      </c>
      <c r="L39" s="659">
        <f>IFERROR(VLOOKUP(I39,Stock1!F:J,5,False),"")</f>
        <v>5</v>
      </c>
      <c r="M39" s="659">
        <f>IFERROR(VLOOKUP(I39,Stock2!F:J,5,False),"")</f>
        <v>5</v>
      </c>
      <c r="R39" s="102" t="str">
        <f t="array" ref="R39">IFERROR(_xlfn.XLOOKUP(Q39,Stock1!F:F,Stock1!E:E,""),"")</f>
        <v/>
      </c>
      <c r="S39" s="102" t="str">
        <f>IFERROR(VLOOKUP(Q39,Stock1!F:J,5,False),"")</f>
        <v/>
      </c>
      <c r="T39" s="102" t="str">
        <f>IFERROR(VLOOKUP(Q39,Stock2!F:J,5,False),"")</f>
        <v/>
      </c>
      <c r="V39" s="102" t="str">
        <f t="array" ref="V39">_xlfn.XLOOKUP("Charger",Stock1!B39,Stock1!I39,"")</f>
        <v/>
      </c>
      <c r="W39" s="102" t="str">
        <f t="array" ref="W39">_xlfn.XLOOKUP(V39,Stock1!I39,Stock1!F39,"")</f>
        <v/>
      </c>
      <c r="X39" s="102" t="str">
        <f t="array" ref="X39">_xlfn.XLOOKUP(V39,Stock1!I39,Stock1!J39,"")</f>
        <v/>
      </c>
      <c r="Y39" s="102" t="str">
        <f t="array" ref="Y39">_xlfn.XLOOKUP("Screen Protector for Android Phone and Other",Stock1!B39,Stock1!I39,"")</f>
        <v/>
      </c>
      <c r="Z39" s="102" t="str">
        <f t="array" ref="Z39">_xlfn.XLOOKUP("Screen Protector for Galaxy Phone",Stock1!B39,Stock1!I39,"")</f>
        <v/>
      </c>
      <c r="AA39" s="102" t="str">
        <f t="array" ref="AA39">_xlfn.XLOOKUP("Screen Protector for Galaxy Tab",Stock1!B39,Stock1!I39,"")</f>
        <v/>
      </c>
      <c r="AB39" s="102" t="str">
        <f t="shared" si="4"/>
        <v/>
      </c>
      <c r="AC39" s="102" t="str">
        <f t="array" ref="AC39">_xlfn.XLOOKUP(AB39,Stock1!I39,Stock1!F39,"")</f>
        <v/>
      </c>
      <c r="AD39" s="102" t="str">
        <f t="array" ref="AD39">_xlfn.XLOOKUP(AB39,Stock1!I39,Stock1!J39,"")</f>
        <v/>
      </c>
      <c r="AE39" s="102" t="str">
        <f t="array" ref="AE39">_xlfn.XLOOKUP("Storage",Stock1!B39,Stock1!I39,"")</f>
        <v/>
      </c>
      <c r="AF39" s="102" t="str">
        <f t="array" ref="AF39">_xlfn.XLOOKUP(AE39,Stock1!I39,Stock1!F39,"")</f>
        <v/>
      </c>
      <c r="AG39" s="102" t="str">
        <f t="array" ref="AG39">_xlfn.XLOOKUP(AE39,Stock1!I39,Stock1!J39,"")</f>
        <v/>
      </c>
    </row>
    <row r="40">
      <c r="H40" s="706" t="s">
        <v>1746</v>
      </c>
      <c r="I40" s="707" t="s">
        <v>1745</v>
      </c>
      <c r="J40" s="660">
        <f t="array" ref="J40">IFERROR(_xlfn.XLOOKUP(I40,Stock1!F:F,Stock1!E:E,""),"")</f>
        <v>490</v>
      </c>
      <c r="K40" s="660" t="str">
        <f t="array" ref="K40">IFERROR(_xlfn.XLOOKUP(I40,Incentive!B:B,Incentive!E:E,""),"")</f>
        <v/>
      </c>
      <c r="L40" s="659">
        <f>IFERROR(VLOOKUP(I40,Stock1!F:J,5,False),"")</f>
        <v>28</v>
      </c>
      <c r="M40" s="659" t="str">
        <f>IFERROR(VLOOKUP(I40,Stock2!F:J,5,False),"")</f>
        <v/>
      </c>
      <c r="R40" s="102" t="str">
        <f t="array" ref="R40">IFERROR(_xlfn.XLOOKUP(Q40,Stock1!F:F,Stock1!E:E,""),"")</f>
        <v/>
      </c>
      <c r="S40" s="102" t="str">
        <f>IFERROR(VLOOKUP(Q40,Stock1!F:J,5,False),"")</f>
        <v/>
      </c>
      <c r="T40" s="102" t="str">
        <f>IFERROR(VLOOKUP(Q40,Stock2!F:J,5,False),"")</f>
        <v/>
      </c>
      <c r="V40" s="102" t="str">
        <f t="array" ref="V40">_xlfn.XLOOKUP("Charger",Stock1!B40,Stock1!I40,"")</f>
        <v/>
      </c>
      <c r="W40" s="102" t="str">
        <f t="array" ref="W40">_xlfn.XLOOKUP(V40,Stock1!I40,Stock1!F40,"")</f>
        <v/>
      </c>
      <c r="X40" s="102" t="str">
        <f t="array" ref="X40">_xlfn.XLOOKUP(V40,Stock1!I40,Stock1!J40,"")</f>
        <v/>
      </c>
      <c r="Y40" s="102" t="str">
        <f t="array" ref="Y40">_xlfn.XLOOKUP("Screen Protector for Android Phone and Other",Stock1!B40,Stock1!I40,"")</f>
        <v/>
      </c>
      <c r="Z40" s="102" t="str">
        <f t="array" ref="Z40">_xlfn.XLOOKUP("Screen Protector for Galaxy Phone",Stock1!B40,Stock1!I40,"")</f>
        <v/>
      </c>
      <c r="AA40" s="102" t="str">
        <f t="array" ref="AA40">_xlfn.XLOOKUP("Screen Protector for Galaxy Tab",Stock1!B40,Stock1!I40,"")</f>
        <v/>
      </c>
      <c r="AB40" s="102" t="str">
        <f t="shared" si="4"/>
        <v/>
      </c>
      <c r="AC40" s="102" t="str">
        <f t="array" ref="AC40">_xlfn.XLOOKUP(AB40,Stock1!I40,Stock1!F40,"")</f>
        <v/>
      </c>
      <c r="AD40" s="102" t="str">
        <f t="array" ref="AD40">_xlfn.XLOOKUP(AB40,Stock1!I40,Stock1!J40,"")</f>
        <v/>
      </c>
      <c r="AE40" s="102" t="str">
        <f t="array" ref="AE40">_xlfn.XLOOKUP("Storage",Stock1!B40,Stock1!I40,"")</f>
        <v/>
      </c>
      <c r="AF40" s="102" t="str">
        <f t="array" ref="AF40">_xlfn.XLOOKUP(AE40,Stock1!I40,Stock1!F40,"")</f>
        <v/>
      </c>
      <c r="AG40" s="102" t="str">
        <f t="array" ref="AG40">_xlfn.XLOOKUP(AE40,Stock1!I40,Stock1!J40,"")</f>
        <v/>
      </c>
    </row>
    <row r="41">
      <c r="H41" s="706" t="s">
        <v>1749</v>
      </c>
      <c r="I41" s="707" t="s">
        <v>1748</v>
      </c>
      <c r="J41" s="660">
        <f t="array" ref="J41">IFERROR(_xlfn.XLOOKUP(I41,Stock1!F:F,Stock1!E:E,""),"")</f>
        <v>390</v>
      </c>
      <c r="K41" s="660" t="str">
        <f t="array" ref="K41">IFERROR(_xlfn.XLOOKUP(I41,Incentive!B:B,Incentive!E:E,""),"")</f>
        <v/>
      </c>
      <c r="L41" s="659">
        <f>IFERROR(VLOOKUP(I41,Stock1!F:J,5,False),"")</f>
        <v>3</v>
      </c>
      <c r="M41" s="659">
        <f>IFERROR(VLOOKUP(I41,Stock2!F:J,5,False),"")</f>
        <v>6</v>
      </c>
      <c r="R41" s="102" t="str">
        <f t="array" ref="R41">IFERROR(_xlfn.XLOOKUP(Q41,Stock1!F:F,Stock1!E:E,""),"")</f>
        <v/>
      </c>
      <c r="S41" s="102" t="str">
        <f>IFERROR(VLOOKUP(Q41,Stock1!F:J,5,False),"")</f>
        <v/>
      </c>
      <c r="T41" s="102" t="str">
        <f>IFERROR(VLOOKUP(Q41,Stock2!F:J,5,False),"")</f>
        <v/>
      </c>
      <c r="V41" s="102" t="str">
        <f t="array" ref="V41">_xlfn.XLOOKUP("Charger",Stock1!B41,Stock1!I41,"")</f>
        <v/>
      </c>
      <c r="W41" s="102" t="str">
        <f t="array" ref="W41">_xlfn.XLOOKUP(V41,Stock1!I41,Stock1!F41,"")</f>
        <v/>
      </c>
      <c r="X41" s="102" t="str">
        <f t="array" ref="X41">_xlfn.XLOOKUP(V41,Stock1!I41,Stock1!J41,"")</f>
        <v/>
      </c>
      <c r="Y41" s="102" t="str">
        <f t="array" ref="Y41">_xlfn.XLOOKUP("Screen Protector for Android Phone and Other",Stock1!B41,Stock1!I41,"")</f>
        <v/>
      </c>
      <c r="Z41" s="102" t="str">
        <f t="array" ref="Z41">_xlfn.XLOOKUP("Screen Protector for Galaxy Phone",Stock1!B41,Stock1!I41,"")</f>
        <v/>
      </c>
      <c r="AA41" s="102" t="str">
        <f t="array" ref="AA41">_xlfn.XLOOKUP("Screen Protector for Galaxy Tab",Stock1!B41,Stock1!I41,"")</f>
        <v/>
      </c>
      <c r="AB41" s="102" t="str">
        <f t="shared" si="4"/>
        <v/>
      </c>
      <c r="AC41" s="102" t="str">
        <f t="array" ref="AC41">_xlfn.XLOOKUP(AB41,Stock1!I41,Stock1!F41,"")</f>
        <v/>
      </c>
      <c r="AD41" s="102" t="str">
        <f t="array" ref="AD41">_xlfn.XLOOKUP(AB41,Stock1!I41,Stock1!J41,"")</f>
        <v/>
      </c>
      <c r="AE41" s="102" t="str">
        <f t="array" ref="AE41">_xlfn.XLOOKUP("Storage",Stock1!B41,Stock1!I41,"")</f>
        <v/>
      </c>
      <c r="AF41" s="102" t="str">
        <f t="array" ref="AF41">_xlfn.XLOOKUP(AE41,Stock1!I41,Stock1!F41,"")</f>
        <v/>
      </c>
      <c r="AG41" s="102" t="str">
        <f t="array" ref="AG41">_xlfn.XLOOKUP(AE41,Stock1!I41,Stock1!J41,"")</f>
        <v/>
      </c>
    </row>
    <row r="42">
      <c r="H42" s="706" t="s">
        <v>1751</v>
      </c>
      <c r="I42" s="707" t="s">
        <v>1750</v>
      </c>
      <c r="J42" s="660">
        <f t="array" ref="J42">IFERROR(_xlfn.XLOOKUP(I42,Stock1!F:F,Stock1!E:E,""),"")</f>
        <v>590</v>
      </c>
      <c r="K42" s="660" t="str">
        <f t="array" ref="K42">IFERROR(_xlfn.XLOOKUP(I42,Incentive!B:B,Incentive!E:E,""),"")</f>
        <v/>
      </c>
      <c r="L42" s="659">
        <f>IFERROR(VLOOKUP(I42,Stock1!F:J,5,False),"")</f>
        <v>7</v>
      </c>
      <c r="M42" s="659" t="str">
        <f>IFERROR(VLOOKUP(I42,Stock2!F:J,5,False),"")</f>
        <v/>
      </c>
      <c r="R42" s="102" t="str">
        <f t="array" ref="R42">IFERROR(_xlfn.XLOOKUP(Q42,Stock1!F:F,Stock1!E:E,""),"")</f>
        <v/>
      </c>
      <c r="S42" s="102" t="str">
        <f>IFERROR(VLOOKUP(Q42,Stock1!F:J,5,False),"")</f>
        <v/>
      </c>
      <c r="T42" s="102" t="str">
        <f>IFERROR(VLOOKUP(Q42,Stock2!F:J,5,False),"")</f>
        <v/>
      </c>
      <c r="V42" s="102" t="str">
        <f t="array" ref="V42">_xlfn.XLOOKUP("Charger",Stock1!B42,Stock1!I42,"")</f>
        <v/>
      </c>
      <c r="W42" s="102" t="str">
        <f t="array" ref="W42">_xlfn.XLOOKUP(V42,Stock1!I42,Stock1!F42,"")</f>
        <v/>
      </c>
      <c r="X42" s="102" t="str">
        <f t="array" ref="X42">_xlfn.XLOOKUP(V42,Stock1!I42,Stock1!J42,"")</f>
        <v/>
      </c>
      <c r="Y42" s="102" t="str">
        <f t="array" ref="Y42">_xlfn.XLOOKUP("Screen Protector for Android Phone and Other",Stock1!B42,Stock1!I42,"")</f>
        <v/>
      </c>
      <c r="Z42" s="102" t="str">
        <f t="array" ref="Z42">_xlfn.XLOOKUP("Screen Protector for Galaxy Phone",Stock1!B42,Stock1!I42,"")</f>
        <v/>
      </c>
      <c r="AA42" s="102" t="str">
        <f t="array" ref="AA42">_xlfn.XLOOKUP("Screen Protector for Galaxy Tab",Stock1!B42,Stock1!I42,"")</f>
        <v/>
      </c>
      <c r="AB42" s="102" t="str">
        <f t="shared" si="4"/>
        <v/>
      </c>
      <c r="AC42" s="102" t="str">
        <f t="array" ref="AC42">_xlfn.XLOOKUP(AB42,Stock1!I42,Stock1!F42,"")</f>
        <v/>
      </c>
      <c r="AD42" s="102" t="str">
        <f t="array" ref="AD42">_xlfn.XLOOKUP(AB42,Stock1!I42,Stock1!J42,"")</f>
        <v/>
      </c>
      <c r="AE42" s="102" t="str">
        <f t="array" ref="AE42">_xlfn.XLOOKUP("Storage",Stock1!B42,Stock1!I42,"")</f>
        <v/>
      </c>
      <c r="AF42" s="102" t="str">
        <f t="array" ref="AF42">_xlfn.XLOOKUP(AE42,Stock1!I42,Stock1!F42,"")</f>
        <v/>
      </c>
      <c r="AG42" s="102" t="str">
        <f t="array" ref="AG42">_xlfn.XLOOKUP(AE42,Stock1!I42,Stock1!J42,"")</f>
        <v/>
      </c>
    </row>
    <row r="43">
      <c r="H43" s="102" t="s">
        <v>1753</v>
      </c>
      <c r="I43" s="429" t="s">
        <v>1752</v>
      </c>
      <c r="J43" s="660">
        <f t="array" ref="J43">IFERROR(_xlfn.XLOOKUP(I43,Stock1!F:F,Stock1!E:E,""),"")</f>
        <v>390</v>
      </c>
      <c r="K43" s="660" t="str">
        <f t="array" ref="K43">IFERROR(_xlfn.XLOOKUP(I43,Incentive!B:B,Incentive!E:E,""),"")</f>
        <v/>
      </c>
      <c r="L43" s="659">
        <f>IFERROR(VLOOKUP(I43,Stock1!F:J,5,False),"")</f>
        <v>3</v>
      </c>
      <c r="M43" s="659">
        <f>IFERROR(VLOOKUP(I43,Stock2!F:J,5,False),"")</f>
        <v>3</v>
      </c>
      <c r="R43" s="102" t="str">
        <f t="array" ref="R43">IFERROR(_xlfn.XLOOKUP(Q43,Stock1!F:F,Stock1!E:E,""),"")</f>
        <v/>
      </c>
      <c r="S43" s="102" t="str">
        <f>IFERROR(VLOOKUP(Q43,Stock1!F:J,5,False),"")</f>
        <v/>
      </c>
      <c r="T43" s="102" t="str">
        <f>IFERROR(VLOOKUP(Q43,Stock2!F:J,5,False),"")</f>
        <v/>
      </c>
      <c r="V43" s="102" t="str">
        <f t="array" ref="V43">_xlfn.XLOOKUP("Charger",Stock1!B43,Stock1!I43,"")</f>
        <v/>
      </c>
      <c r="W43" s="102" t="str">
        <f t="array" ref="W43">_xlfn.XLOOKUP(V43,Stock1!I43,Stock1!F43,"")</f>
        <v/>
      </c>
      <c r="X43" s="102" t="str">
        <f t="array" ref="X43">_xlfn.XLOOKUP(V43,Stock1!I43,Stock1!J43,"")</f>
        <v/>
      </c>
      <c r="Y43" s="102" t="str">
        <f t="array" ref="Y43">_xlfn.XLOOKUP("Screen Protector for Android Phone and Other",Stock1!B43,Stock1!I43,"")</f>
        <v/>
      </c>
      <c r="Z43" s="102" t="str">
        <f t="array" ref="Z43">_xlfn.XLOOKUP("Screen Protector for Galaxy Phone",Stock1!B43,Stock1!I43,"")</f>
        <v/>
      </c>
      <c r="AA43" s="102" t="str">
        <f t="array" ref="AA43">_xlfn.XLOOKUP("Screen Protector for Galaxy Tab",Stock1!B43,Stock1!I43,"")</f>
        <v/>
      </c>
      <c r="AB43" s="102" t="str">
        <f t="shared" si="4"/>
        <v/>
      </c>
      <c r="AC43" s="102" t="str">
        <f t="array" ref="AC43">_xlfn.XLOOKUP(AB43,Stock1!I43,Stock1!F43,"")</f>
        <v/>
      </c>
      <c r="AD43" s="102" t="str">
        <f t="array" ref="AD43">_xlfn.XLOOKUP(AB43,Stock1!I43,Stock1!J43,"")</f>
        <v/>
      </c>
      <c r="AE43" s="102" t="str">
        <f t="array" ref="AE43">_xlfn.XLOOKUP("Storage",Stock1!B43,Stock1!I43,"")</f>
        <v/>
      </c>
      <c r="AF43" s="102" t="str">
        <f t="array" ref="AF43">_xlfn.XLOOKUP(AE43,Stock1!I43,Stock1!F43,"")</f>
        <v/>
      </c>
      <c r="AG43" s="102" t="str">
        <f t="array" ref="AG43">_xlfn.XLOOKUP(AE43,Stock1!I43,Stock1!J43,"")</f>
        <v/>
      </c>
    </row>
    <row r="44">
      <c r="H44" s="102" t="s">
        <v>1755</v>
      </c>
      <c r="I44" s="429" t="s">
        <v>1754</v>
      </c>
      <c r="J44" s="660">
        <f t="array" ref="J44">IFERROR(_xlfn.XLOOKUP(I44,Stock1!F:F,Stock1!E:E,""),"")</f>
        <v>590</v>
      </c>
      <c r="K44" s="660" t="str">
        <f t="array" ref="K44">IFERROR(_xlfn.XLOOKUP(I44,Incentive!B:B,Incentive!E:E,""),"")</f>
        <v/>
      </c>
      <c r="L44" s="659">
        <f>IFERROR(VLOOKUP(I44,Stock1!F:J,5,False),"")</f>
        <v>29</v>
      </c>
      <c r="M44" s="659" t="str">
        <f>IFERROR(VLOOKUP(I44,Stock2!F:J,5,False),"")</f>
        <v/>
      </c>
      <c r="R44" s="102" t="str">
        <f t="array" ref="R44">IFERROR(_xlfn.XLOOKUP(Q44,Stock1!F:F,Stock1!E:E,""),"")</f>
        <v/>
      </c>
      <c r="S44" s="102" t="str">
        <f>IFERROR(VLOOKUP(Q44,Stock1!F:J,5,False),"")</f>
        <v/>
      </c>
      <c r="T44" s="102" t="str">
        <f>IFERROR(VLOOKUP(Q44,Stock2!F:J,5,False),"")</f>
        <v/>
      </c>
      <c r="V44" s="102" t="str">
        <f t="array" ref="V44">_xlfn.XLOOKUP("Charger",Stock1!B44,Stock1!I44,"")</f>
        <v/>
      </c>
      <c r="W44" s="102" t="str">
        <f t="array" ref="W44">_xlfn.XLOOKUP(V44,Stock1!I44,Stock1!F44,"")</f>
        <v/>
      </c>
      <c r="X44" s="102" t="str">
        <f t="array" ref="X44">_xlfn.XLOOKUP(V44,Stock1!I44,Stock1!J44,"")</f>
        <v/>
      </c>
      <c r="Y44" s="102" t="str">
        <f t="array" ref="Y44">_xlfn.XLOOKUP("Screen Protector for Android Phone and Other",Stock1!B44,Stock1!I44,"")</f>
        <v/>
      </c>
      <c r="Z44" s="102" t="str">
        <f t="array" ref="Z44">_xlfn.XLOOKUP("Screen Protector for Galaxy Phone",Stock1!B44,Stock1!I44,"")</f>
        <v/>
      </c>
      <c r="AA44" s="102" t="str">
        <f t="array" ref="AA44">_xlfn.XLOOKUP("Screen Protector for Galaxy Tab",Stock1!B44,Stock1!I44,"")</f>
        <v/>
      </c>
      <c r="AB44" s="102" t="str">
        <f t="shared" si="4"/>
        <v/>
      </c>
      <c r="AC44" s="102" t="str">
        <f t="array" ref="AC44">_xlfn.XLOOKUP(AB44,Stock1!I44,Stock1!F44,"")</f>
        <v/>
      </c>
      <c r="AD44" s="102" t="str">
        <f t="array" ref="AD44">_xlfn.XLOOKUP(AB44,Stock1!I44,Stock1!J44,"")</f>
        <v/>
      </c>
      <c r="AE44" s="102" t="str">
        <f t="array" ref="AE44">_xlfn.XLOOKUP("Storage",Stock1!B44,Stock1!I44,"")</f>
        <v/>
      </c>
      <c r="AF44" s="102" t="str">
        <f t="array" ref="AF44">_xlfn.XLOOKUP(AE44,Stock1!I44,Stock1!F44,"")</f>
        <v/>
      </c>
      <c r="AG44" s="102" t="str">
        <f t="array" ref="AG44">_xlfn.XLOOKUP(AE44,Stock1!I44,Stock1!J44,"")</f>
        <v/>
      </c>
    </row>
    <row r="45">
      <c r="H45" s="102" t="s">
        <v>1758</v>
      </c>
      <c r="I45" s="429" t="s">
        <v>631</v>
      </c>
      <c r="J45" s="660">
        <f t="array" ref="J45">IFERROR(_xlfn.XLOOKUP(I45,Stock1!F:F,Stock1!E:E,""),"")</f>
        <v>590</v>
      </c>
      <c r="K45" s="660">
        <f t="array" ref="K45">IFERROR(_xlfn.XLOOKUP(I45,Incentive!B:B,Incentive!E:E,""),"")</f>
        <v>20</v>
      </c>
      <c r="L45" s="659">
        <f>IFERROR(VLOOKUP(I45,Stock1!F:J,5,False),"")</f>
        <v>5</v>
      </c>
      <c r="M45" s="659">
        <f>IFERROR(VLOOKUP(I45,Stock2!F:J,5,False),"")</f>
        <v>2</v>
      </c>
      <c r="R45" s="102" t="str">
        <f t="array" ref="R45">IFERROR(_xlfn.XLOOKUP(Q45,Stock1!F:F,Stock1!E:E,""),"")</f>
        <v/>
      </c>
      <c r="T45" s="102" t="str">
        <f>IFERROR(VLOOKUP(Q45,Stock2!F:J,5,False),"")</f>
        <v/>
      </c>
      <c r="V45" s="102" t="str">
        <f t="array" ref="V45">_xlfn.XLOOKUP("Charger",Stock1!B45,Stock1!I45,"")</f>
        <v/>
      </c>
      <c r="W45" s="102" t="str">
        <f t="array" ref="W45">_xlfn.XLOOKUP(V45,Stock1!I45,Stock1!F45,"")</f>
        <v/>
      </c>
      <c r="X45" s="102" t="str">
        <f t="array" ref="X45">_xlfn.XLOOKUP(V45,Stock1!I45,Stock1!J45,"")</f>
        <v/>
      </c>
      <c r="Y45" s="102" t="str">
        <f t="array" ref="Y45">_xlfn.XLOOKUP("Screen Protector for Android Phone and Other",Stock1!B45,Stock1!I45,"")</f>
        <v/>
      </c>
      <c r="Z45" s="102" t="str">
        <f t="array" ref="Z45">_xlfn.XLOOKUP("Screen Protector for Galaxy Phone",Stock1!B45,Stock1!I45,"")</f>
        <v/>
      </c>
      <c r="AA45" s="102" t="str">
        <f t="array" ref="AA45">_xlfn.XLOOKUP("Screen Protector for Galaxy Tab",Stock1!B45,Stock1!I45,"")</f>
        <v/>
      </c>
      <c r="AB45" s="102" t="str">
        <f t="shared" si="4"/>
        <v/>
      </c>
      <c r="AC45" s="102" t="str">
        <f t="array" ref="AC45">_xlfn.XLOOKUP(AB45,Stock1!I45,Stock1!F45,"")</f>
        <v/>
      </c>
      <c r="AD45" s="102" t="str">
        <f t="array" ref="AD45">_xlfn.XLOOKUP(AB45,Stock1!I45,Stock1!J45,"")</f>
        <v/>
      </c>
      <c r="AE45" s="102" t="str">
        <f t="array" ref="AE45">_xlfn.XLOOKUP("Storage",Stock1!B45,Stock1!I45,"")</f>
        <v/>
      </c>
      <c r="AF45" s="102" t="str">
        <f t="array" ref="AF45">_xlfn.XLOOKUP(AE45,Stock1!I45,Stock1!F45,"")</f>
        <v/>
      </c>
      <c r="AG45" s="102" t="str">
        <f t="array" ref="AG45">_xlfn.XLOOKUP(AE45,Stock1!I45,Stock1!J45,"")</f>
        <v/>
      </c>
    </row>
    <row r="46">
      <c r="H46" s="102" t="s">
        <v>1759</v>
      </c>
      <c r="I46" s="429" t="s">
        <v>633</v>
      </c>
      <c r="J46" s="660">
        <f t="array" ref="J46">IFERROR(_xlfn.XLOOKUP(I46,Stock1!F:F,Stock1!E:E,""),"")</f>
        <v>690</v>
      </c>
      <c r="K46" s="660">
        <f t="array" ref="K46">IFERROR(_xlfn.XLOOKUP(I46,Incentive!B:B,Incentive!E:E,""),"")</f>
        <v>20</v>
      </c>
      <c r="L46" s="659">
        <f>IFERROR(VLOOKUP(I46,Stock1!F:J,5,False),"")</f>
        <v>6</v>
      </c>
      <c r="M46" s="659">
        <f>IFERROR(VLOOKUP(I46,Stock2!F:J,5,False),"")</f>
        <v>4</v>
      </c>
      <c r="V46" s="102" t="str">
        <f t="array" ref="V46">_xlfn.XLOOKUP("Charger",Stock1!B46,Stock1!I46,"")</f>
        <v/>
      </c>
      <c r="W46" s="102" t="str">
        <f t="array" ref="W46">_xlfn.XLOOKUP(V46,Stock1!I46,Stock1!F46,"")</f>
        <v/>
      </c>
      <c r="X46" s="102" t="str">
        <f t="array" ref="X46">_xlfn.XLOOKUP(V46,Stock1!I46,Stock1!J46,"")</f>
        <v/>
      </c>
      <c r="Y46" s="102" t="str">
        <f t="array" ref="Y46">_xlfn.XLOOKUP("Screen Protector for Android Phone and Other",Stock1!B46,Stock1!I46,"")</f>
        <v/>
      </c>
      <c r="Z46" s="102" t="str">
        <f t="array" ref="Z46">_xlfn.XLOOKUP("Screen Protector for Galaxy Phone",Stock1!B46,Stock1!I46,"")</f>
        <v/>
      </c>
      <c r="AA46" s="102" t="str">
        <f t="array" ref="AA46">_xlfn.XLOOKUP("Screen Protector for Galaxy Tab",Stock1!B46,Stock1!I46,"")</f>
        <v/>
      </c>
      <c r="AB46" s="102" t="str">
        <f t="shared" si="4"/>
        <v/>
      </c>
      <c r="AC46" s="102" t="str">
        <f t="array" ref="AC46">_xlfn.XLOOKUP(AB46,Stock1!I46,Stock1!F46,"")</f>
        <v/>
      </c>
      <c r="AD46" s="102" t="str">
        <f t="array" ref="AD46">_xlfn.XLOOKUP(AB46,Stock1!I46,Stock1!J46,"")</f>
        <v/>
      </c>
      <c r="AE46" s="102" t="str">
        <f t="array" ref="AE46">_xlfn.XLOOKUP("Storage",Stock1!B46,Stock1!I46,"")</f>
        <v/>
      </c>
      <c r="AF46" s="102" t="str">
        <f t="array" ref="AF46">_xlfn.XLOOKUP(AE46,Stock1!I46,Stock1!F46,"")</f>
        <v/>
      </c>
      <c r="AG46" s="102" t="str">
        <f t="array" ref="AG46">_xlfn.XLOOKUP(AE46,Stock1!I46,Stock1!J46,"")</f>
        <v/>
      </c>
    </row>
    <row r="47">
      <c r="H47" s="102" t="s">
        <v>1761</v>
      </c>
      <c r="I47" s="429" t="s">
        <v>637</v>
      </c>
      <c r="J47" s="660">
        <f t="array" ref="J47">IFERROR(_xlfn.XLOOKUP(I47,Stock1!F:F,Stock1!E:E,""),"")</f>
        <v>990</v>
      </c>
      <c r="K47" s="660">
        <f t="array" ref="K47">IFERROR(_xlfn.XLOOKUP(I47,Incentive!B:B,Incentive!E:E,""),"")</f>
        <v>30</v>
      </c>
      <c r="L47" s="659">
        <f>IFERROR(VLOOKUP(I47,Stock1!F:J,5,False),"")</f>
        <v>6</v>
      </c>
      <c r="M47" s="659">
        <f>IFERROR(VLOOKUP(I47,Stock2!F:J,5,False),"")</f>
        <v>2</v>
      </c>
      <c r="V47" s="102" t="str">
        <f t="array" ref="V47">_xlfn.XLOOKUP("Charger",Stock1!B47,Stock1!I47,"")</f>
        <v/>
      </c>
      <c r="W47" s="102" t="str">
        <f t="array" ref="W47">_xlfn.XLOOKUP(V47,Stock1!I47,Stock1!F47,"")</f>
        <v/>
      </c>
      <c r="X47" s="102" t="str">
        <f t="array" ref="X47">_xlfn.XLOOKUP(V47,Stock1!I47,Stock1!J47,"")</f>
        <v/>
      </c>
      <c r="Y47" s="102" t="str">
        <f t="array" ref="Y47">_xlfn.XLOOKUP("Screen Protector for Android Phone and Other",Stock1!B47,Stock1!I47,"")</f>
        <v/>
      </c>
      <c r="Z47" s="102" t="str">
        <f t="array" ref="Z47">_xlfn.XLOOKUP("Screen Protector for Galaxy Phone",Stock1!B47,Stock1!I47,"")</f>
        <v/>
      </c>
      <c r="AA47" s="102" t="str">
        <f t="array" ref="AA47">_xlfn.XLOOKUP("Screen Protector for Galaxy Tab",Stock1!B47,Stock1!I47,"")</f>
        <v/>
      </c>
      <c r="AB47" s="102" t="str">
        <f t="shared" si="4"/>
        <v/>
      </c>
      <c r="AC47" s="102" t="str">
        <f t="array" ref="AC47">_xlfn.XLOOKUP(AB47,Stock1!I47,Stock1!F47,"")</f>
        <v/>
      </c>
      <c r="AD47" s="102" t="str">
        <f t="array" ref="AD47">_xlfn.XLOOKUP(AB47,Stock1!I47,Stock1!J47,"")</f>
        <v/>
      </c>
      <c r="AE47" s="102" t="str">
        <f t="array" ref="AE47">_xlfn.XLOOKUP("Storage",Stock1!B47,Stock1!I47,"")</f>
        <v/>
      </c>
      <c r="AF47" s="102" t="str">
        <f t="array" ref="AF47">_xlfn.XLOOKUP(AE47,Stock1!I47,Stock1!F47,"")</f>
        <v/>
      </c>
      <c r="AG47" s="102" t="str">
        <f t="array" ref="AG47">_xlfn.XLOOKUP(AE47,Stock1!I47,Stock1!J47,"")</f>
        <v/>
      </c>
    </row>
    <row r="48">
      <c r="H48" s="102" t="s">
        <v>1764</v>
      </c>
      <c r="I48" s="429" t="s">
        <v>1763</v>
      </c>
      <c r="J48" s="660">
        <f t="array" ref="J48">IFERROR(_xlfn.XLOOKUP(I48,Stock1!F:F,Stock1!E:E,""),"")</f>
        <v>690</v>
      </c>
      <c r="K48" s="660" t="str">
        <f t="array" ref="K48">IFERROR(_xlfn.XLOOKUP(I48,Incentive!B:B,Incentive!E:E,""),"")</f>
        <v/>
      </c>
      <c r="L48" s="659">
        <f>IFERROR(VLOOKUP(I48,Stock1!F:J,5,False),"")</f>
        <v>6</v>
      </c>
      <c r="M48" s="659">
        <f>IFERROR(VLOOKUP(I48,Stock2!F:J,5,False),"")</f>
        <v>3</v>
      </c>
      <c r="V48" s="102" t="str">
        <f t="array" ref="V48">_xlfn.XLOOKUP("Charger",Stock1!B48,Stock1!I48,"")</f>
        <v/>
      </c>
      <c r="W48" s="102" t="str">
        <f t="array" ref="W48">_xlfn.XLOOKUP(V48,Stock1!I48,Stock1!F48,"")</f>
        <v/>
      </c>
      <c r="X48" s="102" t="str">
        <f t="array" ref="X48">_xlfn.XLOOKUP(V48,Stock1!I48,Stock1!J48,"")</f>
        <v/>
      </c>
      <c r="Y48" s="102" t="str">
        <f t="array" ref="Y48">_xlfn.XLOOKUP("Screen Protector for Android Phone and Other",Stock1!B48,Stock1!I48,"")</f>
        <v/>
      </c>
      <c r="Z48" s="102" t="str">
        <f t="array" ref="Z48">_xlfn.XLOOKUP("Screen Protector for Galaxy Phone",Stock1!B48,Stock1!I48,"")</f>
        <v/>
      </c>
      <c r="AA48" s="102" t="str">
        <f t="array" ref="AA48">_xlfn.XLOOKUP("Screen Protector for Galaxy Tab",Stock1!B48,Stock1!I48,"")</f>
        <v/>
      </c>
      <c r="AB48" s="102" t="str">
        <f t="shared" si="4"/>
        <v/>
      </c>
      <c r="AC48" s="102" t="str">
        <f t="array" ref="AC48">_xlfn.XLOOKUP(AB48,Stock1!I48,Stock1!F48,"")</f>
        <v/>
      </c>
      <c r="AD48" s="102" t="str">
        <f t="array" ref="AD48">_xlfn.XLOOKUP(AB48,Stock1!I48,Stock1!J48,"")</f>
        <v/>
      </c>
      <c r="AE48" s="102" t="str">
        <f t="array" ref="AE48">_xlfn.XLOOKUP("Storage",Stock1!B48,Stock1!I48,"")</f>
        <v/>
      </c>
      <c r="AF48" s="102" t="str">
        <f t="array" ref="AF48">_xlfn.XLOOKUP(AE48,Stock1!I48,Stock1!F48,"")</f>
        <v/>
      </c>
      <c r="AG48" s="102" t="str">
        <f t="array" ref="AG48">_xlfn.XLOOKUP(AE48,Stock1!I48,Stock1!J48,"")</f>
        <v/>
      </c>
    </row>
    <row r="49">
      <c r="H49" s="102" t="s">
        <v>1766</v>
      </c>
      <c r="I49" s="429" t="s">
        <v>1765</v>
      </c>
      <c r="J49" s="660">
        <f t="array" ref="J49">IFERROR(_xlfn.XLOOKUP(I49,Stock1!F:F,Stock1!E:E,""),"")</f>
        <v>690</v>
      </c>
      <c r="K49" s="660" t="str">
        <f t="array" ref="K49">IFERROR(_xlfn.XLOOKUP(I49,Incentive!B:B,Incentive!E:E,""),"")</f>
        <v/>
      </c>
      <c r="L49" s="659">
        <f>IFERROR(VLOOKUP(I49,Stock1!F:J,5,False),"")</f>
        <v>10</v>
      </c>
      <c r="M49" s="659">
        <f>IFERROR(VLOOKUP(I49,Stock2!F:J,5,False),"")</f>
        <v>7</v>
      </c>
      <c r="V49" s="102" t="str">
        <f t="array" ref="V49">_xlfn.XLOOKUP("Charger",Stock1!B49,Stock1!I49,"")</f>
        <v/>
      </c>
      <c r="W49" s="102" t="str">
        <f t="array" ref="W49">_xlfn.XLOOKUP(V49,Stock1!I49,Stock1!F49,"")</f>
        <v/>
      </c>
      <c r="X49" s="102" t="str">
        <f t="array" ref="X49">_xlfn.XLOOKUP(V49,Stock1!I49,Stock1!J49,"")</f>
        <v/>
      </c>
      <c r="Y49" s="102" t="str">
        <f t="array" ref="Y49">_xlfn.XLOOKUP("Screen Protector for Android Phone and Other",Stock1!B49,Stock1!I49,"")</f>
        <v/>
      </c>
      <c r="Z49" s="102" t="str">
        <f t="array" ref="Z49">_xlfn.XLOOKUP("Screen Protector for Galaxy Phone",Stock1!B49,Stock1!I49,"")</f>
        <v/>
      </c>
      <c r="AA49" s="102" t="str">
        <f t="array" ref="AA49">_xlfn.XLOOKUP("Screen Protector for Galaxy Tab",Stock1!B49,Stock1!I49,"")</f>
        <v/>
      </c>
      <c r="AB49" s="102" t="str">
        <f t="shared" si="4"/>
        <v/>
      </c>
      <c r="AC49" s="102" t="str">
        <f t="array" ref="AC49">_xlfn.XLOOKUP(AB49,Stock1!I49,Stock1!F49,"")</f>
        <v/>
      </c>
      <c r="AD49" s="102" t="str">
        <f t="array" ref="AD49">_xlfn.XLOOKUP(AB49,Stock1!I49,Stock1!J49,"")</f>
        <v/>
      </c>
      <c r="AE49" s="102" t="str">
        <f t="array" ref="AE49">_xlfn.XLOOKUP("Storage",Stock1!B49,Stock1!I49,"")</f>
        <v/>
      </c>
      <c r="AF49" s="102" t="str">
        <f t="array" ref="AF49">_xlfn.XLOOKUP(AE49,Stock1!I49,Stock1!F49,"")</f>
        <v/>
      </c>
      <c r="AG49" s="102" t="str">
        <f t="array" ref="AG49">_xlfn.XLOOKUP(AE49,Stock1!I49,Stock1!J49,"")</f>
        <v/>
      </c>
    </row>
    <row r="50">
      <c r="H50" s="102" t="s">
        <v>1768</v>
      </c>
      <c r="I50" s="429" t="s">
        <v>1767</v>
      </c>
      <c r="J50" s="660">
        <f t="array" ref="J50">IFERROR(_xlfn.XLOOKUP(I50,Stock1!F:F,Stock1!E:E,""),"")</f>
        <v>690</v>
      </c>
      <c r="K50" s="660" t="str">
        <f t="array" ref="K50">IFERROR(_xlfn.XLOOKUP(I50,Incentive!B:B,Incentive!E:E,""),"")</f>
        <v/>
      </c>
      <c r="L50" s="659">
        <f>IFERROR(VLOOKUP(I50,Stock1!F:J,5,False),"")</f>
        <v>4</v>
      </c>
      <c r="M50" s="659">
        <f>IFERROR(VLOOKUP(I50,Stock2!F:J,5,False),"")</f>
        <v>8</v>
      </c>
      <c r="V50" s="102" t="str">
        <f t="array" ref="V50">_xlfn.XLOOKUP("Charger",Stock1!B50,Stock1!I50,"")</f>
        <v/>
      </c>
      <c r="W50" s="102" t="str">
        <f t="array" ref="W50">_xlfn.XLOOKUP(V50,Stock1!I50,Stock1!F50,"")</f>
        <v/>
      </c>
      <c r="X50" s="102" t="str">
        <f t="array" ref="X50">_xlfn.XLOOKUP(V50,Stock1!I50,Stock1!J50,"")</f>
        <v/>
      </c>
      <c r="Y50" s="102" t="str">
        <f t="array" ref="Y50">_xlfn.XLOOKUP("Screen Protector for Android Phone and Other",Stock1!B50,Stock1!I50,"")</f>
        <v/>
      </c>
      <c r="Z50" s="102" t="str">
        <f t="array" ref="Z50">_xlfn.XLOOKUP("Screen Protector for Galaxy Phone",Stock1!B50,Stock1!I50,"")</f>
        <v/>
      </c>
      <c r="AA50" s="102" t="str">
        <f t="array" ref="AA50">_xlfn.XLOOKUP("Screen Protector for Galaxy Tab",Stock1!B50,Stock1!I50,"")</f>
        <v/>
      </c>
      <c r="AB50" s="102" t="str">
        <f t="shared" si="4"/>
        <v/>
      </c>
      <c r="AC50" s="102" t="str">
        <f t="array" ref="AC50">_xlfn.XLOOKUP(AB50,Stock1!I50,Stock1!F50,"")</f>
        <v/>
      </c>
      <c r="AD50" s="102" t="str">
        <f t="array" ref="AD50">_xlfn.XLOOKUP(AB50,Stock1!I50,Stock1!J50,"")</f>
        <v/>
      </c>
      <c r="AE50" s="102" t="str">
        <f t="array" ref="AE50">_xlfn.XLOOKUP("Storage",Stock1!B50,Stock1!I50,"")</f>
        <v/>
      </c>
      <c r="AF50" s="102" t="str">
        <f t="array" ref="AF50">_xlfn.XLOOKUP(AE50,Stock1!I50,Stock1!F50,"")</f>
        <v/>
      </c>
      <c r="AG50" s="102" t="str">
        <f t="array" ref="AG50">_xlfn.XLOOKUP(AE50,Stock1!I50,Stock1!J50,"")</f>
        <v/>
      </c>
    </row>
    <row r="51">
      <c r="H51" s="102" t="s">
        <v>1771</v>
      </c>
      <c r="I51" s="429" t="s">
        <v>1770</v>
      </c>
      <c r="J51" s="660">
        <f t="array" ref="J51">IFERROR(_xlfn.XLOOKUP(I51,Stock1!F:F,Stock1!E:E,""),"")</f>
        <v>990</v>
      </c>
      <c r="K51" s="660" t="str">
        <f t="array" ref="K51">IFERROR(_xlfn.XLOOKUP(I51,Incentive!B:B,Incentive!E:E,""),"")</f>
        <v/>
      </c>
      <c r="L51" s="659">
        <f>IFERROR(VLOOKUP(I51,Stock1!F:J,5,False),"")</f>
        <v>1</v>
      </c>
      <c r="M51" s="659">
        <f>IFERROR(VLOOKUP(I51,Stock2!F:J,5,False),"")</f>
        <v>2</v>
      </c>
      <c r="V51" s="102" t="str">
        <f t="array" ref="V51">_xlfn.XLOOKUP("Charger",Stock1!B51,Stock1!I51,"")</f>
        <v/>
      </c>
      <c r="W51" s="102" t="str">
        <f t="array" ref="W51">_xlfn.XLOOKUP(V51,Stock1!I51,Stock1!F51,"")</f>
        <v/>
      </c>
      <c r="X51" s="102" t="str">
        <f t="array" ref="X51">_xlfn.XLOOKUP(V51,Stock1!I51,Stock1!J51,"")</f>
        <v/>
      </c>
      <c r="Y51" s="102" t="str">
        <f t="array" ref="Y51">_xlfn.XLOOKUP("Screen Protector for Android Phone and Other",Stock1!B51,Stock1!I51,"")</f>
        <v/>
      </c>
      <c r="Z51" s="102" t="str">
        <f t="array" ref="Z51">_xlfn.XLOOKUP("Screen Protector for Galaxy Phone",Stock1!B51,Stock1!I51,"")</f>
        <v/>
      </c>
      <c r="AA51" s="102" t="str">
        <f t="array" ref="AA51">_xlfn.XLOOKUP("Screen Protector for Galaxy Tab",Stock1!B51,Stock1!I51,"")</f>
        <v/>
      </c>
      <c r="AB51" s="102" t="str">
        <f t="shared" si="4"/>
        <v/>
      </c>
      <c r="AC51" s="102" t="str">
        <f t="array" ref="AC51">_xlfn.XLOOKUP(AB51,Stock1!I51,Stock1!F51,"")</f>
        <v/>
      </c>
      <c r="AD51" s="102" t="str">
        <f t="array" ref="AD51">_xlfn.XLOOKUP(AB51,Stock1!I51,Stock1!J51,"")</f>
        <v/>
      </c>
      <c r="AE51" s="102" t="str">
        <f t="array" ref="AE51">_xlfn.XLOOKUP("Storage",Stock1!B51,Stock1!I51,"")</f>
        <v/>
      </c>
      <c r="AF51" s="102" t="str">
        <f t="array" ref="AF51">_xlfn.XLOOKUP(AE51,Stock1!I51,Stock1!F51,"")</f>
        <v/>
      </c>
      <c r="AG51" s="102" t="str">
        <f t="array" ref="AG51">_xlfn.XLOOKUP(AE51,Stock1!I51,Stock1!J51,"")</f>
        <v/>
      </c>
    </row>
    <row r="52">
      <c r="H52" s="102" t="s">
        <v>1773</v>
      </c>
      <c r="I52" s="429" t="s">
        <v>1772</v>
      </c>
      <c r="J52" s="660">
        <f t="array" ref="J52">IFERROR(_xlfn.XLOOKUP(I52,Stock1!F:F,Stock1!E:E,""),"")</f>
        <v>890</v>
      </c>
      <c r="K52" s="660" t="str">
        <f t="array" ref="K52">IFERROR(_xlfn.XLOOKUP(I52,Incentive!B:B,Incentive!E:E,""),"")</f>
        <v/>
      </c>
      <c r="L52" s="659">
        <f>IFERROR(VLOOKUP(I52,Stock1!F:J,5,False),"")</f>
        <v>4</v>
      </c>
      <c r="M52" s="659">
        <f>IFERROR(VLOOKUP(I52,Stock2!F:J,5,False),"")</f>
        <v>3</v>
      </c>
      <c r="V52" s="102" t="str">
        <f t="array" ref="V52">_xlfn.XLOOKUP("Charger",Stock1!B52,Stock1!I52,"")</f>
        <v/>
      </c>
      <c r="W52" s="102" t="str">
        <f t="array" ref="W52">_xlfn.XLOOKUP(V52,Stock1!I52,Stock1!F52,"")</f>
        <v/>
      </c>
      <c r="X52" s="102" t="str">
        <f t="array" ref="X52">_xlfn.XLOOKUP(V52,Stock1!I52,Stock1!J52,"")</f>
        <v/>
      </c>
      <c r="Y52" s="102" t="str">
        <f t="array" ref="Y52">_xlfn.XLOOKUP("Screen Protector for Android Phone and Other",Stock1!B52,Stock1!I52,"")</f>
        <v/>
      </c>
      <c r="Z52" s="102" t="str">
        <f t="array" ref="Z52">_xlfn.XLOOKUP("Screen Protector for Galaxy Phone",Stock1!B52,Stock1!I52,"")</f>
        <v/>
      </c>
      <c r="AA52" s="102" t="str">
        <f t="array" ref="AA52">_xlfn.XLOOKUP("Screen Protector for Galaxy Tab",Stock1!B52,Stock1!I52,"")</f>
        <v/>
      </c>
      <c r="AB52" s="102" t="str">
        <f t="shared" si="4"/>
        <v/>
      </c>
      <c r="AC52" s="102" t="str">
        <f t="array" ref="AC52">_xlfn.XLOOKUP(AB52,Stock1!I52,Stock1!F52,"")</f>
        <v/>
      </c>
      <c r="AD52" s="102" t="str">
        <f t="array" ref="AD52">_xlfn.XLOOKUP(AB52,Stock1!I52,Stock1!J52,"")</f>
        <v/>
      </c>
      <c r="AE52" s="102" t="str">
        <f t="array" ref="AE52">_xlfn.XLOOKUP("Storage",Stock1!B52,Stock1!I52,"")</f>
        <v/>
      </c>
      <c r="AF52" s="102" t="str">
        <f t="array" ref="AF52">_xlfn.XLOOKUP(AE52,Stock1!I52,Stock1!F52,"")</f>
        <v/>
      </c>
      <c r="AG52" s="102" t="str">
        <f t="array" ref="AG52">_xlfn.XLOOKUP(AE52,Stock1!I52,Stock1!J52,"")</f>
        <v/>
      </c>
    </row>
    <row r="53">
      <c r="H53" s="102" t="s">
        <v>1775</v>
      </c>
      <c r="I53" s="429" t="s">
        <v>622</v>
      </c>
      <c r="J53" s="660">
        <f t="array" ref="J53">IFERROR(_xlfn.XLOOKUP(I53,Stock1!F:F,Stock1!E:E,""),"")</f>
        <v>990</v>
      </c>
      <c r="K53" s="660">
        <f t="array" ref="K53">IFERROR(_xlfn.XLOOKUP(I53,Incentive!B:B,Incentive!E:E,""),"")</f>
        <v>30</v>
      </c>
      <c r="L53" s="659">
        <f>IFERROR(VLOOKUP(I53,Stock1!F:J,5,False),"")</f>
        <v>1</v>
      </c>
      <c r="M53" s="659">
        <f>IFERROR(VLOOKUP(I53,Stock2!F:J,5,False),"")</f>
        <v>4</v>
      </c>
      <c r="V53" s="102" t="str">
        <f t="array" ref="V53">_xlfn.XLOOKUP("Charger",Stock1!B53,Stock1!I53,"")</f>
        <v/>
      </c>
      <c r="W53" s="102" t="str">
        <f t="array" ref="W53">_xlfn.XLOOKUP(V53,Stock1!I53,Stock1!F53,"")</f>
        <v/>
      </c>
      <c r="X53" s="102" t="str">
        <f t="array" ref="X53">_xlfn.XLOOKUP(V53,Stock1!I53,Stock1!J53,"")</f>
        <v/>
      </c>
      <c r="Y53" s="102" t="str">
        <f t="array" ref="Y53">_xlfn.XLOOKUP("Screen Protector for Android Phone and Other",Stock1!B53,Stock1!I53,"")</f>
        <v/>
      </c>
      <c r="Z53" s="102" t="str">
        <f t="array" ref="Z53">_xlfn.XLOOKUP("Screen Protector for Galaxy Phone",Stock1!B53,Stock1!I53,"")</f>
        <v/>
      </c>
      <c r="AA53" s="102" t="str">
        <f t="array" ref="AA53">_xlfn.XLOOKUP("Screen Protector for Galaxy Tab",Stock1!B53,Stock1!I53,"")</f>
        <v/>
      </c>
      <c r="AB53" s="102" t="str">
        <f t="shared" si="4"/>
        <v/>
      </c>
      <c r="AC53" s="102" t="str">
        <f t="array" ref="AC53">_xlfn.XLOOKUP(AB53,Stock1!I53,Stock1!F53,"")</f>
        <v/>
      </c>
      <c r="AD53" s="102" t="str">
        <f t="array" ref="AD53">_xlfn.XLOOKUP(AB53,Stock1!I53,Stock1!J53,"")</f>
        <v/>
      </c>
      <c r="AE53" s="102" t="str">
        <f t="array" ref="AE53">_xlfn.XLOOKUP("Storage",Stock1!B53,Stock1!I53,"")</f>
        <v/>
      </c>
      <c r="AF53" s="102" t="str">
        <f t="array" ref="AF53">_xlfn.XLOOKUP(AE53,Stock1!I53,Stock1!F53,"")</f>
        <v/>
      </c>
      <c r="AG53" s="102" t="str">
        <f t="array" ref="AG53">_xlfn.XLOOKUP(AE53,Stock1!I53,Stock1!J53,"")</f>
        <v/>
      </c>
    </row>
    <row r="54">
      <c r="H54" s="102" t="e">
        <v>#REF!</v>
      </c>
      <c r="I54" s="102" t="e">
        <v>#REF!</v>
      </c>
      <c r="J54" s="660" t="str">
        <f t="array" ref="J54">IFERROR(_xlfn.XLOOKUP(I54,Stock1!F:F,Stock1!E:E,""),"")</f>
        <v/>
      </c>
      <c r="K54" s="660" t="str">
        <f t="array" ref="K54">IFERROR(_xlfn.XLOOKUP(I54,Incentive!B:B,Incentive!E:E,""),"")</f>
        <v/>
      </c>
      <c r="L54" s="659" t="str">
        <f>IFERROR(VLOOKUP(I54,Stock1!F:J,5,False),"")</f>
        <v/>
      </c>
      <c r="M54" s="659" t="str">
        <f>IFERROR(VLOOKUP(I54,Stock2!F:J,5,False),"")</f>
        <v/>
      </c>
      <c r="V54" s="102" t="str">
        <f t="array" ref="V54">_xlfn.XLOOKUP("Charger",Stock1!B54,Stock1!I54,"")</f>
        <v/>
      </c>
      <c r="W54" s="102" t="str">
        <f t="array" ref="W54">_xlfn.XLOOKUP(V54,Stock1!I54,Stock1!F54,"")</f>
        <v/>
      </c>
      <c r="X54" s="102" t="str">
        <f t="array" ref="X54">_xlfn.XLOOKUP(V54,Stock1!I54,Stock1!J54,"")</f>
        <v/>
      </c>
      <c r="Y54" s="102" t="str">
        <f t="array" ref="Y54">_xlfn.XLOOKUP("Screen Protector for Android Phone and Other",Stock1!B54,Stock1!I54,"")</f>
        <v/>
      </c>
      <c r="Z54" s="102" t="str">
        <f t="array" ref="Z54">_xlfn.XLOOKUP("Screen Protector for Galaxy Phone",Stock1!B54,Stock1!I54,"")</f>
        <v/>
      </c>
      <c r="AA54" s="102" t="str">
        <f t="array" ref="AA54">_xlfn.XLOOKUP("Screen Protector for Galaxy Tab",Stock1!B54,Stock1!I54,"")</f>
        <v/>
      </c>
      <c r="AB54" s="102" t="str">
        <f t="shared" si="4"/>
        <v/>
      </c>
      <c r="AC54" s="102" t="str">
        <f t="array" ref="AC54">_xlfn.XLOOKUP(AB54,Stock1!I54,Stock1!F54,"")</f>
        <v/>
      </c>
      <c r="AD54" s="102" t="str">
        <f t="array" ref="AD54">_xlfn.XLOOKUP(AB54,Stock1!I54,Stock1!J54,"")</f>
        <v/>
      </c>
      <c r="AE54" s="102" t="str">
        <f t="array" ref="AE54">_xlfn.XLOOKUP("Storage",Stock1!B54,Stock1!I54,"")</f>
        <v/>
      </c>
      <c r="AF54" s="102" t="str">
        <f t="array" ref="AF54">_xlfn.XLOOKUP(AE54,Stock1!I54,Stock1!F54,"")</f>
        <v/>
      </c>
      <c r="AG54" s="102" t="str">
        <f t="array" ref="AG54">_xlfn.XLOOKUP(AE54,Stock1!I54,Stock1!J54,"")</f>
        <v/>
      </c>
    </row>
    <row r="55">
      <c r="J55" s="660" t="str">
        <f t="array" ref="J55">IFERROR(_xlfn.XLOOKUP(I55,Stock1!F:F,Stock1!E:E,""),"")</f>
        <v/>
      </c>
      <c r="K55" s="660" t="str">
        <f t="array" ref="K55">IFERROR(_xlfn.XLOOKUP(I55,Incentive!B:B,Incentive!E:E,""),"")</f>
        <v/>
      </c>
      <c r="L55" s="659" t="str">
        <f>IFERROR(VLOOKUP(I55,Stock1!F:J,5,False),"")</f>
        <v/>
      </c>
      <c r="M55" s="659" t="str">
        <f>IFERROR(VLOOKUP(I55,Stock2!F:J,5,False),"")</f>
        <v/>
      </c>
      <c r="V55" s="102" t="str">
        <f t="array" ref="V55">_xlfn.XLOOKUP("Charger",Stock1!B55,Stock1!I55,"")</f>
        <v/>
      </c>
      <c r="W55" s="102" t="str">
        <f t="array" ref="W55">_xlfn.XLOOKUP(V55,Stock1!I55,Stock1!F55,"")</f>
        <v/>
      </c>
      <c r="X55" s="102" t="str">
        <f t="array" ref="X55">_xlfn.XLOOKUP(V55,Stock1!I55,Stock1!J55,"")</f>
        <v/>
      </c>
      <c r="Y55" s="102" t="str">
        <f t="array" ref="Y55">_xlfn.XLOOKUP("Screen Protector for Android Phone and Other",Stock1!B55,Stock1!I55,"")</f>
        <v/>
      </c>
      <c r="Z55" s="102" t="str">
        <f t="array" ref="Z55">_xlfn.XLOOKUP("Screen Protector for Galaxy Phone",Stock1!B55,Stock1!I55,"")</f>
        <v/>
      </c>
      <c r="AA55" s="102" t="str">
        <f t="array" ref="AA55">_xlfn.XLOOKUP("Screen Protector for Galaxy Tab",Stock1!B55,Stock1!I55,"")</f>
        <v/>
      </c>
      <c r="AB55" s="102" t="str">
        <f t="shared" si="4"/>
        <v/>
      </c>
      <c r="AC55" s="102" t="str">
        <f t="array" ref="AC55">_xlfn.XLOOKUP(AB55,Stock1!I55,Stock1!F55,"")</f>
        <v/>
      </c>
      <c r="AD55" s="102" t="str">
        <f t="array" ref="AD55">_xlfn.XLOOKUP(AB55,Stock1!I55,Stock1!J55,"")</f>
        <v/>
      </c>
      <c r="AE55" s="102" t="str">
        <f t="array" ref="AE55">_xlfn.XLOOKUP("Storage",Stock1!B55,Stock1!I55,"")</f>
        <v/>
      </c>
      <c r="AF55" s="102" t="str">
        <f t="array" ref="AF55">_xlfn.XLOOKUP(AE55,Stock1!I55,Stock1!F55,"")</f>
        <v/>
      </c>
      <c r="AG55" s="102" t="str">
        <f t="array" ref="AG55">_xlfn.XLOOKUP(AE55,Stock1!I55,Stock1!J55,"")</f>
        <v/>
      </c>
    </row>
    <row r="56">
      <c r="J56" s="660" t="str">
        <f t="array" ref="J56">IFERROR(_xlfn.XLOOKUP(I56,Stock1!F:F,Stock1!E:E,""),"")</f>
        <v/>
      </c>
      <c r="K56" s="660" t="str">
        <f t="array" ref="K56">IFERROR(_xlfn.XLOOKUP(I56,Incentive!B:B,Incentive!E:E,""),"")</f>
        <v/>
      </c>
      <c r="L56" s="659" t="str">
        <f>IFERROR(VLOOKUP(I56,Stock1!F:J,5,False),"")</f>
        <v/>
      </c>
      <c r="M56" s="659" t="str">
        <f>IFERROR(VLOOKUP(I56,Stock2!F:J,5,False),"")</f>
        <v/>
      </c>
      <c r="V56" s="102" t="str">
        <f t="array" ref="V56">_xlfn.XLOOKUP("Charger",Stock1!B56,Stock1!I56,"")</f>
        <v/>
      </c>
      <c r="W56" s="102" t="str">
        <f t="array" ref="W56">_xlfn.XLOOKUP(V56,Stock1!I56,Stock1!F56,"")</f>
        <v/>
      </c>
      <c r="X56" s="102" t="str">
        <f t="array" ref="X56">_xlfn.XLOOKUP(V56,Stock1!I56,Stock1!J56,"")</f>
        <v/>
      </c>
      <c r="Y56" s="102" t="str">
        <f t="array" ref="Y56">_xlfn.XLOOKUP("Screen Protector for Android Phone and Other",Stock1!B56,Stock1!I56,"")</f>
        <v/>
      </c>
      <c r="Z56" s="102" t="str">
        <f t="array" ref="Z56">_xlfn.XLOOKUP("Screen Protector for Galaxy Phone",Stock1!B56,Stock1!I56,"")</f>
        <v/>
      </c>
      <c r="AA56" s="102" t="str">
        <f t="array" ref="AA56">_xlfn.XLOOKUP("Screen Protector for Galaxy Tab",Stock1!B56,Stock1!I56,"")</f>
        <v/>
      </c>
      <c r="AB56" s="102" t="str">
        <f t="shared" si="4"/>
        <v/>
      </c>
      <c r="AC56" s="102" t="str">
        <f t="array" ref="AC56">_xlfn.XLOOKUP(AB56,Stock1!I56,Stock1!F56,"")</f>
        <v/>
      </c>
      <c r="AD56" s="102" t="str">
        <f t="array" ref="AD56">_xlfn.XLOOKUP(AB56,Stock1!I56,Stock1!J56,"")</f>
        <v/>
      </c>
      <c r="AE56" s="102" t="str">
        <f t="array" ref="AE56">_xlfn.XLOOKUP("Storage",Stock1!B56,Stock1!I56,"")</f>
        <v/>
      </c>
      <c r="AF56" s="102" t="str">
        <f t="array" ref="AF56">_xlfn.XLOOKUP(AE56,Stock1!I56,Stock1!F56,"")</f>
        <v/>
      </c>
      <c r="AG56" s="102" t="str">
        <f t="array" ref="AG56">_xlfn.XLOOKUP(AE56,Stock1!I56,Stock1!J56,"")</f>
        <v/>
      </c>
    </row>
    <row r="57">
      <c r="J57" s="660" t="str">
        <f t="array" ref="J57">IFERROR(_xlfn.XLOOKUP(I57,Stock1!F:F,Stock1!E:E,""),"")</f>
        <v/>
      </c>
      <c r="K57" s="660" t="str">
        <f t="array" ref="K57">IFERROR(_xlfn.XLOOKUP(I57,Incentive!B:B,Incentive!E:E,""),"")</f>
        <v/>
      </c>
      <c r="L57" s="659" t="str">
        <f>IFERROR(VLOOKUP(I57,Stock1!F:J,5,False),"")</f>
        <v/>
      </c>
      <c r="M57" s="659" t="str">
        <f>IFERROR(VLOOKUP(I57,Stock2!F:J,5,False),"")</f>
        <v/>
      </c>
      <c r="V57" s="102" t="str">
        <f t="array" ref="V57">_xlfn.XLOOKUP("Charger",Stock1!B57,Stock1!I57,"")</f>
        <v/>
      </c>
      <c r="W57" s="102" t="str">
        <f t="array" ref="W57">_xlfn.XLOOKUP(V57,Stock1!I57,Stock1!F57,"")</f>
        <v/>
      </c>
      <c r="X57" s="102" t="str">
        <f t="array" ref="X57">_xlfn.XLOOKUP(V57,Stock1!I57,Stock1!J57,"")</f>
        <v/>
      </c>
      <c r="Y57" s="102" t="str">
        <f t="array" ref="Y57">_xlfn.XLOOKUP("Screen Protector for Android Phone and Other",Stock1!B57,Stock1!I57,"")</f>
        <v/>
      </c>
      <c r="Z57" s="102" t="str">
        <f t="array" ref="Z57">_xlfn.XLOOKUP("Screen Protector for Galaxy Phone",Stock1!B57,Stock1!I57,"")</f>
        <v/>
      </c>
      <c r="AA57" s="102" t="str">
        <f t="array" ref="AA57">_xlfn.XLOOKUP("Screen Protector for Galaxy Tab",Stock1!B57,Stock1!I57,"")</f>
        <v/>
      </c>
      <c r="AB57" s="102" t="str">
        <f t="shared" si="4"/>
        <v/>
      </c>
      <c r="AC57" s="102" t="str">
        <f t="array" ref="AC57">_xlfn.XLOOKUP(AB57,Stock1!I57,Stock1!F57,"")</f>
        <v/>
      </c>
      <c r="AD57" s="102" t="str">
        <f t="array" ref="AD57">_xlfn.XLOOKUP(AB57,Stock1!I57,Stock1!J57,"")</f>
        <v/>
      </c>
      <c r="AE57" s="102" t="str">
        <f t="array" ref="AE57">_xlfn.XLOOKUP("Storage",Stock1!B57,Stock1!I57,"")</f>
        <v/>
      </c>
      <c r="AF57" s="102" t="str">
        <f t="array" ref="AF57">_xlfn.XLOOKUP(AE57,Stock1!I57,Stock1!F57,"")</f>
        <v/>
      </c>
      <c r="AG57" s="102" t="str">
        <f t="array" ref="AG57">_xlfn.XLOOKUP(AE57,Stock1!I57,Stock1!J57,"")</f>
        <v/>
      </c>
    </row>
    <row r="58">
      <c r="J58" s="660" t="str">
        <f t="array" ref="J58">IFERROR(_xlfn.XLOOKUP(I58,Stock1!F:F,Stock1!E:E,""),"")</f>
        <v/>
      </c>
      <c r="K58" s="660" t="str">
        <f t="array" ref="K58">IFERROR(_xlfn.XLOOKUP(I58,Incentive!B:B,Incentive!E:E,""),"")</f>
        <v/>
      </c>
      <c r="L58" s="659" t="str">
        <f>IFERROR(VLOOKUP(I58,Stock1!F:J,5,False),"")</f>
        <v/>
      </c>
      <c r="M58" s="659" t="str">
        <f>IFERROR(VLOOKUP(I58,Stock2!F:J,5,False),"")</f>
        <v/>
      </c>
      <c r="V58" s="102" t="str">
        <f t="array" ref="V58">_xlfn.XLOOKUP("Charger",Stock1!B58,Stock1!I58,"")</f>
        <v/>
      </c>
      <c r="W58" s="102" t="str">
        <f t="array" ref="W58">_xlfn.XLOOKUP(V58,Stock1!I58,Stock1!F58,"")</f>
        <v/>
      </c>
      <c r="X58" s="102" t="str">
        <f t="array" ref="X58">_xlfn.XLOOKUP(V58,Stock1!I58,Stock1!J58,"")</f>
        <v/>
      </c>
      <c r="Y58" s="102" t="str">
        <f t="array" ref="Y58">_xlfn.XLOOKUP("Screen Protector for Android Phone and Other",Stock1!B58,Stock1!I58,"")</f>
        <v/>
      </c>
      <c r="Z58" s="102" t="str">
        <f t="array" ref="Z58">_xlfn.XLOOKUP("Screen Protector for Galaxy Phone",Stock1!B58,Stock1!I58,"")</f>
        <v/>
      </c>
      <c r="AA58" s="102" t="str">
        <f t="array" ref="AA58">_xlfn.XLOOKUP("Screen Protector for Galaxy Tab",Stock1!B58,Stock1!I58,"")</f>
        <v/>
      </c>
      <c r="AB58" s="102" t="str">
        <f t="shared" si="4"/>
        <v/>
      </c>
      <c r="AC58" s="102" t="str">
        <f t="array" ref="AC58">_xlfn.XLOOKUP(AB58,Stock1!I58,Stock1!F58,"")</f>
        <v/>
      </c>
      <c r="AD58" s="102" t="str">
        <f t="array" ref="AD58">_xlfn.XLOOKUP(AB58,Stock1!I58,Stock1!J58,"")</f>
        <v/>
      </c>
      <c r="AE58" s="102" t="str">
        <f t="array" ref="AE58">_xlfn.XLOOKUP("Storage",Stock1!B58,Stock1!I58,"")</f>
        <v/>
      </c>
      <c r="AF58" s="102" t="str">
        <f t="array" ref="AF58">_xlfn.XLOOKUP(AE58,Stock1!I58,Stock1!F58,"")</f>
        <v/>
      </c>
      <c r="AG58" s="102" t="str">
        <f t="array" ref="AG58">_xlfn.XLOOKUP(AE58,Stock1!I58,Stock1!J58,"")</f>
        <v/>
      </c>
    </row>
    <row r="59">
      <c r="K59" s="660" t="str">
        <f t="array" ref="K59">IFERROR(_xlfn.XLOOKUP(I59,Incentive!B:B,Incentive!E:E,""),"")</f>
        <v/>
      </c>
      <c r="L59" s="659" t="str">
        <f>IFERROR(VLOOKUP(I59,Stock1!F:J,5,False),"")</f>
        <v/>
      </c>
      <c r="M59" s="659" t="str">
        <f>IFERROR(VLOOKUP(I59,Stock2!F:J,5,False),"")</f>
        <v/>
      </c>
      <c r="V59" s="102" t="str">
        <f t="array" ref="V59">_xlfn.XLOOKUP("Charger",Stock1!B59,Stock1!I59,"")</f>
        <v/>
      </c>
      <c r="W59" s="102" t="str">
        <f t="array" ref="W59">_xlfn.XLOOKUP(V59,Stock1!I59,Stock1!F59,"")</f>
        <v/>
      </c>
      <c r="X59" s="102" t="str">
        <f t="array" ref="X59">_xlfn.XLOOKUP(V59,Stock1!I59,Stock1!J59,"")</f>
        <v/>
      </c>
      <c r="Y59" s="102" t="str">
        <f t="array" ref="Y59">_xlfn.XLOOKUP("Screen Protector for Android Phone and Other",Stock1!B59,Stock1!I59,"")</f>
        <v/>
      </c>
      <c r="Z59" s="102" t="str">
        <f t="array" ref="Z59">_xlfn.XLOOKUP("Screen Protector for Galaxy Phone",Stock1!B59,Stock1!I59,"")</f>
        <v/>
      </c>
      <c r="AA59" s="102" t="str">
        <f t="array" ref="AA59">_xlfn.XLOOKUP("Screen Protector for Galaxy Tab",Stock1!B59,Stock1!I59,"")</f>
        <v/>
      </c>
      <c r="AB59" s="102" t="str">
        <f t="shared" si="4"/>
        <v/>
      </c>
      <c r="AC59" s="102" t="str">
        <f t="array" ref="AC59">_xlfn.XLOOKUP(AB59,Stock1!I59,Stock1!F59,"")</f>
        <v/>
      </c>
      <c r="AD59" s="102" t="str">
        <f t="array" ref="AD59">_xlfn.XLOOKUP(AB59,Stock1!I59,Stock1!J59,"")</f>
        <v/>
      </c>
      <c r="AE59" s="102" t="str">
        <f t="array" ref="AE59">_xlfn.XLOOKUP("Storage",Stock1!B59,Stock1!I59,"")</f>
        <v/>
      </c>
      <c r="AF59" s="102" t="str">
        <f t="array" ref="AF59">_xlfn.XLOOKUP(AE59,Stock1!I59,Stock1!F59,"")</f>
        <v/>
      </c>
      <c r="AG59" s="102" t="str">
        <f t="array" ref="AG59">_xlfn.XLOOKUP(AE59,Stock1!I59,Stock1!J59,"")</f>
        <v/>
      </c>
    </row>
    <row r="60">
      <c r="K60" s="660" t="str">
        <f t="array" ref="K60">IFERROR(_xlfn.XLOOKUP(I60,Incentive!B:B,Incentive!E:E,""),"")</f>
        <v/>
      </c>
      <c r="L60" s="659" t="str">
        <f>IFERROR(VLOOKUP(I60,Stock1!F:J,5,False),"")</f>
        <v/>
      </c>
      <c r="M60" s="659" t="str">
        <f>IFERROR(VLOOKUP(I60,Stock2!F:J,5,False),"")</f>
        <v/>
      </c>
      <c r="V60" s="102" t="str">
        <f t="array" ref="V60">_xlfn.XLOOKUP("Charger",Stock1!B60,Stock1!I60,"")</f>
        <v/>
      </c>
      <c r="W60" s="102" t="str">
        <f t="array" ref="W60">_xlfn.XLOOKUP(V60,Stock1!I60,Stock1!F60,"")</f>
        <v/>
      </c>
      <c r="X60" s="102" t="str">
        <f t="array" ref="X60">_xlfn.XLOOKUP(V60,Stock1!I60,Stock1!J60,"")</f>
        <v/>
      </c>
      <c r="Y60" s="102" t="str">
        <f t="array" ref="Y60">_xlfn.XLOOKUP("Screen Protector for Android Phone and Other",Stock1!B60,Stock1!I60,"")</f>
        <v/>
      </c>
      <c r="Z60" s="102" t="str">
        <f t="array" ref="Z60">_xlfn.XLOOKUP("Screen Protector for Galaxy Phone",Stock1!B60,Stock1!I60,"")</f>
        <v/>
      </c>
      <c r="AA60" s="102" t="str">
        <f t="array" ref="AA60">_xlfn.XLOOKUP("Screen Protector for Galaxy Tab",Stock1!B60,Stock1!I60,"")</f>
        <v/>
      </c>
      <c r="AB60" s="102" t="str">
        <f t="shared" si="4"/>
        <v/>
      </c>
      <c r="AC60" s="102" t="str">
        <f t="array" ref="AC60">_xlfn.XLOOKUP(AB60,Stock1!I60,Stock1!F60,"")</f>
        <v/>
      </c>
      <c r="AD60" s="102" t="str">
        <f t="array" ref="AD60">_xlfn.XLOOKUP(AB60,Stock1!I60,Stock1!J60,"")</f>
        <v/>
      </c>
      <c r="AE60" s="102" t="str">
        <f t="array" ref="AE60">_xlfn.XLOOKUP("Storage",Stock1!B60,Stock1!I60,"")</f>
        <v/>
      </c>
      <c r="AF60" s="102" t="str">
        <f t="array" ref="AF60">_xlfn.XLOOKUP(AE60,Stock1!I60,Stock1!F60,"")</f>
        <v/>
      </c>
      <c r="AG60" s="102" t="str">
        <f t="array" ref="AG60">_xlfn.XLOOKUP(AE60,Stock1!I60,Stock1!J60,"")</f>
        <v/>
      </c>
    </row>
    <row r="61">
      <c r="K61" s="660" t="str">
        <f t="array" ref="K61">IFERROR(_xlfn.XLOOKUP(I61,Incentive!B:B,Incentive!E:E,""),"")</f>
        <v/>
      </c>
      <c r="L61" s="659" t="str">
        <f>IFERROR(VLOOKUP(I61,Stock1!F:J,5,False),"")</f>
        <v/>
      </c>
      <c r="M61" s="659" t="str">
        <f>IFERROR(VLOOKUP(I61,Stock2!F:J,5,False),"")</f>
        <v/>
      </c>
      <c r="V61" s="102" t="str">
        <f t="array" ref="V61">_xlfn.XLOOKUP("Charger",Stock1!B61,Stock1!I61,"")</f>
        <v/>
      </c>
      <c r="W61" s="102" t="str">
        <f t="array" ref="W61">_xlfn.XLOOKUP(V61,Stock1!I61,Stock1!F61,"")</f>
        <v/>
      </c>
      <c r="X61" s="102" t="str">
        <f t="array" ref="X61">_xlfn.XLOOKUP(V61,Stock1!I61,Stock1!J61,"")</f>
        <v/>
      </c>
      <c r="Y61" s="102" t="str">
        <f t="array" ref="Y61">_xlfn.XLOOKUP("Screen Protector for Android Phone and Other",Stock1!B61,Stock1!I61,"")</f>
        <v/>
      </c>
      <c r="Z61" s="102" t="str">
        <f t="array" ref="Z61">_xlfn.XLOOKUP("Screen Protector for Galaxy Phone",Stock1!B61,Stock1!I61,"")</f>
        <v/>
      </c>
      <c r="AA61" s="102" t="str">
        <f t="array" ref="AA61">_xlfn.XLOOKUP("Screen Protector for Galaxy Tab",Stock1!B61,Stock1!I61,"")</f>
        <v/>
      </c>
      <c r="AB61" s="102" t="str">
        <f t="shared" si="4"/>
        <v/>
      </c>
      <c r="AC61" s="102" t="str">
        <f t="array" ref="AC61">_xlfn.XLOOKUP(AB61,Stock1!I61,Stock1!F61,"")</f>
        <v/>
      </c>
      <c r="AD61" s="102" t="str">
        <f t="array" ref="AD61">_xlfn.XLOOKUP(AB61,Stock1!I61,Stock1!J61,"")</f>
        <v/>
      </c>
      <c r="AE61" s="102" t="str">
        <f t="array" ref="AE61">_xlfn.XLOOKUP("Storage",Stock1!B61,Stock1!I61,"")</f>
        <v/>
      </c>
      <c r="AF61" s="102" t="str">
        <f t="array" ref="AF61">_xlfn.XLOOKUP(AE61,Stock1!I61,Stock1!F61,"")</f>
        <v/>
      </c>
      <c r="AG61" s="102" t="str">
        <f t="array" ref="AG61">_xlfn.XLOOKUP(AE61,Stock1!I61,Stock1!J61,"")</f>
        <v/>
      </c>
    </row>
    <row r="62">
      <c r="K62" s="660" t="str">
        <f t="array" ref="K62">IFERROR(_xlfn.XLOOKUP(I62,Incentive!B:B,Incentive!E:E,""),"")</f>
        <v/>
      </c>
      <c r="L62" s="659" t="str">
        <f>IFERROR(VLOOKUP(I62,Stock1!F:J,5,False),"")</f>
        <v/>
      </c>
      <c r="M62" s="659" t="str">
        <f>IFERROR(VLOOKUP(I62,Stock2!F:J,5,False),"")</f>
        <v/>
      </c>
      <c r="V62" s="102" t="str">
        <f t="array" ref="V62">_xlfn.XLOOKUP("Charger",Stock1!B62,Stock1!I62,"")</f>
        <v/>
      </c>
      <c r="W62" s="102" t="str">
        <f t="array" ref="W62">_xlfn.XLOOKUP(V62,Stock1!I62,Stock1!F62,"")</f>
        <v/>
      </c>
      <c r="X62" s="102" t="str">
        <f t="array" ref="X62">_xlfn.XLOOKUP(V62,Stock1!I62,Stock1!J62,"")</f>
        <v/>
      </c>
      <c r="Y62" s="102" t="str">
        <f t="array" ref="Y62">_xlfn.XLOOKUP("Screen Protector for Android Phone and Other",Stock1!B62,Stock1!I62,"")</f>
        <v/>
      </c>
      <c r="Z62" s="102" t="str">
        <f t="array" ref="Z62">_xlfn.XLOOKUP("Screen Protector for Galaxy Phone",Stock1!B62,Stock1!I62,"")</f>
        <v/>
      </c>
      <c r="AA62" s="102" t="str">
        <f t="array" ref="AA62">_xlfn.XLOOKUP("Screen Protector for Galaxy Tab",Stock1!B62,Stock1!I62,"")</f>
        <v/>
      </c>
      <c r="AB62" s="102" t="str">
        <f t="shared" si="4"/>
        <v/>
      </c>
      <c r="AC62" s="102" t="str">
        <f t="array" ref="AC62">_xlfn.XLOOKUP(AB62,Stock1!I62,Stock1!F62,"")</f>
        <v/>
      </c>
      <c r="AD62" s="102" t="str">
        <f t="array" ref="AD62">_xlfn.XLOOKUP(AB62,Stock1!I62,Stock1!J62,"")</f>
        <v/>
      </c>
      <c r="AE62" s="102" t="str">
        <f t="array" ref="AE62">_xlfn.XLOOKUP("Storage",Stock1!B62,Stock1!I62,"")</f>
        <v/>
      </c>
      <c r="AF62" s="102" t="str">
        <f t="array" ref="AF62">_xlfn.XLOOKUP(AE62,Stock1!I62,Stock1!F62,"")</f>
        <v/>
      </c>
      <c r="AG62" s="102" t="str">
        <f t="array" ref="AG62">_xlfn.XLOOKUP(AE62,Stock1!I62,Stock1!J62,"")</f>
        <v/>
      </c>
    </row>
    <row r="63">
      <c r="K63" s="660" t="str">
        <f t="array" ref="K63">IFERROR(_xlfn.XLOOKUP(I63,Incentive!B:B,Incentive!E:E,""),"")</f>
        <v/>
      </c>
      <c r="L63" s="659" t="str">
        <f>IFERROR(VLOOKUP(I63,Stock1!F:J,5,False),"")</f>
        <v/>
      </c>
      <c r="M63" s="659" t="str">
        <f>IFERROR(VLOOKUP(I63,Stock2!F:J,5,False),"")</f>
        <v/>
      </c>
      <c r="V63" s="102" t="str">
        <f t="array" ref="V63">_xlfn.XLOOKUP("Charger",Stock1!B63,Stock1!I63,"")</f>
        <v/>
      </c>
      <c r="W63" s="102" t="str">
        <f t="array" ref="W63">_xlfn.XLOOKUP(V63,Stock1!I63,Stock1!F63,"")</f>
        <v/>
      </c>
      <c r="X63" s="102" t="str">
        <f t="array" ref="X63">_xlfn.XLOOKUP(V63,Stock1!I63,Stock1!J63,"")</f>
        <v/>
      </c>
      <c r="Y63" s="102" t="str">
        <f t="array" ref="Y63">_xlfn.XLOOKUP("Screen Protector for Android Phone and Other",Stock1!B63,Stock1!I63,"")</f>
        <v/>
      </c>
      <c r="Z63" s="102" t="str">
        <f t="array" ref="Z63">_xlfn.XLOOKUP("Screen Protector for Galaxy Phone",Stock1!B63,Stock1!I63,"")</f>
        <v/>
      </c>
      <c r="AA63" s="102" t="str">
        <f t="array" ref="AA63">_xlfn.XLOOKUP("Screen Protector for Galaxy Tab",Stock1!B63,Stock1!I63,"")</f>
        <v/>
      </c>
      <c r="AB63" s="102" t="str">
        <f t="shared" si="4"/>
        <v/>
      </c>
      <c r="AC63" s="102" t="str">
        <f t="array" ref="AC63">_xlfn.XLOOKUP(AB63,Stock1!I63,Stock1!F63,"")</f>
        <v/>
      </c>
      <c r="AD63" s="102" t="str">
        <f t="array" ref="AD63">_xlfn.XLOOKUP(AB63,Stock1!I63,Stock1!J63,"")</f>
        <v/>
      </c>
      <c r="AE63" s="102" t="str">
        <f t="array" ref="AE63">_xlfn.XLOOKUP("Storage",Stock1!B63,Stock1!I63,"")</f>
        <v/>
      </c>
      <c r="AF63" s="102" t="str">
        <f t="array" ref="AF63">_xlfn.XLOOKUP(AE63,Stock1!I63,Stock1!F63,"")</f>
        <v/>
      </c>
      <c r="AG63" s="102" t="str">
        <f t="array" ref="AG63">_xlfn.XLOOKUP(AE63,Stock1!I63,Stock1!J63,"")</f>
        <v/>
      </c>
    </row>
    <row r="64">
      <c r="K64" s="660" t="str">
        <f t="array" ref="K64">IFERROR(_xlfn.XLOOKUP(I64,Incentive!B:B,Incentive!E:E,""),"")</f>
        <v/>
      </c>
      <c r="L64" s="659" t="str">
        <f>IFERROR(VLOOKUP(I64,Stock1!F:J,5,False),"")</f>
        <v/>
      </c>
      <c r="M64" s="659" t="str">
        <f>IFERROR(VLOOKUP(I64,Stock2!F:J,5,False),"")</f>
        <v/>
      </c>
      <c r="V64" s="102" t="str">
        <f t="array" ref="V64">_xlfn.XLOOKUP("Charger",Stock1!B64,Stock1!I64,"")</f>
        <v/>
      </c>
      <c r="W64" s="102" t="str">
        <f t="array" ref="W64">_xlfn.XLOOKUP(V64,Stock1!I64,Stock1!F64,"")</f>
        <v/>
      </c>
      <c r="X64" s="102" t="str">
        <f t="array" ref="X64">_xlfn.XLOOKUP(V64,Stock1!I64,Stock1!J64,"")</f>
        <v/>
      </c>
      <c r="Y64" s="102" t="str">
        <f t="array" ref="Y64">_xlfn.XLOOKUP("Screen Protector for Android Phone and Other",Stock1!B64,Stock1!I64,"")</f>
        <v/>
      </c>
      <c r="Z64" s="102" t="str">
        <f t="array" ref="Z64">_xlfn.XLOOKUP("Screen Protector for Galaxy Phone",Stock1!B64,Stock1!I64,"")</f>
        <v/>
      </c>
      <c r="AA64" s="102" t="str">
        <f t="array" ref="AA64">_xlfn.XLOOKUP("Screen Protector for Galaxy Tab",Stock1!B64,Stock1!I64,"")</f>
        <v/>
      </c>
      <c r="AB64" s="102" t="str">
        <f t="shared" si="4"/>
        <v/>
      </c>
      <c r="AC64" s="102" t="str">
        <f t="array" ref="AC64">_xlfn.XLOOKUP(AB64,Stock1!I64,Stock1!F64,"")</f>
        <v/>
      </c>
      <c r="AD64" s="102" t="str">
        <f t="array" ref="AD64">_xlfn.XLOOKUP(AB64,Stock1!I64,Stock1!J64,"")</f>
        <v/>
      </c>
      <c r="AE64" s="102" t="str">
        <f t="array" ref="AE64">_xlfn.XLOOKUP("Storage",Stock1!B64,Stock1!I64,"")</f>
        <v/>
      </c>
      <c r="AF64" s="102" t="str">
        <f t="array" ref="AF64">_xlfn.XLOOKUP(AE64,Stock1!I64,Stock1!F64,"")</f>
        <v/>
      </c>
      <c r="AG64" s="102" t="str">
        <f t="array" ref="AG64">_xlfn.XLOOKUP(AE64,Stock1!I64,Stock1!J64,"")</f>
        <v/>
      </c>
    </row>
    <row r="65">
      <c r="K65" s="660" t="str">
        <f t="array" ref="K65">IFERROR(_xlfn.XLOOKUP(I65,Incentive!B:B,Incentive!E:E,""),"")</f>
        <v/>
      </c>
      <c r="L65" s="659" t="str">
        <f>IFERROR(VLOOKUP(I65,Stock1!F:J,5,False),"")</f>
        <v/>
      </c>
      <c r="M65" s="659" t="str">
        <f>IFERROR(VLOOKUP(I65,Stock2!F:J,5,False),"")</f>
        <v/>
      </c>
      <c r="V65" s="102" t="str">
        <f t="array" ref="V65">_xlfn.XLOOKUP("Charger",Stock1!B65,Stock1!I65,"")</f>
        <v/>
      </c>
      <c r="W65" s="102" t="str">
        <f t="array" ref="W65">_xlfn.XLOOKUP(V65,Stock1!I65,Stock1!F65,"")</f>
        <v/>
      </c>
      <c r="X65" s="102" t="str">
        <f t="array" ref="X65">_xlfn.XLOOKUP(V65,Stock1!I65,Stock1!J65,"")</f>
        <v/>
      </c>
      <c r="Y65" s="102" t="str">
        <f t="array" ref="Y65">_xlfn.XLOOKUP("Screen Protector for Android Phone and Other",Stock1!B65,Stock1!I65,"")</f>
        <v/>
      </c>
      <c r="Z65" s="102" t="str">
        <f t="array" ref="Z65">_xlfn.XLOOKUP("Screen Protector for Galaxy Phone",Stock1!B65,Stock1!I65,"")</f>
        <v/>
      </c>
      <c r="AA65" s="102" t="str">
        <f t="array" ref="AA65">_xlfn.XLOOKUP("Screen Protector for Galaxy Tab",Stock1!B65,Stock1!I65,"")</f>
        <v/>
      </c>
      <c r="AB65" s="102" t="str">
        <f t="shared" si="4"/>
        <v/>
      </c>
      <c r="AC65" s="102" t="str">
        <f t="array" ref="AC65">_xlfn.XLOOKUP(AB65,Stock1!I65,Stock1!F65,"")</f>
        <v/>
      </c>
      <c r="AD65" s="102" t="str">
        <f t="array" ref="AD65">_xlfn.XLOOKUP(AB65,Stock1!I65,Stock1!J65,"")</f>
        <v/>
      </c>
      <c r="AE65" s="102" t="str">
        <f t="array" ref="AE65">_xlfn.XLOOKUP("Storage",Stock1!B65,Stock1!I65,"")</f>
        <v/>
      </c>
      <c r="AF65" s="102" t="str">
        <f t="array" ref="AF65">_xlfn.XLOOKUP(AE65,Stock1!I65,Stock1!F65,"")</f>
        <v/>
      </c>
      <c r="AG65" s="102" t="str">
        <f t="array" ref="AG65">_xlfn.XLOOKUP(AE65,Stock1!I65,Stock1!J65,"")</f>
        <v/>
      </c>
    </row>
    <row r="66">
      <c r="K66" s="660" t="str">
        <f t="array" ref="K66">IFERROR(_xlfn.XLOOKUP(I66,Incentive!B:B,Incentive!E:E,""),"")</f>
        <v/>
      </c>
      <c r="L66" s="659" t="str">
        <f>IFERROR(VLOOKUP(I66,Stock1!F:J,5,False),"")</f>
        <v/>
      </c>
      <c r="M66" s="659" t="str">
        <f>IFERROR(VLOOKUP(I66,Stock2!F:J,5,False),"")</f>
        <v/>
      </c>
      <c r="V66" s="102" t="str">
        <f t="array" ref="V66">_xlfn.XLOOKUP("Charger",Stock1!B66,Stock1!I66,"")</f>
        <v/>
      </c>
      <c r="W66" s="102" t="str">
        <f t="array" ref="W66">_xlfn.XLOOKUP(V66,Stock1!I66,Stock1!F66,"")</f>
        <v/>
      </c>
      <c r="X66" s="102" t="str">
        <f t="array" ref="X66">_xlfn.XLOOKUP(V66,Stock1!I66,Stock1!J66,"")</f>
        <v/>
      </c>
      <c r="Y66" s="102" t="str">
        <f t="array" ref="Y66">_xlfn.XLOOKUP("Screen Protector for Android Phone and Other",Stock1!B66,Stock1!I66,"")</f>
        <v/>
      </c>
      <c r="Z66" s="102" t="str">
        <f t="array" ref="Z66">_xlfn.XLOOKUP("Screen Protector for Galaxy Phone",Stock1!B66,Stock1!I66,"")</f>
        <v/>
      </c>
      <c r="AA66" s="102" t="str">
        <f t="array" ref="AA66">_xlfn.XLOOKUP("Screen Protector for Galaxy Tab",Stock1!B66,Stock1!I66,"")</f>
        <v/>
      </c>
      <c r="AB66" s="102" t="str">
        <f t="shared" si="4"/>
        <v/>
      </c>
      <c r="AC66" s="102" t="str">
        <f t="array" ref="AC66">_xlfn.XLOOKUP(AB66,Stock1!I66,Stock1!F66,"")</f>
        <v/>
      </c>
      <c r="AD66" s="102" t="str">
        <f t="array" ref="AD66">_xlfn.XLOOKUP(AB66,Stock1!I66,Stock1!J66,"")</f>
        <v/>
      </c>
      <c r="AE66" s="102" t="str">
        <f t="array" ref="AE66">_xlfn.XLOOKUP("Storage",Stock1!B66,Stock1!I66,"")</f>
        <v/>
      </c>
      <c r="AF66" s="102" t="str">
        <f t="array" ref="AF66">_xlfn.XLOOKUP(AE66,Stock1!I66,Stock1!F66,"")</f>
        <v/>
      </c>
      <c r="AG66" s="102" t="str">
        <f t="array" ref="AG66">_xlfn.XLOOKUP(AE66,Stock1!I66,Stock1!J66,"")</f>
        <v/>
      </c>
    </row>
    <row r="67">
      <c r="K67" s="660" t="str">
        <f t="array" ref="K67">IFERROR(_xlfn.XLOOKUP(I67,Incentive!B:B,Incentive!E:E,""),"")</f>
        <v/>
      </c>
      <c r="L67" s="659" t="str">
        <f>IFERROR(VLOOKUP(I67,Stock1!F:J,5,False),"")</f>
        <v/>
      </c>
      <c r="M67" s="659" t="str">
        <f>IFERROR(VLOOKUP(I67,Stock2!F:J,5,False),"")</f>
        <v/>
      </c>
      <c r="V67" s="102" t="str">
        <f t="array" ref="V67">_xlfn.XLOOKUP("Charger",Stock1!B67,Stock1!I67,"")</f>
        <v/>
      </c>
      <c r="W67" s="102" t="str">
        <f t="array" ref="W67">_xlfn.XLOOKUP(V67,Stock1!I67,Stock1!F67,"")</f>
        <v/>
      </c>
      <c r="X67" s="102" t="str">
        <f t="array" ref="X67">_xlfn.XLOOKUP(V67,Stock1!I67,Stock1!J67,"")</f>
        <v/>
      </c>
      <c r="Y67" s="102" t="str">
        <f t="array" ref="Y67">_xlfn.XLOOKUP("Screen Protector for Android Phone and Other",Stock1!B67,Stock1!I67,"")</f>
        <v/>
      </c>
      <c r="Z67" s="102" t="str">
        <f t="array" ref="Z67">_xlfn.XLOOKUP("Screen Protector for Galaxy Phone",Stock1!B67,Stock1!I67,"")</f>
        <v/>
      </c>
      <c r="AA67" s="102" t="str">
        <f t="array" ref="AA67">_xlfn.XLOOKUP("Screen Protector for Galaxy Tab",Stock1!B67,Stock1!I67,"")</f>
        <v/>
      </c>
      <c r="AB67" s="102" t="str">
        <f t="shared" si="4"/>
        <v/>
      </c>
      <c r="AC67" s="102" t="str">
        <f t="array" ref="AC67">_xlfn.XLOOKUP(AB67,Stock1!I67,Stock1!F67,"")</f>
        <v/>
      </c>
      <c r="AD67" s="102" t="str">
        <f t="array" ref="AD67">_xlfn.XLOOKUP(AB67,Stock1!I67,Stock1!J67,"")</f>
        <v/>
      </c>
      <c r="AE67" s="102" t="str">
        <f t="array" ref="AE67">_xlfn.XLOOKUP("Storage",Stock1!B67,Stock1!I67,"")</f>
        <v/>
      </c>
      <c r="AF67" s="102" t="str">
        <f t="array" ref="AF67">_xlfn.XLOOKUP(AE67,Stock1!I67,Stock1!F67,"")</f>
        <v/>
      </c>
      <c r="AG67" s="102" t="str">
        <f t="array" ref="AG67">_xlfn.XLOOKUP(AE67,Stock1!I67,Stock1!J67,"")</f>
        <v/>
      </c>
    </row>
    <row r="68">
      <c r="K68" s="660" t="str">
        <f t="array" ref="K68">IFERROR(_xlfn.XLOOKUP(I68,Incentive!B:B,Incentive!E:E,""),"")</f>
        <v/>
      </c>
      <c r="L68" s="659" t="str">
        <f>IFERROR(VLOOKUP(I68,Stock1!F:J,5,False),"")</f>
        <v/>
      </c>
      <c r="M68" s="659" t="str">
        <f>IFERROR(VLOOKUP(I68,Stock2!F:J,5,False),"")</f>
        <v/>
      </c>
      <c r="V68" s="102" t="str">
        <f t="array" ref="V68">_xlfn.XLOOKUP("Charger",Stock1!B68,Stock1!I68,"")</f>
        <v/>
      </c>
      <c r="W68" s="102" t="str">
        <f t="array" ref="W68">_xlfn.XLOOKUP(V68,Stock1!I68,Stock1!F68,"")</f>
        <v/>
      </c>
      <c r="X68" s="102" t="str">
        <f t="array" ref="X68">_xlfn.XLOOKUP(V68,Stock1!I68,Stock1!J68,"")</f>
        <v/>
      </c>
      <c r="Y68" s="102" t="str">
        <f t="array" ref="Y68">_xlfn.XLOOKUP("Screen Protector for Android Phone and Other",Stock1!B68,Stock1!I68,"")</f>
        <v/>
      </c>
      <c r="Z68" s="102" t="str">
        <f t="array" ref="Z68">_xlfn.XLOOKUP("Screen Protector for Galaxy Phone",Stock1!B68,Stock1!I68,"")</f>
        <v/>
      </c>
      <c r="AA68" s="102" t="str">
        <f t="array" ref="AA68">_xlfn.XLOOKUP("Screen Protector for Galaxy Tab",Stock1!B68,Stock1!I68,"")</f>
        <v/>
      </c>
      <c r="AB68" s="102" t="str">
        <f t="shared" si="4"/>
        <v/>
      </c>
      <c r="AC68" s="102" t="str">
        <f t="array" ref="AC68">_xlfn.XLOOKUP(AB68,Stock1!I68,Stock1!F68,"")</f>
        <v/>
      </c>
      <c r="AD68" s="102" t="str">
        <f t="array" ref="AD68">_xlfn.XLOOKUP(AB68,Stock1!I68,Stock1!J68,"")</f>
        <v/>
      </c>
      <c r="AE68" s="102" t="str">
        <f t="array" ref="AE68">_xlfn.XLOOKUP("Storage",Stock1!B68,Stock1!I68,"")</f>
        <v/>
      </c>
      <c r="AF68" s="102" t="str">
        <f t="array" ref="AF68">_xlfn.XLOOKUP(AE68,Stock1!I68,Stock1!F68,"")</f>
        <v/>
      </c>
      <c r="AG68" s="102" t="str">
        <f t="array" ref="AG68">_xlfn.XLOOKUP(AE68,Stock1!I68,Stock1!J68,"")</f>
        <v/>
      </c>
    </row>
    <row r="69">
      <c r="K69" s="660" t="str">
        <f t="array" ref="K69">IFERROR(_xlfn.XLOOKUP(I69,Incentive!B:B,Incentive!E:E,""),"")</f>
        <v/>
      </c>
      <c r="L69" s="659" t="str">
        <f>IFERROR(VLOOKUP(I69,Stock1!F:J,5,False),"")</f>
        <v/>
      </c>
      <c r="M69" s="659" t="str">
        <f>IFERROR(VLOOKUP(I69,Stock2!F:J,5,False),"")</f>
        <v/>
      </c>
      <c r="V69" s="102" t="str">
        <f t="array" ref="V69">_xlfn.XLOOKUP("Charger",Stock1!B69,Stock1!I69,"")</f>
        <v/>
      </c>
      <c r="W69" s="102" t="str">
        <f t="array" ref="W69">_xlfn.XLOOKUP(V69,Stock1!I69,Stock1!F69,"")</f>
        <v/>
      </c>
      <c r="X69" s="102" t="str">
        <f t="array" ref="X69">_xlfn.XLOOKUP(V69,Stock1!I69,Stock1!J69,"")</f>
        <v/>
      </c>
      <c r="Y69" s="102" t="str">
        <f t="array" ref="Y69">_xlfn.XLOOKUP("Screen Protector for Android Phone and Other",Stock1!B69,Stock1!I69,"")</f>
        <v/>
      </c>
      <c r="Z69" s="102" t="str">
        <f t="array" ref="Z69">_xlfn.XLOOKUP("Screen Protector for Galaxy Phone",Stock1!B69,Stock1!I69,"")</f>
        <v/>
      </c>
      <c r="AA69" s="102" t="str">
        <f t="array" ref="AA69">_xlfn.XLOOKUP("Screen Protector for Galaxy Tab",Stock1!B69,Stock1!I69,"")</f>
        <v/>
      </c>
      <c r="AB69" s="102" t="str">
        <f t="shared" si="4"/>
        <v/>
      </c>
      <c r="AC69" s="102" t="str">
        <f t="array" ref="AC69">_xlfn.XLOOKUP(AB69,Stock1!I69,Stock1!F69,"")</f>
        <v/>
      </c>
      <c r="AD69" s="102" t="str">
        <f t="array" ref="AD69">_xlfn.XLOOKUP(AB69,Stock1!I69,Stock1!J69,"")</f>
        <v/>
      </c>
      <c r="AE69" s="102" t="str">
        <f t="array" ref="AE69">_xlfn.XLOOKUP("Storage",Stock1!B69,Stock1!I69,"")</f>
        <v/>
      </c>
      <c r="AF69" s="102" t="str">
        <f t="array" ref="AF69">_xlfn.XLOOKUP(AE69,Stock1!I69,Stock1!F69,"")</f>
        <v/>
      </c>
      <c r="AG69" s="102" t="str">
        <f t="array" ref="AG69">_xlfn.XLOOKUP(AE69,Stock1!I69,Stock1!J69,"")</f>
        <v/>
      </c>
    </row>
    <row r="70">
      <c r="K70" s="660" t="str">
        <f t="array" ref="K70">IFERROR(_xlfn.XLOOKUP(I70,Incentive!B:B,Incentive!E:E,""),"")</f>
        <v/>
      </c>
      <c r="L70" s="659" t="str">
        <f>IFERROR(VLOOKUP(I70,Stock1!F:J,5,False),"")</f>
        <v/>
      </c>
      <c r="M70" s="659" t="str">
        <f>IFERROR(VLOOKUP(I70,Stock2!F:J,5,False),"")</f>
        <v/>
      </c>
      <c r="V70" s="102" t="str">
        <f t="array" ref="V70">_xlfn.XLOOKUP("Charger",Stock1!B70,Stock1!I70,"")</f>
        <v/>
      </c>
      <c r="W70" s="102" t="str">
        <f t="array" ref="W70">_xlfn.XLOOKUP(V70,Stock1!I70,Stock1!F70,"")</f>
        <v/>
      </c>
      <c r="X70" s="102" t="str">
        <f t="array" ref="X70">_xlfn.XLOOKUP(V70,Stock1!I70,Stock1!J70,"")</f>
        <v/>
      </c>
      <c r="Y70" s="102" t="str">
        <f t="array" ref="Y70">_xlfn.XLOOKUP("Screen Protector for Android Phone and Other",Stock1!B70,Stock1!I70,"")</f>
        <v/>
      </c>
      <c r="Z70" s="102" t="str">
        <f t="array" ref="Z70">_xlfn.XLOOKUP("Screen Protector for Galaxy Phone",Stock1!B70,Stock1!I70,"")</f>
        <v/>
      </c>
      <c r="AA70" s="102" t="str">
        <f t="array" ref="AA70">_xlfn.XLOOKUP("Screen Protector for Galaxy Tab",Stock1!B70,Stock1!I70,"")</f>
        <v/>
      </c>
      <c r="AB70" s="102" t="str">
        <f t="shared" si="4"/>
        <v/>
      </c>
      <c r="AC70" s="102" t="str">
        <f t="array" ref="AC70">_xlfn.XLOOKUP(AB70,Stock1!I70,Stock1!F70,"")</f>
        <v/>
      </c>
      <c r="AD70" s="102" t="str">
        <f t="array" ref="AD70">_xlfn.XLOOKUP(AB70,Stock1!I70,Stock1!J70,"")</f>
        <v/>
      </c>
      <c r="AE70" s="102" t="str">
        <f t="array" ref="AE70">_xlfn.XLOOKUP("Storage",Stock1!B70,Stock1!I70,"")</f>
        <v/>
      </c>
      <c r="AF70" s="102" t="str">
        <f t="array" ref="AF70">_xlfn.XLOOKUP(AE70,Stock1!I70,Stock1!F70,"")</f>
        <v/>
      </c>
      <c r="AG70" s="102" t="str">
        <f t="array" ref="AG70">_xlfn.XLOOKUP(AE70,Stock1!I70,Stock1!J70,"")</f>
        <v/>
      </c>
    </row>
    <row r="71">
      <c r="K71" s="660" t="str">
        <f t="array" ref="K71">IFERROR(_xlfn.XLOOKUP(I71,Incentive!B:B,Incentive!E:E,""),"")</f>
        <v/>
      </c>
      <c r="L71" s="659" t="str">
        <f>IFERROR(VLOOKUP(I71,Stock1!F:J,5,False),"")</f>
        <v/>
      </c>
      <c r="M71" s="659" t="str">
        <f>IFERROR(VLOOKUP(I71,Stock2!F:J,5,False),"")</f>
        <v/>
      </c>
      <c r="V71" s="102" t="str">
        <f t="array" ref="V71">_xlfn.XLOOKUP("Charger",Stock1!B71,Stock1!I71,"")</f>
        <v/>
      </c>
      <c r="W71" s="102" t="str">
        <f t="array" ref="W71">_xlfn.XLOOKUP(V71,Stock1!I71,Stock1!F71,"")</f>
        <v/>
      </c>
      <c r="X71" s="102" t="str">
        <f t="array" ref="X71">_xlfn.XLOOKUP(V71,Stock1!I71,Stock1!J71,"")</f>
        <v/>
      </c>
      <c r="Y71" s="102" t="str">
        <f t="array" ref="Y71">_xlfn.XLOOKUP("Screen Protector for Android Phone and Other",Stock1!B71,Stock1!I71,"")</f>
        <v/>
      </c>
      <c r="Z71" s="102" t="str">
        <f t="array" ref="Z71">_xlfn.XLOOKUP("Screen Protector for Galaxy Phone",Stock1!B71,Stock1!I71,"")</f>
        <v/>
      </c>
      <c r="AA71" s="102" t="str">
        <f t="array" ref="AA71">_xlfn.XLOOKUP("Screen Protector for Galaxy Tab",Stock1!B71,Stock1!I71,"")</f>
        <v/>
      </c>
      <c r="AB71" s="102" t="str">
        <f t="shared" si="4"/>
        <v/>
      </c>
      <c r="AC71" s="102" t="str">
        <f t="array" ref="AC71">_xlfn.XLOOKUP(AB71,Stock1!I71,Stock1!F71,"")</f>
        <v/>
      </c>
      <c r="AD71" s="102" t="str">
        <f t="array" ref="AD71">_xlfn.XLOOKUP(AB71,Stock1!I71,Stock1!J71,"")</f>
        <v/>
      </c>
      <c r="AE71" s="102" t="str">
        <f t="array" ref="AE71">_xlfn.XLOOKUP("Storage",Stock1!B71,Stock1!I71,"")</f>
        <v/>
      </c>
      <c r="AF71" s="102" t="str">
        <f t="array" ref="AF71">_xlfn.XLOOKUP(AE71,Stock1!I71,Stock1!F71,"")</f>
        <v/>
      </c>
      <c r="AG71" s="102" t="str">
        <f t="array" ref="AG71">_xlfn.XLOOKUP(AE71,Stock1!I71,Stock1!J71,"")</f>
        <v/>
      </c>
    </row>
    <row r="72">
      <c r="K72" s="660" t="str">
        <f t="array" ref="K72">IFERROR(_xlfn.XLOOKUP(I72,Incentive!B:B,Incentive!E:E,""),"")</f>
        <v/>
      </c>
      <c r="L72" s="659" t="str">
        <f>IFERROR(VLOOKUP(I72,Stock1!F:J,5,False),"")</f>
        <v/>
      </c>
      <c r="M72" s="659" t="str">
        <f>IFERROR(VLOOKUP(I72,Stock2!F:J,5,False),"")</f>
        <v/>
      </c>
      <c r="V72" s="102" t="str">
        <f t="array" ref="V72">_xlfn.XLOOKUP("Charger",Stock1!B72,Stock1!I72,"")</f>
        <v/>
      </c>
      <c r="W72" s="102" t="str">
        <f t="array" ref="W72">_xlfn.XLOOKUP(V72,Stock1!I72,Stock1!F72,"")</f>
        <v/>
      </c>
      <c r="X72" s="102" t="str">
        <f t="array" ref="X72">_xlfn.XLOOKUP(V72,Stock1!I72,Stock1!J72,"")</f>
        <v/>
      </c>
      <c r="Y72" s="102" t="str">
        <f t="array" ref="Y72">_xlfn.XLOOKUP("Screen Protector for Android Phone and Other",Stock1!B72,Stock1!I72,"")</f>
        <v/>
      </c>
      <c r="Z72" s="102" t="str">
        <f t="array" ref="Z72">_xlfn.XLOOKUP("Screen Protector for Galaxy Phone",Stock1!B72,Stock1!I72,"")</f>
        <v/>
      </c>
      <c r="AA72" s="102" t="str">
        <f t="array" ref="AA72">_xlfn.XLOOKUP("Screen Protector for Galaxy Tab",Stock1!B72,Stock1!I72,"")</f>
        <v/>
      </c>
      <c r="AB72" s="102" t="str">
        <f t="shared" si="4"/>
        <v/>
      </c>
      <c r="AC72" s="102" t="str">
        <f t="array" ref="AC72">_xlfn.XLOOKUP(AB72,Stock1!I72,Stock1!F72,"")</f>
        <v/>
      </c>
      <c r="AD72" s="102" t="str">
        <f t="array" ref="AD72">_xlfn.XLOOKUP(AB72,Stock1!I72,Stock1!J72,"")</f>
        <v/>
      </c>
      <c r="AE72" s="102" t="str">
        <f t="array" ref="AE72">_xlfn.XLOOKUP("Storage",Stock1!B72,Stock1!I72,"")</f>
        <v/>
      </c>
      <c r="AF72" s="102" t="str">
        <f t="array" ref="AF72">_xlfn.XLOOKUP(AE72,Stock1!I72,Stock1!F72,"")</f>
        <v/>
      </c>
      <c r="AG72" s="102" t="str">
        <f t="array" ref="AG72">_xlfn.XLOOKUP(AE72,Stock1!I72,Stock1!J72,"")</f>
        <v/>
      </c>
    </row>
    <row r="73">
      <c r="K73" s="660" t="str">
        <f t="array" ref="K73">IFERROR(_xlfn.XLOOKUP(I73,Incentive!B:B,Incentive!E:E,""),"")</f>
        <v/>
      </c>
      <c r="L73" s="659" t="str">
        <f>IFERROR(VLOOKUP(I73,Stock1!F:J,5,False),"")</f>
        <v/>
      </c>
      <c r="M73" s="659" t="str">
        <f>IFERROR(VLOOKUP(I73,Stock2!F:J,5,False),"")</f>
        <v/>
      </c>
      <c r="V73" s="102" t="str">
        <f t="array" ref="V73">_xlfn.XLOOKUP("Charger",Stock1!B73,Stock1!I73,"")</f>
        <v/>
      </c>
      <c r="W73" s="102" t="str">
        <f t="array" ref="W73">_xlfn.XLOOKUP(V73,Stock1!I73,Stock1!F73,"")</f>
        <v/>
      </c>
      <c r="X73" s="102" t="str">
        <f t="array" ref="X73">_xlfn.XLOOKUP(V73,Stock1!I73,Stock1!J73,"")</f>
        <v/>
      </c>
      <c r="Y73" s="102" t="str">
        <f t="array" ref="Y73">_xlfn.XLOOKUP("Screen Protector for Android Phone and Other",Stock1!B73,Stock1!I73,"")</f>
        <v/>
      </c>
      <c r="Z73" s="102" t="str">
        <f t="array" ref="Z73">_xlfn.XLOOKUP("Screen Protector for Galaxy Phone",Stock1!B73,Stock1!I73,"")</f>
        <v/>
      </c>
      <c r="AA73" s="102" t="str">
        <f t="array" ref="AA73">_xlfn.XLOOKUP("Screen Protector for Galaxy Tab",Stock1!B73,Stock1!I73,"")</f>
        <v/>
      </c>
      <c r="AB73" s="102" t="str">
        <f t="shared" si="4"/>
        <v/>
      </c>
      <c r="AC73" s="102" t="str">
        <f t="array" ref="AC73">_xlfn.XLOOKUP(AB73,Stock1!I73,Stock1!F73,"")</f>
        <v/>
      </c>
      <c r="AD73" s="102" t="str">
        <f t="array" ref="AD73">_xlfn.XLOOKUP(AB73,Stock1!I73,Stock1!J73,"")</f>
        <v/>
      </c>
      <c r="AE73" s="102" t="str">
        <f t="array" ref="AE73">_xlfn.XLOOKUP("Storage",Stock1!B73,Stock1!I73,"")</f>
        <v/>
      </c>
      <c r="AF73" s="102" t="str">
        <f t="array" ref="AF73">_xlfn.XLOOKUP(AE73,Stock1!I73,Stock1!F73,"")</f>
        <v/>
      </c>
      <c r="AG73" s="102" t="str">
        <f t="array" ref="AG73">_xlfn.XLOOKUP(AE73,Stock1!I73,Stock1!J73,"")</f>
        <v/>
      </c>
    </row>
    <row r="74">
      <c r="K74" s="660" t="str">
        <f t="array" ref="K74">IFERROR(_xlfn.XLOOKUP(I74,Incentive!B:B,Incentive!E:E,""),"")</f>
        <v/>
      </c>
      <c r="L74" s="659" t="str">
        <f>IFERROR(VLOOKUP(I74,Stock1!F:J,5,False),"")</f>
        <v/>
      </c>
      <c r="M74" s="659" t="str">
        <f>IFERROR(VLOOKUP(I74,Stock2!F:J,5,False),"")</f>
        <v/>
      </c>
      <c r="V74" s="102" t="str">
        <f t="array" ref="V74">_xlfn.XLOOKUP("Charger",Stock1!B74,Stock1!I74,"")</f>
        <v/>
      </c>
      <c r="W74" s="102" t="str">
        <f t="array" ref="W74">_xlfn.XLOOKUP(V74,Stock1!I74,Stock1!F74,"")</f>
        <v/>
      </c>
      <c r="X74" s="102" t="str">
        <f t="array" ref="X74">_xlfn.XLOOKUP(V74,Stock1!I74,Stock1!J74,"")</f>
        <v/>
      </c>
      <c r="Y74" s="102" t="str">
        <f t="array" ref="Y74">_xlfn.XLOOKUP("Screen Protector for Android Phone and Other",Stock1!B74,Stock1!I74,"")</f>
        <v/>
      </c>
      <c r="Z74" s="102" t="str">
        <f t="array" ref="Z74">_xlfn.XLOOKUP("Screen Protector for Galaxy Phone",Stock1!B74,Stock1!I74,"")</f>
        <v/>
      </c>
      <c r="AA74" s="102" t="str">
        <f t="array" ref="AA74">_xlfn.XLOOKUP("Screen Protector for Galaxy Tab",Stock1!B74,Stock1!I74,"")</f>
        <v/>
      </c>
      <c r="AB74" s="102" t="str">
        <f t="shared" si="4"/>
        <v/>
      </c>
      <c r="AC74" s="102" t="str">
        <f t="array" ref="AC74">_xlfn.XLOOKUP(AB74,Stock1!I74,Stock1!F74,"")</f>
        <v/>
      </c>
      <c r="AD74" s="102" t="str">
        <f t="array" ref="AD74">_xlfn.XLOOKUP(AB74,Stock1!I74,Stock1!J74,"")</f>
        <v/>
      </c>
      <c r="AE74" s="102" t="str">
        <f t="array" ref="AE74">_xlfn.XLOOKUP("Storage",Stock1!B74,Stock1!I74,"")</f>
        <v/>
      </c>
      <c r="AF74" s="102" t="str">
        <f t="array" ref="AF74">_xlfn.XLOOKUP(AE74,Stock1!I74,Stock1!F74,"")</f>
        <v/>
      </c>
      <c r="AG74" s="102" t="str">
        <f t="array" ref="AG74">_xlfn.XLOOKUP(AE74,Stock1!I74,Stock1!J74,"")</f>
        <v/>
      </c>
    </row>
    <row r="75">
      <c r="K75" s="660" t="str">
        <f t="array" ref="K75">IFERROR(_xlfn.XLOOKUP(I75,Incentive!B:B,Incentive!E:E,""),"")</f>
        <v/>
      </c>
      <c r="L75" s="659" t="str">
        <f>IFERROR(VLOOKUP(I75,Stock1!F:J,5,False),"")</f>
        <v/>
      </c>
      <c r="M75" s="659" t="str">
        <f>IFERROR(VLOOKUP(I75,Stock2!F:J,5,False),"")</f>
        <v/>
      </c>
      <c r="V75" s="102" t="str">
        <f t="array" ref="V75">_xlfn.XLOOKUP("Charger",Stock1!B75,Stock1!I75,"")</f>
        <v/>
      </c>
      <c r="W75" s="102" t="str">
        <f t="array" ref="W75">_xlfn.XLOOKUP(V75,Stock1!I75,Stock1!F75,"")</f>
        <v/>
      </c>
      <c r="X75" s="102" t="str">
        <f t="array" ref="X75">_xlfn.XLOOKUP(V75,Stock1!I75,Stock1!J75,"")</f>
        <v/>
      </c>
      <c r="Y75" s="102" t="str">
        <f t="array" ref="Y75">_xlfn.XLOOKUP("Screen Protector for Android Phone and Other",Stock1!B75,Stock1!I75,"")</f>
        <v/>
      </c>
      <c r="Z75" s="102" t="str">
        <f t="array" ref="Z75">_xlfn.XLOOKUP("Screen Protector for Galaxy Phone",Stock1!B75,Stock1!I75,"")</f>
        <v/>
      </c>
      <c r="AA75" s="102" t="str">
        <f t="array" ref="AA75">_xlfn.XLOOKUP("Screen Protector for Galaxy Tab",Stock1!B75,Stock1!I75,"")</f>
        <v/>
      </c>
      <c r="AB75" s="102" t="str">
        <f t="shared" si="4"/>
        <v/>
      </c>
      <c r="AC75" s="102" t="str">
        <f t="array" ref="AC75">_xlfn.XLOOKUP(AB75,Stock1!I75,Stock1!F75,"")</f>
        <v/>
      </c>
      <c r="AD75" s="102" t="str">
        <f t="array" ref="AD75">_xlfn.XLOOKUP(AB75,Stock1!I75,Stock1!J75,"")</f>
        <v/>
      </c>
      <c r="AE75" s="102" t="str">
        <f t="array" ref="AE75">_xlfn.XLOOKUP("Storage",Stock1!B75,Stock1!I75,"")</f>
        <v/>
      </c>
      <c r="AF75" s="102" t="str">
        <f t="array" ref="AF75">_xlfn.XLOOKUP(AE75,Stock1!I75,Stock1!F75,"")</f>
        <v/>
      </c>
      <c r="AG75" s="102" t="str">
        <f t="array" ref="AG75">_xlfn.XLOOKUP(AE75,Stock1!I75,Stock1!J75,"")</f>
        <v/>
      </c>
    </row>
    <row r="76">
      <c r="K76" s="660" t="str">
        <f t="array" ref="K76">IFERROR(_xlfn.XLOOKUP(I76,Incentive!B:B,Incentive!E:E,""),"")</f>
        <v/>
      </c>
      <c r="L76" s="659" t="str">
        <f>IFERROR(VLOOKUP(I76,Stock1!F:J,5,False),"")</f>
        <v/>
      </c>
      <c r="M76" s="659" t="str">
        <f>IFERROR(VLOOKUP(I76,Stock2!F:J,5,False),"")</f>
        <v/>
      </c>
      <c r="V76" s="102" t="str">
        <f t="array" ref="V76">_xlfn.XLOOKUP("Charger",Stock1!B76,Stock1!I76,"")</f>
        <v/>
      </c>
      <c r="W76" s="102" t="str">
        <f t="array" ref="W76">_xlfn.XLOOKUP(V76,Stock1!I76,Stock1!F76,"")</f>
        <v/>
      </c>
      <c r="X76" s="102" t="str">
        <f t="array" ref="X76">_xlfn.XLOOKUP(V76,Stock1!I76,Stock1!J76,"")</f>
        <v/>
      </c>
      <c r="Y76" s="102" t="str">
        <f t="array" ref="Y76">_xlfn.XLOOKUP("Screen Protector for Android Phone and Other",Stock1!B76,Stock1!I76,"")</f>
        <v/>
      </c>
      <c r="Z76" s="102" t="str">
        <f t="array" ref="Z76">_xlfn.XLOOKUP("Screen Protector for Galaxy Phone",Stock1!B76,Stock1!I76,"")</f>
        <v/>
      </c>
      <c r="AA76" s="102" t="str">
        <f t="array" ref="AA76">_xlfn.XLOOKUP("Screen Protector for Galaxy Tab",Stock1!B76,Stock1!I76,"")</f>
        <v/>
      </c>
      <c r="AB76" s="102" t="str">
        <f t="shared" si="4"/>
        <v/>
      </c>
      <c r="AC76" s="102" t="str">
        <f t="array" ref="AC76">_xlfn.XLOOKUP(AB76,Stock1!I76,Stock1!F76,"")</f>
        <v/>
      </c>
      <c r="AD76" s="102" t="str">
        <f t="array" ref="AD76">_xlfn.XLOOKUP(AB76,Stock1!I76,Stock1!J76,"")</f>
        <v/>
      </c>
      <c r="AE76" s="102" t="str">
        <f t="array" ref="AE76">_xlfn.XLOOKUP("Storage",Stock1!B76,Stock1!I76,"")</f>
        <v/>
      </c>
      <c r="AF76" s="102" t="str">
        <f t="array" ref="AF76">_xlfn.XLOOKUP(AE76,Stock1!I76,Stock1!F76,"")</f>
        <v/>
      </c>
      <c r="AG76" s="102" t="str">
        <f t="array" ref="AG76">_xlfn.XLOOKUP(AE76,Stock1!I76,Stock1!J76,"")</f>
        <v/>
      </c>
    </row>
    <row r="77">
      <c r="K77" s="660" t="str">
        <f t="array" ref="K77">IFERROR(_xlfn.XLOOKUP(I77,Incentive!B:B,Incentive!E:E,""),"")</f>
        <v/>
      </c>
      <c r="L77" s="659" t="str">
        <f>IFERROR(VLOOKUP(I77,Stock1!F:J,5,False),"")</f>
        <v/>
      </c>
      <c r="M77" s="659" t="str">
        <f>IFERROR(VLOOKUP(I77,Stock2!F:J,5,False),"")</f>
        <v/>
      </c>
      <c r="V77" s="102" t="str">
        <f t="array" ref="V77">_xlfn.XLOOKUP("Charger",Stock1!B77,Stock1!I77,"")</f>
        <v/>
      </c>
      <c r="W77" s="102" t="str">
        <f t="array" ref="W77">_xlfn.XLOOKUP(V77,Stock1!I77,Stock1!F77,"")</f>
        <v/>
      </c>
      <c r="X77" s="102" t="str">
        <f t="array" ref="X77">_xlfn.XLOOKUP(V77,Stock1!I77,Stock1!J77,"")</f>
        <v/>
      </c>
      <c r="Y77" s="102" t="str">
        <f t="array" ref="Y77">_xlfn.XLOOKUP("Screen Protector for Android Phone and Other",Stock1!B77,Stock1!I77,"")</f>
        <v/>
      </c>
      <c r="Z77" s="102" t="str">
        <f t="array" ref="Z77">_xlfn.XLOOKUP("Screen Protector for Galaxy Phone",Stock1!B77,Stock1!I77,"")</f>
        <v/>
      </c>
      <c r="AA77" s="102" t="str">
        <f t="array" ref="AA77">_xlfn.XLOOKUP("Screen Protector for Galaxy Tab",Stock1!B77,Stock1!I77,"")</f>
        <v/>
      </c>
      <c r="AB77" s="102" t="str">
        <f t="shared" si="4"/>
        <v/>
      </c>
      <c r="AC77" s="102" t="str">
        <f t="array" ref="AC77">_xlfn.XLOOKUP(AB77,Stock1!I77,Stock1!F77,"")</f>
        <v/>
      </c>
      <c r="AD77" s="102" t="str">
        <f t="array" ref="AD77">_xlfn.XLOOKUP(AB77,Stock1!I77,Stock1!J77,"")</f>
        <v/>
      </c>
      <c r="AE77" s="102" t="str">
        <f t="array" ref="AE77">_xlfn.XLOOKUP("Storage",Stock1!B77,Stock1!I77,"")</f>
        <v/>
      </c>
      <c r="AF77" s="102" t="str">
        <f t="array" ref="AF77">_xlfn.XLOOKUP(AE77,Stock1!I77,Stock1!F77,"")</f>
        <v/>
      </c>
      <c r="AG77" s="102" t="str">
        <f t="array" ref="AG77">_xlfn.XLOOKUP(AE77,Stock1!I77,Stock1!J77,"")</f>
        <v/>
      </c>
    </row>
    <row r="78">
      <c r="K78" s="660" t="str">
        <f t="array" ref="K78">IFERROR(_xlfn.XLOOKUP(I78,Incentive!B:B,Incentive!E:E,""),"")</f>
        <v/>
      </c>
      <c r="L78" s="659" t="str">
        <f>IFERROR(VLOOKUP(I78,Stock1!F:J,5,False),"")</f>
        <v/>
      </c>
      <c r="M78" s="659" t="str">
        <f>IFERROR(VLOOKUP(I78,Stock2!F:J,5,False),"")</f>
        <v/>
      </c>
      <c r="V78" s="102" t="str">
        <f t="array" ref="V78">_xlfn.XLOOKUP("Charger",Stock1!B78,Stock1!I78,"")</f>
        <v/>
      </c>
      <c r="W78" s="102" t="str">
        <f t="array" ref="W78">_xlfn.XLOOKUP(V78,Stock1!I78,Stock1!F78,"")</f>
        <v/>
      </c>
      <c r="X78" s="102" t="str">
        <f t="array" ref="X78">_xlfn.XLOOKUP(V78,Stock1!I78,Stock1!J78,"")</f>
        <v/>
      </c>
      <c r="Y78" s="102" t="str">
        <f t="array" ref="Y78">_xlfn.XLOOKUP("Screen Protector for Android Phone and Other",Stock1!B78,Stock1!I78,"")</f>
        <v/>
      </c>
      <c r="Z78" s="102" t="str">
        <f t="array" ref="Z78">_xlfn.XLOOKUP("Screen Protector for Galaxy Phone",Stock1!B78,Stock1!I78,"")</f>
        <v/>
      </c>
      <c r="AA78" s="102" t="str">
        <f t="array" ref="AA78">_xlfn.XLOOKUP("Screen Protector for Galaxy Tab",Stock1!B78,Stock1!I78,"")</f>
        <v/>
      </c>
      <c r="AB78" s="102" t="str">
        <f t="shared" si="4"/>
        <v/>
      </c>
      <c r="AC78" s="102" t="str">
        <f t="array" ref="AC78">_xlfn.XLOOKUP(AB78,Stock1!I78,Stock1!F78,"")</f>
        <v/>
      </c>
      <c r="AD78" s="102" t="str">
        <f t="array" ref="AD78">_xlfn.XLOOKUP(AB78,Stock1!I78,Stock1!J78,"")</f>
        <v/>
      </c>
      <c r="AE78" s="102" t="str">
        <f t="array" ref="AE78">_xlfn.XLOOKUP("Storage",Stock1!B78,Stock1!I78,"")</f>
        <v/>
      </c>
      <c r="AF78" s="102" t="str">
        <f t="array" ref="AF78">_xlfn.XLOOKUP(AE78,Stock1!I78,Stock1!F78,"")</f>
        <v/>
      </c>
      <c r="AG78" s="102" t="str">
        <f t="array" ref="AG78">_xlfn.XLOOKUP(AE78,Stock1!I78,Stock1!J78,"")</f>
        <v/>
      </c>
    </row>
    <row r="79">
      <c r="K79" s="660" t="str">
        <f t="array" ref="K79">IFERROR(_xlfn.XLOOKUP(I79,Incentive!B:B,Incentive!E:E,""),"")</f>
        <v/>
      </c>
      <c r="L79" s="659" t="str">
        <f>IFERROR(VLOOKUP(I79,Stock1!F:J,5,False),"")</f>
        <v/>
      </c>
      <c r="M79" s="659" t="str">
        <f>IFERROR(VLOOKUP(I79,Stock2!F:J,5,False),"")</f>
        <v/>
      </c>
      <c r="V79" s="102" t="str">
        <f t="array" ref="V79">_xlfn.XLOOKUP("Charger",Stock1!B79,Stock1!I79,"")</f>
        <v/>
      </c>
      <c r="W79" s="102" t="str">
        <f t="array" ref="W79">_xlfn.XLOOKUP(V79,Stock1!I79,Stock1!F79,"")</f>
        <v/>
      </c>
      <c r="X79" s="102" t="str">
        <f t="array" ref="X79">_xlfn.XLOOKUP(V79,Stock1!I79,Stock1!J79,"")</f>
        <v/>
      </c>
      <c r="Y79" s="102" t="str">
        <f t="array" ref="Y79">_xlfn.XLOOKUP("Screen Protector for Android Phone and Other",Stock1!B79,Stock1!I79,"")</f>
        <v/>
      </c>
      <c r="Z79" s="102" t="str">
        <f t="array" ref="Z79">_xlfn.XLOOKUP("Screen Protector for Galaxy Phone",Stock1!B79,Stock1!I79,"")</f>
        <v/>
      </c>
      <c r="AA79" s="102" t="str">
        <f t="array" ref="AA79">_xlfn.XLOOKUP("Screen Protector for Galaxy Tab",Stock1!B79,Stock1!I79,"")</f>
        <v/>
      </c>
      <c r="AB79" s="102" t="str">
        <f t="shared" si="4"/>
        <v/>
      </c>
      <c r="AC79" s="102" t="str">
        <f t="array" ref="AC79">_xlfn.XLOOKUP(AB79,Stock1!I79,Stock1!F79,"")</f>
        <v/>
      </c>
      <c r="AD79" s="102" t="str">
        <f t="array" ref="AD79">_xlfn.XLOOKUP(AB79,Stock1!I79,Stock1!J79,"")</f>
        <v/>
      </c>
      <c r="AE79" s="102" t="str">
        <f t="array" ref="AE79">_xlfn.XLOOKUP("Storage",Stock1!B79,Stock1!I79,"")</f>
        <v/>
      </c>
      <c r="AF79" s="102" t="str">
        <f t="array" ref="AF79">_xlfn.XLOOKUP(AE79,Stock1!I79,Stock1!F79,"")</f>
        <v/>
      </c>
      <c r="AG79" s="102" t="str">
        <f t="array" ref="AG79">_xlfn.XLOOKUP(AE79,Stock1!I79,Stock1!J79,"")</f>
        <v/>
      </c>
    </row>
    <row r="80">
      <c r="K80" s="660" t="str">
        <f t="array" ref="K80">IFERROR(_xlfn.XLOOKUP(I80,Incentive!B:B,Incentive!E:E,""),"")</f>
        <v/>
      </c>
      <c r="L80" s="659" t="str">
        <f>IFERROR(VLOOKUP(I80,Stock1!F:J,5,False),"")</f>
        <v/>
      </c>
      <c r="M80" s="659" t="str">
        <f>IFERROR(VLOOKUP(I80,Stock2!F:J,5,False),"")</f>
        <v/>
      </c>
      <c r="V80" s="102" t="str">
        <f t="array" ref="V80">_xlfn.XLOOKUP("Charger",Stock1!B80,Stock1!I80,"")</f>
        <v/>
      </c>
      <c r="W80" s="102" t="str">
        <f t="array" ref="W80">_xlfn.XLOOKUP(V80,Stock1!I80,Stock1!F80,"")</f>
        <v/>
      </c>
      <c r="X80" s="102" t="str">
        <f t="array" ref="X80">_xlfn.XLOOKUP(V80,Stock1!I80,Stock1!J80,"")</f>
        <v/>
      </c>
      <c r="Y80" s="102" t="str">
        <f t="array" ref="Y80">_xlfn.XLOOKUP("Screen Protector for Android Phone and Other",Stock1!B80,Stock1!I80,"")</f>
        <v/>
      </c>
      <c r="Z80" s="102" t="str">
        <f t="array" ref="Z80">_xlfn.XLOOKUP("Screen Protector for Galaxy Phone",Stock1!B80,Stock1!I80,"")</f>
        <v/>
      </c>
      <c r="AA80" s="102" t="str">
        <f t="array" ref="AA80">_xlfn.XLOOKUP("Screen Protector for Galaxy Tab",Stock1!B80,Stock1!I80,"")</f>
        <v/>
      </c>
      <c r="AB80" s="102" t="str">
        <f t="shared" si="4"/>
        <v/>
      </c>
      <c r="AC80" s="102" t="str">
        <f t="array" ref="AC80">_xlfn.XLOOKUP(AB80,Stock1!I80,Stock1!F80,"")</f>
        <v/>
      </c>
      <c r="AD80" s="102" t="str">
        <f t="array" ref="AD80">_xlfn.XLOOKUP(AB80,Stock1!I80,Stock1!J80,"")</f>
        <v/>
      </c>
      <c r="AE80" s="102" t="str">
        <f t="array" ref="AE80">_xlfn.XLOOKUP("Storage",Stock1!B80,Stock1!I80,"")</f>
        <v/>
      </c>
      <c r="AF80" s="102" t="str">
        <f t="array" ref="AF80">_xlfn.XLOOKUP(AE80,Stock1!I80,Stock1!F80,"")</f>
        <v/>
      </c>
      <c r="AG80" s="102" t="str">
        <f t="array" ref="AG80">_xlfn.XLOOKUP(AE80,Stock1!I80,Stock1!J80,"")</f>
        <v/>
      </c>
    </row>
    <row r="81">
      <c r="K81" s="660" t="str">
        <f t="array" ref="K81">IFERROR(_xlfn.XLOOKUP(I81,Incentive!B:B,Incentive!E:E,""),"")</f>
        <v/>
      </c>
      <c r="L81" s="659" t="str">
        <f>IFERROR(VLOOKUP(I81,Stock1!F:J,5,False),"")</f>
        <v/>
      </c>
      <c r="M81" s="659" t="str">
        <f>IFERROR(VLOOKUP(I81,Stock2!F:J,5,False),"")</f>
        <v/>
      </c>
      <c r="V81" s="102" t="str">
        <f t="array" ref="V81">_xlfn.XLOOKUP("Charger",Stock1!B81,Stock1!I81,"")</f>
        <v/>
      </c>
      <c r="W81" s="102" t="str">
        <f t="array" ref="W81">_xlfn.XLOOKUP(V81,Stock1!I81,Stock1!F81,"")</f>
        <v/>
      </c>
      <c r="X81" s="102" t="str">
        <f t="array" ref="X81">_xlfn.XLOOKUP(V81,Stock1!I81,Stock1!J81,"")</f>
        <v/>
      </c>
      <c r="Y81" s="102" t="str">
        <f t="array" ref="Y81">_xlfn.XLOOKUP("Screen Protector for Android Phone and Other",Stock1!B81,Stock1!I81,"")</f>
        <v/>
      </c>
      <c r="Z81" s="102" t="str">
        <f t="array" ref="Z81">_xlfn.XLOOKUP("Screen Protector for Galaxy Phone",Stock1!B81,Stock1!I81,"")</f>
        <v/>
      </c>
      <c r="AA81" s="102" t="str">
        <f t="array" ref="AA81">_xlfn.XLOOKUP("Screen Protector for Galaxy Tab",Stock1!B81,Stock1!I81,"")</f>
        <v/>
      </c>
      <c r="AB81" s="102" t="str">
        <f t="shared" si="4"/>
        <v/>
      </c>
      <c r="AC81" s="102" t="str">
        <f t="array" ref="AC81">_xlfn.XLOOKUP(AB81,Stock1!I81,Stock1!F81,"")</f>
        <v/>
      </c>
      <c r="AD81" s="102" t="str">
        <f t="array" ref="AD81">_xlfn.XLOOKUP(AB81,Stock1!I81,Stock1!J81,"")</f>
        <v/>
      </c>
      <c r="AE81" s="102" t="str">
        <f t="array" ref="AE81">_xlfn.XLOOKUP("Storage",Stock1!B81,Stock1!I81,"")</f>
        <v/>
      </c>
      <c r="AF81" s="102" t="str">
        <f t="array" ref="AF81">_xlfn.XLOOKUP(AE81,Stock1!I81,Stock1!F81,"")</f>
        <v/>
      </c>
      <c r="AG81" s="102" t="str">
        <f t="array" ref="AG81">_xlfn.XLOOKUP(AE81,Stock1!I81,Stock1!J81,"")</f>
        <v/>
      </c>
    </row>
    <row r="82">
      <c r="K82" s="660" t="str">
        <f t="array" ref="K82">IFERROR(_xlfn.XLOOKUP(I82,Incentive!B:B,Incentive!E:E,""),"")</f>
        <v/>
      </c>
      <c r="L82" s="659" t="str">
        <f>IFERROR(VLOOKUP(I82,Stock1!F:J,5,False),"")</f>
        <v/>
      </c>
      <c r="M82" s="659" t="str">
        <f>IFERROR(VLOOKUP(I82,Stock2!F:J,5,False),"")</f>
        <v/>
      </c>
      <c r="V82" s="102" t="str">
        <f t="array" ref="V82">_xlfn.XLOOKUP("Charger",Stock1!B82,Stock1!I82,"")</f>
        <v/>
      </c>
      <c r="W82" s="102" t="str">
        <f t="array" ref="W82">_xlfn.XLOOKUP(V82,Stock1!I82,Stock1!F82,"")</f>
        <v/>
      </c>
      <c r="X82" s="102" t="str">
        <f t="array" ref="X82">_xlfn.XLOOKUP(V82,Stock1!I82,Stock1!J82,"")</f>
        <v/>
      </c>
      <c r="Y82" s="102" t="str">
        <f t="array" ref="Y82">_xlfn.XLOOKUP("Screen Protector for Android Phone and Other",Stock1!B82,Stock1!I82,"")</f>
        <v/>
      </c>
      <c r="Z82" s="102" t="str">
        <f t="array" ref="Z82">_xlfn.XLOOKUP("Screen Protector for Galaxy Phone",Stock1!B82,Stock1!I82,"")</f>
        <v/>
      </c>
      <c r="AA82" s="102" t="str">
        <f t="array" ref="AA82">_xlfn.XLOOKUP("Screen Protector for Galaxy Tab",Stock1!B82,Stock1!I82,"")</f>
        <v/>
      </c>
      <c r="AB82" s="102" t="str">
        <f t="shared" si="4"/>
        <v/>
      </c>
      <c r="AC82" s="102" t="str">
        <f t="array" ref="AC82">_xlfn.XLOOKUP(AB82,Stock1!I82,Stock1!F82,"")</f>
        <v/>
      </c>
      <c r="AD82" s="102" t="str">
        <f t="array" ref="AD82">_xlfn.XLOOKUP(AB82,Stock1!I82,Stock1!J82,"")</f>
        <v/>
      </c>
      <c r="AE82" s="102" t="str">
        <f t="array" ref="AE82">_xlfn.XLOOKUP("Storage",Stock1!B82,Stock1!I82,"")</f>
        <v/>
      </c>
      <c r="AF82" s="102" t="str">
        <f t="array" ref="AF82">_xlfn.XLOOKUP(AE82,Stock1!I82,Stock1!F82,"")</f>
        <v/>
      </c>
      <c r="AG82" s="102" t="str">
        <f t="array" ref="AG82">_xlfn.XLOOKUP(AE82,Stock1!I82,Stock1!J82,"")</f>
        <v/>
      </c>
    </row>
    <row r="83">
      <c r="K83" s="660" t="str">
        <f t="array" ref="K83">IFERROR(_xlfn.XLOOKUP(I83,Incentive!B:B,Incentive!E:E,""),"")</f>
        <v/>
      </c>
      <c r="L83" s="659" t="str">
        <f>IFERROR(VLOOKUP(I83,Stock1!F:J,5,False),"")</f>
        <v/>
      </c>
      <c r="M83" s="659" t="str">
        <f>IFERROR(VLOOKUP(I83,Stock2!F:J,5,False),"")</f>
        <v/>
      </c>
      <c r="V83" s="102" t="str">
        <f t="array" ref="V83">_xlfn.XLOOKUP("Charger",Stock1!B83,Stock1!I83,"")</f>
        <v/>
      </c>
      <c r="W83" s="102" t="str">
        <f t="array" ref="W83">_xlfn.XLOOKUP(V83,Stock1!I83,Stock1!F83,"")</f>
        <v/>
      </c>
      <c r="X83" s="102" t="str">
        <f t="array" ref="X83">_xlfn.XLOOKUP(V83,Stock1!I83,Stock1!J83,"")</f>
        <v/>
      </c>
      <c r="Y83" s="102" t="str">
        <f t="array" ref="Y83">_xlfn.XLOOKUP("Screen Protector for Android Phone and Other",Stock1!B83,Stock1!I83,"")</f>
        <v/>
      </c>
      <c r="Z83" s="102" t="str">
        <f t="array" ref="Z83">_xlfn.XLOOKUP("Screen Protector for Galaxy Phone",Stock1!B83,Stock1!I83,"")</f>
        <v/>
      </c>
      <c r="AA83" s="102" t="str">
        <f t="array" ref="AA83">_xlfn.XLOOKUP("Screen Protector for Galaxy Tab",Stock1!B83,Stock1!I83,"")</f>
        <v/>
      </c>
      <c r="AB83" s="102" t="str">
        <f t="shared" si="4"/>
        <v/>
      </c>
      <c r="AC83" s="102" t="str">
        <f t="array" ref="AC83">_xlfn.XLOOKUP(AB83,Stock1!I83,Stock1!F83,"")</f>
        <v/>
      </c>
      <c r="AD83" s="102" t="str">
        <f t="array" ref="AD83">_xlfn.XLOOKUP(AB83,Stock1!I83,Stock1!J83,"")</f>
        <v/>
      </c>
      <c r="AE83" s="102" t="str">
        <f t="array" ref="AE83">_xlfn.XLOOKUP("Storage",Stock1!B83,Stock1!I83,"")</f>
        <v/>
      </c>
      <c r="AF83" s="102" t="str">
        <f t="array" ref="AF83">_xlfn.XLOOKUP(AE83,Stock1!I83,Stock1!F83,"")</f>
        <v/>
      </c>
      <c r="AG83" s="102" t="str">
        <f t="array" ref="AG83">_xlfn.XLOOKUP(AE83,Stock1!I83,Stock1!J83,"")</f>
        <v/>
      </c>
    </row>
    <row r="84">
      <c r="K84" s="660" t="str">
        <f t="array" ref="K84">IFERROR(_xlfn.XLOOKUP(I84,Incentive!B:B,Incentive!E:E,""),"")</f>
        <v/>
      </c>
      <c r="L84" s="659" t="str">
        <f>IFERROR(VLOOKUP(I84,Stock1!F:J,5,False),"")</f>
        <v/>
      </c>
      <c r="M84" s="659" t="str">
        <f>IFERROR(VLOOKUP(I84,Stock2!F:J,5,False),"")</f>
        <v/>
      </c>
      <c r="V84" s="102" t="str">
        <f t="array" ref="V84">_xlfn.XLOOKUP("Charger",Stock1!B84,Stock1!I84,"")</f>
        <v/>
      </c>
      <c r="W84" s="102" t="str">
        <f t="array" ref="W84">_xlfn.XLOOKUP(V84,Stock1!I84,Stock1!F84,"")</f>
        <v/>
      </c>
      <c r="X84" s="102" t="str">
        <f t="array" ref="X84">_xlfn.XLOOKUP(V84,Stock1!I84,Stock1!J84,"")</f>
        <v/>
      </c>
      <c r="Y84" s="102" t="str">
        <f t="array" ref="Y84">_xlfn.XLOOKUP("Screen Protector for Android Phone and Other",Stock1!B84,Stock1!I84,"")</f>
        <v/>
      </c>
      <c r="Z84" s="102" t="str">
        <f t="array" ref="Z84">_xlfn.XLOOKUP("Screen Protector for Galaxy Phone",Stock1!B84,Stock1!I84,"")</f>
        <v/>
      </c>
      <c r="AA84" s="102" t="str">
        <f t="array" ref="AA84">_xlfn.XLOOKUP("Screen Protector for Galaxy Tab",Stock1!B84,Stock1!I84,"")</f>
        <v/>
      </c>
      <c r="AB84" s="102" t="str">
        <f t="shared" si="4"/>
        <v/>
      </c>
      <c r="AC84" s="102" t="str">
        <f t="array" ref="AC84">_xlfn.XLOOKUP(AB84,Stock1!I84,Stock1!F84,"")</f>
        <v/>
      </c>
      <c r="AD84" s="102" t="str">
        <f t="array" ref="AD84">_xlfn.XLOOKUP(AB84,Stock1!I84,Stock1!J84,"")</f>
        <v/>
      </c>
      <c r="AE84" s="102" t="str">
        <f t="array" ref="AE84">_xlfn.XLOOKUP("Storage",Stock1!B84,Stock1!I84,"")</f>
        <v/>
      </c>
      <c r="AF84" s="102" t="str">
        <f t="array" ref="AF84">_xlfn.XLOOKUP(AE84,Stock1!I84,Stock1!F84,"")</f>
        <v/>
      </c>
      <c r="AG84" s="102" t="str">
        <f t="array" ref="AG84">_xlfn.XLOOKUP(AE84,Stock1!I84,Stock1!J84,"")</f>
        <v/>
      </c>
    </row>
    <row r="85">
      <c r="K85" s="660" t="str">
        <f t="array" ref="K85">IFERROR(_xlfn.XLOOKUP(I85,Incentive!B:B,Incentive!E:E,""),"")</f>
        <v/>
      </c>
      <c r="L85" s="659" t="str">
        <f>IFERROR(VLOOKUP(I85,Stock1!F:J,5,False),"")</f>
        <v/>
      </c>
      <c r="M85" s="659" t="str">
        <f>IFERROR(VLOOKUP(I85,Stock2!F:J,5,False),"")</f>
        <v/>
      </c>
      <c r="V85" s="102" t="str">
        <f t="array" ref="V85">_xlfn.XLOOKUP("Charger",Stock1!B85,Stock1!I85,"")</f>
        <v/>
      </c>
      <c r="W85" s="102" t="str">
        <f t="array" ref="W85">_xlfn.XLOOKUP(V85,Stock1!I85,Stock1!F85,"")</f>
        <v/>
      </c>
      <c r="X85" s="102" t="str">
        <f t="array" ref="X85">_xlfn.XLOOKUP(V85,Stock1!I85,Stock1!J85,"")</f>
        <v/>
      </c>
      <c r="Y85" s="102" t="str">
        <f t="array" ref="Y85">_xlfn.XLOOKUP("Screen Protector for Android Phone and Other",Stock1!B85,Stock1!I85,"")</f>
        <v/>
      </c>
      <c r="Z85" s="102" t="str">
        <f t="array" ref="Z85">_xlfn.XLOOKUP("Screen Protector for Galaxy Phone",Stock1!B85,Stock1!I85,"")</f>
        <v/>
      </c>
      <c r="AA85" s="102" t="str">
        <f t="array" ref="AA85">_xlfn.XLOOKUP("Screen Protector for Galaxy Tab",Stock1!B85,Stock1!I85,"")</f>
        <v/>
      </c>
      <c r="AB85" s="102" t="str">
        <f t="shared" si="4"/>
        <v/>
      </c>
      <c r="AC85" s="102" t="str">
        <f t="array" ref="AC85">_xlfn.XLOOKUP(AB85,Stock1!I85,Stock1!F85,"")</f>
        <v/>
      </c>
      <c r="AD85" s="102" t="str">
        <f t="array" ref="AD85">_xlfn.XLOOKUP(AB85,Stock1!I85,Stock1!J85,"")</f>
        <v/>
      </c>
      <c r="AE85" s="102" t="str">
        <f t="array" ref="AE85">_xlfn.XLOOKUP("Storage",Stock1!B85,Stock1!I85,"")</f>
        <v/>
      </c>
      <c r="AF85" s="102" t="str">
        <f t="array" ref="AF85">_xlfn.XLOOKUP(AE85,Stock1!I85,Stock1!F85,"")</f>
        <v/>
      </c>
      <c r="AG85" s="102" t="str">
        <f t="array" ref="AG85">_xlfn.XLOOKUP(AE85,Stock1!I85,Stock1!J85,"")</f>
        <v/>
      </c>
    </row>
    <row r="86">
      <c r="K86" s="660" t="str">
        <f t="array" ref="K86">IFERROR(_xlfn.XLOOKUP(I86,Incentive!B:B,Incentive!E:E,""),"")</f>
        <v/>
      </c>
      <c r="L86" s="659" t="str">
        <f>IFERROR(VLOOKUP(I86,Stock1!F:J,5,False),"")</f>
        <v/>
      </c>
      <c r="M86" s="659" t="str">
        <f>IFERROR(VLOOKUP(I86,Stock2!F:J,5,False),"")</f>
        <v/>
      </c>
      <c r="V86" s="102" t="str">
        <f t="array" ref="V86">_xlfn.XLOOKUP("Charger",Stock1!B86,Stock1!I86,"")</f>
        <v/>
      </c>
      <c r="W86" s="102" t="str">
        <f t="array" ref="W86">_xlfn.XLOOKUP(V86,Stock1!I86,Stock1!F86,"")</f>
        <v/>
      </c>
      <c r="X86" s="102" t="str">
        <f t="array" ref="X86">_xlfn.XLOOKUP(V86,Stock1!I86,Stock1!J86,"")</f>
        <v/>
      </c>
      <c r="Y86" s="102" t="str">
        <f t="array" ref="Y86">_xlfn.XLOOKUP("Screen Protector for Android Phone and Other",Stock1!B86,Stock1!I86,"")</f>
        <v/>
      </c>
      <c r="Z86" s="102" t="str">
        <f t="array" ref="Z86">_xlfn.XLOOKUP("Screen Protector for Galaxy Phone",Stock1!B86,Stock1!I86,"")</f>
        <v/>
      </c>
      <c r="AA86" s="102" t="str">
        <f t="array" ref="AA86">_xlfn.XLOOKUP("Screen Protector for Galaxy Tab",Stock1!B86,Stock1!I86,"")</f>
        <v/>
      </c>
      <c r="AB86" s="102" t="str">
        <f t="shared" si="4"/>
        <v/>
      </c>
      <c r="AC86" s="102" t="str">
        <f t="array" ref="AC86">_xlfn.XLOOKUP(AB86,Stock1!I86,Stock1!F86,"")</f>
        <v/>
      </c>
      <c r="AD86" s="102" t="str">
        <f t="array" ref="AD86">_xlfn.XLOOKUP(AB86,Stock1!I86,Stock1!J86,"")</f>
        <v/>
      </c>
      <c r="AE86" s="102" t="str">
        <f t="array" ref="AE86">_xlfn.XLOOKUP("Storage",Stock1!B86,Stock1!I86,"")</f>
        <v/>
      </c>
      <c r="AF86" s="102" t="str">
        <f t="array" ref="AF86">_xlfn.XLOOKUP(AE86,Stock1!I86,Stock1!F86,"")</f>
        <v/>
      </c>
      <c r="AG86" s="102" t="str">
        <f t="array" ref="AG86">_xlfn.XLOOKUP(AE86,Stock1!I86,Stock1!J86,"")</f>
        <v/>
      </c>
    </row>
    <row r="87">
      <c r="K87" s="660" t="str">
        <f t="array" ref="K87">IFERROR(_xlfn.XLOOKUP(I87,Incentive!B:B,Incentive!E:E,""),"")</f>
        <v/>
      </c>
      <c r="L87" s="659" t="str">
        <f>IFERROR(VLOOKUP(I87,Stock1!F:J,5,False),"")</f>
        <v/>
      </c>
      <c r="M87" s="659" t="str">
        <f>IFERROR(VLOOKUP(I87,Stock2!F:J,5,False),"")</f>
        <v/>
      </c>
      <c r="V87" s="102" t="str">
        <f t="array" ref="V87">_xlfn.XLOOKUP("Charger",Stock1!B87,Stock1!I87,"")</f>
        <v/>
      </c>
      <c r="W87" s="102" t="str">
        <f t="array" ref="W87">_xlfn.XLOOKUP(V87,Stock1!I87,Stock1!F87,"")</f>
        <v/>
      </c>
      <c r="X87" s="102" t="str">
        <f t="array" ref="X87">_xlfn.XLOOKUP(V87,Stock1!I87,Stock1!J87,"")</f>
        <v/>
      </c>
      <c r="Y87" s="102" t="str">
        <f t="array" ref="Y87">_xlfn.XLOOKUP("Screen Protector for Android Phone and Other",Stock1!B87,Stock1!I87,"")</f>
        <v/>
      </c>
      <c r="Z87" s="102" t="str">
        <f t="array" ref="Z87">_xlfn.XLOOKUP("Screen Protector for Galaxy Phone",Stock1!B87,Stock1!I87,"")</f>
        <v/>
      </c>
      <c r="AA87" s="102" t="str">
        <f t="array" ref="AA87">_xlfn.XLOOKUP("Screen Protector for Galaxy Tab",Stock1!B87,Stock1!I87,"")</f>
        <v/>
      </c>
      <c r="AB87" s="102" t="str">
        <f t="shared" si="4"/>
        <v/>
      </c>
      <c r="AC87" s="102" t="str">
        <f t="array" ref="AC87">_xlfn.XLOOKUP(AB87,Stock1!I87,Stock1!F87,"")</f>
        <v/>
      </c>
      <c r="AD87" s="102" t="str">
        <f t="array" ref="AD87">_xlfn.XLOOKUP(AB87,Stock1!I87,Stock1!J87,"")</f>
        <v/>
      </c>
      <c r="AE87" s="102" t="str">
        <f t="array" ref="AE87">_xlfn.XLOOKUP("Storage",Stock1!B87,Stock1!I87,"")</f>
        <v/>
      </c>
      <c r="AF87" s="102" t="str">
        <f t="array" ref="AF87">_xlfn.XLOOKUP(AE87,Stock1!I87,Stock1!F87,"")</f>
        <v/>
      </c>
      <c r="AG87" s="102" t="str">
        <f t="array" ref="AG87">_xlfn.XLOOKUP(AE87,Stock1!I87,Stock1!J87,"")</f>
        <v/>
      </c>
    </row>
    <row r="88">
      <c r="K88" s="660" t="str">
        <f t="array" ref="K88">IFERROR(_xlfn.XLOOKUP(I88,Incentive!B:B,Incentive!E:E,""),"")</f>
        <v/>
      </c>
      <c r="L88" s="659" t="str">
        <f>IFERROR(VLOOKUP(I88,Stock1!F:J,5,False),"")</f>
        <v/>
      </c>
      <c r="M88" s="659" t="str">
        <f>IFERROR(VLOOKUP(I88,Stock2!F:J,5,False),"")</f>
        <v/>
      </c>
      <c r="V88" s="102" t="str">
        <f t="array" ref="V88">_xlfn.XLOOKUP("Charger",Stock1!B88,Stock1!I88,"")</f>
        <v/>
      </c>
      <c r="W88" s="102" t="str">
        <f t="array" ref="W88">_xlfn.XLOOKUP(V88,Stock1!I88,Stock1!F88,"")</f>
        <v/>
      </c>
      <c r="X88" s="102" t="str">
        <f t="array" ref="X88">_xlfn.XLOOKUP(V88,Stock1!I88,Stock1!J88,"")</f>
        <v/>
      </c>
      <c r="Y88" s="102" t="str">
        <f t="array" ref="Y88">_xlfn.XLOOKUP("Screen Protector for Android Phone and Other",Stock1!B88,Stock1!I88,"")</f>
        <v/>
      </c>
      <c r="Z88" s="102" t="str">
        <f t="array" ref="Z88">_xlfn.XLOOKUP("Screen Protector for Galaxy Phone",Stock1!B88,Stock1!I88,"")</f>
        <v/>
      </c>
      <c r="AA88" s="102" t="str">
        <f t="array" ref="AA88">_xlfn.XLOOKUP("Screen Protector for Galaxy Tab",Stock1!B88,Stock1!I88,"")</f>
        <v/>
      </c>
      <c r="AB88" s="102" t="str">
        <f t="shared" si="4"/>
        <v/>
      </c>
      <c r="AC88" s="102" t="str">
        <f t="array" ref="AC88">_xlfn.XLOOKUP(AB88,Stock1!I88,Stock1!F88,"")</f>
        <v/>
      </c>
      <c r="AD88" s="102" t="str">
        <f t="array" ref="AD88">_xlfn.XLOOKUP(AB88,Stock1!I88,Stock1!J88,"")</f>
        <v/>
      </c>
      <c r="AE88" s="102" t="str">
        <f t="array" ref="AE88">_xlfn.XLOOKUP("Storage",Stock1!B88,Stock1!I88,"")</f>
        <v/>
      </c>
      <c r="AF88" s="102" t="str">
        <f t="array" ref="AF88">_xlfn.XLOOKUP(AE88,Stock1!I88,Stock1!F88,"")</f>
        <v/>
      </c>
      <c r="AG88" s="102" t="str">
        <f t="array" ref="AG88">_xlfn.XLOOKUP(AE88,Stock1!I88,Stock1!J88,"")</f>
        <v/>
      </c>
    </row>
    <row r="89">
      <c r="K89" s="660" t="str">
        <f t="array" ref="K89">IFERROR(_xlfn.XLOOKUP(I89,Incentive!B:B,Incentive!E:E,""),"")</f>
        <v/>
      </c>
      <c r="L89" s="659" t="str">
        <f>IFERROR(VLOOKUP(I89,Stock1!F:J,5,False),"")</f>
        <v/>
      </c>
      <c r="M89" s="659" t="str">
        <f>IFERROR(VLOOKUP(I89,Stock2!F:J,5,False),"")</f>
        <v/>
      </c>
      <c r="V89" s="102" t="str">
        <f t="array" ref="V89">_xlfn.XLOOKUP("Charger",Stock1!B89,Stock1!I89,"")</f>
        <v/>
      </c>
      <c r="W89" s="102" t="str">
        <f t="array" ref="W89">_xlfn.XLOOKUP(V89,Stock1!I89,Stock1!F89,"")</f>
        <v/>
      </c>
      <c r="X89" s="102" t="str">
        <f t="array" ref="X89">_xlfn.XLOOKUP(V89,Stock1!I89,Stock1!J89,"")</f>
        <v/>
      </c>
      <c r="Y89" s="102" t="str">
        <f t="array" ref="Y89">_xlfn.XLOOKUP("Screen Protector for Android Phone and Other",Stock1!B89,Stock1!I89,"")</f>
        <v/>
      </c>
      <c r="Z89" s="102" t="str">
        <f t="array" ref="Z89">_xlfn.XLOOKUP("Screen Protector for Galaxy Phone",Stock1!B89,Stock1!I89,"")</f>
        <v/>
      </c>
      <c r="AA89" s="102" t="str">
        <f t="array" ref="AA89">_xlfn.XLOOKUP("Screen Protector for Galaxy Tab",Stock1!B89,Stock1!I89,"")</f>
        <v/>
      </c>
      <c r="AB89" s="102" t="str">
        <f t="shared" si="4"/>
        <v/>
      </c>
      <c r="AC89" s="102" t="str">
        <f t="array" ref="AC89">_xlfn.XLOOKUP(AB89,Stock1!I89,Stock1!F89,"")</f>
        <v/>
      </c>
      <c r="AD89" s="102" t="str">
        <f t="array" ref="AD89">_xlfn.XLOOKUP(AB89,Stock1!I89,Stock1!J89,"")</f>
        <v/>
      </c>
      <c r="AE89" s="102" t="str">
        <f t="array" ref="AE89">_xlfn.XLOOKUP("Storage",Stock1!B89,Stock1!I89,"")</f>
        <v/>
      </c>
      <c r="AF89" s="102" t="str">
        <f t="array" ref="AF89">_xlfn.XLOOKUP(AE89,Stock1!I89,Stock1!F89,"")</f>
        <v/>
      </c>
      <c r="AG89" s="102" t="str">
        <f t="array" ref="AG89">_xlfn.XLOOKUP(AE89,Stock1!I89,Stock1!J89,"")</f>
        <v/>
      </c>
    </row>
    <row r="90">
      <c r="K90" s="660" t="str">
        <f t="array" ref="K90">IFERROR(_xlfn.XLOOKUP(I90,Incentive!B:B,Incentive!E:E,""),"")</f>
        <v/>
      </c>
      <c r="L90" s="659" t="str">
        <f>IFERROR(VLOOKUP(I90,Stock1!F:J,5,False),"")</f>
        <v/>
      </c>
      <c r="M90" s="659" t="str">
        <f>IFERROR(VLOOKUP(I90,Stock2!F:J,5,False),"")</f>
        <v/>
      </c>
      <c r="V90" s="102" t="str">
        <f t="array" ref="V90">_xlfn.XLOOKUP("Charger",Stock1!B90,Stock1!I90,"")</f>
        <v/>
      </c>
      <c r="W90" s="102" t="str">
        <f t="array" ref="W90">_xlfn.XLOOKUP(V90,Stock1!I90,Stock1!F90,"")</f>
        <v/>
      </c>
      <c r="X90" s="102" t="str">
        <f t="array" ref="X90">_xlfn.XLOOKUP(V90,Stock1!I90,Stock1!J90,"")</f>
        <v/>
      </c>
      <c r="Y90" s="102" t="str">
        <f t="array" ref="Y90">_xlfn.XLOOKUP("Screen Protector for Android Phone and Other",Stock1!B90,Stock1!I90,"")</f>
        <v/>
      </c>
      <c r="Z90" s="102" t="str">
        <f t="array" ref="Z90">_xlfn.XLOOKUP("Screen Protector for Galaxy Phone",Stock1!B90,Stock1!I90,"")</f>
        <v/>
      </c>
      <c r="AA90" s="102" t="str">
        <f t="array" ref="AA90">_xlfn.XLOOKUP("Screen Protector for Galaxy Tab",Stock1!B90,Stock1!I90,"")</f>
        <v/>
      </c>
      <c r="AB90" s="102" t="str">
        <f t="shared" si="4"/>
        <v/>
      </c>
      <c r="AC90" s="102" t="str">
        <f t="array" ref="AC90">_xlfn.XLOOKUP(AB90,Stock1!I90,Stock1!F90,"")</f>
        <v/>
      </c>
      <c r="AD90" s="102" t="str">
        <f t="array" ref="AD90">_xlfn.XLOOKUP(AB90,Stock1!I90,Stock1!J90,"")</f>
        <v/>
      </c>
      <c r="AE90" s="102" t="str">
        <f t="array" ref="AE90">_xlfn.XLOOKUP("Storage",Stock1!B90,Stock1!I90,"")</f>
        <v/>
      </c>
      <c r="AF90" s="102" t="str">
        <f t="array" ref="AF90">_xlfn.XLOOKUP(AE90,Stock1!I90,Stock1!F90,"")</f>
        <v/>
      </c>
      <c r="AG90" s="102" t="str">
        <f t="array" ref="AG90">_xlfn.XLOOKUP(AE90,Stock1!I90,Stock1!J90,"")</f>
        <v/>
      </c>
    </row>
    <row r="91">
      <c r="K91" s="660" t="str">
        <f t="array" ref="K91">IFERROR(_xlfn.XLOOKUP(I91,Incentive!B:B,Incentive!E:E,""),"")</f>
        <v/>
      </c>
      <c r="L91" s="659" t="str">
        <f>IFERROR(VLOOKUP(I91,Stock1!F:J,5,False),"")</f>
        <v/>
      </c>
      <c r="M91" s="659" t="str">
        <f>IFERROR(VLOOKUP(I91,Stock2!F:J,5,False),"")</f>
        <v/>
      </c>
      <c r="V91" s="102" t="str">
        <f t="array" ref="V91">_xlfn.XLOOKUP("Charger",Stock1!B91,Stock1!I91,"")</f>
        <v/>
      </c>
      <c r="W91" s="102" t="str">
        <f t="array" ref="W91">_xlfn.XLOOKUP(V91,Stock1!I91,Stock1!F91,"")</f>
        <v/>
      </c>
      <c r="X91" s="102" t="str">
        <f t="array" ref="X91">_xlfn.XLOOKUP(V91,Stock1!I91,Stock1!J91,"")</f>
        <v/>
      </c>
      <c r="Y91" s="102" t="str">
        <f t="array" ref="Y91">_xlfn.XLOOKUP("Screen Protector for Android Phone and Other",Stock1!B91,Stock1!I91,"")</f>
        <v/>
      </c>
      <c r="Z91" s="102" t="str">
        <f t="array" ref="Z91">_xlfn.XLOOKUP("Screen Protector for Galaxy Phone",Stock1!B91,Stock1!I91,"")</f>
        <v/>
      </c>
      <c r="AA91" s="102" t="str">
        <f t="array" ref="AA91">_xlfn.XLOOKUP("Screen Protector for Galaxy Tab",Stock1!B91,Stock1!I91,"")</f>
        <v/>
      </c>
      <c r="AB91" s="102" t="str">
        <f t="shared" si="4"/>
        <v/>
      </c>
      <c r="AC91" s="102" t="str">
        <f t="array" ref="AC91">_xlfn.XLOOKUP(AB91,Stock1!I91,Stock1!F91,"")</f>
        <v/>
      </c>
      <c r="AD91" s="102" t="str">
        <f t="array" ref="AD91">_xlfn.XLOOKUP(AB91,Stock1!I91,Stock1!J91,"")</f>
        <v/>
      </c>
      <c r="AE91" s="102" t="str">
        <f t="array" ref="AE91">_xlfn.XLOOKUP("Storage",Stock1!B91,Stock1!I91,"")</f>
        <v/>
      </c>
      <c r="AF91" s="102" t="str">
        <f t="array" ref="AF91">_xlfn.XLOOKUP(AE91,Stock1!I91,Stock1!F91,"")</f>
        <v/>
      </c>
      <c r="AG91" s="102" t="str">
        <f t="array" ref="AG91">_xlfn.XLOOKUP(AE91,Stock1!I91,Stock1!J91,"")</f>
        <v/>
      </c>
    </row>
    <row r="92">
      <c r="K92" s="660" t="str">
        <f t="array" ref="K92">IFERROR(_xlfn.XLOOKUP(I92,Incentive!B:B,Incentive!E:E,""),"")</f>
        <v/>
      </c>
      <c r="L92" s="659" t="str">
        <f>IFERROR(VLOOKUP(I92,Stock1!F:J,5,False),"")</f>
        <v/>
      </c>
      <c r="M92" s="659" t="str">
        <f>IFERROR(VLOOKUP(I92,Stock2!F:J,5,False),"")</f>
        <v/>
      </c>
      <c r="V92" s="102" t="str">
        <f t="array" ref="V92">_xlfn.XLOOKUP("Charger",Stock1!B92,Stock1!I92,"")</f>
        <v/>
      </c>
      <c r="W92" s="102" t="str">
        <f t="array" ref="W92">_xlfn.XLOOKUP(V92,Stock1!I92,Stock1!F92,"")</f>
        <v/>
      </c>
      <c r="X92" s="102" t="str">
        <f t="array" ref="X92">_xlfn.XLOOKUP(V92,Stock1!I92,Stock1!J92,"")</f>
        <v/>
      </c>
      <c r="Y92" s="102" t="str">
        <f t="array" ref="Y92">_xlfn.XLOOKUP("Screen Protector for Android Phone and Other",Stock1!B92,Stock1!I92,"")</f>
        <v/>
      </c>
      <c r="Z92" s="102" t="str">
        <f t="array" ref="Z92">_xlfn.XLOOKUP("Screen Protector for Galaxy Phone",Stock1!B92,Stock1!I92,"")</f>
        <v/>
      </c>
      <c r="AA92" s="102" t="str">
        <f t="array" ref="AA92">_xlfn.XLOOKUP("Screen Protector for Galaxy Tab",Stock1!B92,Stock1!I92,"")</f>
        <v/>
      </c>
      <c r="AB92" s="102" t="str">
        <f t="shared" si="4"/>
        <v/>
      </c>
      <c r="AC92" s="102" t="str">
        <f t="array" ref="AC92">_xlfn.XLOOKUP(AB92,Stock1!I92,Stock1!F92,"")</f>
        <v/>
      </c>
      <c r="AD92" s="102" t="str">
        <f t="array" ref="AD92">_xlfn.XLOOKUP(AB92,Stock1!I92,Stock1!J92,"")</f>
        <v/>
      </c>
      <c r="AE92" s="102" t="str">
        <f t="array" ref="AE92">_xlfn.XLOOKUP("Storage",Stock1!B92,Stock1!I92,"")</f>
        <v/>
      </c>
      <c r="AF92" s="102" t="str">
        <f t="array" ref="AF92">_xlfn.XLOOKUP(AE92,Stock1!I92,Stock1!F92,"")</f>
        <v/>
      </c>
      <c r="AG92" s="102" t="str">
        <f t="array" ref="AG92">_xlfn.XLOOKUP(AE92,Stock1!I92,Stock1!J92,"")</f>
        <v/>
      </c>
    </row>
    <row r="93">
      <c r="K93" s="660" t="str">
        <f t="array" ref="K93">IFERROR(_xlfn.XLOOKUP(I93,Incentive!B:B,Incentive!E:E,""),"")</f>
        <v/>
      </c>
      <c r="L93" s="659" t="str">
        <f>IFERROR(VLOOKUP(I93,Stock1!F:J,5,False),"")</f>
        <v/>
      </c>
      <c r="M93" s="659" t="str">
        <f>IFERROR(VLOOKUP(I93,Stock2!F:J,5,False),"")</f>
        <v/>
      </c>
      <c r="V93" s="102" t="str">
        <f t="array" ref="V93">_xlfn.XLOOKUP("Charger",Stock1!B93,Stock1!I93,"")</f>
        <v/>
      </c>
      <c r="W93" s="102" t="str">
        <f t="array" ref="W93">_xlfn.XLOOKUP(V93,Stock1!I93,Stock1!F93,"")</f>
        <v/>
      </c>
      <c r="X93" s="102" t="str">
        <f t="array" ref="X93">_xlfn.XLOOKUP(V93,Stock1!I93,Stock1!J93,"")</f>
        <v/>
      </c>
      <c r="Y93" s="102" t="str">
        <f t="array" ref="Y93">_xlfn.XLOOKUP("Screen Protector for Android Phone and Other",Stock1!B93,Stock1!I93,"")</f>
        <v/>
      </c>
      <c r="Z93" s="102" t="str">
        <f t="array" ref="Z93">_xlfn.XLOOKUP("Screen Protector for Galaxy Phone",Stock1!B93,Stock1!I93,"")</f>
        <v/>
      </c>
      <c r="AA93" s="102" t="str">
        <f t="array" ref="AA93">_xlfn.XLOOKUP("Screen Protector for Galaxy Tab",Stock1!B93,Stock1!I93,"")</f>
        <v/>
      </c>
      <c r="AB93" s="102" t="str">
        <f t="shared" si="4"/>
        <v/>
      </c>
      <c r="AC93" s="102" t="str">
        <f t="array" ref="AC93">_xlfn.XLOOKUP(AB93,Stock1!I93,Stock1!F93,"")</f>
        <v/>
      </c>
      <c r="AD93" s="102" t="str">
        <f t="array" ref="AD93">_xlfn.XLOOKUP(AB93,Stock1!I93,Stock1!J93,"")</f>
        <v/>
      </c>
      <c r="AE93" s="102" t="str">
        <f t="array" ref="AE93">_xlfn.XLOOKUP("Storage",Stock1!B93,Stock1!I93,"")</f>
        <v/>
      </c>
      <c r="AF93" s="102" t="str">
        <f t="array" ref="AF93">_xlfn.XLOOKUP(AE93,Stock1!I93,Stock1!F93,"")</f>
        <v/>
      </c>
      <c r="AG93" s="102" t="str">
        <f t="array" ref="AG93">_xlfn.XLOOKUP(AE93,Stock1!I93,Stock1!J93,"")</f>
        <v/>
      </c>
    </row>
    <row r="94">
      <c r="K94" s="660" t="str">
        <f t="array" ref="K94">IFERROR(_xlfn.XLOOKUP(I94,Incentive!B:B,Incentive!E:E,""),"")</f>
        <v/>
      </c>
      <c r="L94" s="659" t="str">
        <f>IFERROR(VLOOKUP(I94,Stock1!F:J,5,False),"")</f>
        <v/>
      </c>
      <c r="M94" s="659" t="str">
        <f>IFERROR(VLOOKUP(I94,Stock2!F:J,5,False),"")</f>
        <v/>
      </c>
      <c r="V94" s="102" t="str">
        <f t="array" ref="V94">_xlfn.XLOOKUP("Charger",Stock1!B94,Stock1!I94,"")</f>
        <v/>
      </c>
      <c r="W94" s="102" t="str">
        <f t="array" ref="W94">_xlfn.XLOOKUP(V94,Stock1!I94,Stock1!F94,"")</f>
        <v/>
      </c>
      <c r="X94" s="102" t="str">
        <f t="array" ref="X94">_xlfn.XLOOKUP(V94,Stock1!I94,Stock1!J94,"")</f>
        <v/>
      </c>
      <c r="Y94" s="102" t="str">
        <f t="array" ref="Y94">_xlfn.XLOOKUP("Screen Protector for Android Phone and Other",Stock1!B94,Stock1!I94,"")</f>
        <v/>
      </c>
      <c r="Z94" s="102" t="str">
        <f t="array" ref="Z94">_xlfn.XLOOKUP("Screen Protector for Galaxy Phone",Stock1!B94,Stock1!I94,"")</f>
        <v/>
      </c>
      <c r="AA94" s="102" t="str">
        <f t="array" ref="AA94">_xlfn.XLOOKUP("Screen Protector for Galaxy Tab",Stock1!B94,Stock1!I94,"")</f>
        <v/>
      </c>
      <c r="AB94" s="102" t="str">
        <f t="shared" si="4"/>
        <v/>
      </c>
      <c r="AC94" s="102" t="str">
        <f t="array" ref="AC94">_xlfn.XLOOKUP(AB94,Stock1!I94,Stock1!F94,"")</f>
        <v/>
      </c>
      <c r="AD94" s="102" t="str">
        <f t="array" ref="AD94">_xlfn.XLOOKUP(AB94,Stock1!I94,Stock1!J94,"")</f>
        <v/>
      </c>
      <c r="AE94" s="102" t="str">
        <f t="array" ref="AE94">_xlfn.XLOOKUP("Storage",Stock1!B94,Stock1!I94,"")</f>
        <v/>
      </c>
      <c r="AF94" s="102" t="str">
        <f t="array" ref="AF94">_xlfn.XLOOKUP(AE94,Stock1!I94,Stock1!F94,"")</f>
        <v/>
      </c>
      <c r="AG94" s="102" t="str">
        <f t="array" ref="AG94">_xlfn.XLOOKUP(AE94,Stock1!I94,Stock1!J94,"")</f>
        <v/>
      </c>
    </row>
    <row r="95">
      <c r="K95" s="660" t="str">
        <f t="array" ref="K95">IFERROR(_xlfn.XLOOKUP(I95,Incentive!B:B,Incentive!E:E,""),"")</f>
        <v/>
      </c>
      <c r="L95" s="659" t="str">
        <f>IFERROR(VLOOKUP(I95,Stock1!F:J,5,False),"")</f>
        <v/>
      </c>
      <c r="M95" s="659" t="str">
        <f>IFERROR(VLOOKUP(I95,Stock2!F:J,5,False),"")</f>
        <v/>
      </c>
      <c r="V95" s="102" t="str">
        <f t="array" ref="V95">_xlfn.XLOOKUP("Charger",Stock1!B95,Stock1!I95,"")</f>
        <v/>
      </c>
      <c r="W95" s="102" t="str">
        <f t="array" ref="W95">_xlfn.XLOOKUP(V95,Stock1!I95,Stock1!F95,"")</f>
        <v/>
      </c>
      <c r="X95" s="102" t="str">
        <f t="array" ref="X95">_xlfn.XLOOKUP(V95,Stock1!I95,Stock1!J95,"")</f>
        <v/>
      </c>
      <c r="Y95" s="102" t="str">
        <f t="array" ref="Y95">_xlfn.XLOOKUP("Screen Protector for Android Phone and Other",Stock1!B95,Stock1!I95,"")</f>
        <v/>
      </c>
      <c r="Z95" s="102" t="str">
        <f t="array" ref="Z95">_xlfn.XLOOKUP("Screen Protector for Galaxy Phone",Stock1!B95,Stock1!I95,"")</f>
        <v/>
      </c>
      <c r="AA95" s="102" t="str">
        <f t="array" ref="AA95">_xlfn.XLOOKUP("Screen Protector for Galaxy Tab",Stock1!B95,Stock1!I95,"")</f>
        <v/>
      </c>
      <c r="AB95" s="102" t="str">
        <f t="shared" si="4"/>
        <v/>
      </c>
      <c r="AC95" s="102" t="str">
        <f t="array" ref="AC95">_xlfn.XLOOKUP(AB95,Stock1!I95,Stock1!F95,"")</f>
        <v/>
      </c>
      <c r="AD95" s="102" t="str">
        <f t="array" ref="AD95">_xlfn.XLOOKUP(AB95,Stock1!I95,Stock1!J95,"")</f>
        <v/>
      </c>
      <c r="AE95" s="102" t="str">
        <f t="array" ref="AE95">_xlfn.XLOOKUP("Storage",Stock1!B95,Stock1!I95,"")</f>
        <v/>
      </c>
      <c r="AF95" s="102" t="str">
        <f t="array" ref="AF95">_xlfn.XLOOKUP(AE95,Stock1!I95,Stock1!F95,"")</f>
        <v/>
      </c>
      <c r="AG95" s="102" t="str">
        <f t="array" ref="AG95">_xlfn.XLOOKUP(AE95,Stock1!I95,Stock1!J95,"")</f>
        <v/>
      </c>
    </row>
    <row r="96">
      <c r="K96" s="660" t="str">
        <f t="array" ref="K96">IFERROR(_xlfn.XLOOKUP(I96,Incentive!B:B,Incentive!E:E,""),"")</f>
        <v/>
      </c>
      <c r="L96" s="659" t="str">
        <f>IFERROR(VLOOKUP(I96,Stock1!F:J,5,False),"")</f>
        <v/>
      </c>
      <c r="M96" s="659" t="str">
        <f>IFERROR(VLOOKUP(I96,Stock2!F:J,5,False),"")</f>
        <v/>
      </c>
      <c r="V96" s="102" t="str">
        <f t="array" ref="V96">_xlfn.XLOOKUP("Charger",Stock1!B96,Stock1!I96,"")</f>
        <v/>
      </c>
      <c r="W96" s="102" t="str">
        <f t="array" ref="W96">_xlfn.XLOOKUP(V96,Stock1!I96,Stock1!F96,"")</f>
        <v/>
      </c>
      <c r="X96" s="102" t="str">
        <f t="array" ref="X96">_xlfn.XLOOKUP(V96,Stock1!I96,Stock1!J96,"")</f>
        <v/>
      </c>
      <c r="Y96" s="102" t="str">
        <f t="array" ref="Y96">_xlfn.XLOOKUP("Screen Protector for Android Phone and Other",Stock1!B96,Stock1!I96,"")</f>
        <v/>
      </c>
      <c r="Z96" s="102" t="str">
        <f t="array" ref="Z96">_xlfn.XLOOKUP("Screen Protector for Galaxy Phone",Stock1!B96,Stock1!I96,"")</f>
        <v/>
      </c>
      <c r="AA96" s="102" t="str">
        <f t="array" ref="AA96">_xlfn.XLOOKUP("Screen Protector for Galaxy Tab",Stock1!B96,Stock1!I96,"")</f>
        <v/>
      </c>
      <c r="AB96" s="102" t="str">
        <f t="shared" si="4"/>
        <v/>
      </c>
      <c r="AC96" s="102" t="str">
        <f t="array" ref="AC96">_xlfn.XLOOKUP(AB96,Stock1!I96,Stock1!F96,"")</f>
        <v/>
      </c>
      <c r="AD96" s="102" t="str">
        <f t="array" ref="AD96">_xlfn.XLOOKUP(AB96,Stock1!I96,Stock1!J96,"")</f>
        <v/>
      </c>
      <c r="AE96" s="102" t="str">
        <f t="array" ref="AE96">_xlfn.XLOOKUP("Storage",Stock1!B96,Stock1!I96,"")</f>
        <v/>
      </c>
      <c r="AF96" s="102" t="str">
        <f t="array" ref="AF96">_xlfn.XLOOKUP(AE96,Stock1!I96,Stock1!F96,"")</f>
        <v/>
      </c>
      <c r="AG96" s="102" t="str">
        <f t="array" ref="AG96">_xlfn.XLOOKUP(AE96,Stock1!I96,Stock1!J96,"")</f>
        <v/>
      </c>
    </row>
    <row r="97">
      <c r="K97" s="660" t="str">
        <f t="array" ref="K97">IFERROR(_xlfn.XLOOKUP(I97,Incentive!B:B,Incentive!E:E,""),"")</f>
        <v/>
      </c>
      <c r="L97" s="659" t="str">
        <f>IFERROR(VLOOKUP(I97,Stock1!F:J,5,False),"")</f>
        <v/>
      </c>
      <c r="M97" s="659" t="str">
        <f>IFERROR(VLOOKUP(I97,Stock2!F:J,5,False),"")</f>
        <v/>
      </c>
      <c r="V97" s="102" t="str">
        <f t="array" ref="V97">_xlfn.XLOOKUP("Charger",Stock1!B97,Stock1!I97,"")</f>
        <v/>
      </c>
      <c r="W97" s="102" t="str">
        <f t="array" ref="W97">_xlfn.XLOOKUP(V97,Stock1!I97,Stock1!F97,"")</f>
        <v/>
      </c>
      <c r="X97" s="102" t="str">
        <f t="array" ref="X97">_xlfn.XLOOKUP(V97,Stock1!I97,Stock1!J97,"")</f>
        <v/>
      </c>
      <c r="Y97" s="102" t="str">
        <f t="array" ref="Y97">_xlfn.XLOOKUP("Screen Protector for Android Phone and Other",Stock1!B97,Stock1!I97,"")</f>
        <v/>
      </c>
      <c r="Z97" s="102" t="str">
        <f t="array" ref="Z97">_xlfn.XLOOKUP("Screen Protector for Galaxy Phone",Stock1!B97,Stock1!I97,"")</f>
        <v/>
      </c>
      <c r="AA97" s="102" t="str">
        <f t="array" ref="AA97">_xlfn.XLOOKUP("Screen Protector for Galaxy Tab",Stock1!B97,Stock1!I97,"")</f>
        <v/>
      </c>
      <c r="AB97" s="102" t="str">
        <f t="shared" si="4"/>
        <v/>
      </c>
      <c r="AC97" s="102" t="str">
        <f t="array" ref="AC97">_xlfn.XLOOKUP(AB97,Stock1!I97,Stock1!F97,"")</f>
        <v/>
      </c>
      <c r="AD97" s="102" t="str">
        <f t="array" ref="AD97">_xlfn.XLOOKUP(AB97,Stock1!I97,Stock1!J97,"")</f>
        <v/>
      </c>
      <c r="AE97" s="102" t="str">
        <f t="array" ref="AE97">_xlfn.XLOOKUP("Storage",Stock1!B97,Stock1!I97,"")</f>
        <v/>
      </c>
      <c r="AF97" s="102" t="str">
        <f t="array" ref="AF97">_xlfn.XLOOKUP(AE97,Stock1!I97,Stock1!F97,"")</f>
        <v/>
      </c>
      <c r="AG97" s="102" t="str">
        <f t="array" ref="AG97">_xlfn.XLOOKUP(AE97,Stock1!I97,Stock1!J97,"")</f>
        <v/>
      </c>
    </row>
    <row r="98">
      <c r="K98" s="660" t="str">
        <f t="array" ref="K98">IFERROR(_xlfn.XLOOKUP(I98,Incentive!B:B,Incentive!E:E,""),"")</f>
        <v/>
      </c>
      <c r="L98" s="659" t="str">
        <f>IFERROR(VLOOKUP(I98,Stock1!F:J,5,False),"")</f>
        <v/>
      </c>
      <c r="M98" s="659" t="str">
        <f>IFERROR(VLOOKUP(I98,Stock2!F:J,5,False),"")</f>
        <v/>
      </c>
      <c r="V98" s="102" t="str">
        <f t="array" ref="V98">_xlfn.XLOOKUP("Charger",Stock1!B98,Stock1!I98,"")</f>
        <v/>
      </c>
      <c r="W98" s="102" t="str">
        <f t="array" ref="W98">_xlfn.XLOOKUP(V98,Stock1!I98,Stock1!F98,"")</f>
        <v/>
      </c>
      <c r="X98" s="102" t="str">
        <f t="array" ref="X98">_xlfn.XLOOKUP(V98,Stock1!I98,Stock1!J98,"")</f>
        <v/>
      </c>
      <c r="Y98" s="102" t="str">
        <f t="array" ref="Y98">_xlfn.XLOOKUP("Screen Protector for Android Phone and Other",Stock1!B98,Stock1!I98,"")</f>
        <v/>
      </c>
      <c r="Z98" s="102" t="str">
        <f t="array" ref="Z98">_xlfn.XLOOKUP("Screen Protector for Galaxy Phone",Stock1!B98,Stock1!I98,"")</f>
        <v/>
      </c>
      <c r="AA98" s="102" t="str">
        <f t="array" ref="AA98">_xlfn.XLOOKUP("Screen Protector for Galaxy Tab",Stock1!B98,Stock1!I98,"")</f>
        <v/>
      </c>
      <c r="AB98" s="102" t="str">
        <f t="shared" si="4"/>
        <v/>
      </c>
      <c r="AC98" s="102" t="str">
        <f t="array" ref="AC98">_xlfn.XLOOKUP(AB98,Stock1!I98,Stock1!F98,"")</f>
        <v/>
      </c>
      <c r="AD98" s="102" t="str">
        <f t="array" ref="AD98">_xlfn.XLOOKUP(AB98,Stock1!I98,Stock1!J98,"")</f>
        <v/>
      </c>
      <c r="AE98" s="102" t="str">
        <f t="array" ref="AE98">_xlfn.XLOOKUP("Storage",Stock1!B98,Stock1!I98,"")</f>
        <v/>
      </c>
      <c r="AF98" s="102" t="str">
        <f t="array" ref="AF98">_xlfn.XLOOKUP(AE98,Stock1!I98,Stock1!F98,"")</f>
        <v/>
      </c>
      <c r="AG98" s="102" t="str">
        <f t="array" ref="AG98">_xlfn.XLOOKUP(AE98,Stock1!I98,Stock1!J98,"")</f>
        <v/>
      </c>
    </row>
    <row r="99">
      <c r="K99" s="660" t="str">
        <f t="array" ref="K99">IFERROR(_xlfn.XLOOKUP(I99,Incentive!B:B,Incentive!E:E,""),"")</f>
        <v/>
      </c>
      <c r="L99" s="659" t="str">
        <f>IFERROR(VLOOKUP(I99,Stock1!F:J,5,False),"")</f>
        <v/>
      </c>
      <c r="M99" s="659" t="str">
        <f>IFERROR(VLOOKUP(I99,Stock2!F:J,5,False),"")</f>
        <v/>
      </c>
      <c r="V99" s="102" t="str">
        <f t="array" ref="V99">_xlfn.XLOOKUP("Charger",Stock1!B99,Stock1!I99,"")</f>
        <v/>
      </c>
      <c r="W99" s="102" t="str">
        <f t="array" ref="W99">_xlfn.XLOOKUP(V99,Stock1!I99,Stock1!F99,"")</f>
        <v/>
      </c>
      <c r="X99" s="102" t="str">
        <f t="array" ref="X99">_xlfn.XLOOKUP(V99,Stock1!I99,Stock1!J99,"")</f>
        <v/>
      </c>
      <c r="Y99" s="102" t="str">
        <f t="array" ref="Y99">_xlfn.XLOOKUP("Screen Protector for Android Phone and Other",Stock1!B99,Stock1!I99,"")</f>
        <v/>
      </c>
      <c r="Z99" s="102" t="str">
        <f t="array" ref="Z99">_xlfn.XLOOKUP("Screen Protector for Galaxy Phone",Stock1!B99,Stock1!I99,"")</f>
        <v/>
      </c>
      <c r="AA99" s="102" t="str">
        <f t="array" ref="AA99">_xlfn.XLOOKUP("Screen Protector for Galaxy Tab",Stock1!B99,Stock1!I99,"")</f>
        <v/>
      </c>
      <c r="AB99" s="102" t="str">
        <f t="shared" si="4"/>
        <v/>
      </c>
      <c r="AC99" s="102" t="str">
        <f t="array" ref="AC99">_xlfn.XLOOKUP(AB99,Stock1!I99,Stock1!F99,"")</f>
        <v/>
      </c>
      <c r="AD99" s="102" t="str">
        <f t="array" ref="AD99">_xlfn.XLOOKUP(AB99,Stock1!I99,Stock1!J99,"")</f>
        <v/>
      </c>
      <c r="AE99" s="102" t="str">
        <f t="array" ref="AE99">_xlfn.XLOOKUP("Storage",Stock1!B99,Stock1!I99,"")</f>
        <v/>
      </c>
      <c r="AF99" s="102" t="str">
        <f t="array" ref="AF99">_xlfn.XLOOKUP(AE99,Stock1!I99,Stock1!F99,"")</f>
        <v/>
      </c>
      <c r="AG99" s="102" t="str">
        <f t="array" ref="AG99">_xlfn.XLOOKUP(AE99,Stock1!I99,Stock1!J99,"")</f>
        <v/>
      </c>
    </row>
    <row r="100">
      <c r="K100" s="660" t="str">
        <f t="array" ref="K100">IFERROR(_xlfn.XLOOKUP(I100,Incentive!B:B,Incentive!E:E,""),"")</f>
        <v/>
      </c>
      <c r="L100" s="659" t="str">
        <f>IFERROR(VLOOKUP(I100,Stock1!F:J,5,False),"")</f>
        <v/>
      </c>
      <c r="M100" s="659" t="str">
        <f>IFERROR(VLOOKUP(I100,Stock2!F:J,5,False),"")</f>
        <v/>
      </c>
      <c r="V100" s="102" t="str">
        <f t="array" ref="V100">_xlfn.XLOOKUP("Charger",Stock1!B100,Stock1!I100,"")</f>
        <v/>
      </c>
      <c r="W100" s="102" t="str">
        <f t="array" ref="W100">_xlfn.XLOOKUP(V100,Stock1!I100,Stock1!F100,"")</f>
        <v/>
      </c>
      <c r="X100" s="102" t="str">
        <f t="array" ref="X100">_xlfn.XLOOKUP(V100,Stock1!I100,Stock1!J100,"")</f>
        <v/>
      </c>
      <c r="Y100" s="102" t="str">
        <f t="array" ref="Y100">_xlfn.XLOOKUP("Screen Protector for Android Phone and Other",Stock1!B100,Stock1!I100,"")</f>
        <v/>
      </c>
      <c r="Z100" s="102" t="str">
        <f t="array" ref="Z100">_xlfn.XLOOKUP("Screen Protector for Galaxy Phone",Stock1!B100,Stock1!I100,"")</f>
        <v/>
      </c>
      <c r="AA100" s="102" t="str">
        <f t="array" ref="AA100">_xlfn.XLOOKUP("Screen Protector for Galaxy Tab",Stock1!B100,Stock1!I100,"")</f>
        <v/>
      </c>
      <c r="AB100" s="102" t="str">
        <f t="shared" si="4"/>
        <v/>
      </c>
      <c r="AC100" s="102" t="str">
        <f t="array" ref="AC100">_xlfn.XLOOKUP(AB100,Stock1!I100,Stock1!F100,"")</f>
        <v/>
      </c>
      <c r="AD100" s="102" t="str">
        <f t="array" ref="AD100">_xlfn.XLOOKUP(AB100,Stock1!I100,Stock1!J100,"")</f>
        <v/>
      </c>
      <c r="AE100" s="102" t="str">
        <f t="array" ref="AE100">_xlfn.XLOOKUP("Storage",Stock1!B100,Stock1!I100,"")</f>
        <v/>
      </c>
      <c r="AF100" s="102" t="str">
        <f t="array" ref="AF100">_xlfn.XLOOKUP(AE100,Stock1!I100,Stock1!F100,"")</f>
        <v/>
      </c>
      <c r="AG100" s="102" t="str">
        <f t="array" ref="AG100">_xlfn.XLOOKUP(AE100,Stock1!I100,Stock1!J100,"")</f>
        <v/>
      </c>
    </row>
    <row r="101">
      <c r="K101" s="660" t="str">
        <f t="array" ref="K101">IFERROR(_xlfn.XLOOKUP(I101,Incentive!B:B,Incentive!E:E,""),"")</f>
        <v/>
      </c>
      <c r="L101" s="659" t="str">
        <f>IFERROR(VLOOKUP(I101,Stock1!F:J,5,False),"")</f>
        <v/>
      </c>
      <c r="M101" s="659" t="str">
        <f>IFERROR(VLOOKUP(I101,Stock2!F:J,5,False),"")</f>
        <v/>
      </c>
      <c r="V101" s="102" t="str">
        <f t="array" ref="V101">_xlfn.XLOOKUP("Charger",Stock1!B101,Stock1!I101,"")</f>
        <v/>
      </c>
      <c r="W101" s="102" t="str">
        <f t="array" ref="W101">_xlfn.XLOOKUP(V101,Stock1!I101,Stock1!F101,"")</f>
        <v/>
      </c>
      <c r="X101" s="102" t="str">
        <f t="array" ref="X101">_xlfn.XLOOKUP(V101,Stock1!I101,Stock1!J101,"")</f>
        <v/>
      </c>
      <c r="Y101" s="102" t="str">
        <f t="array" ref="Y101">_xlfn.XLOOKUP("Screen Protector for Android Phone and Other",Stock1!B101,Stock1!I101,"")</f>
        <v/>
      </c>
      <c r="Z101" s="102" t="str">
        <f t="array" ref="Z101">_xlfn.XLOOKUP("Screen Protector for Galaxy Phone",Stock1!B101,Stock1!I101,"")</f>
        <v/>
      </c>
      <c r="AA101" s="102" t="str">
        <f t="array" ref="AA101">_xlfn.XLOOKUP("Screen Protector for Galaxy Tab",Stock1!B101,Stock1!I101,"")</f>
        <v/>
      </c>
      <c r="AB101" s="102" t="str">
        <f t="shared" si="4"/>
        <v/>
      </c>
      <c r="AC101" s="102" t="str">
        <f t="array" ref="AC101">_xlfn.XLOOKUP(AB101,Stock1!I101,Stock1!F101,"")</f>
        <v/>
      </c>
      <c r="AD101" s="102" t="str">
        <f t="array" ref="AD101">_xlfn.XLOOKUP(AB101,Stock1!I101,Stock1!J101,"")</f>
        <v/>
      </c>
      <c r="AE101" s="102" t="str">
        <f t="array" ref="AE101">_xlfn.XLOOKUP("Storage",Stock1!B101,Stock1!I101,"")</f>
        <v/>
      </c>
      <c r="AF101" s="102" t="str">
        <f t="array" ref="AF101">_xlfn.XLOOKUP(AE101,Stock1!I101,Stock1!F101,"")</f>
        <v/>
      </c>
      <c r="AG101" s="102" t="str">
        <f t="array" ref="AG101">_xlfn.XLOOKUP(AE101,Stock1!I101,Stock1!J101,"")</f>
        <v/>
      </c>
    </row>
    <row r="102">
      <c r="K102" s="660" t="str">
        <f t="array" ref="K102">IFERROR(_xlfn.XLOOKUP(I102,Incentive!B:B,Incentive!E:E,""),"")</f>
        <v/>
      </c>
      <c r="L102" s="659" t="str">
        <f>IFERROR(VLOOKUP(I102,Stock1!F:J,5,False),"")</f>
        <v/>
      </c>
      <c r="M102" s="659" t="str">
        <f>IFERROR(VLOOKUP(I102,Stock2!F:J,5,False),"")</f>
        <v/>
      </c>
      <c r="V102" s="102" t="str">
        <f t="array" ref="V102">_xlfn.XLOOKUP("Charger",Stock1!B102,Stock1!I102,"")</f>
        <v/>
      </c>
      <c r="W102" s="102" t="str">
        <f t="array" ref="W102">_xlfn.XLOOKUP(V102,Stock1!I102,Stock1!F102,"")</f>
        <v/>
      </c>
      <c r="X102" s="102" t="str">
        <f t="array" ref="X102">_xlfn.XLOOKUP(V102,Stock1!I102,Stock1!J102,"")</f>
        <v/>
      </c>
      <c r="Y102" s="102" t="str">
        <f t="array" ref="Y102">_xlfn.XLOOKUP("Screen Protector for Android Phone and Other",Stock1!B102,Stock1!I102,"")</f>
        <v/>
      </c>
      <c r="Z102" s="102" t="str">
        <f t="array" ref="Z102">_xlfn.XLOOKUP("Screen Protector for Galaxy Phone",Stock1!B102,Stock1!I102,"")</f>
        <v/>
      </c>
      <c r="AA102" s="102" t="str">
        <f t="array" ref="AA102">_xlfn.XLOOKUP("Screen Protector for Galaxy Tab",Stock1!B102,Stock1!I102,"")</f>
        <v/>
      </c>
      <c r="AB102" s="102" t="str">
        <f t="shared" si="4"/>
        <v/>
      </c>
      <c r="AC102" s="102" t="str">
        <f t="array" ref="AC102">_xlfn.XLOOKUP(AB102,Stock1!I102,Stock1!F102,"")</f>
        <v/>
      </c>
      <c r="AD102" s="102" t="str">
        <f t="array" ref="AD102">_xlfn.XLOOKUP(AB102,Stock1!I102,Stock1!J102,"")</f>
        <v/>
      </c>
      <c r="AE102" s="102" t="str">
        <f t="array" ref="AE102">_xlfn.XLOOKUP("Storage",Stock1!B102,Stock1!I102,"")</f>
        <v/>
      </c>
      <c r="AF102" s="102" t="str">
        <f t="array" ref="AF102">_xlfn.XLOOKUP(AE102,Stock1!I102,Stock1!F102,"")</f>
        <v/>
      </c>
      <c r="AG102" s="102" t="str">
        <f t="array" ref="AG102">_xlfn.XLOOKUP(AE102,Stock1!I102,Stock1!J102,"")</f>
        <v/>
      </c>
    </row>
    <row r="103">
      <c r="K103" s="660" t="str">
        <f t="array" ref="K103">IFERROR(_xlfn.XLOOKUP(I103,Incentive!B:B,Incentive!E:E,""),"")</f>
        <v/>
      </c>
      <c r="L103" s="659" t="str">
        <f>IFERROR(VLOOKUP(I103,Stock1!F:J,5,False),"")</f>
        <v/>
      </c>
      <c r="M103" s="659" t="str">
        <f>IFERROR(VLOOKUP(I103,Stock2!F:J,5,False),"")</f>
        <v/>
      </c>
      <c r="V103" s="102" t="str">
        <f t="array" ref="V103">_xlfn.XLOOKUP("Charger",Stock1!B103,Stock1!I103,"")</f>
        <v/>
      </c>
      <c r="W103" s="102" t="str">
        <f t="array" ref="W103">_xlfn.XLOOKUP(V103,Stock1!I103,Stock1!F103,"")</f>
        <v/>
      </c>
      <c r="X103" s="102" t="str">
        <f t="array" ref="X103">_xlfn.XLOOKUP(V103,Stock1!I103,Stock1!J103,"")</f>
        <v/>
      </c>
      <c r="Y103" s="102" t="str">
        <f t="array" ref="Y103">_xlfn.XLOOKUP("Screen Protector for Android Phone and Other",Stock1!B103,Stock1!I103,"")</f>
        <v/>
      </c>
      <c r="Z103" s="102" t="str">
        <f t="array" ref="Z103">_xlfn.XLOOKUP("Screen Protector for Galaxy Phone",Stock1!B103,Stock1!I103,"")</f>
        <v/>
      </c>
      <c r="AA103" s="102" t="str">
        <f t="array" ref="AA103">_xlfn.XLOOKUP("Screen Protector for Galaxy Tab",Stock1!B103,Stock1!I103,"")</f>
        <v/>
      </c>
      <c r="AB103" s="102" t="str">
        <f t="shared" si="4"/>
        <v/>
      </c>
      <c r="AC103" s="102" t="str">
        <f t="array" ref="AC103">_xlfn.XLOOKUP(AB103,Stock1!I103,Stock1!F103,"")</f>
        <v/>
      </c>
      <c r="AD103" s="102" t="str">
        <f t="array" ref="AD103">_xlfn.XLOOKUP(AB103,Stock1!I103,Stock1!J103,"")</f>
        <v/>
      </c>
      <c r="AE103" s="102" t="str">
        <f t="array" ref="AE103">_xlfn.XLOOKUP("Storage",Stock1!B103,Stock1!I103,"")</f>
        <v/>
      </c>
      <c r="AF103" s="102" t="str">
        <f t="array" ref="AF103">_xlfn.XLOOKUP(AE103,Stock1!I103,Stock1!F103,"")</f>
        <v/>
      </c>
      <c r="AG103" s="102" t="str">
        <f t="array" ref="AG103">_xlfn.XLOOKUP(AE103,Stock1!I103,Stock1!J103,"")</f>
        <v/>
      </c>
    </row>
    <row r="104">
      <c r="K104" s="660" t="str">
        <f t="array" ref="K104">IFERROR(_xlfn.XLOOKUP(I104,Incentive!B:B,Incentive!E:E,""),"")</f>
        <v/>
      </c>
      <c r="L104" s="659" t="str">
        <f>IFERROR(VLOOKUP(I104,Stock1!F:J,5,False),"")</f>
        <v/>
      </c>
      <c r="M104" s="659" t="str">
        <f>IFERROR(VLOOKUP(I104,Stock2!F:J,5,False),"")</f>
        <v/>
      </c>
      <c r="V104" s="102" t="str">
        <f t="array" ref="V104">_xlfn.XLOOKUP("Charger",Stock1!B104,Stock1!I104,"")</f>
        <v/>
      </c>
      <c r="W104" s="102" t="str">
        <f t="array" ref="W104">_xlfn.XLOOKUP(V104,Stock1!I104,Stock1!F104,"")</f>
        <v/>
      </c>
      <c r="X104" s="102" t="str">
        <f t="array" ref="X104">_xlfn.XLOOKUP(V104,Stock1!I104,Stock1!J104,"")</f>
        <v/>
      </c>
      <c r="Y104" s="102" t="str">
        <f t="array" ref="Y104">_xlfn.XLOOKUP("Screen Protector for Android Phone and Other",Stock1!B104,Stock1!I104,"")</f>
        <v/>
      </c>
      <c r="Z104" s="102" t="str">
        <f t="array" ref="Z104">_xlfn.XLOOKUP("Screen Protector for Galaxy Phone",Stock1!B104,Stock1!I104,"")</f>
        <v/>
      </c>
      <c r="AA104" s="102" t="str">
        <f t="array" ref="AA104">_xlfn.XLOOKUP("Screen Protector for Galaxy Tab",Stock1!B104,Stock1!I104,"")</f>
        <v/>
      </c>
      <c r="AB104" s="102" t="str">
        <f t="shared" si="4"/>
        <v/>
      </c>
      <c r="AC104" s="102" t="str">
        <f t="array" ref="AC104">_xlfn.XLOOKUP(AB104,Stock1!I104,Stock1!F104,"")</f>
        <v/>
      </c>
      <c r="AD104" s="102" t="str">
        <f t="array" ref="AD104">_xlfn.XLOOKUP(AB104,Stock1!I104,Stock1!J104,"")</f>
        <v/>
      </c>
      <c r="AE104" s="102" t="str">
        <f t="array" ref="AE104">_xlfn.XLOOKUP("Storage",Stock1!B104,Stock1!I104,"")</f>
        <v/>
      </c>
      <c r="AF104" s="102" t="str">
        <f t="array" ref="AF104">_xlfn.XLOOKUP(AE104,Stock1!I104,Stock1!F104,"")</f>
        <v/>
      </c>
      <c r="AG104" s="102" t="str">
        <f t="array" ref="AG104">_xlfn.XLOOKUP(AE104,Stock1!I104,Stock1!J104,"")</f>
        <v/>
      </c>
    </row>
    <row r="105">
      <c r="K105" s="660" t="str">
        <f t="array" ref="K105">IFERROR(_xlfn.XLOOKUP(I105,Incentive!B:B,Incentive!E:E,""),"")</f>
        <v/>
      </c>
      <c r="L105" s="659" t="str">
        <f>IFERROR(VLOOKUP(I105,Stock1!F:J,5,False),"")</f>
        <v/>
      </c>
      <c r="M105" s="659" t="str">
        <f>IFERROR(VLOOKUP(I105,Stock2!F:J,5,False),"")</f>
        <v/>
      </c>
      <c r="V105" s="102" t="str">
        <f t="array" ref="V105">_xlfn.XLOOKUP("Charger",Stock1!B105,Stock1!I105,"")</f>
        <v/>
      </c>
      <c r="W105" s="102" t="str">
        <f t="array" ref="W105">_xlfn.XLOOKUP(V105,Stock1!I105,Stock1!F105,"")</f>
        <v/>
      </c>
      <c r="X105" s="102" t="str">
        <f t="array" ref="X105">_xlfn.XLOOKUP(V105,Stock1!I105,Stock1!J105,"")</f>
        <v/>
      </c>
      <c r="Y105" s="102" t="str">
        <f t="array" ref="Y105">_xlfn.XLOOKUP("Screen Protector for Android Phone and Other",Stock1!B105,Stock1!I105,"")</f>
        <v/>
      </c>
      <c r="Z105" s="102" t="str">
        <f t="array" ref="Z105">_xlfn.XLOOKUP("Screen Protector for Galaxy Phone",Stock1!B105,Stock1!I105,"")</f>
        <v/>
      </c>
      <c r="AA105" s="102" t="str">
        <f t="array" ref="AA105">_xlfn.XLOOKUP("Screen Protector for Galaxy Tab",Stock1!B105,Stock1!I105,"")</f>
        <v/>
      </c>
      <c r="AB105" s="102" t="str">
        <f t="shared" si="4"/>
        <v/>
      </c>
      <c r="AC105" s="102" t="str">
        <f t="array" ref="AC105">_xlfn.XLOOKUP(AB105,Stock1!I105,Stock1!F105,"")</f>
        <v/>
      </c>
      <c r="AD105" s="102" t="str">
        <f t="array" ref="AD105">_xlfn.XLOOKUP(AB105,Stock1!I105,Stock1!J105,"")</f>
        <v/>
      </c>
      <c r="AE105" s="102" t="str">
        <f t="array" ref="AE105">_xlfn.XLOOKUP("Storage",Stock1!B105,Stock1!I105,"")</f>
        <v/>
      </c>
      <c r="AF105" s="102" t="str">
        <f t="array" ref="AF105">_xlfn.XLOOKUP(AE105,Stock1!I105,Stock1!F105,"")</f>
        <v/>
      </c>
      <c r="AG105" s="102" t="str">
        <f t="array" ref="AG105">_xlfn.XLOOKUP(AE105,Stock1!I105,Stock1!J105,"")</f>
        <v/>
      </c>
    </row>
    <row r="106">
      <c r="K106" s="660" t="str">
        <f t="array" ref="K106">IFERROR(_xlfn.XLOOKUP(I106,Incentive!B:B,Incentive!E:E,""),"")</f>
        <v/>
      </c>
      <c r="L106" s="659" t="str">
        <f>IFERROR(VLOOKUP(I106,Stock1!F:J,5,False),"")</f>
        <v/>
      </c>
      <c r="M106" s="659" t="str">
        <f>IFERROR(VLOOKUP(I106,Stock2!F:J,5,False),"")</f>
        <v/>
      </c>
      <c r="V106" s="102" t="str">
        <f t="array" ref="V106">_xlfn.XLOOKUP("Charger",Stock1!B106,Stock1!I106,"")</f>
        <v/>
      </c>
      <c r="W106" s="102" t="str">
        <f t="array" ref="W106">_xlfn.XLOOKUP(V106,Stock1!I106,Stock1!F106,"")</f>
        <v/>
      </c>
      <c r="X106" s="102" t="str">
        <f t="array" ref="X106">_xlfn.XLOOKUP(V106,Stock1!I106,Stock1!J106,"")</f>
        <v/>
      </c>
      <c r="Y106" s="102" t="str">
        <f t="array" ref="Y106">_xlfn.XLOOKUP("Screen Protector for Android Phone and Other",Stock1!B106,Stock1!I106,"")</f>
        <v/>
      </c>
      <c r="Z106" s="102" t="str">
        <f t="array" ref="Z106">_xlfn.XLOOKUP("Screen Protector for Galaxy Phone",Stock1!B106,Stock1!I106,"")</f>
        <v/>
      </c>
      <c r="AA106" s="102" t="str">
        <f t="array" ref="AA106">_xlfn.XLOOKUP("Screen Protector for Galaxy Tab",Stock1!B106,Stock1!I106,"")</f>
        <v/>
      </c>
      <c r="AB106" s="102" t="str">
        <f t="shared" si="4"/>
        <v/>
      </c>
      <c r="AC106" s="102" t="str">
        <f t="array" ref="AC106">_xlfn.XLOOKUP(AB106,Stock1!I106,Stock1!F106,"")</f>
        <v/>
      </c>
      <c r="AD106" s="102" t="str">
        <f t="array" ref="AD106">_xlfn.XLOOKUP(AB106,Stock1!I106,Stock1!J106,"")</f>
        <v/>
      </c>
      <c r="AE106" s="102" t="str">
        <f t="array" ref="AE106">_xlfn.XLOOKUP("Storage",Stock1!B106,Stock1!I106,"")</f>
        <v/>
      </c>
      <c r="AF106" s="102" t="str">
        <f t="array" ref="AF106">_xlfn.XLOOKUP(AE106,Stock1!I106,Stock1!F106,"")</f>
        <v/>
      </c>
      <c r="AG106" s="102" t="str">
        <f t="array" ref="AG106">_xlfn.XLOOKUP(AE106,Stock1!I106,Stock1!J106,"")</f>
        <v/>
      </c>
    </row>
    <row r="107">
      <c r="K107" s="660" t="str">
        <f t="array" ref="K107">IFERROR(_xlfn.XLOOKUP(I107,Incentive!B:B,Incentive!E:E,""),"")</f>
        <v/>
      </c>
      <c r="L107" s="659" t="str">
        <f>IFERROR(VLOOKUP(I107,Stock1!F:J,5,False),"")</f>
        <v/>
      </c>
      <c r="M107" s="659" t="str">
        <f>IFERROR(VLOOKUP(I107,Stock2!F:J,5,False),"")</f>
        <v/>
      </c>
      <c r="V107" s="102" t="str">
        <f t="array" ref="V107">_xlfn.XLOOKUP("Charger",Stock1!B107,Stock1!I107,"")</f>
        <v/>
      </c>
      <c r="W107" s="102" t="str">
        <f t="array" ref="W107">_xlfn.XLOOKUP(V107,Stock1!I107,Stock1!F107,"")</f>
        <v/>
      </c>
      <c r="X107" s="102" t="str">
        <f t="array" ref="X107">_xlfn.XLOOKUP(V107,Stock1!I107,Stock1!J107,"")</f>
        <v/>
      </c>
      <c r="Y107" s="102" t="str">
        <f t="array" ref="Y107">_xlfn.XLOOKUP("Screen Protector for Android Phone and Other",Stock1!B107,Stock1!I107,"")</f>
        <v/>
      </c>
      <c r="Z107" s="102" t="str">
        <f t="array" ref="Z107">_xlfn.XLOOKUP("Screen Protector for Galaxy Phone",Stock1!B107,Stock1!I107,"")</f>
        <v/>
      </c>
      <c r="AA107" s="102" t="str">
        <f t="array" ref="AA107">_xlfn.XLOOKUP("Screen Protector for Galaxy Tab",Stock1!B107,Stock1!I107,"")</f>
        <v/>
      </c>
      <c r="AB107" s="102" t="str">
        <f t="shared" si="4"/>
        <v/>
      </c>
      <c r="AC107" s="102" t="str">
        <f t="array" ref="AC107">_xlfn.XLOOKUP(AB107,Stock1!I107,Stock1!F107,"")</f>
        <v/>
      </c>
      <c r="AD107" s="102" t="str">
        <f t="array" ref="AD107">_xlfn.XLOOKUP(AB107,Stock1!I107,Stock1!J107,"")</f>
        <v/>
      </c>
      <c r="AE107" s="102" t="str">
        <f t="array" ref="AE107">_xlfn.XLOOKUP("Storage",Stock1!B107,Stock1!I107,"")</f>
        <v/>
      </c>
      <c r="AF107" s="102" t="str">
        <f t="array" ref="AF107">_xlfn.XLOOKUP(AE107,Stock1!I107,Stock1!F107,"")</f>
        <v/>
      </c>
      <c r="AG107" s="102" t="str">
        <f t="array" ref="AG107">_xlfn.XLOOKUP(AE107,Stock1!I107,Stock1!J107,"")</f>
        <v/>
      </c>
    </row>
    <row r="108">
      <c r="K108" s="660" t="str">
        <f t="array" ref="K108">IFERROR(_xlfn.XLOOKUP(I108,Incentive!B:B,Incentive!E:E,""),"")</f>
        <v/>
      </c>
      <c r="L108" s="659" t="str">
        <f>IFERROR(VLOOKUP(I108,Stock1!F:J,5,False),"")</f>
        <v/>
      </c>
      <c r="M108" s="659" t="str">
        <f>IFERROR(VLOOKUP(I108,Stock2!F:J,5,False),"")</f>
        <v/>
      </c>
      <c r="V108" s="102" t="str">
        <f t="array" ref="V108">_xlfn.XLOOKUP("Charger",Stock1!B108,Stock1!I108,"")</f>
        <v/>
      </c>
      <c r="W108" s="102" t="str">
        <f t="array" ref="W108">_xlfn.XLOOKUP(V108,Stock1!I108,Stock1!F108,"")</f>
        <v/>
      </c>
      <c r="X108" s="102" t="str">
        <f t="array" ref="X108">_xlfn.XLOOKUP(V108,Stock1!I108,Stock1!J108,"")</f>
        <v/>
      </c>
      <c r="Y108" s="102" t="str">
        <f t="array" ref="Y108">_xlfn.XLOOKUP("Screen Protector for Android Phone and Other",Stock1!B108,Stock1!I108,"")</f>
        <v/>
      </c>
      <c r="Z108" s="102" t="str">
        <f t="array" ref="Z108">_xlfn.XLOOKUP("Screen Protector for Galaxy Phone",Stock1!B108,Stock1!I108,"")</f>
        <v/>
      </c>
      <c r="AA108" s="102" t="str">
        <f t="array" ref="AA108">_xlfn.XLOOKUP("Screen Protector for Galaxy Tab",Stock1!B108,Stock1!I108,"")</f>
        <v/>
      </c>
      <c r="AB108" s="102" t="str">
        <f t="shared" si="4"/>
        <v/>
      </c>
      <c r="AC108" s="102" t="str">
        <f t="array" ref="AC108">_xlfn.XLOOKUP(AB108,Stock1!I108,Stock1!F108,"")</f>
        <v/>
      </c>
      <c r="AD108" s="102" t="str">
        <f t="array" ref="AD108">_xlfn.XLOOKUP(AB108,Stock1!I108,Stock1!J108,"")</f>
        <v/>
      </c>
      <c r="AE108" s="102" t="str">
        <f t="array" ref="AE108">_xlfn.XLOOKUP("Storage",Stock1!B108,Stock1!I108,"")</f>
        <v/>
      </c>
      <c r="AF108" s="102" t="str">
        <f t="array" ref="AF108">_xlfn.XLOOKUP(AE108,Stock1!I108,Stock1!F108,"")</f>
        <v/>
      </c>
      <c r="AG108" s="102" t="str">
        <f t="array" ref="AG108">_xlfn.XLOOKUP(AE108,Stock1!I108,Stock1!J108,"")</f>
        <v/>
      </c>
    </row>
    <row r="109">
      <c r="K109" s="660" t="str">
        <f t="array" ref="K109">IFERROR(_xlfn.XLOOKUP(I109,Incentive!B:B,Incentive!E:E,""),"")</f>
        <v/>
      </c>
      <c r="L109" s="659" t="str">
        <f>IFERROR(VLOOKUP(I109,Stock1!F:J,5,False),"")</f>
        <v/>
      </c>
      <c r="M109" s="659" t="str">
        <f>IFERROR(VLOOKUP(I109,Stock2!F:J,5,False),"")</f>
        <v/>
      </c>
      <c r="V109" s="102" t="str">
        <f t="array" ref="V109">_xlfn.XLOOKUP("Charger",Stock1!B109,Stock1!I109,"")</f>
        <v/>
      </c>
      <c r="W109" s="102" t="str">
        <f t="array" ref="W109">_xlfn.XLOOKUP(V109,Stock1!I109,Stock1!F109,"")</f>
        <v/>
      </c>
      <c r="X109" s="102" t="str">
        <f t="array" ref="X109">_xlfn.XLOOKUP(V109,Stock1!I109,Stock1!J109,"")</f>
        <v/>
      </c>
      <c r="Y109" s="102" t="str">
        <f t="array" ref="Y109">_xlfn.XLOOKUP("Screen Protector for Android Phone and Other",Stock1!B109,Stock1!I109,"")</f>
        <v/>
      </c>
      <c r="Z109" s="102" t="str">
        <f t="array" ref="Z109">_xlfn.XLOOKUP("Screen Protector for Galaxy Phone",Stock1!B109,Stock1!I109,"")</f>
        <v/>
      </c>
      <c r="AA109" s="102" t="str">
        <f t="array" ref="AA109">_xlfn.XLOOKUP("Screen Protector for Galaxy Tab",Stock1!B109,Stock1!I109,"")</f>
        <v/>
      </c>
      <c r="AB109" s="102" t="str">
        <f t="shared" si="4"/>
        <v/>
      </c>
      <c r="AC109" s="102" t="str">
        <f t="array" ref="AC109">_xlfn.XLOOKUP(AB109,Stock1!I109,Stock1!F109,"")</f>
        <v/>
      </c>
      <c r="AD109" s="102" t="str">
        <f t="array" ref="AD109">_xlfn.XLOOKUP(AB109,Stock1!I109,Stock1!J109,"")</f>
        <v/>
      </c>
      <c r="AE109" s="102" t="str">
        <f t="array" ref="AE109">_xlfn.XLOOKUP("Storage",Stock1!B109,Stock1!I109,"")</f>
        <v/>
      </c>
      <c r="AF109" s="102" t="str">
        <f t="array" ref="AF109">_xlfn.XLOOKUP(AE109,Stock1!I109,Stock1!F109,"")</f>
        <v/>
      </c>
      <c r="AG109" s="102" t="str">
        <f t="array" ref="AG109">_xlfn.XLOOKUP(AE109,Stock1!I109,Stock1!J109,"")</f>
        <v/>
      </c>
    </row>
    <row r="110">
      <c r="K110" s="660" t="str">
        <f t="array" ref="K110">IFERROR(_xlfn.XLOOKUP(I110,Incentive!B:B,Incentive!E:E,""),"")</f>
        <v/>
      </c>
      <c r="L110" s="659" t="str">
        <f>IFERROR(VLOOKUP(I110,Stock1!F:J,5,False),"")</f>
        <v/>
      </c>
      <c r="M110" s="659" t="str">
        <f>IFERROR(VLOOKUP(I110,Stock2!F:J,5,False),"")</f>
        <v/>
      </c>
      <c r="V110" s="102" t="str">
        <f t="array" ref="V110">_xlfn.XLOOKUP("Charger",Stock1!B110,Stock1!I110,"")</f>
        <v/>
      </c>
      <c r="W110" s="102" t="str">
        <f t="array" ref="W110">_xlfn.XLOOKUP(V110,Stock1!I110,Stock1!F110,"")</f>
        <v/>
      </c>
      <c r="X110" s="102" t="str">
        <f t="array" ref="X110">_xlfn.XLOOKUP(V110,Stock1!I110,Stock1!J110,"")</f>
        <v/>
      </c>
      <c r="Y110" s="102" t="str">
        <f t="array" ref="Y110">_xlfn.XLOOKUP("Screen Protector for Android Phone and Other",Stock1!B110,Stock1!I110,"")</f>
        <v/>
      </c>
      <c r="Z110" s="102" t="str">
        <f t="array" ref="Z110">_xlfn.XLOOKUP("Screen Protector for Galaxy Phone",Stock1!B110,Stock1!I110,"")</f>
        <v/>
      </c>
      <c r="AA110" s="102" t="str">
        <f t="array" ref="AA110">_xlfn.XLOOKUP("Screen Protector for Galaxy Tab",Stock1!B110,Stock1!I110,"")</f>
        <v/>
      </c>
      <c r="AB110" s="102" t="str">
        <f t="shared" si="4"/>
        <v/>
      </c>
      <c r="AC110" s="102" t="str">
        <f t="array" ref="AC110">_xlfn.XLOOKUP(AB110,Stock1!I110,Stock1!F110,"")</f>
        <v/>
      </c>
      <c r="AD110" s="102" t="str">
        <f t="array" ref="AD110">_xlfn.XLOOKUP(AB110,Stock1!I110,Stock1!J110,"")</f>
        <v/>
      </c>
      <c r="AE110" s="102" t="str">
        <f t="array" ref="AE110">_xlfn.XLOOKUP("Storage",Stock1!B110,Stock1!I110,"")</f>
        <v/>
      </c>
      <c r="AF110" s="102" t="str">
        <f t="array" ref="AF110">_xlfn.XLOOKUP(AE110,Stock1!I110,Stock1!F110,"")</f>
        <v/>
      </c>
      <c r="AG110" s="102" t="str">
        <f t="array" ref="AG110">_xlfn.XLOOKUP(AE110,Stock1!I110,Stock1!J110,"")</f>
        <v/>
      </c>
    </row>
    <row r="111">
      <c r="K111" s="660" t="str">
        <f t="array" ref="K111">IFERROR(_xlfn.XLOOKUP(I111,Incentive!B:B,Incentive!E:E,""),"")</f>
        <v/>
      </c>
      <c r="L111" s="659" t="str">
        <f>IFERROR(VLOOKUP(I111,Stock1!F:J,5,False),"")</f>
        <v/>
      </c>
      <c r="M111" s="659" t="str">
        <f>IFERROR(VLOOKUP(I111,Stock2!F:J,5,False),"")</f>
        <v/>
      </c>
      <c r="V111" s="102" t="str">
        <f t="array" ref="V111">_xlfn.XLOOKUP("Charger",Stock1!B111,Stock1!I111,"")</f>
        <v/>
      </c>
      <c r="W111" s="102" t="str">
        <f t="array" ref="W111">_xlfn.XLOOKUP(V111,Stock1!I111,Stock1!F111,"")</f>
        <v/>
      </c>
      <c r="X111" s="102" t="str">
        <f t="array" ref="X111">_xlfn.XLOOKUP(V111,Stock1!I111,Stock1!J111,"")</f>
        <v/>
      </c>
      <c r="Y111" s="102" t="str">
        <f t="array" ref="Y111">_xlfn.XLOOKUP("Screen Protector for Android Phone and Other",Stock1!B111,Stock1!I111,"")</f>
        <v/>
      </c>
      <c r="Z111" s="102" t="str">
        <f t="array" ref="Z111">_xlfn.XLOOKUP("Screen Protector for Galaxy Phone",Stock1!B111,Stock1!I111,"")</f>
        <v/>
      </c>
      <c r="AA111" s="102" t="str">
        <f t="array" ref="AA111">_xlfn.XLOOKUP("Screen Protector for Galaxy Tab",Stock1!B111,Stock1!I111,"")</f>
        <v/>
      </c>
      <c r="AB111" s="102" t="str">
        <f t="shared" si="4"/>
        <v/>
      </c>
      <c r="AC111" s="102" t="str">
        <f t="array" ref="AC111">_xlfn.XLOOKUP(AB111,Stock1!I111,Stock1!F111,"")</f>
        <v/>
      </c>
      <c r="AD111" s="102" t="str">
        <f t="array" ref="AD111">_xlfn.XLOOKUP(AB111,Stock1!I111,Stock1!J111,"")</f>
        <v/>
      </c>
      <c r="AE111" s="102" t="str">
        <f t="array" ref="AE111">_xlfn.XLOOKUP("Storage",Stock1!B111,Stock1!I111,"")</f>
        <v/>
      </c>
      <c r="AF111" s="102" t="str">
        <f t="array" ref="AF111">_xlfn.XLOOKUP(AE111,Stock1!I111,Stock1!F111,"")</f>
        <v/>
      </c>
      <c r="AG111" s="102" t="str">
        <f t="array" ref="AG111">_xlfn.XLOOKUP(AE111,Stock1!I111,Stock1!J111,"")</f>
        <v/>
      </c>
    </row>
    <row r="112">
      <c r="K112" s="660" t="str">
        <f t="array" ref="K112">IFERROR(_xlfn.XLOOKUP(I112,Incentive!B:B,Incentive!E:E,""),"")</f>
        <v/>
      </c>
      <c r="L112" s="659" t="str">
        <f>IFERROR(VLOOKUP(I112,Stock1!F:J,5,False),"")</f>
        <v/>
      </c>
      <c r="M112" s="659" t="str">
        <f>IFERROR(VLOOKUP(I112,Stock2!F:J,5,False),"")</f>
        <v/>
      </c>
      <c r="V112" s="102" t="str">
        <f t="array" ref="V112">_xlfn.XLOOKUP("Charger",Stock1!B112,Stock1!I112,"")</f>
        <v/>
      </c>
      <c r="W112" s="102" t="str">
        <f t="array" ref="W112">_xlfn.XLOOKUP(V112,Stock1!I112,Stock1!F112,"")</f>
        <v/>
      </c>
      <c r="X112" s="102" t="str">
        <f t="array" ref="X112">_xlfn.XLOOKUP(V112,Stock1!I112,Stock1!J112,"")</f>
        <v/>
      </c>
      <c r="Y112" s="102" t="str">
        <f t="array" ref="Y112">_xlfn.XLOOKUP("Screen Protector for Android Phone and Other",Stock1!B112,Stock1!I112,"")</f>
        <v/>
      </c>
      <c r="Z112" s="102" t="str">
        <f t="array" ref="Z112">_xlfn.XLOOKUP("Screen Protector for Galaxy Phone",Stock1!B112,Stock1!I112,"")</f>
        <v/>
      </c>
      <c r="AA112" s="102" t="str">
        <f t="array" ref="AA112">_xlfn.XLOOKUP("Screen Protector for Galaxy Tab",Stock1!B112,Stock1!I112,"")</f>
        <v/>
      </c>
      <c r="AB112" s="102" t="str">
        <f t="shared" si="4"/>
        <v/>
      </c>
      <c r="AC112" s="102" t="str">
        <f t="array" ref="AC112">_xlfn.XLOOKUP(AB112,Stock1!I112,Stock1!F112,"")</f>
        <v/>
      </c>
      <c r="AD112" s="102" t="str">
        <f t="array" ref="AD112">_xlfn.XLOOKUP(AB112,Stock1!I112,Stock1!J112,"")</f>
        <v/>
      </c>
      <c r="AE112" s="102" t="str">
        <f t="array" ref="AE112">_xlfn.XLOOKUP("Storage",Stock1!B112,Stock1!I112,"")</f>
        <v/>
      </c>
      <c r="AF112" s="102" t="str">
        <f t="array" ref="AF112">_xlfn.XLOOKUP(AE112,Stock1!I112,Stock1!F112,"")</f>
        <v/>
      </c>
      <c r="AG112" s="102" t="str">
        <f t="array" ref="AG112">_xlfn.XLOOKUP(AE112,Stock1!I112,Stock1!J112,"")</f>
        <v/>
      </c>
    </row>
    <row r="113">
      <c r="K113" s="660" t="str">
        <f t="array" ref="K113">IFERROR(_xlfn.XLOOKUP(I113,Incentive!B:B,Incentive!E:E,""),"")</f>
        <v/>
      </c>
      <c r="L113" s="659" t="str">
        <f>IFERROR(VLOOKUP(I113,Stock1!F:J,5,False),"")</f>
        <v/>
      </c>
      <c r="M113" s="659" t="str">
        <f>IFERROR(VLOOKUP(I113,Stock2!F:J,5,False),"")</f>
        <v/>
      </c>
      <c r="V113" s="102" t="str">
        <f t="array" ref="V113">_xlfn.XLOOKUP("Charger",Stock1!B113,Stock1!I113,"")</f>
        <v/>
      </c>
      <c r="W113" s="102" t="str">
        <f t="array" ref="W113">_xlfn.XLOOKUP(V113,Stock1!I113,Stock1!F113,"")</f>
        <v/>
      </c>
      <c r="X113" s="102" t="str">
        <f t="array" ref="X113">_xlfn.XLOOKUP(V113,Stock1!I113,Stock1!J113,"")</f>
        <v/>
      </c>
      <c r="Y113" s="102" t="str">
        <f t="array" ref="Y113">_xlfn.XLOOKUP("Screen Protector for Android Phone and Other",Stock1!B113,Stock1!I113,"")</f>
        <v/>
      </c>
      <c r="Z113" s="102" t="str">
        <f t="array" ref="Z113">_xlfn.XLOOKUP("Screen Protector for Galaxy Phone",Stock1!B113,Stock1!I113,"")</f>
        <v/>
      </c>
      <c r="AA113" s="102" t="str">
        <f t="array" ref="AA113">_xlfn.XLOOKUP("Screen Protector for Galaxy Tab",Stock1!B113,Stock1!I113,"")</f>
        <v/>
      </c>
      <c r="AB113" s="102" t="str">
        <f t="shared" si="4"/>
        <v/>
      </c>
      <c r="AC113" s="102" t="str">
        <f t="array" ref="AC113">_xlfn.XLOOKUP(AB113,Stock1!I113,Stock1!F113,"")</f>
        <v/>
      </c>
      <c r="AD113" s="102" t="str">
        <f t="array" ref="AD113">_xlfn.XLOOKUP(AB113,Stock1!I113,Stock1!J113,"")</f>
        <v/>
      </c>
      <c r="AE113" s="102" t="str">
        <f t="array" ref="AE113">_xlfn.XLOOKUP("Storage",Stock1!B113,Stock1!I113,"")</f>
        <v/>
      </c>
      <c r="AF113" s="102" t="str">
        <f t="array" ref="AF113">_xlfn.XLOOKUP(AE113,Stock1!I113,Stock1!F113,"")</f>
        <v/>
      </c>
      <c r="AG113" s="102" t="str">
        <f t="array" ref="AG113">_xlfn.XLOOKUP(AE113,Stock1!I113,Stock1!J113,"")</f>
        <v/>
      </c>
    </row>
    <row r="114">
      <c r="K114" s="660" t="str">
        <f t="array" ref="K114">IFERROR(_xlfn.XLOOKUP(I114,Incentive!B:B,Incentive!E:E,""),"")</f>
        <v/>
      </c>
      <c r="L114" s="659" t="str">
        <f>IFERROR(VLOOKUP(I114,Stock1!F:J,5,False),"")</f>
        <v/>
      </c>
      <c r="M114" s="659" t="str">
        <f>IFERROR(VLOOKUP(I114,Stock2!F:J,5,False),"")</f>
        <v/>
      </c>
      <c r="V114" s="102" t="str">
        <f t="array" ref="V114">_xlfn.XLOOKUP("Charger",Stock1!B114,Stock1!I114,"")</f>
        <v/>
      </c>
      <c r="W114" s="102" t="str">
        <f t="array" ref="W114">_xlfn.XLOOKUP(V114,Stock1!I114,Stock1!F114,"")</f>
        <v/>
      </c>
      <c r="X114" s="102" t="str">
        <f t="array" ref="X114">_xlfn.XLOOKUP(V114,Stock1!I114,Stock1!J114,"")</f>
        <v/>
      </c>
      <c r="Y114" s="102" t="str">
        <f t="array" ref="Y114">_xlfn.XLOOKUP("Screen Protector for Android Phone and Other",Stock1!B114,Stock1!I114,"")</f>
        <v/>
      </c>
      <c r="Z114" s="102" t="str">
        <f t="array" ref="Z114">_xlfn.XLOOKUP("Screen Protector for Galaxy Phone",Stock1!B114,Stock1!I114,"")</f>
        <v/>
      </c>
      <c r="AA114" s="102" t="str">
        <f t="array" ref="AA114">_xlfn.XLOOKUP("Screen Protector for Galaxy Tab",Stock1!B114,Stock1!I114,"")</f>
        <v/>
      </c>
      <c r="AB114" s="102" t="str">
        <f t="shared" si="4"/>
        <v/>
      </c>
      <c r="AC114" s="102" t="str">
        <f t="array" ref="AC114">_xlfn.XLOOKUP(AB114,Stock1!I114,Stock1!F114,"")</f>
        <v/>
      </c>
      <c r="AD114" s="102" t="str">
        <f t="array" ref="AD114">_xlfn.XLOOKUP(AB114,Stock1!I114,Stock1!J114,"")</f>
        <v/>
      </c>
      <c r="AE114" s="102" t="str">
        <f t="array" ref="AE114">_xlfn.XLOOKUP("Storage",Stock1!B114,Stock1!I114,"")</f>
        <v/>
      </c>
      <c r="AF114" s="102" t="str">
        <f t="array" ref="AF114">_xlfn.XLOOKUP(AE114,Stock1!I114,Stock1!F114,"")</f>
        <v/>
      </c>
      <c r="AG114" s="102" t="str">
        <f t="array" ref="AG114">_xlfn.XLOOKUP(AE114,Stock1!I114,Stock1!J114,"")</f>
        <v/>
      </c>
    </row>
    <row r="115">
      <c r="K115" s="660" t="str">
        <f t="array" ref="K115">IFERROR(_xlfn.XLOOKUP(I115,Incentive!B:B,Incentive!E:E,""),"")</f>
        <v/>
      </c>
      <c r="L115" s="659" t="str">
        <f>IFERROR(VLOOKUP(I115,Stock1!F:J,5,False),"")</f>
        <v/>
      </c>
      <c r="M115" s="659" t="str">
        <f>IFERROR(VLOOKUP(I115,Stock2!F:J,5,False),"")</f>
        <v/>
      </c>
      <c r="V115" s="102" t="str">
        <f t="array" ref="V115">_xlfn.XLOOKUP("Charger",Stock1!B115,Stock1!I115,"")</f>
        <v/>
      </c>
      <c r="W115" s="102" t="str">
        <f t="array" ref="W115">_xlfn.XLOOKUP(V115,Stock1!I115,Stock1!F115,"")</f>
        <v/>
      </c>
      <c r="X115" s="102" t="str">
        <f t="array" ref="X115">_xlfn.XLOOKUP(V115,Stock1!I115,Stock1!J115,"")</f>
        <v/>
      </c>
      <c r="Y115" s="102" t="str">
        <f t="array" ref="Y115">_xlfn.XLOOKUP("Screen Protector for Android Phone and Other",Stock1!B115,Stock1!I115,"")</f>
        <v/>
      </c>
      <c r="Z115" s="102" t="str">
        <f t="array" ref="Z115">_xlfn.XLOOKUP("Screen Protector for Galaxy Phone",Stock1!B115,Stock1!I115,"")</f>
        <v/>
      </c>
      <c r="AA115" s="102" t="str">
        <f t="array" ref="AA115">_xlfn.XLOOKUP("Screen Protector for Galaxy Tab",Stock1!B115,Stock1!I115,"")</f>
        <v/>
      </c>
      <c r="AB115" s="102" t="str">
        <f t="shared" si="4"/>
        <v/>
      </c>
      <c r="AC115" s="102" t="str">
        <f t="array" ref="AC115">_xlfn.XLOOKUP(AB115,Stock1!I115,Stock1!F115,"")</f>
        <v/>
      </c>
      <c r="AD115" s="102" t="str">
        <f t="array" ref="AD115">_xlfn.XLOOKUP(AB115,Stock1!I115,Stock1!J115,"")</f>
        <v/>
      </c>
      <c r="AE115" s="102" t="str">
        <f t="array" ref="AE115">_xlfn.XLOOKUP("Storage",Stock1!B115,Stock1!I115,"")</f>
        <v/>
      </c>
      <c r="AF115" s="102" t="str">
        <f t="array" ref="AF115">_xlfn.XLOOKUP(AE115,Stock1!I115,Stock1!F115,"")</f>
        <v/>
      </c>
      <c r="AG115" s="102" t="str">
        <f t="array" ref="AG115">_xlfn.XLOOKUP(AE115,Stock1!I115,Stock1!J115,"")</f>
        <v/>
      </c>
    </row>
    <row r="116">
      <c r="K116" s="660" t="str">
        <f t="array" ref="K116">IFERROR(_xlfn.XLOOKUP(I116,Incentive!B:B,Incentive!E:E,""),"")</f>
        <v/>
      </c>
      <c r="L116" s="659" t="str">
        <f>IFERROR(VLOOKUP(I116,Stock1!F:J,5,False),"")</f>
        <v/>
      </c>
      <c r="M116" s="659" t="str">
        <f>IFERROR(VLOOKUP(I116,Stock2!F:J,5,False),"")</f>
        <v/>
      </c>
      <c r="V116" s="102" t="str">
        <f t="array" ref="V116">_xlfn.XLOOKUP("Charger",Stock1!B116,Stock1!I116,"")</f>
        <v/>
      </c>
      <c r="W116" s="102" t="str">
        <f t="array" ref="W116">_xlfn.XLOOKUP(V116,Stock1!I116,Stock1!F116,"")</f>
        <v/>
      </c>
      <c r="X116" s="102" t="str">
        <f t="array" ref="X116">_xlfn.XLOOKUP(V116,Stock1!I116,Stock1!J116,"")</f>
        <v/>
      </c>
      <c r="Y116" s="102" t="str">
        <f t="array" ref="Y116">_xlfn.XLOOKUP("Screen Protector for Android Phone and Other",Stock1!B116,Stock1!I116,"")</f>
        <v/>
      </c>
      <c r="Z116" s="102" t="str">
        <f t="array" ref="Z116">_xlfn.XLOOKUP("Screen Protector for Galaxy Phone",Stock1!B116,Stock1!I116,"")</f>
        <v/>
      </c>
      <c r="AA116" s="102" t="str">
        <f t="array" ref="AA116">_xlfn.XLOOKUP("Screen Protector for Galaxy Tab",Stock1!B116,Stock1!I116,"")</f>
        <v/>
      </c>
      <c r="AB116" s="102" t="str">
        <f t="shared" si="4"/>
        <v/>
      </c>
      <c r="AC116" s="102" t="str">
        <f t="array" ref="AC116">_xlfn.XLOOKUP(AB116,Stock1!I116,Stock1!F116,"")</f>
        <v/>
      </c>
      <c r="AD116" s="102" t="str">
        <f t="array" ref="AD116">_xlfn.XLOOKUP(AB116,Stock1!I116,Stock1!J116,"")</f>
        <v/>
      </c>
      <c r="AE116" s="102" t="str">
        <f t="array" ref="AE116">_xlfn.XLOOKUP("Storage",Stock1!B116,Stock1!I116,"")</f>
        <v/>
      </c>
      <c r="AF116" s="102" t="str">
        <f t="array" ref="AF116">_xlfn.XLOOKUP(AE116,Stock1!I116,Stock1!F116,"")</f>
        <v/>
      </c>
      <c r="AG116" s="102" t="str">
        <f t="array" ref="AG116">_xlfn.XLOOKUP(AE116,Stock1!I116,Stock1!J116,"")</f>
        <v/>
      </c>
    </row>
    <row r="117">
      <c r="K117" s="660" t="str">
        <f t="array" ref="K117">IFERROR(_xlfn.XLOOKUP(I117,Incentive!B:B,Incentive!E:E,""),"")</f>
        <v/>
      </c>
      <c r="L117" s="659" t="str">
        <f>IFERROR(VLOOKUP(I117,Stock1!F:J,5,False),"")</f>
        <v/>
      </c>
      <c r="M117" s="659" t="str">
        <f>IFERROR(VLOOKUP(I117,Stock2!F:J,5,False),"")</f>
        <v/>
      </c>
      <c r="V117" s="102" t="str">
        <f t="array" ref="V117">_xlfn.XLOOKUP("Charger",Stock1!B117,Stock1!I117,"")</f>
        <v/>
      </c>
      <c r="W117" s="102" t="str">
        <f t="array" ref="W117">_xlfn.XLOOKUP(V117,Stock1!I117,Stock1!F117,"")</f>
        <v/>
      </c>
      <c r="X117" s="102" t="str">
        <f t="array" ref="X117">_xlfn.XLOOKUP(V117,Stock1!I117,Stock1!J117,"")</f>
        <v/>
      </c>
      <c r="Y117" s="102" t="str">
        <f t="array" ref="Y117">_xlfn.XLOOKUP("Screen Protector for Android Phone and Other",Stock1!B117,Stock1!I117,"")</f>
        <v/>
      </c>
      <c r="Z117" s="102" t="str">
        <f t="array" ref="Z117">_xlfn.XLOOKUP("Screen Protector for Galaxy Phone",Stock1!B117,Stock1!I117,"")</f>
        <v/>
      </c>
      <c r="AA117" s="102" t="str">
        <f t="array" ref="AA117">_xlfn.XLOOKUP("Screen Protector for Galaxy Tab",Stock1!B117,Stock1!I117,"")</f>
        <v/>
      </c>
      <c r="AB117" s="102" t="str">
        <f t="shared" si="4"/>
        <v/>
      </c>
      <c r="AC117" s="102" t="str">
        <f t="array" ref="AC117">_xlfn.XLOOKUP(AB117,Stock1!I117,Stock1!F117,"")</f>
        <v/>
      </c>
      <c r="AD117" s="102" t="str">
        <f t="array" ref="AD117">_xlfn.XLOOKUP(AB117,Stock1!I117,Stock1!J117,"")</f>
        <v/>
      </c>
      <c r="AE117" s="102" t="str">
        <f t="array" ref="AE117">_xlfn.XLOOKUP("Storage",Stock1!B117,Stock1!I117,"")</f>
        <v/>
      </c>
      <c r="AF117" s="102" t="str">
        <f t="array" ref="AF117">_xlfn.XLOOKUP(AE117,Stock1!I117,Stock1!F117,"")</f>
        <v/>
      </c>
      <c r="AG117" s="102" t="str">
        <f t="array" ref="AG117">_xlfn.XLOOKUP(AE117,Stock1!I117,Stock1!J117,"")</f>
        <v/>
      </c>
    </row>
    <row r="118">
      <c r="K118" s="660" t="str">
        <f t="array" ref="K118">IFERROR(_xlfn.XLOOKUP(I118,Incentive!B:B,Incentive!E:E,""),"")</f>
        <v/>
      </c>
      <c r="L118" s="659" t="str">
        <f>IFERROR(VLOOKUP(I118,Stock1!F:J,5,False),"")</f>
        <v/>
      </c>
      <c r="M118" s="659" t="str">
        <f>IFERROR(VLOOKUP(I118,Stock2!F:J,5,False),"")</f>
        <v/>
      </c>
      <c r="V118" s="102" t="str">
        <f t="array" ref="V118">_xlfn.XLOOKUP("Charger",Stock1!B118,Stock1!I118,"")</f>
        <v/>
      </c>
      <c r="W118" s="102" t="str">
        <f t="array" ref="W118">_xlfn.XLOOKUP(V118,Stock1!I118,Stock1!F118,"")</f>
        <v/>
      </c>
      <c r="X118" s="102" t="str">
        <f t="array" ref="X118">_xlfn.XLOOKUP(V118,Stock1!I118,Stock1!J118,"")</f>
        <v/>
      </c>
      <c r="Y118" s="102" t="str">
        <f t="array" ref="Y118">_xlfn.XLOOKUP("Screen Protector for Android Phone and Other",Stock1!B118,Stock1!I118,"")</f>
        <v/>
      </c>
      <c r="Z118" s="102" t="str">
        <f t="array" ref="Z118">_xlfn.XLOOKUP("Screen Protector for Galaxy Phone",Stock1!B118,Stock1!I118,"")</f>
        <v/>
      </c>
      <c r="AA118" s="102" t="str">
        <f t="array" ref="AA118">_xlfn.XLOOKUP("Screen Protector for Galaxy Tab",Stock1!B118,Stock1!I118,"")</f>
        <v/>
      </c>
      <c r="AB118" s="102" t="str">
        <f t="shared" si="4"/>
        <v/>
      </c>
      <c r="AC118" s="102" t="str">
        <f t="array" ref="AC118">_xlfn.XLOOKUP(AB118,Stock1!I118,Stock1!F118,"")</f>
        <v/>
      </c>
      <c r="AD118" s="102" t="str">
        <f t="array" ref="AD118">_xlfn.XLOOKUP(AB118,Stock1!I118,Stock1!J118,"")</f>
        <v/>
      </c>
      <c r="AE118" s="102" t="str">
        <f t="array" ref="AE118">_xlfn.XLOOKUP("Storage",Stock1!B118,Stock1!I118,"")</f>
        <v/>
      </c>
      <c r="AF118" s="102" t="str">
        <f t="array" ref="AF118">_xlfn.XLOOKUP(AE118,Stock1!I118,Stock1!F118,"")</f>
        <v/>
      </c>
      <c r="AG118" s="102" t="str">
        <f t="array" ref="AG118">_xlfn.XLOOKUP(AE118,Stock1!I118,Stock1!J118,"")</f>
        <v/>
      </c>
    </row>
    <row r="119">
      <c r="K119" s="660" t="str">
        <f t="array" ref="K119">IFERROR(_xlfn.XLOOKUP(I119,Incentive!B:B,Incentive!E:E,""),"")</f>
        <v/>
      </c>
      <c r="L119" s="659" t="str">
        <f>IFERROR(VLOOKUP(I119,Stock1!F:J,5,False),"")</f>
        <v/>
      </c>
      <c r="M119" s="659" t="str">
        <f>IFERROR(VLOOKUP(I119,Stock2!F:J,5,False),"")</f>
        <v/>
      </c>
      <c r="V119" s="102" t="str">
        <f t="array" ref="V119">_xlfn.XLOOKUP("Charger",Stock1!B119,Stock1!I119,"")</f>
        <v/>
      </c>
      <c r="W119" s="102" t="str">
        <f t="array" ref="W119">_xlfn.XLOOKUP(V119,Stock1!I119,Stock1!F119,"")</f>
        <v/>
      </c>
      <c r="X119" s="102" t="str">
        <f t="array" ref="X119">_xlfn.XLOOKUP(V119,Stock1!I119,Stock1!J119,"")</f>
        <v/>
      </c>
      <c r="Y119" s="102" t="str">
        <f t="array" ref="Y119">_xlfn.XLOOKUP("Screen Protector for Android Phone and Other",Stock1!B119,Stock1!I119,"")</f>
        <v/>
      </c>
      <c r="Z119" s="102" t="str">
        <f t="array" ref="Z119">_xlfn.XLOOKUP("Screen Protector for Galaxy Phone",Stock1!B119,Stock1!I119,"")</f>
        <v/>
      </c>
      <c r="AA119" s="102" t="str">
        <f t="array" ref="AA119">_xlfn.XLOOKUP("Screen Protector for Galaxy Tab",Stock1!B119,Stock1!I119,"")</f>
        <v/>
      </c>
      <c r="AB119" s="102" t="str">
        <f t="shared" si="4"/>
        <v/>
      </c>
      <c r="AC119" s="102" t="str">
        <f t="array" ref="AC119">_xlfn.XLOOKUP(AB119,Stock1!I119,Stock1!F119,"")</f>
        <v/>
      </c>
      <c r="AD119" s="102" t="str">
        <f t="array" ref="AD119">_xlfn.XLOOKUP(AB119,Stock1!I119,Stock1!J119,"")</f>
        <v/>
      </c>
      <c r="AE119" s="102" t="str">
        <f t="array" ref="AE119">_xlfn.XLOOKUP("Storage",Stock1!B119,Stock1!I119,"")</f>
        <v/>
      </c>
      <c r="AF119" s="102" t="str">
        <f t="array" ref="AF119">_xlfn.XLOOKUP(AE119,Stock1!I119,Stock1!F119,"")</f>
        <v/>
      </c>
      <c r="AG119" s="102" t="str">
        <f t="array" ref="AG119">_xlfn.XLOOKUP(AE119,Stock1!I119,Stock1!J119,"")</f>
        <v/>
      </c>
    </row>
    <row r="120">
      <c r="K120" s="660" t="str">
        <f t="array" ref="K120">IFERROR(_xlfn.XLOOKUP(I120,Incentive!B:B,Incentive!E:E,""),"")</f>
        <v/>
      </c>
      <c r="L120" s="659" t="str">
        <f>IFERROR(VLOOKUP(I120,Stock1!F:J,5,False),"")</f>
        <v/>
      </c>
      <c r="M120" s="659" t="str">
        <f>IFERROR(VLOOKUP(I120,Stock2!F:J,5,False),"")</f>
        <v/>
      </c>
      <c r="V120" s="102" t="str">
        <f t="array" ref="V120">_xlfn.XLOOKUP("Charger",Stock1!B120,Stock1!I120,"")</f>
        <v/>
      </c>
      <c r="W120" s="102" t="str">
        <f t="array" ref="W120">_xlfn.XLOOKUP(V120,Stock1!I120,Stock1!F120,"")</f>
        <v/>
      </c>
      <c r="X120" s="102" t="str">
        <f t="array" ref="X120">_xlfn.XLOOKUP(V120,Stock1!I120,Stock1!J120,"")</f>
        <v/>
      </c>
      <c r="Y120" s="102" t="str">
        <f t="array" ref="Y120">_xlfn.XLOOKUP("Screen Protector for Android Phone and Other",Stock1!B120,Stock1!I120,"")</f>
        <v/>
      </c>
      <c r="Z120" s="102" t="str">
        <f t="array" ref="Z120">_xlfn.XLOOKUP("Screen Protector for Galaxy Phone",Stock1!B120,Stock1!I120,"")</f>
        <v/>
      </c>
      <c r="AA120" s="102" t="str">
        <f t="array" ref="AA120">_xlfn.XLOOKUP("Screen Protector for Galaxy Tab",Stock1!B120,Stock1!I120,"")</f>
        <v/>
      </c>
      <c r="AB120" s="102" t="str">
        <f t="shared" si="4"/>
        <v/>
      </c>
      <c r="AC120" s="102" t="str">
        <f t="array" ref="AC120">_xlfn.XLOOKUP(AB120,Stock1!I120,Stock1!F120,"")</f>
        <v/>
      </c>
      <c r="AD120" s="102" t="str">
        <f t="array" ref="AD120">_xlfn.XLOOKUP(AB120,Stock1!I120,Stock1!J120,"")</f>
        <v/>
      </c>
      <c r="AE120" s="102" t="str">
        <f t="array" ref="AE120">_xlfn.XLOOKUP("Storage",Stock1!B120,Stock1!I120,"")</f>
        <v/>
      </c>
      <c r="AF120" s="102" t="str">
        <f t="array" ref="AF120">_xlfn.XLOOKUP(AE120,Stock1!I120,Stock1!F120,"")</f>
        <v/>
      </c>
      <c r="AG120" s="102" t="str">
        <f t="array" ref="AG120">_xlfn.XLOOKUP(AE120,Stock1!I120,Stock1!J120,"")</f>
        <v/>
      </c>
    </row>
    <row r="121">
      <c r="K121" s="660" t="str">
        <f t="array" ref="K121">IFERROR(_xlfn.XLOOKUP(I121,Incentive!B:B,Incentive!E:E,""),"")</f>
        <v/>
      </c>
      <c r="L121" s="659" t="str">
        <f>IFERROR(VLOOKUP(I121,Stock1!F:J,5,False),"")</f>
        <v/>
      </c>
      <c r="M121" s="659" t="str">
        <f>IFERROR(VLOOKUP(I121,Stock2!F:J,5,False),"")</f>
        <v/>
      </c>
      <c r="V121" s="102" t="str">
        <f t="array" ref="V121">_xlfn.XLOOKUP("Charger",Stock1!B121,Stock1!I121,"")</f>
        <v/>
      </c>
      <c r="W121" s="102" t="str">
        <f t="array" ref="W121">_xlfn.XLOOKUP(V121,Stock1!I121,Stock1!F121,"")</f>
        <v/>
      </c>
      <c r="X121" s="102" t="str">
        <f t="array" ref="X121">_xlfn.XLOOKUP(V121,Stock1!I121,Stock1!J121,"")</f>
        <v/>
      </c>
      <c r="Y121" s="102" t="str">
        <f t="array" ref="Y121">_xlfn.XLOOKUP("Screen Protector for Android Phone and Other",Stock1!B121,Stock1!I121,"")</f>
        <v/>
      </c>
      <c r="Z121" s="102" t="str">
        <f t="array" ref="Z121">_xlfn.XLOOKUP("Screen Protector for Galaxy Phone",Stock1!B121,Stock1!I121,"")</f>
        <v/>
      </c>
      <c r="AA121" s="102" t="str">
        <f t="array" ref="AA121">_xlfn.XLOOKUP("Screen Protector for Galaxy Tab",Stock1!B121,Stock1!I121,"")</f>
        <v/>
      </c>
      <c r="AB121" s="102" t="str">
        <f t="shared" si="4"/>
        <v/>
      </c>
      <c r="AC121" s="102" t="str">
        <f t="array" ref="AC121">_xlfn.XLOOKUP(AB121,Stock1!I121,Stock1!F121,"")</f>
        <v/>
      </c>
      <c r="AD121" s="102" t="str">
        <f t="array" ref="AD121">_xlfn.XLOOKUP(AB121,Stock1!I121,Stock1!J121,"")</f>
        <v/>
      </c>
      <c r="AE121" s="102" t="str">
        <f t="array" ref="AE121">_xlfn.XLOOKUP("Storage",Stock1!B121,Stock1!I121,"")</f>
        <v/>
      </c>
      <c r="AF121" s="102" t="str">
        <f t="array" ref="AF121">_xlfn.XLOOKUP(AE121,Stock1!I121,Stock1!F121,"")</f>
        <v/>
      </c>
      <c r="AG121" s="102" t="str">
        <f t="array" ref="AG121">_xlfn.XLOOKUP(AE121,Stock1!I121,Stock1!J121,"")</f>
        <v/>
      </c>
    </row>
    <row r="122">
      <c r="K122" s="660" t="str">
        <f t="array" ref="K122">IFERROR(_xlfn.XLOOKUP(I122,Incentive!B:B,Incentive!E:E,""),"")</f>
        <v/>
      </c>
      <c r="L122" s="659" t="str">
        <f>IFERROR(VLOOKUP(I122,Stock1!F:J,5,False),"")</f>
        <v/>
      </c>
      <c r="M122" s="659" t="str">
        <f>IFERROR(VLOOKUP(I122,Stock2!F:J,5,False),"")</f>
        <v/>
      </c>
      <c r="V122" s="102" t="str">
        <f t="array" ref="V122">_xlfn.XLOOKUP("Charger",Stock1!B122,Stock1!I122,"")</f>
        <v/>
      </c>
      <c r="W122" s="102" t="str">
        <f t="array" ref="W122">_xlfn.XLOOKUP(V122,Stock1!I122,Stock1!F122,"")</f>
        <v/>
      </c>
      <c r="X122" s="102" t="str">
        <f t="array" ref="X122">_xlfn.XLOOKUP(V122,Stock1!I122,Stock1!J122,"")</f>
        <v/>
      </c>
      <c r="Y122" s="102" t="str">
        <f t="array" ref="Y122">_xlfn.XLOOKUP("Screen Protector for Android Phone and Other",Stock1!B122,Stock1!I122,"")</f>
        <v/>
      </c>
      <c r="Z122" s="102" t="str">
        <f t="array" ref="Z122">_xlfn.XLOOKUP("Screen Protector for Galaxy Phone",Stock1!B122,Stock1!I122,"")</f>
        <v/>
      </c>
      <c r="AA122" s="102" t="str">
        <f t="array" ref="AA122">_xlfn.XLOOKUP("Screen Protector for Galaxy Tab",Stock1!B122,Stock1!I122,"")</f>
        <v/>
      </c>
      <c r="AB122" s="102" t="str">
        <f t="shared" si="4"/>
        <v/>
      </c>
      <c r="AC122" s="102" t="str">
        <f t="array" ref="AC122">_xlfn.XLOOKUP(AB122,Stock1!I122,Stock1!F122,"")</f>
        <v/>
      </c>
      <c r="AD122" s="102" t="str">
        <f t="array" ref="AD122">_xlfn.XLOOKUP(AB122,Stock1!I122,Stock1!J122,"")</f>
        <v/>
      </c>
      <c r="AE122" s="102" t="str">
        <f t="array" ref="AE122">_xlfn.XLOOKUP("Storage",Stock1!B122,Stock1!I122,"")</f>
        <v/>
      </c>
      <c r="AF122" s="102" t="str">
        <f t="array" ref="AF122">_xlfn.XLOOKUP(AE122,Stock1!I122,Stock1!F122,"")</f>
        <v/>
      </c>
      <c r="AG122" s="102" t="str">
        <f t="array" ref="AG122">_xlfn.XLOOKUP(AE122,Stock1!I122,Stock1!J122,"")</f>
        <v/>
      </c>
    </row>
    <row r="123">
      <c r="K123" s="660" t="str">
        <f t="array" ref="K123">IFERROR(_xlfn.XLOOKUP(I123,Incentive!B:B,Incentive!E:E,""),"")</f>
        <v/>
      </c>
      <c r="L123" s="659" t="str">
        <f>IFERROR(VLOOKUP(I123,Stock1!F:J,5,False),"")</f>
        <v/>
      </c>
      <c r="M123" s="659" t="str">
        <f>IFERROR(VLOOKUP(I123,Stock2!F:J,5,False),"")</f>
        <v/>
      </c>
      <c r="V123" s="102" t="str">
        <f t="array" ref="V123">_xlfn.XLOOKUP("Charger",Stock1!B123,Stock1!I123,"")</f>
        <v/>
      </c>
      <c r="W123" s="102" t="str">
        <f t="array" ref="W123">_xlfn.XLOOKUP(V123,Stock1!I123,Stock1!F123,"")</f>
        <v/>
      </c>
      <c r="X123" s="102" t="str">
        <f t="array" ref="X123">_xlfn.XLOOKUP(V123,Stock1!I123,Stock1!J123,"")</f>
        <v/>
      </c>
      <c r="Y123" s="102" t="str">
        <f t="array" ref="Y123">_xlfn.XLOOKUP("Screen Protector for Android Phone and Other",Stock1!B123,Stock1!I123,"")</f>
        <v/>
      </c>
      <c r="Z123" s="102" t="str">
        <f t="array" ref="Z123">_xlfn.XLOOKUP("Screen Protector for Galaxy Phone",Stock1!B123,Stock1!I123,"")</f>
        <v/>
      </c>
      <c r="AA123" s="102" t="str">
        <f t="array" ref="AA123">_xlfn.XLOOKUP("Screen Protector for Galaxy Tab",Stock1!B123,Stock1!I123,"")</f>
        <v/>
      </c>
      <c r="AB123" s="102" t="str">
        <f t="shared" si="4"/>
        <v/>
      </c>
      <c r="AC123" s="102" t="str">
        <f t="array" ref="AC123">_xlfn.XLOOKUP(AB123,Stock1!I123,Stock1!F123,"")</f>
        <v/>
      </c>
      <c r="AD123" s="102" t="str">
        <f t="array" ref="AD123">_xlfn.XLOOKUP(AB123,Stock1!I123,Stock1!J123,"")</f>
        <v/>
      </c>
      <c r="AE123" s="102" t="str">
        <f t="array" ref="AE123">_xlfn.XLOOKUP("Storage",Stock1!B123,Stock1!I123,"")</f>
        <v/>
      </c>
      <c r="AF123" s="102" t="str">
        <f t="array" ref="AF123">_xlfn.XLOOKUP(AE123,Stock1!I123,Stock1!F123,"")</f>
        <v/>
      </c>
      <c r="AG123" s="102" t="str">
        <f t="array" ref="AG123">_xlfn.XLOOKUP(AE123,Stock1!I123,Stock1!J123,"")</f>
        <v/>
      </c>
    </row>
    <row r="124">
      <c r="K124" s="660" t="str">
        <f t="array" ref="K124">IFERROR(_xlfn.XLOOKUP(I124,Incentive!B:B,Incentive!E:E,""),"")</f>
        <v/>
      </c>
      <c r="L124" s="659" t="str">
        <f>IFERROR(VLOOKUP(I124,Stock1!F:J,5,False),"")</f>
        <v/>
      </c>
      <c r="M124" s="659" t="str">
        <f>IFERROR(VLOOKUP(I124,Stock2!F:J,5,False),"")</f>
        <v/>
      </c>
      <c r="V124" s="102" t="str">
        <f t="array" ref="V124">_xlfn.XLOOKUP("Charger",Stock1!B124,Stock1!I124,"")</f>
        <v/>
      </c>
      <c r="W124" s="102" t="str">
        <f t="array" ref="W124">_xlfn.XLOOKUP(V124,Stock1!I124,Stock1!F124,"")</f>
        <v/>
      </c>
      <c r="X124" s="102" t="str">
        <f t="array" ref="X124">_xlfn.XLOOKUP(V124,Stock1!I124,Stock1!J124,"")</f>
        <v/>
      </c>
      <c r="Y124" s="102" t="str">
        <f t="array" ref="Y124">_xlfn.XLOOKUP("Screen Protector for Android Phone and Other",Stock1!B124,Stock1!I124,"")</f>
        <v/>
      </c>
      <c r="Z124" s="102" t="str">
        <f t="array" ref="Z124">_xlfn.XLOOKUP("Screen Protector for Galaxy Phone",Stock1!B124,Stock1!I124,"")</f>
        <v/>
      </c>
      <c r="AA124" s="102" t="str">
        <f t="array" ref="AA124">_xlfn.XLOOKUP("Screen Protector for Galaxy Tab",Stock1!B124,Stock1!I124,"")</f>
        <v/>
      </c>
      <c r="AB124" s="102" t="str">
        <f t="shared" si="4"/>
        <v/>
      </c>
      <c r="AC124" s="102" t="str">
        <f t="array" ref="AC124">_xlfn.XLOOKUP(AB124,Stock1!I124,Stock1!F124,"")</f>
        <v/>
      </c>
      <c r="AD124" s="102" t="str">
        <f t="array" ref="AD124">_xlfn.XLOOKUP(AB124,Stock1!I124,Stock1!J124,"")</f>
        <v/>
      </c>
      <c r="AE124" s="102" t="str">
        <f t="array" ref="AE124">_xlfn.XLOOKUP("Storage",Stock1!B124,Stock1!I124,"")</f>
        <v/>
      </c>
      <c r="AF124" s="102" t="str">
        <f t="array" ref="AF124">_xlfn.XLOOKUP(AE124,Stock1!I124,Stock1!F124,"")</f>
        <v/>
      </c>
      <c r="AG124" s="102" t="str">
        <f t="array" ref="AG124">_xlfn.XLOOKUP(AE124,Stock1!I124,Stock1!J124,"")</f>
        <v/>
      </c>
    </row>
    <row r="125">
      <c r="K125" s="660" t="str">
        <f t="array" ref="K125">IFERROR(_xlfn.XLOOKUP(I125,Incentive!B:B,Incentive!E:E,""),"")</f>
        <v/>
      </c>
      <c r="L125" s="659" t="str">
        <f>IFERROR(VLOOKUP(I125,Stock1!F:J,5,False),"")</f>
        <v/>
      </c>
      <c r="M125" s="659" t="str">
        <f>IFERROR(VLOOKUP(I125,Stock2!F:J,5,False),"")</f>
        <v/>
      </c>
      <c r="V125" s="102" t="str">
        <f t="array" ref="V125">_xlfn.XLOOKUP("Charger",Stock1!B125,Stock1!I125,"")</f>
        <v/>
      </c>
      <c r="W125" s="102" t="str">
        <f t="array" ref="W125">_xlfn.XLOOKUP(V125,Stock1!I125,Stock1!F125,"")</f>
        <v/>
      </c>
      <c r="X125" s="102" t="str">
        <f t="array" ref="X125">_xlfn.XLOOKUP(V125,Stock1!I125,Stock1!J125,"")</f>
        <v/>
      </c>
      <c r="Y125" s="102" t="str">
        <f t="array" ref="Y125">_xlfn.XLOOKUP("Screen Protector for Android Phone and Other",Stock1!B125,Stock1!I125,"")</f>
        <v/>
      </c>
      <c r="Z125" s="102" t="str">
        <f t="array" ref="Z125">_xlfn.XLOOKUP("Screen Protector for Galaxy Phone",Stock1!B125,Stock1!I125,"")</f>
        <v/>
      </c>
      <c r="AA125" s="102" t="str">
        <f t="array" ref="AA125">_xlfn.XLOOKUP("Screen Protector for Galaxy Tab",Stock1!B125,Stock1!I125,"")</f>
        <v/>
      </c>
      <c r="AB125" s="102" t="str">
        <f t="shared" si="4"/>
        <v/>
      </c>
      <c r="AC125" s="102" t="str">
        <f t="array" ref="AC125">_xlfn.XLOOKUP(AB125,Stock1!I125,Stock1!F125,"")</f>
        <v/>
      </c>
      <c r="AD125" s="102" t="str">
        <f t="array" ref="AD125">_xlfn.XLOOKUP(AB125,Stock1!I125,Stock1!J125,"")</f>
        <v/>
      </c>
      <c r="AE125" s="102" t="str">
        <f t="array" ref="AE125">_xlfn.XLOOKUP("Storage",Stock1!B125,Stock1!I125,"")</f>
        <v/>
      </c>
      <c r="AF125" s="102" t="str">
        <f t="array" ref="AF125">_xlfn.XLOOKUP(AE125,Stock1!I125,Stock1!F125,"")</f>
        <v/>
      </c>
      <c r="AG125" s="102" t="str">
        <f t="array" ref="AG125">_xlfn.XLOOKUP(AE125,Stock1!I125,Stock1!J125,"")</f>
        <v/>
      </c>
    </row>
    <row r="126">
      <c r="K126" s="660" t="str">
        <f t="array" ref="K126">IFERROR(_xlfn.XLOOKUP(I126,Incentive!B:B,Incentive!E:E,""),"")</f>
        <v/>
      </c>
      <c r="L126" s="659" t="str">
        <f>IFERROR(VLOOKUP(I126,Stock1!F:J,5,False),"")</f>
        <v/>
      </c>
      <c r="M126" s="659" t="str">
        <f>IFERROR(VLOOKUP(I126,Stock2!F:J,5,False),"")</f>
        <v/>
      </c>
      <c r="V126" s="102" t="str">
        <f t="array" ref="V126">_xlfn.XLOOKUP("Charger",Stock1!B126,Stock1!I126,"")</f>
        <v/>
      </c>
      <c r="W126" s="102" t="str">
        <f t="array" ref="W126">_xlfn.XLOOKUP(V126,Stock1!I126,Stock1!F126,"")</f>
        <v/>
      </c>
      <c r="X126" s="102" t="str">
        <f t="array" ref="X126">_xlfn.XLOOKUP(V126,Stock1!I126,Stock1!J126,"")</f>
        <v/>
      </c>
      <c r="Y126" s="102" t="str">
        <f t="array" ref="Y126">_xlfn.XLOOKUP("Screen Protector for Android Phone and Other",Stock1!B126,Stock1!I126,"")</f>
        <v/>
      </c>
      <c r="Z126" s="102" t="str">
        <f t="array" ref="Z126">_xlfn.XLOOKUP("Screen Protector for Galaxy Phone",Stock1!B126,Stock1!I126,"")</f>
        <v/>
      </c>
      <c r="AA126" s="102" t="str">
        <f t="array" ref="AA126">_xlfn.XLOOKUP("Screen Protector for Galaxy Tab",Stock1!B126,Stock1!I126,"")</f>
        <v/>
      </c>
      <c r="AB126" s="102" t="str">
        <f t="shared" si="4"/>
        <v/>
      </c>
      <c r="AC126" s="102" t="str">
        <f t="array" ref="AC126">_xlfn.XLOOKUP(AB126,Stock1!I126,Stock1!F126,"")</f>
        <v/>
      </c>
      <c r="AD126" s="102" t="str">
        <f t="array" ref="AD126">_xlfn.XLOOKUP(AB126,Stock1!I126,Stock1!J126,"")</f>
        <v/>
      </c>
      <c r="AE126" s="102" t="str">
        <f t="array" ref="AE126">_xlfn.XLOOKUP("Storage",Stock1!B126,Stock1!I126,"")</f>
        <v/>
      </c>
      <c r="AF126" s="102" t="str">
        <f t="array" ref="AF126">_xlfn.XLOOKUP(AE126,Stock1!I126,Stock1!F126,"")</f>
        <v/>
      </c>
      <c r="AG126" s="102" t="str">
        <f t="array" ref="AG126">_xlfn.XLOOKUP(AE126,Stock1!I126,Stock1!J126,"")</f>
        <v/>
      </c>
    </row>
    <row r="127">
      <c r="K127" s="660" t="str">
        <f t="array" ref="K127">IFERROR(_xlfn.XLOOKUP(I127,Incentive!B:B,Incentive!E:E,""),"")</f>
        <v/>
      </c>
      <c r="L127" s="659" t="str">
        <f>IFERROR(VLOOKUP(I127,Stock1!F:J,5,False),"")</f>
        <v/>
      </c>
      <c r="M127" s="659" t="str">
        <f>IFERROR(VLOOKUP(I127,Stock2!F:J,5,False),"")</f>
        <v/>
      </c>
      <c r="V127" s="102" t="str">
        <f t="array" ref="V127">_xlfn.XLOOKUP("Charger",Stock1!B127,Stock1!I127,"")</f>
        <v/>
      </c>
      <c r="W127" s="102" t="str">
        <f t="array" ref="W127">_xlfn.XLOOKUP(V127,Stock1!I127,Stock1!F127,"")</f>
        <v/>
      </c>
      <c r="X127" s="102" t="str">
        <f t="array" ref="X127">_xlfn.XLOOKUP(V127,Stock1!I127,Stock1!J127,"")</f>
        <v/>
      </c>
      <c r="Y127" s="102" t="str">
        <f t="array" ref="Y127">_xlfn.XLOOKUP("Screen Protector for Android Phone and Other",Stock1!B127,Stock1!I127,"")</f>
        <v/>
      </c>
      <c r="Z127" s="102" t="str">
        <f t="array" ref="Z127">_xlfn.XLOOKUP("Screen Protector for Galaxy Phone",Stock1!B127,Stock1!I127,"")</f>
        <v/>
      </c>
      <c r="AA127" s="102" t="str">
        <f t="array" ref="AA127">_xlfn.XLOOKUP("Screen Protector for Galaxy Tab",Stock1!B127,Stock1!I127,"")</f>
        <v/>
      </c>
      <c r="AB127" s="102" t="str">
        <f t="shared" si="4"/>
        <v/>
      </c>
      <c r="AC127" s="102" t="str">
        <f t="array" ref="AC127">_xlfn.XLOOKUP(AB127,Stock1!I127,Stock1!F127,"")</f>
        <v/>
      </c>
      <c r="AD127" s="102" t="str">
        <f t="array" ref="AD127">_xlfn.XLOOKUP(AB127,Stock1!I127,Stock1!J127,"")</f>
        <v/>
      </c>
      <c r="AE127" s="102" t="str">
        <f t="array" ref="AE127">_xlfn.XLOOKUP("Storage",Stock1!B127,Stock1!I127,"")</f>
        <v/>
      </c>
      <c r="AF127" s="102" t="str">
        <f t="array" ref="AF127">_xlfn.XLOOKUP(AE127,Stock1!I127,Stock1!F127,"")</f>
        <v/>
      </c>
      <c r="AG127" s="102" t="str">
        <f t="array" ref="AG127">_xlfn.XLOOKUP(AE127,Stock1!I127,Stock1!J127,"")</f>
        <v/>
      </c>
    </row>
    <row r="128">
      <c r="K128" s="660" t="str">
        <f t="array" ref="K128">IFERROR(_xlfn.XLOOKUP(I128,Incentive!B:B,Incentive!E:E,""),"")</f>
        <v/>
      </c>
      <c r="L128" s="659" t="str">
        <f>IFERROR(VLOOKUP(I128,Stock1!F:J,5,False),"")</f>
        <v/>
      </c>
      <c r="M128" s="659" t="str">
        <f>IFERROR(VLOOKUP(I128,Stock2!F:J,5,False),"")</f>
        <v/>
      </c>
      <c r="V128" s="102" t="str">
        <f t="array" ref="V128">_xlfn.XLOOKUP("Charger",Stock1!B128,Stock1!I128,"")</f>
        <v/>
      </c>
      <c r="W128" s="102" t="str">
        <f t="array" ref="W128">_xlfn.XLOOKUP(V128,Stock1!I128,Stock1!F128,"")</f>
        <v/>
      </c>
      <c r="X128" s="102" t="str">
        <f t="array" ref="X128">_xlfn.XLOOKUP(V128,Stock1!I128,Stock1!J128,"")</f>
        <v/>
      </c>
      <c r="Y128" s="102" t="str">
        <f t="array" ref="Y128">_xlfn.XLOOKUP("Screen Protector for Android Phone and Other",Stock1!B128,Stock1!I128,"")</f>
        <v/>
      </c>
      <c r="Z128" s="102" t="str">
        <f t="array" ref="Z128">_xlfn.XLOOKUP("Screen Protector for Galaxy Phone",Stock1!B128,Stock1!I128,"")</f>
        <v/>
      </c>
      <c r="AA128" s="102" t="str">
        <f t="array" ref="AA128">_xlfn.XLOOKUP("Screen Protector for Galaxy Tab",Stock1!B128,Stock1!I128,"")</f>
        <v/>
      </c>
      <c r="AB128" s="102" t="str">
        <f t="shared" si="4"/>
        <v/>
      </c>
      <c r="AC128" s="102" t="str">
        <f t="array" ref="AC128">_xlfn.XLOOKUP(AB128,Stock1!I128,Stock1!F128,"")</f>
        <v/>
      </c>
      <c r="AD128" s="102" t="str">
        <f t="array" ref="AD128">_xlfn.XLOOKUP(AB128,Stock1!I128,Stock1!J128,"")</f>
        <v/>
      </c>
      <c r="AE128" s="102" t="str">
        <f t="array" ref="AE128">_xlfn.XLOOKUP("Storage",Stock1!B128,Stock1!I128,"")</f>
        <v/>
      </c>
      <c r="AF128" s="102" t="str">
        <f t="array" ref="AF128">_xlfn.XLOOKUP(AE128,Stock1!I128,Stock1!F128,"")</f>
        <v/>
      </c>
      <c r="AG128" s="102" t="str">
        <f t="array" ref="AG128">_xlfn.XLOOKUP(AE128,Stock1!I128,Stock1!J128,"")</f>
        <v/>
      </c>
    </row>
    <row r="129">
      <c r="K129" s="660" t="str">
        <f t="array" ref="K129">IFERROR(_xlfn.XLOOKUP(I129,Incentive!B:B,Incentive!E:E,""),"")</f>
        <v/>
      </c>
      <c r="L129" s="659" t="str">
        <f>IFERROR(VLOOKUP(I129,Stock1!F:J,5,False),"")</f>
        <v/>
      </c>
      <c r="M129" s="659" t="str">
        <f>IFERROR(VLOOKUP(I129,Stock2!F:J,5,False),"")</f>
        <v/>
      </c>
      <c r="V129" s="102" t="str">
        <f t="array" ref="V129">_xlfn.XLOOKUP("Charger",Stock1!B129,Stock1!I129,"")</f>
        <v/>
      </c>
      <c r="W129" s="102" t="str">
        <f t="array" ref="W129">_xlfn.XLOOKUP(V129,Stock1!I129,Stock1!F129,"")</f>
        <v/>
      </c>
      <c r="X129" s="102" t="str">
        <f t="array" ref="X129">_xlfn.XLOOKUP(V129,Stock1!I129,Stock1!J129,"")</f>
        <v/>
      </c>
      <c r="Y129" s="102" t="str">
        <f t="array" ref="Y129">_xlfn.XLOOKUP("Screen Protector for Android Phone and Other",Stock1!B129,Stock1!I129,"")</f>
        <v/>
      </c>
      <c r="Z129" s="102" t="str">
        <f t="array" ref="Z129">_xlfn.XLOOKUP("Screen Protector for Galaxy Phone",Stock1!B129,Stock1!I129,"")</f>
        <v/>
      </c>
      <c r="AA129" s="102" t="str">
        <f t="array" ref="AA129">_xlfn.XLOOKUP("Screen Protector for Galaxy Tab",Stock1!B129,Stock1!I129,"")</f>
        <v/>
      </c>
      <c r="AB129" s="102" t="str">
        <f t="shared" si="4"/>
        <v/>
      </c>
      <c r="AC129" s="102" t="str">
        <f t="array" ref="AC129">_xlfn.XLOOKUP(AB129,Stock1!I129,Stock1!F129,"")</f>
        <v/>
      </c>
      <c r="AD129" s="102" t="str">
        <f t="array" ref="AD129">_xlfn.XLOOKUP(AB129,Stock1!I129,Stock1!J129,"")</f>
        <v/>
      </c>
      <c r="AE129" s="102" t="str">
        <f t="array" ref="AE129">_xlfn.XLOOKUP("Storage",Stock1!B129,Stock1!I129,"")</f>
        <v/>
      </c>
      <c r="AF129" s="102" t="str">
        <f t="array" ref="AF129">_xlfn.XLOOKUP(AE129,Stock1!I129,Stock1!F129,"")</f>
        <v/>
      </c>
      <c r="AG129" s="102" t="str">
        <f t="array" ref="AG129">_xlfn.XLOOKUP(AE129,Stock1!I129,Stock1!J129,"")</f>
        <v/>
      </c>
    </row>
    <row r="130">
      <c r="K130" s="660" t="str">
        <f t="array" ref="K130">IFERROR(_xlfn.XLOOKUP(I130,Incentive!B:B,Incentive!E:E,""),"")</f>
        <v/>
      </c>
      <c r="L130" s="659" t="str">
        <f>IFERROR(VLOOKUP(I130,Stock1!F:J,5,False),"")</f>
        <v/>
      </c>
      <c r="M130" s="659" t="str">
        <f>IFERROR(VLOOKUP(I130,Stock2!F:J,5,False),"")</f>
        <v/>
      </c>
      <c r="V130" s="102" t="str">
        <f t="array" ref="V130">_xlfn.XLOOKUP("Charger",Stock1!B130,Stock1!I130,"")</f>
        <v/>
      </c>
      <c r="W130" s="102" t="str">
        <f t="array" ref="W130">_xlfn.XLOOKUP(V130,Stock1!I130,Stock1!F130,"")</f>
        <v/>
      </c>
      <c r="X130" s="102" t="str">
        <f t="array" ref="X130">_xlfn.XLOOKUP(V130,Stock1!I130,Stock1!J130,"")</f>
        <v/>
      </c>
      <c r="Y130" s="102" t="str">
        <f t="array" ref="Y130">_xlfn.XLOOKUP("Screen Protector for Android Phone and Other",Stock1!B130,Stock1!I130,"")</f>
        <v/>
      </c>
      <c r="Z130" s="102" t="str">
        <f t="array" ref="Z130">_xlfn.XLOOKUP("Screen Protector for Galaxy Phone",Stock1!B130,Stock1!I130,"")</f>
        <v/>
      </c>
      <c r="AA130" s="102" t="str">
        <f t="array" ref="AA130">_xlfn.XLOOKUP("Screen Protector for Galaxy Tab",Stock1!B130,Stock1!I130,"")</f>
        <v/>
      </c>
      <c r="AB130" s="102" t="str">
        <f t="shared" si="4"/>
        <v/>
      </c>
      <c r="AC130" s="102" t="str">
        <f t="array" ref="AC130">_xlfn.XLOOKUP(AB130,Stock1!I130,Stock1!F130,"")</f>
        <v/>
      </c>
      <c r="AD130" s="102" t="str">
        <f t="array" ref="AD130">_xlfn.XLOOKUP(AB130,Stock1!I130,Stock1!J130,"")</f>
        <v/>
      </c>
      <c r="AE130" s="102" t="str">
        <f t="array" ref="AE130">_xlfn.XLOOKUP("Storage",Stock1!B130,Stock1!I130,"")</f>
        <v/>
      </c>
      <c r="AF130" s="102" t="str">
        <f t="array" ref="AF130">_xlfn.XLOOKUP(AE130,Stock1!I130,Stock1!F130,"")</f>
        <v/>
      </c>
      <c r="AG130" s="102" t="str">
        <f t="array" ref="AG130">_xlfn.XLOOKUP(AE130,Stock1!I130,Stock1!J130,"")</f>
        <v/>
      </c>
    </row>
    <row r="131">
      <c r="K131" s="660" t="str">
        <f t="array" ref="K131">IFERROR(_xlfn.XLOOKUP(I131,Incentive!B:B,Incentive!E:E,""),"")</f>
        <v/>
      </c>
      <c r="L131" s="659" t="str">
        <f>IFERROR(VLOOKUP(I131,Stock1!F:J,5,False),"")</f>
        <v/>
      </c>
      <c r="M131" s="659" t="str">
        <f>IFERROR(VLOOKUP(I131,Stock2!F:J,5,False),"")</f>
        <v/>
      </c>
      <c r="V131" s="102" t="str">
        <f t="array" ref="V131">_xlfn.XLOOKUP("Charger",Stock1!B131,Stock1!I131,"")</f>
        <v/>
      </c>
      <c r="W131" s="102" t="str">
        <f t="array" ref="W131">_xlfn.XLOOKUP(V131,Stock1!I131,Stock1!F131,"")</f>
        <v/>
      </c>
      <c r="X131" s="102" t="str">
        <f t="array" ref="X131">_xlfn.XLOOKUP(V131,Stock1!I131,Stock1!J131,"")</f>
        <v/>
      </c>
      <c r="Y131" s="102" t="str">
        <f t="array" ref="Y131">_xlfn.XLOOKUP("Screen Protector for Android Phone and Other",Stock1!B131,Stock1!I131,"")</f>
        <v/>
      </c>
      <c r="Z131" s="102" t="str">
        <f t="array" ref="Z131">_xlfn.XLOOKUP("Screen Protector for Galaxy Phone",Stock1!B131,Stock1!I131,"")</f>
        <v/>
      </c>
      <c r="AA131" s="102" t="str">
        <f t="array" ref="AA131">_xlfn.XLOOKUP("Screen Protector for Galaxy Tab",Stock1!B131,Stock1!I131,"")</f>
        <v/>
      </c>
      <c r="AB131" s="102" t="str">
        <f t="shared" si="4"/>
        <v/>
      </c>
      <c r="AC131" s="102" t="str">
        <f t="array" ref="AC131">_xlfn.XLOOKUP(AB131,Stock1!I131,Stock1!F131,"")</f>
        <v/>
      </c>
      <c r="AD131" s="102" t="str">
        <f t="array" ref="AD131">_xlfn.XLOOKUP(AB131,Stock1!I131,Stock1!J131,"")</f>
        <v/>
      </c>
      <c r="AE131" s="102" t="str">
        <f t="array" ref="AE131">_xlfn.XLOOKUP("Storage",Stock1!B131,Stock1!I131,"")</f>
        <v/>
      </c>
      <c r="AF131" s="102" t="str">
        <f t="array" ref="AF131">_xlfn.XLOOKUP(AE131,Stock1!I131,Stock1!F131,"")</f>
        <v/>
      </c>
      <c r="AG131" s="102" t="str">
        <f t="array" ref="AG131">_xlfn.XLOOKUP(AE131,Stock1!I131,Stock1!J131,"")</f>
        <v/>
      </c>
    </row>
    <row r="132">
      <c r="K132" s="660" t="str">
        <f t="array" ref="K132">IFERROR(_xlfn.XLOOKUP(I132,Incentive!B:B,Incentive!E:E,""),"")</f>
        <v/>
      </c>
      <c r="L132" s="659" t="str">
        <f>IFERROR(VLOOKUP(I132,Stock1!F:J,5,False),"")</f>
        <v/>
      </c>
      <c r="M132" s="659" t="str">
        <f>IFERROR(VLOOKUP(I132,Stock2!F:J,5,False),"")</f>
        <v/>
      </c>
      <c r="V132" s="102" t="str">
        <f t="array" ref="V132">_xlfn.XLOOKUP("Charger",Stock1!B132,Stock1!I132,"")</f>
        <v/>
      </c>
      <c r="W132" s="102" t="str">
        <f t="array" ref="W132">_xlfn.XLOOKUP(V132,Stock1!I132,Stock1!F132,"")</f>
        <v/>
      </c>
      <c r="X132" s="102" t="str">
        <f t="array" ref="X132">_xlfn.XLOOKUP(V132,Stock1!I132,Stock1!J132,"")</f>
        <v/>
      </c>
      <c r="Y132" s="102" t="str">
        <f t="array" ref="Y132">_xlfn.XLOOKUP("Screen Protector for Android Phone and Other",Stock1!B132,Stock1!I132,"")</f>
        <v/>
      </c>
      <c r="Z132" s="102" t="str">
        <f t="array" ref="Z132">_xlfn.XLOOKUP("Screen Protector for Galaxy Phone",Stock1!B132,Stock1!I132,"")</f>
        <v/>
      </c>
      <c r="AA132" s="102" t="str">
        <f t="array" ref="AA132">_xlfn.XLOOKUP("Screen Protector for Galaxy Tab",Stock1!B132,Stock1!I132,"")</f>
        <v/>
      </c>
      <c r="AB132" s="102" t="str">
        <f t="shared" si="4"/>
        <v/>
      </c>
      <c r="AC132" s="102" t="str">
        <f t="array" ref="AC132">_xlfn.XLOOKUP(AB132,Stock1!I132,Stock1!F132,"")</f>
        <v/>
      </c>
      <c r="AD132" s="102" t="str">
        <f t="array" ref="AD132">_xlfn.XLOOKUP(AB132,Stock1!I132,Stock1!J132,"")</f>
        <v/>
      </c>
      <c r="AE132" s="102" t="str">
        <f t="array" ref="AE132">_xlfn.XLOOKUP("Storage",Stock1!B132,Stock1!I132,"")</f>
        <v/>
      </c>
      <c r="AF132" s="102" t="str">
        <f t="array" ref="AF132">_xlfn.XLOOKUP(AE132,Stock1!I132,Stock1!F132,"")</f>
        <v/>
      </c>
      <c r="AG132" s="102" t="str">
        <f t="array" ref="AG132">_xlfn.XLOOKUP(AE132,Stock1!I132,Stock1!J132,"")</f>
        <v/>
      </c>
    </row>
    <row r="133">
      <c r="K133" s="660" t="str">
        <f t="array" ref="K133">IFERROR(_xlfn.XLOOKUP(I133,Incentive!B:B,Incentive!E:E,""),"")</f>
        <v/>
      </c>
      <c r="L133" s="659" t="str">
        <f>IFERROR(VLOOKUP(I133,Stock1!F:J,5,False),"")</f>
        <v/>
      </c>
      <c r="M133" s="659" t="str">
        <f>IFERROR(VLOOKUP(I133,Stock2!F:J,5,False),"")</f>
        <v/>
      </c>
      <c r="V133" s="102" t="str">
        <f t="array" ref="V133">_xlfn.XLOOKUP("Charger",Stock1!B133,Stock1!I133,"")</f>
        <v/>
      </c>
      <c r="W133" s="102" t="str">
        <f t="array" ref="W133">_xlfn.XLOOKUP(V133,Stock1!I133,Stock1!F133,"")</f>
        <v/>
      </c>
      <c r="X133" s="102" t="str">
        <f t="array" ref="X133">_xlfn.XLOOKUP(V133,Stock1!I133,Stock1!J133,"")</f>
        <v/>
      </c>
      <c r="Y133" s="102" t="str">
        <f t="array" ref="Y133">_xlfn.XLOOKUP("Screen Protector for Android Phone and Other",Stock1!B133,Stock1!I133,"")</f>
        <v/>
      </c>
      <c r="Z133" s="102" t="str">
        <f t="array" ref="Z133">_xlfn.XLOOKUP("Screen Protector for Galaxy Phone",Stock1!B133,Stock1!I133,"")</f>
        <v/>
      </c>
      <c r="AA133" s="102" t="str">
        <f t="array" ref="AA133">_xlfn.XLOOKUP("Screen Protector for Galaxy Tab",Stock1!B133,Stock1!I133,"")</f>
        <v/>
      </c>
      <c r="AB133" s="102" t="str">
        <f t="shared" si="4"/>
        <v/>
      </c>
      <c r="AC133" s="102" t="str">
        <f t="array" ref="AC133">_xlfn.XLOOKUP(AB133,Stock1!I133,Stock1!F133,"")</f>
        <v/>
      </c>
      <c r="AD133" s="102" t="str">
        <f t="array" ref="AD133">_xlfn.XLOOKUP(AB133,Stock1!I133,Stock1!J133,"")</f>
        <v/>
      </c>
      <c r="AE133" s="102" t="str">
        <f t="array" ref="AE133">_xlfn.XLOOKUP("Storage",Stock1!B133,Stock1!I133,"")</f>
        <v/>
      </c>
      <c r="AF133" s="102" t="str">
        <f t="array" ref="AF133">_xlfn.XLOOKUP(AE133,Stock1!I133,Stock1!F133,"")</f>
        <v/>
      </c>
      <c r="AG133" s="102" t="str">
        <f t="array" ref="AG133">_xlfn.XLOOKUP(AE133,Stock1!I133,Stock1!J133,"")</f>
        <v/>
      </c>
    </row>
    <row r="134">
      <c r="K134" s="660" t="str">
        <f t="array" ref="K134">IFERROR(_xlfn.XLOOKUP(I134,Incentive!B:B,Incentive!E:E,""),"")</f>
        <v/>
      </c>
      <c r="L134" s="659" t="str">
        <f>IFERROR(VLOOKUP(I134,Stock1!F:J,5,False),"")</f>
        <v/>
      </c>
      <c r="M134" s="659" t="str">
        <f>IFERROR(VLOOKUP(I134,Stock2!F:J,5,False),"")</f>
        <v/>
      </c>
      <c r="V134" s="102" t="str">
        <f t="array" ref="V134">_xlfn.XLOOKUP("Charger",Stock1!B134,Stock1!I134,"")</f>
        <v/>
      </c>
      <c r="W134" s="102" t="str">
        <f t="array" ref="W134">_xlfn.XLOOKUP(V134,Stock1!I134,Stock1!F134,"")</f>
        <v/>
      </c>
      <c r="X134" s="102" t="str">
        <f t="array" ref="X134">_xlfn.XLOOKUP(V134,Stock1!I134,Stock1!J134,"")</f>
        <v/>
      </c>
      <c r="Y134" s="102" t="str">
        <f t="array" ref="Y134">_xlfn.XLOOKUP("Screen Protector for Android Phone and Other",Stock1!B134,Stock1!I134,"")</f>
        <v/>
      </c>
      <c r="Z134" s="102" t="str">
        <f t="array" ref="Z134">_xlfn.XLOOKUP("Screen Protector for Galaxy Phone",Stock1!B134,Stock1!I134,"")</f>
        <v/>
      </c>
      <c r="AA134" s="102" t="str">
        <f t="array" ref="AA134">_xlfn.XLOOKUP("Screen Protector for Galaxy Tab",Stock1!B134,Stock1!I134,"")</f>
        <v/>
      </c>
      <c r="AB134" s="102" t="str">
        <f t="shared" si="4"/>
        <v/>
      </c>
      <c r="AC134" s="102" t="str">
        <f t="array" ref="AC134">_xlfn.XLOOKUP(AB134,Stock1!I134,Stock1!F134,"")</f>
        <v/>
      </c>
      <c r="AD134" s="102" t="str">
        <f t="array" ref="AD134">_xlfn.XLOOKUP(AB134,Stock1!I134,Stock1!J134,"")</f>
        <v/>
      </c>
      <c r="AE134" s="102" t="str">
        <f t="array" ref="AE134">_xlfn.XLOOKUP("Storage",Stock1!B134,Stock1!I134,"")</f>
        <v/>
      </c>
      <c r="AF134" s="102" t="str">
        <f t="array" ref="AF134">_xlfn.XLOOKUP(AE134,Stock1!I134,Stock1!F134,"")</f>
        <v/>
      </c>
      <c r="AG134" s="102" t="str">
        <f t="array" ref="AG134">_xlfn.XLOOKUP(AE134,Stock1!I134,Stock1!J134,"")</f>
        <v/>
      </c>
    </row>
    <row r="135">
      <c r="K135" s="660" t="str">
        <f t="array" ref="K135">IFERROR(_xlfn.XLOOKUP(I135,Incentive!B:B,Incentive!E:E,""),"")</f>
        <v/>
      </c>
      <c r="L135" s="659" t="str">
        <f>IFERROR(VLOOKUP(I135,Stock1!F:J,5,False),"")</f>
        <v/>
      </c>
      <c r="M135" s="659" t="str">
        <f>IFERROR(VLOOKUP(I135,Stock2!F:J,5,False),"")</f>
        <v/>
      </c>
      <c r="V135" s="102" t="str">
        <f t="array" ref="V135">_xlfn.XLOOKUP("Charger",Stock1!B135,Stock1!I135,"")</f>
        <v/>
      </c>
      <c r="W135" s="102" t="str">
        <f t="array" ref="W135">_xlfn.XLOOKUP(V135,Stock1!I135,Stock1!F135,"")</f>
        <v/>
      </c>
      <c r="X135" s="102" t="str">
        <f t="array" ref="X135">_xlfn.XLOOKUP(V135,Stock1!I135,Stock1!J135,"")</f>
        <v/>
      </c>
      <c r="Y135" s="102" t="str">
        <f t="array" ref="Y135">_xlfn.XLOOKUP("Screen Protector for Android Phone and Other",Stock1!B135,Stock1!I135,"")</f>
        <v/>
      </c>
      <c r="Z135" s="102" t="str">
        <f t="array" ref="Z135">_xlfn.XLOOKUP("Screen Protector for Galaxy Phone",Stock1!B135,Stock1!I135,"")</f>
        <v/>
      </c>
      <c r="AA135" s="102" t="str">
        <f t="array" ref="AA135">_xlfn.XLOOKUP("Screen Protector for Galaxy Tab",Stock1!B135,Stock1!I135,"")</f>
        <v/>
      </c>
      <c r="AB135" s="102" t="str">
        <f t="shared" si="4"/>
        <v/>
      </c>
      <c r="AC135" s="102" t="str">
        <f t="array" ref="AC135">_xlfn.XLOOKUP(AB135,Stock1!I135,Stock1!F135,"")</f>
        <v/>
      </c>
      <c r="AD135" s="102" t="str">
        <f t="array" ref="AD135">_xlfn.XLOOKUP(AB135,Stock1!I135,Stock1!J135,"")</f>
        <v/>
      </c>
      <c r="AE135" s="102" t="str">
        <f t="array" ref="AE135">_xlfn.XLOOKUP("Storage",Stock1!B135,Stock1!I135,"")</f>
        <v/>
      </c>
      <c r="AF135" s="102" t="str">
        <f t="array" ref="AF135">_xlfn.XLOOKUP(AE135,Stock1!I135,Stock1!F135,"")</f>
        <v/>
      </c>
      <c r="AG135" s="102" t="str">
        <f t="array" ref="AG135">_xlfn.XLOOKUP(AE135,Stock1!I135,Stock1!J135,"")</f>
        <v/>
      </c>
    </row>
    <row r="136">
      <c r="K136" s="660" t="str">
        <f t="array" ref="K136">IFERROR(_xlfn.XLOOKUP(I136,Incentive!B:B,Incentive!E:E,""),"")</f>
        <v/>
      </c>
      <c r="L136" s="659" t="str">
        <f>IFERROR(VLOOKUP(I136,Stock1!F:J,5,False),"")</f>
        <v/>
      </c>
      <c r="M136" s="659" t="str">
        <f>IFERROR(VLOOKUP(I136,Stock2!F:J,5,False),"")</f>
        <v/>
      </c>
      <c r="V136" s="102" t="str">
        <f t="array" ref="V136">_xlfn.XLOOKUP("Charger",Stock1!B136,Stock1!I136,"")</f>
        <v/>
      </c>
      <c r="W136" s="102" t="str">
        <f t="array" ref="W136">_xlfn.XLOOKUP(V136,Stock1!I136,Stock1!F136,"")</f>
        <v/>
      </c>
      <c r="X136" s="102" t="str">
        <f t="array" ref="X136">_xlfn.XLOOKUP(V136,Stock1!I136,Stock1!J136,"")</f>
        <v/>
      </c>
      <c r="Y136" s="102" t="str">
        <f t="array" ref="Y136">_xlfn.XLOOKUP("Screen Protector for Android Phone and Other",Stock1!B136,Stock1!I136,"")</f>
        <v/>
      </c>
      <c r="Z136" s="102" t="str">
        <f t="array" ref="Z136">_xlfn.XLOOKUP("Screen Protector for Galaxy Phone",Stock1!B136,Stock1!I136,"")</f>
        <v/>
      </c>
      <c r="AA136" s="102" t="str">
        <f t="array" ref="AA136">_xlfn.XLOOKUP("Screen Protector for Galaxy Tab",Stock1!B136,Stock1!I136,"")</f>
        <v/>
      </c>
      <c r="AB136" s="102" t="str">
        <f t="shared" si="4"/>
        <v/>
      </c>
      <c r="AC136" s="102" t="str">
        <f t="array" ref="AC136">_xlfn.XLOOKUP(AB136,Stock1!I136,Stock1!F136,"")</f>
        <v/>
      </c>
      <c r="AD136" s="102" t="str">
        <f t="array" ref="AD136">_xlfn.XLOOKUP(AB136,Stock1!I136,Stock1!J136,"")</f>
        <v/>
      </c>
      <c r="AE136" s="102" t="str">
        <f t="array" ref="AE136">_xlfn.XLOOKUP("Storage",Stock1!B136,Stock1!I136,"")</f>
        <v/>
      </c>
      <c r="AF136" s="102" t="str">
        <f t="array" ref="AF136">_xlfn.XLOOKUP(AE136,Stock1!I136,Stock1!F136,"")</f>
        <v/>
      </c>
      <c r="AG136" s="102" t="str">
        <f t="array" ref="AG136">_xlfn.XLOOKUP(AE136,Stock1!I136,Stock1!J136,"")</f>
        <v/>
      </c>
    </row>
    <row r="137">
      <c r="K137" s="660" t="str">
        <f t="array" ref="K137">IFERROR(_xlfn.XLOOKUP(I137,Incentive!B:B,Incentive!E:E,""),"")</f>
        <v/>
      </c>
      <c r="L137" s="659" t="str">
        <f>IFERROR(VLOOKUP(I137,Stock1!F:J,5,False),"")</f>
        <v/>
      </c>
      <c r="M137" s="659" t="str">
        <f>IFERROR(VLOOKUP(I137,Stock2!F:J,5,False),"")</f>
        <v/>
      </c>
      <c r="V137" s="102" t="str">
        <f t="array" ref="V137">_xlfn.XLOOKUP("Charger",Stock1!B137,Stock1!I137,"")</f>
        <v/>
      </c>
      <c r="W137" s="102" t="str">
        <f t="array" ref="W137">_xlfn.XLOOKUP(V137,Stock1!I137,Stock1!F137,"")</f>
        <v/>
      </c>
      <c r="X137" s="102" t="str">
        <f t="array" ref="X137">_xlfn.XLOOKUP(V137,Stock1!I137,Stock1!J137,"")</f>
        <v/>
      </c>
      <c r="Y137" s="102" t="str">
        <f t="array" ref="Y137">_xlfn.XLOOKUP("Screen Protector for Android Phone and Other",Stock1!B137,Stock1!I137,"")</f>
        <v/>
      </c>
      <c r="Z137" s="102" t="str">
        <f t="array" ref="Z137">_xlfn.XLOOKUP("Screen Protector for Galaxy Phone",Stock1!B137,Stock1!I137,"")</f>
        <v/>
      </c>
      <c r="AA137" s="102" t="str">
        <f t="array" ref="AA137">_xlfn.XLOOKUP("Screen Protector for Galaxy Tab",Stock1!B137,Stock1!I137,"")</f>
        <v/>
      </c>
      <c r="AB137" s="102" t="str">
        <f t="shared" si="4"/>
        <v/>
      </c>
      <c r="AC137" s="102" t="str">
        <f t="array" ref="AC137">_xlfn.XLOOKUP(AB137,Stock1!I137,Stock1!F137,"")</f>
        <v/>
      </c>
      <c r="AD137" s="102" t="str">
        <f t="array" ref="AD137">_xlfn.XLOOKUP(AB137,Stock1!I137,Stock1!J137,"")</f>
        <v/>
      </c>
      <c r="AE137" s="102" t="str">
        <f t="array" ref="AE137">_xlfn.XLOOKUP("Storage",Stock1!B137,Stock1!I137,"")</f>
        <v/>
      </c>
      <c r="AF137" s="102" t="str">
        <f t="array" ref="AF137">_xlfn.XLOOKUP(AE137,Stock1!I137,Stock1!F137,"")</f>
        <v/>
      </c>
      <c r="AG137" s="102" t="str">
        <f t="array" ref="AG137">_xlfn.XLOOKUP(AE137,Stock1!I137,Stock1!J137,"")</f>
        <v/>
      </c>
    </row>
    <row r="138">
      <c r="K138" s="660" t="str">
        <f t="array" ref="K138">IFERROR(_xlfn.XLOOKUP(I138,Incentive!B:B,Incentive!E:E,""),"")</f>
        <v/>
      </c>
      <c r="L138" s="659" t="str">
        <f>IFERROR(VLOOKUP(I138,Stock1!F:J,5,False),"")</f>
        <v/>
      </c>
      <c r="M138" s="659" t="str">
        <f>IFERROR(VLOOKUP(I138,Stock2!F:J,5,False),"")</f>
        <v/>
      </c>
      <c r="V138" s="102" t="str">
        <f t="array" ref="V138">_xlfn.XLOOKUP("Charger",Stock1!B138,Stock1!I138,"")</f>
        <v/>
      </c>
      <c r="W138" s="102" t="str">
        <f t="array" ref="W138">_xlfn.XLOOKUP(V138,Stock1!I138,Stock1!F138,"")</f>
        <v/>
      </c>
      <c r="X138" s="102" t="str">
        <f t="array" ref="X138">_xlfn.XLOOKUP(V138,Stock1!I138,Stock1!J138,"")</f>
        <v/>
      </c>
      <c r="Y138" s="102" t="str">
        <f t="array" ref="Y138">_xlfn.XLOOKUP("Screen Protector for Android Phone and Other",Stock1!B138,Stock1!I138,"")</f>
        <v/>
      </c>
      <c r="Z138" s="102" t="str">
        <f t="array" ref="Z138">_xlfn.XLOOKUP("Screen Protector for Galaxy Phone",Stock1!B138,Stock1!I138,"")</f>
        <v/>
      </c>
      <c r="AA138" s="102" t="str">
        <f t="array" ref="AA138">_xlfn.XLOOKUP("Screen Protector for Galaxy Tab",Stock1!B138,Stock1!I138,"")</f>
        <v/>
      </c>
      <c r="AB138" s="102" t="str">
        <f t="shared" si="4"/>
        <v/>
      </c>
      <c r="AC138" s="102" t="str">
        <f t="array" ref="AC138">_xlfn.XLOOKUP(AB138,Stock1!I138,Stock1!F138,"")</f>
        <v/>
      </c>
      <c r="AD138" s="102" t="str">
        <f t="array" ref="AD138">_xlfn.XLOOKUP(AB138,Stock1!I138,Stock1!J138,"")</f>
        <v/>
      </c>
      <c r="AE138" s="102" t="str">
        <f t="array" ref="AE138">_xlfn.XLOOKUP("Storage",Stock1!B138,Stock1!I138,"")</f>
        <v/>
      </c>
      <c r="AF138" s="102" t="str">
        <f t="array" ref="AF138">_xlfn.XLOOKUP(AE138,Stock1!I138,Stock1!F138,"")</f>
        <v/>
      </c>
      <c r="AG138" s="102" t="str">
        <f t="array" ref="AG138">_xlfn.XLOOKUP(AE138,Stock1!I138,Stock1!J138,"")</f>
        <v/>
      </c>
    </row>
    <row r="139">
      <c r="K139" s="660" t="str">
        <f t="array" ref="K139">IFERROR(_xlfn.XLOOKUP(I139,Incentive!B:B,Incentive!E:E,""),"")</f>
        <v/>
      </c>
      <c r="L139" s="659" t="str">
        <f>IFERROR(VLOOKUP(I139,Stock1!F:J,5,False),"")</f>
        <v/>
      </c>
      <c r="M139" s="659" t="str">
        <f>IFERROR(VLOOKUP(I139,Stock2!F:J,5,False),"")</f>
        <v/>
      </c>
      <c r="V139" s="102" t="str">
        <f t="array" ref="V139">_xlfn.XLOOKUP("Charger",Stock1!B139,Stock1!I139,"")</f>
        <v/>
      </c>
      <c r="W139" s="102" t="str">
        <f t="array" ref="W139">_xlfn.XLOOKUP(V139,Stock1!I139,Stock1!F139,"")</f>
        <v/>
      </c>
      <c r="X139" s="102" t="str">
        <f t="array" ref="X139">_xlfn.XLOOKUP(V139,Stock1!I139,Stock1!J139,"")</f>
        <v/>
      </c>
      <c r="Y139" s="102" t="str">
        <f t="array" ref="Y139">_xlfn.XLOOKUP("Screen Protector for Android Phone and Other",Stock1!B139,Stock1!I139,"")</f>
        <v/>
      </c>
      <c r="Z139" s="102" t="str">
        <f t="array" ref="Z139">_xlfn.XLOOKUP("Screen Protector for Galaxy Phone",Stock1!B139,Stock1!I139,"")</f>
        <v/>
      </c>
      <c r="AA139" s="102" t="str">
        <f t="array" ref="AA139">_xlfn.XLOOKUP("Screen Protector for Galaxy Tab",Stock1!B139,Stock1!I139,"")</f>
        <v/>
      </c>
      <c r="AB139" s="102" t="str">
        <f t="shared" si="4"/>
        <v/>
      </c>
      <c r="AC139" s="102" t="str">
        <f t="array" ref="AC139">_xlfn.XLOOKUP(AB139,Stock1!I139,Stock1!F139,"")</f>
        <v/>
      </c>
      <c r="AD139" s="102" t="str">
        <f t="array" ref="AD139">_xlfn.XLOOKUP(AB139,Stock1!I139,Stock1!J139,"")</f>
        <v/>
      </c>
      <c r="AE139" s="102" t="str">
        <f t="array" ref="AE139">_xlfn.XLOOKUP("Storage",Stock1!B139,Stock1!I139,"")</f>
        <v/>
      </c>
      <c r="AF139" s="102" t="str">
        <f t="array" ref="AF139">_xlfn.XLOOKUP(AE139,Stock1!I139,Stock1!F139,"")</f>
        <v/>
      </c>
      <c r="AG139" s="102" t="str">
        <f t="array" ref="AG139">_xlfn.XLOOKUP(AE139,Stock1!I139,Stock1!J139,"")</f>
        <v/>
      </c>
    </row>
    <row r="140">
      <c r="K140" s="660" t="str">
        <f t="array" ref="K140">IFERROR(_xlfn.XLOOKUP(I140,Incentive!B:B,Incentive!E:E,""),"")</f>
        <v/>
      </c>
      <c r="L140" s="659" t="str">
        <f>IFERROR(VLOOKUP(I140,Stock1!F:J,5,False),"")</f>
        <v/>
      </c>
      <c r="M140" s="659" t="str">
        <f>IFERROR(VLOOKUP(I140,Stock2!F:J,5,False),"")</f>
        <v/>
      </c>
      <c r="V140" s="102" t="str">
        <f t="array" ref="V140">_xlfn.XLOOKUP("Charger",Stock1!B140,Stock1!I140,"")</f>
        <v>[CS]UGREEN UNO RG 65W USB A*1 + USB C*2 GaN Fast Charger THAI PLUG - Gray</v>
      </c>
      <c r="W140" s="429" t="str">
        <f t="array" ref="W140">_xlfn.XLOOKUP(V140,Stock1!I140,Stock1!F140,"")</f>
        <v>6941876238958</v>
      </c>
      <c r="X140" s="102">
        <f t="array" ref="X140">_xlfn.XLOOKUP(V140,Stock1!I140,Stock1!J140,"")</f>
        <v>8</v>
      </c>
      <c r="Y140" s="102" t="str">
        <f t="array" ref="Y140">_xlfn.XLOOKUP("Screen Protector for Android Phone and Other",Stock1!B140,Stock1!I140,"")</f>
        <v/>
      </c>
      <c r="Z140" s="102" t="str">
        <f t="array" ref="Z140">_xlfn.XLOOKUP("Screen Protector for Galaxy Phone",Stock1!B140,Stock1!I140,"")</f>
        <v/>
      </c>
      <c r="AA140" s="102" t="str">
        <f t="array" ref="AA140">_xlfn.XLOOKUP("Screen Protector for Galaxy Tab",Stock1!B140,Stock1!I140,"")</f>
        <v/>
      </c>
      <c r="AB140" s="102" t="str">
        <f t="shared" si="4"/>
        <v/>
      </c>
      <c r="AC140" s="102" t="str">
        <f t="array" ref="AC140">_xlfn.XLOOKUP(AB140,Stock1!I140,Stock1!F140,"")</f>
        <v/>
      </c>
      <c r="AD140" s="102" t="str">
        <f t="array" ref="AD140">_xlfn.XLOOKUP(AB140,Stock1!I140,Stock1!J140,"")</f>
        <v/>
      </c>
      <c r="AE140" s="102" t="str">
        <f t="array" ref="AE140">_xlfn.XLOOKUP("Storage",Stock1!B140,Stock1!I140,"")</f>
        <v/>
      </c>
      <c r="AF140" s="102" t="str">
        <f t="array" ref="AF140">_xlfn.XLOOKUP(AE140,Stock1!I140,Stock1!F140,"")</f>
        <v/>
      </c>
      <c r="AG140" s="102" t="str">
        <f t="array" ref="AG140">_xlfn.XLOOKUP(AE140,Stock1!I140,Stock1!J140,"")</f>
        <v/>
      </c>
    </row>
    <row r="141">
      <c r="K141" s="660" t="str">
        <f t="array" ref="K141">IFERROR(_xlfn.XLOOKUP(I141,Incentive!B:B,Incentive!E:E,""),"")</f>
        <v/>
      </c>
      <c r="L141" s="659" t="str">
        <f>IFERROR(VLOOKUP(I141,Stock1!F:J,5,False),"")</f>
        <v/>
      </c>
      <c r="M141" s="659" t="str">
        <f>IFERROR(VLOOKUP(I141,Stock2!F:J,5,False),"")</f>
        <v/>
      </c>
      <c r="V141" s="102" t="str">
        <f t="array" ref="V141">_xlfn.XLOOKUP("Charger",Stock1!B141,Stock1!I141,"")</f>
        <v>[CS]UGREEN Wall Charer 30W USB Port*1 + PD*2 Fast Charger Thai plug - Grey</v>
      </c>
      <c r="W141" s="429" t="str">
        <f t="array" ref="W141">_xlfn.XLOOKUP(V141,Stock1!I141,Stock1!F141,"")</f>
        <v>6941876265732</v>
      </c>
      <c r="X141" s="102">
        <f t="array" ref="X141">_xlfn.XLOOKUP(V141,Stock1!I141,Stock1!J141,"")</f>
        <v>48</v>
      </c>
      <c r="Y141" s="102" t="str">
        <f t="array" ref="Y141">_xlfn.XLOOKUP("Screen Protector for Android Phone and Other",Stock1!B141,Stock1!I141,"")</f>
        <v/>
      </c>
      <c r="Z141" s="102" t="str">
        <f t="array" ref="Z141">_xlfn.XLOOKUP("Screen Protector for Galaxy Phone",Stock1!B141,Stock1!I141,"")</f>
        <v/>
      </c>
      <c r="AA141" s="102" t="str">
        <f t="array" ref="AA141">_xlfn.XLOOKUP("Screen Protector for Galaxy Tab",Stock1!B141,Stock1!I141,"")</f>
        <v/>
      </c>
      <c r="AB141" s="102" t="str">
        <f t="shared" si="4"/>
        <v/>
      </c>
      <c r="AC141" s="102" t="str">
        <f t="array" ref="AC141">_xlfn.XLOOKUP(AB141,Stock1!I141,Stock1!F141,"")</f>
        <v/>
      </c>
      <c r="AD141" s="102" t="str">
        <f t="array" ref="AD141">_xlfn.XLOOKUP(AB141,Stock1!I141,Stock1!J141,"")</f>
        <v/>
      </c>
      <c r="AE141" s="102" t="str">
        <f t="array" ref="AE141">_xlfn.XLOOKUP("Storage",Stock1!B141,Stock1!I141,"")</f>
        <v/>
      </c>
      <c r="AF141" s="102" t="str">
        <f t="array" ref="AF141">_xlfn.XLOOKUP(AE141,Stock1!I141,Stock1!F141,"")</f>
        <v/>
      </c>
      <c r="AG141" s="102" t="str">
        <f t="array" ref="AG141">_xlfn.XLOOKUP(AE141,Stock1!I141,Stock1!J141,"")</f>
        <v/>
      </c>
    </row>
    <row r="142">
      <c r="K142" s="660" t="str">
        <f t="array" ref="K142">IFERROR(_xlfn.XLOOKUP(I142,Incentive!B:B,Incentive!E:E,""),"")</f>
        <v/>
      </c>
      <c r="L142" s="659" t="str">
        <f>IFERROR(VLOOKUP(I142,Stock1!F:J,5,False),"")</f>
        <v/>
      </c>
      <c r="M142" s="659" t="str">
        <f>IFERROR(VLOOKUP(I142,Stock2!F:J,5,False),"")</f>
        <v/>
      </c>
      <c r="V142" s="102" t="str">
        <f t="array" ref="V142">_xlfn.XLOOKUP("Charger",Stock1!B142,Stock1!I142,"")</f>
        <v>[CS]UGREEN Wall Charger 45W USB Port*1 + PD*2 Fast Charger Thai plug - Grey</v>
      </c>
      <c r="W142" s="429" t="str">
        <f t="array" ref="W142">_xlfn.XLOOKUP(V142,Stock1!I142,Stock1!F142,"")</f>
        <v>6941876265749</v>
      </c>
      <c r="X142" s="102">
        <f t="array" ref="X142">_xlfn.XLOOKUP(V142,Stock1!I142,Stock1!J142,"")</f>
        <v>9</v>
      </c>
      <c r="Y142" s="102" t="str">
        <f t="array" ref="Y142">_xlfn.XLOOKUP("Screen Protector for Android Phone and Other",Stock1!B142,Stock1!I142,"")</f>
        <v/>
      </c>
      <c r="Z142" s="102" t="str">
        <f t="array" ref="Z142">_xlfn.XLOOKUP("Screen Protector for Galaxy Phone",Stock1!B142,Stock1!I142,"")</f>
        <v/>
      </c>
      <c r="AA142" s="102" t="str">
        <f t="array" ref="AA142">_xlfn.XLOOKUP("Screen Protector for Galaxy Tab",Stock1!B142,Stock1!I142,"")</f>
        <v/>
      </c>
      <c r="AB142" s="102" t="str">
        <f t="shared" si="4"/>
        <v/>
      </c>
      <c r="AC142" s="102" t="str">
        <f t="array" ref="AC142">_xlfn.XLOOKUP(AB142,Stock1!I142,Stock1!F142,"")</f>
        <v/>
      </c>
      <c r="AD142" s="102" t="str">
        <f t="array" ref="AD142">_xlfn.XLOOKUP(AB142,Stock1!I142,Stock1!J142,"")</f>
        <v/>
      </c>
      <c r="AE142" s="102" t="str">
        <f t="array" ref="AE142">_xlfn.XLOOKUP("Storage",Stock1!B142,Stock1!I142,"")</f>
        <v/>
      </c>
      <c r="AF142" s="102" t="str">
        <f t="array" ref="AF142">_xlfn.XLOOKUP(AE142,Stock1!I142,Stock1!F142,"")</f>
        <v/>
      </c>
      <c r="AG142" s="102" t="str">
        <f t="array" ref="AG142">_xlfn.XLOOKUP(AE142,Stock1!I142,Stock1!J142,"")</f>
        <v/>
      </c>
    </row>
    <row r="143">
      <c r="K143" s="660" t="str">
        <f t="array" ref="K143">IFERROR(_xlfn.XLOOKUP(I143,Incentive!B:B,Incentive!E:E,""),"")</f>
        <v/>
      </c>
      <c r="L143" s="659" t="str">
        <f>IFERROR(VLOOKUP(I143,Stock1!F:J,5,False),"")</f>
        <v/>
      </c>
      <c r="M143" s="659" t="str">
        <f>IFERROR(VLOOKUP(I143,Stock2!F:J,5,False),"")</f>
        <v/>
      </c>
      <c r="V143" s="102" t="str">
        <f t="array" ref="V143">_xlfn.XLOOKUP("Charger",Stock1!B143,Stock1!I143,"")</f>
        <v>Samsung Adapter 25W No Cable-Black</v>
      </c>
      <c r="W143" s="429" t="str">
        <f t="array" ref="W143">_xlfn.XLOOKUP(V143,Stock1!I143,Stock1!F143,"")</f>
        <v>EP-T2510NBEGTH</v>
      </c>
      <c r="X143" s="102">
        <f t="array" ref="X143">_xlfn.XLOOKUP(V143,Stock1!I143,Stock1!J143,"")</f>
        <v>52</v>
      </c>
      <c r="Y143" s="102" t="str">
        <f t="array" ref="Y143">_xlfn.XLOOKUP("Screen Protector for Android Phone and Other",Stock1!B143,Stock1!I143,"")</f>
        <v/>
      </c>
      <c r="Z143" s="102" t="str">
        <f t="array" ref="Z143">_xlfn.XLOOKUP("Screen Protector for Galaxy Phone",Stock1!B143,Stock1!I143,"")</f>
        <v/>
      </c>
      <c r="AA143" s="102" t="str">
        <f t="array" ref="AA143">_xlfn.XLOOKUP("Screen Protector for Galaxy Tab",Stock1!B143,Stock1!I143,"")</f>
        <v/>
      </c>
      <c r="AB143" s="102" t="str">
        <f t="shared" si="4"/>
        <v/>
      </c>
      <c r="AC143" s="102" t="str">
        <f t="array" ref="AC143">_xlfn.XLOOKUP(AB143,Stock1!I143,Stock1!F143,"")</f>
        <v/>
      </c>
      <c r="AD143" s="102" t="str">
        <f t="array" ref="AD143">_xlfn.XLOOKUP(AB143,Stock1!I143,Stock1!J143,"")</f>
        <v/>
      </c>
      <c r="AE143" s="102" t="str">
        <f t="array" ref="AE143">_xlfn.XLOOKUP("Storage",Stock1!B143,Stock1!I143,"")</f>
        <v/>
      </c>
      <c r="AF143" s="102" t="str">
        <f t="array" ref="AF143">_xlfn.XLOOKUP(AE143,Stock1!I143,Stock1!F143,"")</f>
        <v/>
      </c>
      <c r="AG143" s="102" t="str">
        <f t="array" ref="AG143">_xlfn.XLOOKUP(AE143,Stock1!I143,Stock1!J143,"")</f>
        <v/>
      </c>
    </row>
    <row r="144">
      <c r="K144" s="660" t="str">
        <f t="array" ref="K144">IFERROR(_xlfn.XLOOKUP(I144,Incentive!B:B,Incentive!E:E,""),"")</f>
        <v/>
      </c>
      <c r="L144" s="659" t="str">
        <f>IFERROR(VLOOKUP(I144,Stock1!F:J,5,False),"")</f>
        <v/>
      </c>
      <c r="M144" s="659" t="str">
        <f>IFERROR(VLOOKUP(I144,Stock2!F:J,5,False),"")</f>
        <v/>
      </c>
      <c r="V144" s="102" t="str">
        <f t="array" ref="V144">_xlfn.XLOOKUP("Charger",Stock1!B144,Stock1!I144,"")</f>
        <v>Samsung Adapter 25W No Cable-White</v>
      </c>
      <c r="W144" s="429" t="str">
        <f t="array" ref="W144">_xlfn.XLOOKUP(V144,Stock1!I144,Stock1!F144,"")</f>
        <v>EP-T2510NWEGTH</v>
      </c>
      <c r="X144" s="102">
        <f t="array" ref="X144">_xlfn.XLOOKUP(V144,Stock1!I144,Stock1!J144,"")</f>
        <v>42</v>
      </c>
      <c r="Y144" s="102" t="str">
        <f t="array" ref="Y144">_xlfn.XLOOKUP("Screen Protector for Android Phone and Other",Stock1!B144,Stock1!I144,"")</f>
        <v/>
      </c>
      <c r="Z144" s="102" t="str">
        <f t="array" ref="Z144">_xlfn.XLOOKUP("Screen Protector for Galaxy Phone",Stock1!B144,Stock1!I144,"")</f>
        <v/>
      </c>
      <c r="AA144" s="102" t="str">
        <f t="array" ref="AA144">_xlfn.XLOOKUP("Screen Protector for Galaxy Tab",Stock1!B144,Stock1!I144,"")</f>
        <v/>
      </c>
      <c r="AB144" s="102" t="str">
        <f t="shared" si="4"/>
        <v/>
      </c>
      <c r="AC144" s="102" t="str">
        <f t="array" ref="AC144">_xlfn.XLOOKUP(AB144,Stock1!I144,Stock1!F144,"")</f>
        <v/>
      </c>
      <c r="AD144" s="102" t="str">
        <f t="array" ref="AD144">_xlfn.XLOOKUP(AB144,Stock1!I144,Stock1!J144,"")</f>
        <v/>
      </c>
      <c r="AE144" s="102" t="str">
        <f t="array" ref="AE144">_xlfn.XLOOKUP("Storage",Stock1!B144,Stock1!I144,"")</f>
        <v/>
      </c>
      <c r="AF144" s="102" t="str">
        <f t="array" ref="AF144">_xlfn.XLOOKUP(AE144,Stock1!I144,Stock1!F144,"")</f>
        <v/>
      </c>
      <c r="AG144" s="102" t="str">
        <f t="array" ref="AG144">_xlfn.XLOOKUP(AE144,Stock1!I144,Stock1!J144,"")</f>
        <v/>
      </c>
    </row>
    <row r="145">
      <c r="K145" s="660" t="str">
        <f t="array" ref="K145">IFERROR(_xlfn.XLOOKUP(I145,Incentive!B:B,Incentive!E:E,""),"")</f>
        <v/>
      </c>
      <c r="L145" s="659" t="str">
        <f>IFERROR(VLOOKUP(I145,Stock1!F:J,5,False),"")</f>
        <v/>
      </c>
      <c r="M145" s="659" t="str">
        <f>IFERROR(VLOOKUP(I145,Stock2!F:J,5,False),"")</f>
        <v/>
      </c>
      <c r="V145" s="102" t="str">
        <f t="array" ref="V145">_xlfn.XLOOKUP("Charger",Stock1!B145,Stock1!I145,"")</f>
        <v>Samsung Adapter 45W Fastcharge with Cable - Black</v>
      </c>
      <c r="W145" s="429" t="str">
        <f t="array" ref="W145">_xlfn.XLOOKUP(V145,Stock1!I145,Stock1!F145,"")</f>
        <v>EP-T4511XBEGTH</v>
      </c>
      <c r="X145" s="102">
        <f t="array" ref="X145">_xlfn.XLOOKUP(V145,Stock1!I145,Stock1!J145,"")</f>
        <v>7</v>
      </c>
      <c r="Y145" s="102" t="str">
        <f t="array" ref="Y145">_xlfn.XLOOKUP("Screen Protector for Android Phone and Other",Stock1!B145,Stock1!I145,"")</f>
        <v/>
      </c>
      <c r="Z145" s="102" t="str">
        <f t="array" ref="Z145">_xlfn.XLOOKUP("Screen Protector for Galaxy Phone",Stock1!B145,Stock1!I145,"")</f>
        <v/>
      </c>
      <c r="AA145" s="102" t="str">
        <f t="array" ref="AA145">_xlfn.XLOOKUP("Screen Protector for Galaxy Tab",Stock1!B145,Stock1!I145,"")</f>
        <v/>
      </c>
      <c r="AB145" s="102" t="str">
        <f t="shared" si="4"/>
        <v/>
      </c>
      <c r="AC145" s="102" t="str">
        <f t="array" ref="AC145">_xlfn.XLOOKUP(AB145,Stock1!I145,Stock1!F145,"")</f>
        <v/>
      </c>
      <c r="AD145" s="102" t="str">
        <f t="array" ref="AD145">_xlfn.XLOOKUP(AB145,Stock1!I145,Stock1!J145,"")</f>
        <v/>
      </c>
      <c r="AE145" s="102" t="str">
        <f t="array" ref="AE145">_xlfn.XLOOKUP("Storage",Stock1!B145,Stock1!I145,"")</f>
        <v/>
      </c>
      <c r="AF145" s="102" t="str">
        <f t="array" ref="AF145">_xlfn.XLOOKUP(AE145,Stock1!I145,Stock1!F145,"")</f>
        <v/>
      </c>
      <c r="AG145" s="102" t="str">
        <f t="array" ref="AG145">_xlfn.XLOOKUP(AE145,Stock1!I145,Stock1!J145,"")</f>
        <v/>
      </c>
    </row>
    <row r="146">
      <c r="K146" s="660" t="str">
        <f t="array" ref="K146">IFERROR(_xlfn.XLOOKUP(I146,Incentive!B:B,Incentive!E:E,""),"")</f>
        <v/>
      </c>
      <c r="L146" s="659" t="str">
        <f>IFERROR(VLOOKUP(I146,Stock1!F:J,5,False),"")</f>
        <v/>
      </c>
      <c r="M146" s="659" t="str">
        <f>IFERROR(VLOOKUP(I146,Stock2!F:J,5,False),"")</f>
        <v/>
      </c>
      <c r="V146" s="102" t="str">
        <f t="array" ref="V146">_xlfn.XLOOKUP("Charger",Stock1!B146,Stock1!I146,"")</f>
        <v>Samsung Adapter 45W Fastcharge with Cable (SIS) - Black</v>
      </c>
      <c r="W146" s="429" t="str">
        <f t="array" ref="W146">_xlfn.XLOOKUP(V146,Stock1!I146,Stock1!F146,"")</f>
        <v>SSG-EP-T4511XBEGTH</v>
      </c>
      <c r="X146" s="102">
        <f t="array" ref="X146">_xlfn.XLOOKUP(V146,Stock1!I146,Stock1!J146,"")</f>
        <v>43</v>
      </c>
      <c r="Y146" s="102" t="str">
        <f t="array" ref="Y146">_xlfn.XLOOKUP("Screen Protector for Android Phone and Other",Stock1!B146,Stock1!I146,"")</f>
        <v/>
      </c>
      <c r="Z146" s="102" t="str">
        <f t="array" ref="Z146">_xlfn.XLOOKUP("Screen Protector for Galaxy Phone",Stock1!B146,Stock1!I146,"")</f>
        <v/>
      </c>
      <c r="AA146" s="102" t="str">
        <f t="array" ref="AA146">_xlfn.XLOOKUP("Screen Protector for Galaxy Tab",Stock1!B146,Stock1!I146,"")</f>
        <v/>
      </c>
      <c r="AB146" s="102" t="str">
        <f t="shared" si="4"/>
        <v/>
      </c>
      <c r="AC146" s="102" t="str">
        <f t="array" ref="AC146">_xlfn.XLOOKUP(AB146,Stock1!I146,Stock1!F146,"")</f>
        <v/>
      </c>
      <c r="AD146" s="102" t="str">
        <f t="array" ref="AD146">_xlfn.XLOOKUP(AB146,Stock1!I146,Stock1!J146,"")</f>
        <v/>
      </c>
      <c r="AE146" s="102" t="str">
        <f t="array" ref="AE146">_xlfn.XLOOKUP("Storage",Stock1!B146,Stock1!I146,"")</f>
        <v/>
      </c>
      <c r="AF146" s="102" t="str">
        <f t="array" ref="AF146">_xlfn.XLOOKUP(AE146,Stock1!I146,Stock1!F146,"")</f>
        <v/>
      </c>
      <c r="AG146" s="102" t="str">
        <f t="array" ref="AG146">_xlfn.XLOOKUP(AE146,Stock1!I146,Stock1!J146,"")</f>
        <v/>
      </c>
    </row>
    <row r="147">
      <c r="K147" s="660" t="str">
        <f t="array" ref="K147">IFERROR(_xlfn.XLOOKUP(I147,Incentive!B:B,Incentive!E:E,""),"")</f>
        <v/>
      </c>
      <c r="L147" s="659" t="str">
        <f>IFERROR(VLOOKUP(I147,Stock1!F:J,5,False),"")</f>
        <v/>
      </c>
      <c r="M147" s="659" t="str">
        <f>IFERROR(VLOOKUP(I147,Stock2!F:J,5,False),"")</f>
        <v/>
      </c>
      <c r="V147" s="102" t="str">
        <f t="array" ref="V147">_xlfn.XLOOKUP("Charger",Stock1!B147,Stock1!I147,"")</f>
        <v>Samsung Adapter 45W without cable - Black</v>
      </c>
      <c r="W147" s="429" t="str">
        <f t="array" ref="W147">_xlfn.XLOOKUP(V147,Stock1!I147,Stock1!F147,"")</f>
        <v>EP-T4511NBEGTH</v>
      </c>
      <c r="X147" s="102">
        <f t="array" ref="X147">_xlfn.XLOOKUP(V147,Stock1!I147,Stock1!J147,"")</f>
        <v>19</v>
      </c>
      <c r="Y147" s="102" t="str">
        <f t="array" ref="Y147">_xlfn.XLOOKUP("Screen Protector for Android Phone and Other",Stock1!B147,Stock1!I147,"")</f>
        <v/>
      </c>
      <c r="Z147" s="102" t="str">
        <f t="array" ref="Z147">_xlfn.XLOOKUP("Screen Protector for Galaxy Phone",Stock1!B147,Stock1!I147,"")</f>
        <v/>
      </c>
      <c r="AA147" s="102" t="str">
        <f t="array" ref="AA147">_xlfn.XLOOKUP("Screen Protector for Galaxy Tab",Stock1!B147,Stock1!I147,"")</f>
        <v/>
      </c>
      <c r="AB147" s="102" t="str">
        <f t="shared" si="4"/>
        <v/>
      </c>
      <c r="AC147" s="102" t="str">
        <f t="array" ref="AC147">_xlfn.XLOOKUP(AB147,Stock1!I147,Stock1!F147,"")</f>
        <v/>
      </c>
      <c r="AD147" s="102" t="str">
        <f t="array" ref="AD147">_xlfn.XLOOKUP(AB147,Stock1!I147,Stock1!J147,"")</f>
        <v/>
      </c>
      <c r="AE147" s="102" t="str">
        <f t="array" ref="AE147">_xlfn.XLOOKUP("Storage",Stock1!B147,Stock1!I147,"")</f>
        <v/>
      </c>
      <c r="AF147" s="102" t="str">
        <f t="array" ref="AF147">_xlfn.XLOOKUP(AE147,Stock1!I147,Stock1!F147,"")</f>
        <v/>
      </c>
      <c r="AG147" s="102" t="str">
        <f t="array" ref="AG147">_xlfn.XLOOKUP(AE147,Stock1!I147,Stock1!J147,"")</f>
        <v/>
      </c>
    </row>
    <row r="148">
      <c r="K148" s="660" t="str">
        <f t="array" ref="K148">IFERROR(_xlfn.XLOOKUP(I148,Incentive!B:B,Incentive!E:E,""),"")</f>
        <v/>
      </c>
      <c r="L148" s="659" t="str">
        <f>IFERROR(VLOOKUP(I148,Stock1!F:J,5,False),"")</f>
        <v/>
      </c>
      <c r="M148" s="659" t="str">
        <f>IFERROR(VLOOKUP(I148,Stock2!F:J,5,False),"")</f>
        <v/>
      </c>
      <c r="V148" s="102" t="str">
        <f t="array" ref="V148">_xlfn.XLOOKUP("Charger",Stock1!B148,Stock1!I148,"")</f>
        <v>Samsung Adapter 60W without cable - Black</v>
      </c>
      <c r="W148" s="429" t="str">
        <f t="array" ref="W148">_xlfn.XLOOKUP(V148,Stock1!I148,Stock1!F148,"")</f>
        <v>EP-T6010NBEGTH</v>
      </c>
      <c r="X148" s="102">
        <f t="array" ref="X148">_xlfn.XLOOKUP(V148,Stock1!I148,Stock1!J148,"")</f>
        <v>26</v>
      </c>
      <c r="Y148" s="102" t="str">
        <f t="array" ref="Y148">_xlfn.XLOOKUP("Screen Protector for Android Phone and Other",Stock1!B148,Stock1!I148,"")</f>
        <v/>
      </c>
      <c r="Z148" s="102" t="str">
        <f t="array" ref="Z148">_xlfn.XLOOKUP("Screen Protector for Galaxy Phone",Stock1!B148,Stock1!I148,"")</f>
        <v/>
      </c>
      <c r="AA148" s="102" t="str">
        <f t="array" ref="AA148">_xlfn.XLOOKUP("Screen Protector for Galaxy Tab",Stock1!B148,Stock1!I148,"")</f>
        <v/>
      </c>
      <c r="AB148" s="102" t="str">
        <f t="shared" si="4"/>
        <v/>
      </c>
      <c r="AC148" s="102" t="str">
        <f t="array" ref="AC148">_xlfn.XLOOKUP(AB148,Stock1!I148,Stock1!F148,"")</f>
        <v/>
      </c>
      <c r="AD148" s="102" t="str">
        <f t="array" ref="AD148">_xlfn.XLOOKUP(AB148,Stock1!I148,Stock1!J148,"")</f>
        <v/>
      </c>
      <c r="AE148" s="102" t="str">
        <f t="array" ref="AE148">_xlfn.XLOOKUP("Storage",Stock1!B148,Stock1!I148,"")</f>
        <v/>
      </c>
      <c r="AF148" s="102" t="str">
        <f t="array" ref="AF148">_xlfn.XLOOKUP(AE148,Stock1!I148,Stock1!F148,"")</f>
        <v/>
      </c>
      <c r="AG148" s="102" t="str">
        <f t="array" ref="AG148">_xlfn.XLOOKUP(AE148,Stock1!I148,Stock1!J148,"")</f>
        <v/>
      </c>
    </row>
    <row r="149">
      <c r="K149" s="660" t="str">
        <f t="array" ref="K149">IFERROR(_xlfn.XLOOKUP(I149,Incentive!B:B,Incentive!E:E,""),"")</f>
        <v/>
      </c>
      <c r="L149" s="659" t="str">
        <f>IFERROR(VLOOKUP(I149,Stock1!F:J,5,False),"")</f>
        <v/>
      </c>
      <c r="M149" s="659" t="str">
        <f>IFERROR(VLOOKUP(I149,Stock2!F:J,5,False),"")</f>
        <v/>
      </c>
      <c r="V149" s="102" t="str">
        <f t="array" ref="V149">_xlfn.XLOOKUP("Charger",Stock1!B149,Stock1!I149,"")</f>
        <v/>
      </c>
      <c r="W149" s="102" t="str">
        <f t="array" ref="W149">_xlfn.XLOOKUP(V149,Stock1!I149,Stock1!F149,"")</f>
        <v/>
      </c>
      <c r="X149" s="102" t="str">
        <f t="array" ref="X149">_xlfn.XLOOKUP(V149,Stock1!I149,Stock1!J149,"")</f>
        <v/>
      </c>
      <c r="Y149" s="102" t="str">
        <f t="array" ref="Y149">_xlfn.XLOOKUP("Screen Protector for Android Phone and Other",Stock1!B149,Stock1!I149,"")</f>
        <v/>
      </c>
      <c r="Z149" s="102" t="str">
        <f t="array" ref="Z149">_xlfn.XLOOKUP("Screen Protector for Galaxy Phone",Stock1!B149,Stock1!I149,"")</f>
        <v/>
      </c>
      <c r="AA149" s="102" t="str">
        <f t="array" ref="AA149">_xlfn.XLOOKUP("Screen Protector for Galaxy Tab",Stock1!B149,Stock1!I149,"")</f>
        <v/>
      </c>
      <c r="AB149" s="102" t="str">
        <f t="shared" si="4"/>
        <v/>
      </c>
      <c r="AC149" s="102" t="str">
        <f t="array" ref="AC149">_xlfn.XLOOKUP(AB149,Stock1!I149,Stock1!F149,"")</f>
        <v/>
      </c>
      <c r="AD149" s="102" t="str">
        <f t="array" ref="AD149">_xlfn.XLOOKUP(AB149,Stock1!I149,Stock1!J149,"")</f>
        <v/>
      </c>
      <c r="AE149" s="102" t="str">
        <f t="array" ref="AE149">_xlfn.XLOOKUP("Storage",Stock1!B149,Stock1!I149,"")</f>
        <v/>
      </c>
      <c r="AF149" s="102" t="str">
        <f t="array" ref="AF149">_xlfn.XLOOKUP(AE149,Stock1!I149,Stock1!F149,"")</f>
        <v/>
      </c>
      <c r="AG149" s="102" t="str">
        <f t="array" ref="AG149">_xlfn.XLOOKUP(AE149,Stock1!I149,Stock1!J149,"")</f>
        <v/>
      </c>
    </row>
    <row r="150">
      <c r="K150" s="660" t="str">
        <f t="array" ref="K150">IFERROR(_xlfn.XLOOKUP(I150,Incentive!B:B,Incentive!E:E,""),"")</f>
        <v/>
      </c>
      <c r="L150" s="659" t="str">
        <f>IFERROR(VLOOKUP(I150,Stock1!F:J,5,False),"")</f>
        <v/>
      </c>
      <c r="M150" s="659" t="str">
        <f>IFERROR(VLOOKUP(I150,Stock2!F:J,5,False),"")</f>
        <v/>
      </c>
      <c r="V150" s="102" t="str">
        <f t="array" ref="V150">_xlfn.XLOOKUP("Charger",Stock1!B150,Stock1!I150,"")</f>
        <v/>
      </c>
      <c r="W150" s="102" t="str">
        <f t="array" ref="W150">_xlfn.XLOOKUP(V150,Stock1!I150,Stock1!F150,"")</f>
        <v/>
      </c>
      <c r="X150" s="102" t="str">
        <f t="array" ref="X150">_xlfn.XLOOKUP(V150,Stock1!I150,Stock1!J150,"")</f>
        <v/>
      </c>
      <c r="Y150" s="102" t="str">
        <f t="array" ref="Y150">_xlfn.XLOOKUP("Screen Protector for Android Phone and Other",Stock1!B150,Stock1!I150,"")</f>
        <v/>
      </c>
      <c r="Z150" s="102" t="str">
        <f t="array" ref="Z150">_xlfn.XLOOKUP("Screen Protector for Galaxy Phone",Stock1!B150,Stock1!I150,"")</f>
        <v/>
      </c>
      <c r="AA150" s="102" t="str">
        <f t="array" ref="AA150">_xlfn.XLOOKUP("Screen Protector for Galaxy Tab",Stock1!B150,Stock1!I150,"")</f>
        <v/>
      </c>
      <c r="AB150" s="102" t="str">
        <f t="shared" si="4"/>
        <v/>
      </c>
      <c r="AC150" s="102" t="str">
        <f t="array" ref="AC150">_xlfn.XLOOKUP(AB150,Stock1!I150,Stock1!F150,"")</f>
        <v/>
      </c>
      <c r="AD150" s="102" t="str">
        <f t="array" ref="AD150">_xlfn.XLOOKUP(AB150,Stock1!I150,Stock1!J150,"")</f>
        <v/>
      </c>
      <c r="AE150" s="102" t="str">
        <f t="array" ref="AE150">_xlfn.XLOOKUP("Storage",Stock1!B150,Stock1!I150,"")</f>
        <v/>
      </c>
      <c r="AF150" s="102" t="str">
        <f t="array" ref="AF150">_xlfn.XLOOKUP(AE150,Stock1!I150,Stock1!F150,"")</f>
        <v/>
      </c>
      <c r="AG150" s="102" t="str">
        <f t="array" ref="AG150">_xlfn.XLOOKUP(AE150,Stock1!I150,Stock1!J150,"")</f>
        <v/>
      </c>
    </row>
    <row r="151">
      <c r="K151" s="660" t="str">
        <f t="array" ref="K151">IFERROR(_xlfn.XLOOKUP(I151,Incentive!B:B,Incentive!E:E,""),"")</f>
        <v/>
      </c>
      <c r="L151" s="659" t="str">
        <f>IFERROR(VLOOKUP(I151,Stock1!F:J,5,False),"")</f>
        <v/>
      </c>
      <c r="M151" s="659" t="str">
        <f>IFERROR(VLOOKUP(I151,Stock2!F:J,5,False),"")</f>
        <v/>
      </c>
      <c r="V151" s="102" t="str">
        <f t="array" ref="V151">_xlfn.XLOOKUP("Charger",Stock1!B151,Stock1!I151,"")</f>
        <v/>
      </c>
      <c r="W151" s="102" t="str">
        <f t="array" ref="W151">_xlfn.XLOOKUP(V151,Stock1!I151,Stock1!F151,"")</f>
        <v/>
      </c>
      <c r="X151" s="102" t="str">
        <f t="array" ref="X151">_xlfn.XLOOKUP(V151,Stock1!I151,Stock1!J151,"")</f>
        <v/>
      </c>
      <c r="Y151" s="102" t="str">
        <f t="array" ref="Y151">_xlfn.XLOOKUP("Screen Protector for Android Phone and Other",Stock1!B151,Stock1!I151,"")</f>
        <v/>
      </c>
      <c r="Z151" s="102" t="str">
        <f t="array" ref="Z151">_xlfn.XLOOKUP("Screen Protector for Galaxy Phone",Stock1!B151,Stock1!I151,"")</f>
        <v/>
      </c>
      <c r="AA151" s="102" t="str">
        <f t="array" ref="AA151">_xlfn.XLOOKUP("Screen Protector for Galaxy Tab",Stock1!B151,Stock1!I151,"")</f>
        <v/>
      </c>
      <c r="AB151" s="102" t="str">
        <f t="shared" si="4"/>
        <v/>
      </c>
      <c r="AC151" s="102" t="str">
        <f t="array" ref="AC151">_xlfn.XLOOKUP(AB151,Stock1!I151,Stock1!F151,"")</f>
        <v/>
      </c>
      <c r="AD151" s="102" t="str">
        <f t="array" ref="AD151">_xlfn.XLOOKUP(AB151,Stock1!I151,Stock1!J151,"")</f>
        <v/>
      </c>
      <c r="AE151" s="102" t="str">
        <f t="array" ref="AE151">_xlfn.XLOOKUP("Storage",Stock1!B151,Stock1!I151,"")</f>
        <v/>
      </c>
      <c r="AF151" s="102" t="str">
        <f t="array" ref="AF151">_xlfn.XLOOKUP(AE151,Stock1!I151,Stock1!F151,"")</f>
        <v/>
      </c>
      <c r="AG151" s="102" t="str">
        <f t="array" ref="AG151">_xlfn.XLOOKUP(AE151,Stock1!I151,Stock1!J151,"")</f>
        <v/>
      </c>
    </row>
    <row r="152">
      <c r="K152" s="660" t="str">
        <f t="array" ref="K152">IFERROR(_xlfn.XLOOKUP(I152,Incentive!B:B,Incentive!E:E,""),"")</f>
        <v/>
      </c>
      <c r="L152" s="659" t="str">
        <f>IFERROR(VLOOKUP(I152,Stock1!F:J,5,False),"")</f>
        <v/>
      </c>
      <c r="M152" s="659" t="str">
        <f>IFERROR(VLOOKUP(I152,Stock2!F:J,5,False),"")</f>
        <v/>
      </c>
      <c r="V152" s="102" t="str">
        <f t="array" ref="V152">_xlfn.XLOOKUP("Charger",Stock1!B152,Stock1!I152,"")</f>
        <v/>
      </c>
      <c r="W152" s="102" t="str">
        <f t="array" ref="W152">_xlfn.XLOOKUP(V152,Stock1!I152,Stock1!F152,"")</f>
        <v/>
      </c>
      <c r="X152" s="102" t="str">
        <f t="array" ref="X152">_xlfn.XLOOKUP(V152,Stock1!I152,Stock1!J152,"")</f>
        <v/>
      </c>
      <c r="Y152" s="102" t="str">
        <f t="array" ref="Y152">_xlfn.XLOOKUP("Screen Protector for Android Phone and Other",Stock1!B152,Stock1!I152,"")</f>
        <v/>
      </c>
      <c r="Z152" s="102" t="str">
        <f t="array" ref="Z152">_xlfn.XLOOKUP("Screen Protector for Galaxy Phone",Stock1!B152,Stock1!I152,"")</f>
        <v/>
      </c>
      <c r="AA152" s="102" t="str">
        <f t="array" ref="AA152">_xlfn.XLOOKUP("Screen Protector for Galaxy Tab",Stock1!B152,Stock1!I152,"")</f>
        <v/>
      </c>
      <c r="AB152" s="102" t="str">
        <f t="shared" si="4"/>
        <v/>
      </c>
      <c r="AC152" s="102" t="str">
        <f t="array" ref="AC152">_xlfn.XLOOKUP(AB152,Stock1!I152,Stock1!F152,"")</f>
        <v/>
      </c>
      <c r="AD152" s="102" t="str">
        <f t="array" ref="AD152">_xlfn.XLOOKUP(AB152,Stock1!I152,Stock1!J152,"")</f>
        <v/>
      </c>
      <c r="AE152" s="102" t="str">
        <f t="array" ref="AE152">_xlfn.XLOOKUP("Storage",Stock1!B152,Stock1!I152,"")</f>
        <v/>
      </c>
      <c r="AF152" s="102" t="str">
        <f t="array" ref="AF152">_xlfn.XLOOKUP(AE152,Stock1!I152,Stock1!F152,"")</f>
        <v/>
      </c>
      <c r="AG152" s="102" t="str">
        <f t="array" ref="AG152">_xlfn.XLOOKUP(AE152,Stock1!I152,Stock1!J152,"")</f>
        <v/>
      </c>
    </row>
    <row r="153">
      <c r="K153" s="660" t="str">
        <f t="array" ref="K153">IFERROR(_xlfn.XLOOKUP(I153,Incentive!B:B,Incentive!E:E,""),"")</f>
        <v/>
      </c>
      <c r="L153" s="659" t="str">
        <f>IFERROR(VLOOKUP(I153,Stock1!F:J,5,False),"")</f>
        <v/>
      </c>
      <c r="M153" s="659" t="str">
        <f>IFERROR(VLOOKUP(I153,Stock2!F:J,5,False),"")</f>
        <v/>
      </c>
      <c r="V153" s="102" t="str">
        <f t="array" ref="V153">_xlfn.XLOOKUP("Charger",Stock1!B153,Stock1!I153,"")</f>
        <v/>
      </c>
      <c r="W153" s="102" t="str">
        <f t="array" ref="W153">_xlfn.XLOOKUP(V153,Stock1!I153,Stock1!F153,"")</f>
        <v/>
      </c>
      <c r="X153" s="102" t="str">
        <f t="array" ref="X153">_xlfn.XLOOKUP(V153,Stock1!I153,Stock1!J153,"")</f>
        <v/>
      </c>
      <c r="Y153" s="102" t="str">
        <f t="array" ref="Y153">_xlfn.XLOOKUP("Screen Protector for Android Phone and Other",Stock1!B153,Stock1!I153,"")</f>
        <v/>
      </c>
      <c r="Z153" s="102" t="str">
        <f t="array" ref="Z153">_xlfn.XLOOKUP("Screen Protector for Galaxy Phone",Stock1!B153,Stock1!I153,"")</f>
        <v/>
      </c>
      <c r="AA153" s="102" t="str">
        <f t="array" ref="AA153">_xlfn.XLOOKUP("Screen Protector for Galaxy Tab",Stock1!B153,Stock1!I153,"")</f>
        <v/>
      </c>
      <c r="AB153" s="102" t="str">
        <f t="shared" si="4"/>
        <v/>
      </c>
      <c r="AC153" s="102" t="str">
        <f t="array" ref="AC153">_xlfn.XLOOKUP(AB153,Stock1!I153,Stock1!F153,"")</f>
        <v/>
      </c>
      <c r="AD153" s="102" t="str">
        <f t="array" ref="AD153">_xlfn.XLOOKUP(AB153,Stock1!I153,Stock1!J153,"")</f>
        <v/>
      </c>
      <c r="AE153" s="102" t="str">
        <f t="array" ref="AE153">_xlfn.XLOOKUP("Storage",Stock1!B153,Stock1!I153,"")</f>
        <v/>
      </c>
      <c r="AF153" s="102" t="str">
        <f t="array" ref="AF153">_xlfn.XLOOKUP(AE153,Stock1!I153,Stock1!F153,"")</f>
        <v/>
      </c>
      <c r="AG153" s="102" t="str">
        <f t="array" ref="AG153">_xlfn.XLOOKUP(AE153,Stock1!I153,Stock1!J153,"")</f>
        <v/>
      </c>
    </row>
    <row r="154">
      <c r="K154" s="660" t="str">
        <f t="array" ref="K154">IFERROR(_xlfn.XLOOKUP(I154,Incentive!B:B,Incentive!E:E,""),"")</f>
        <v/>
      </c>
      <c r="L154" s="659" t="str">
        <f>IFERROR(VLOOKUP(I154,Stock1!F:J,5,False),"")</f>
        <v/>
      </c>
      <c r="M154" s="659" t="str">
        <f>IFERROR(VLOOKUP(I154,Stock2!F:J,5,False),"")</f>
        <v/>
      </c>
      <c r="V154" s="102" t="str">
        <f t="array" ref="V154">_xlfn.XLOOKUP("Charger",Stock1!B154,Stock1!I154,"")</f>
        <v/>
      </c>
      <c r="W154" s="102" t="str">
        <f t="array" ref="W154">_xlfn.XLOOKUP(V154,Stock1!I154,Stock1!F154,"")</f>
        <v/>
      </c>
      <c r="X154" s="102" t="str">
        <f t="array" ref="X154">_xlfn.XLOOKUP(V154,Stock1!I154,Stock1!J154,"")</f>
        <v/>
      </c>
      <c r="Y154" s="102" t="str">
        <f t="array" ref="Y154">_xlfn.XLOOKUP("Screen Protector for Android Phone and Other",Stock1!B154,Stock1!I154,"")</f>
        <v/>
      </c>
      <c r="Z154" s="102" t="str">
        <f t="array" ref="Z154">_xlfn.XLOOKUP("Screen Protector for Galaxy Phone",Stock1!B154,Stock1!I154,"")</f>
        <v/>
      </c>
      <c r="AA154" s="102" t="str">
        <f t="array" ref="AA154">_xlfn.XLOOKUP("Screen Protector for Galaxy Tab",Stock1!B154,Stock1!I154,"")</f>
        <v/>
      </c>
      <c r="AB154" s="102" t="str">
        <f t="shared" si="4"/>
        <v/>
      </c>
      <c r="AC154" s="102" t="str">
        <f t="array" ref="AC154">_xlfn.XLOOKUP(AB154,Stock1!I154,Stock1!F154,"")</f>
        <v/>
      </c>
      <c r="AD154" s="102" t="str">
        <f t="array" ref="AD154">_xlfn.XLOOKUP(AB154,Stock1!I154,Stock1!J154,"")</f>
        <v/>
      </c>
      <c r="AE154" s="102" t="str">
        <f t="array" ref="AE154">_xlfn.XLOOKUP("Storage",Stock1!B154,Stock1!I154,"")</f>
        <v/>
      </c>
      <c r="AF154" s="102" t="str">
        <f t="array" ref="AF154">_xlfn.XLOOKUP(AE154,Stock1!I154,Stock1!F154,"")</f>
        <v/>
      </c>
      <c r="AG154" s="102" t="str">
        <f t="array" ref="AG154">_xlfn.XLOOKUP(AE154,Stock1!I154,Stock1!J154,"")</f>
        <v/>
      </c>
    </row>
    <row r="155">
      <c r="K155" s="660" t="str">
        <f t="array" ref="K155">IFERROR(_xlfn.XLOOKUP(I155,Incentive!B:B,Incentive!E:E,""),"")</f>
        <v/>
      </c>
      <c r="L155" s="659" t="str">
        <f>IFERROR(VLOOKUP(I155,Stock1!F:J,5,False),"")</f>
        <v/>
      </c>
      <c r="M155" s="659" t="str">
        <f>IFERROR(VLOOKUP(I155,Stock2!F:J,5,False),"")</f>
        <v/>
      </c>
      <c r="V155" s="102" t="str">
        <f t="array" ref="V155">_xlfn.XLOOKUP("Charger",Stock1!B155,Stock1!I155,"")</f>
        <v/>
      </c>
      <c r="W155" s="102" t="str">
        <f t="array" ref="W155">_xlfn.XLOOKUP(V155,Stock1!I155,Stock1!F155,"")</f>
        <v/>
      </c>
      <c r="X155" s="102" t="str">
        <f t="array" ref="X155">_xlfn.XLOOKUP(V155,Stock1!I155,Stock1!J155,"")</f>
        <v/>
      </c>
      <c r="Y155" s="102" t="str">
        <f t="array" ref="Y155">_xlfn.XLOOKUP("Screen Protector for Android Phone and Other",Stock1!B155,Stock1!I155,"")</f>
        <v>[CS]Focus TG FF Samsung Galaxy A07 Black</v>
      </c>
      <c r="Z155" s="102" t="str">
        <f t="array" ref="Z155">_xlfn.XLOOKUP("Screen Protector for Galaxy Phone",Stock1!B155,Stock1!I155,"")</f>
        <v/>
      </c>
      <c r="AA155" s="102" t="str">
        <f t="array" ref="AA155">_xlfn.XLOOKUP("Screen Protector for Galaxy Tab",Stock1!B155,Stock1!I155,"")</f>
        <v/>
      </c>
      <c r="AB155" s="102" t="str">
        <f t="shared" si="4"/>
        <v>[CS]Focus TG FF Samsung Galaxy A07 Black</v>
      </c>
      <c r="AC155" s="429" t="str">
        <f t="array" ref="AC155">_xlfn.XLOOKUP(AB155,Stock1!I155,Stock1!F155,"")</f>
        <v>8859703436409</v>
      </c>
      <c r="AD155" s="102">
        <f t="array" ref="AD155">_xlfn.XLOOKUP(AB155,Stock1!I155,Stock1!J155,"")</f>
        <v>10</v>
      </c>
      <c r="AE155" s="102" t="str">
        <f t="array" ref="AE155">_xlfn.XLOOKUP("Storage",Stock1!B155,Stock1!I155,"")</f>
        <v/>
      </c>
      <c r="AF155" s="102" t="str">
        <f t="array" ref="AF155">_xlfn.XLOOKUP(AE155,Stock1!I155,Stock1!F155,"")</f>
        <v/>
      </c>
      <c r="AG155" s="102" t="str">
        <f t="array" ref="AG155">_xlfn.XLOOKUP(AE155,Stock1!I155,Stock1!J155,"")</f>
        <v/>
      </c>
    </row>
    <row r="156">
      <c r="K156" s="660" t="str">
        <f t="array" ref="K156">IFERROR(_xlfn.XLOOKUP(I156,Incentive!B:B,Incentive!E:E,""),"")</f>
        <v/>
      </c>
      <c r="L156" s="659" t="str">
        <f>IFERROR(VLOOKUP(I156,Stock1!F:J,5,False),"")</f>
        <v/>
      </c>
      <c r="M156" s="659" t="str">
        <f>IFERROR(VLOOKUP(I156,Stock2!F:J,5,False),"")</f>
        <v/>
      </c>
      <c r="V156" s="102" t="str">
        <f t="array" ref="V156">_xlfn.XLOOKUP("Charger",Stock1!B156,Stock1!I156,"")</f>
        <v/>
      </c>
      <c r="W156" s="102" t="str">
        <f t="array" ref="W156">_xlfn.XLOOKUP(V156,Stock1!I156,Stock1!F156,"")</f>
        <v/>
      </c>
      <c r="X156" s="102" t="str">
        <f t="array" ref="X156">_xlfn.XLOOKUP(V156,Stock1!I156,Stock1!J156,"")</f>
        <v/>
      </c>
      <c r="Y156" s="102" t="str">
        <f t="array" ref="Y156">_xlfn.XLOOKUP("Screen Protector for Android Phone and Other",Stock1!B156,Stock1!I156,"")</f>
        <v>[CS]HISHIELD TemperedGlass FC 2.5D Samsung A07</v>
      </c>
      <c r="Z156" s="102" t="str">
        <f t="array" ref="Z156">_xlfn.XLOOKUP("Screen Protector for Galaxy Phone",Stock1!B156,Stock1!I156,"")</f>
        <v/>
      </c>
      <c r="AA156" s="102" t="str">
        <f t="array" ref="AA156">_xlfn.XLOOKUP("Screen Protector for Galaxy Tab",Stock1!B156,Stock1!I156,"")</f>
        <v/>
      </c>
      <c r="AB156" s="102" t="str">
        <f t="shared" si="4"/>
        <v>[CS]HISHIELD TemperedGlass FC 2.5D Samsung A07</v>
      </c>
      <c r="AC156" s="429" t="str">
        <f t="array" ref="AC156">_xlfn.XLOOKUP(AB156,Stock1!I156,Stock1!F156,"")</f>
        <v>8859216804023</v>
      </c>
      <c r="AD156" s="102">
        <f t="array" ref="AD156">_xlfn.XLOOKUP(AB156,Stock1!I156,Stock1!J156,"")</f>
        <v>7</v>
      </c>
      <c r="AE156" s="102" t="str">
        <f t="array" ref="AE156">_xlfn.XLOOKUP("Storage",Stock1!B156,Stock1!I156,"")</f>
        <v/>
      </c>
      <c r="AF156" s="102" t="str">
        <f t="array" ref="AF156">_xlfn.XLOOKUP(AE156,Stock1!I156,Stock1!F156,"")</f>
        <v/>
      </c>
      <c r="AG156" s="102" t="str">
        <f t="array" ref="AG156">_xlfn.XLOOKUP(AE156,Stock1!I156,Stock1!J156,"")</f>
        <v/>
      </c>
    </row>
    <row r="157">
      <c r="K157" s="660" t="str">
        <f t="array" ref="K157">IFERROR(_xlfn.XLOOKUP(I157,Incentive!B:B,Incentive!E:E,""),"")</f>
        <v/>
      </c>
      <c r="L157" s="659" t="str">
        <f>IFERROR(VLOOKUP(I157,Stock1!F:J,5,False),"")</f>
        <v/>
      </c>
      <c r="M157" s="659" t="str">
        <f>IFERROR(VLOOKUP(I157,Stock2!F:J,5,False),"")</f>
        <v/>
      </c>
      <c r="V157" s="102" t="str">
        <f t="array" ref="V157">_xlfn.XLOOKUP("Charger",Stock1!B157,Stock1!I157,"")</f>
        <v/>
      </c>
      <c r="W157" s="102" t="str">
        <f t="array" ref="W157">_xlfn.XLOOKUP(V157,Stock1!I157,Stock1!F157,"")</f>
        <v/>
      </c>
      <c r="X157" s="102" t="str">
        <f t="array" ref="X157">_xlfn.XLOOKUP(V157,Stock1!I157,Stock1!J157,"")</f>
        <v/>
      </c>
      <c r="Y157" s="102" t="str">
        <f t="array" ref="Y157">_xlfn.XLOOKUP("Screen Protector for Android Phone and Other",Stock1!B157,Stock1!I157,"")</f>
        <v>[CS]HISHIELD TemperedGlass FC 2.5D Samsung A17</v>
      </c>
      <c r="Z157" s="102" t="str">
        <f t="array" ref="Z157">_xlfn.XLOOKUP("Screen Protector for Galaxy Phone",Stock1!B157,Stock1!I157,"")</f>
        <v/>
      </c>
      <c r="AA157" s="102" t="str">
        <f t="array" ref="AA157">_xlfn.XLOOKUP("Screen Protector for Galaxy Tab",Stock1!B157,Stock1!I157,"")</f>
        <v/>
      </c>
      <c r="AB157" s="102" t="str">
        <f t="shared" si="4"/>
        <v>[CS]HISHIELD TemperedGlass FC 2.5D Samsung A17</v>
      </c>
      <c r="AC157" s="429" t="str">
        <f t="array" ref="AC157">_xlfn.XLOOKUP(AB157,Stock1!I157,Stock1!F157,"")</f>
        <v>8859216803910</v>
      </c>
      <c r="AD157" s="102">
        <f t="array" ref="AD157">_xlfn.XLOOKUP(AB157,Stock1!I157,Stock1!J157,"")</f>
        <v>17</v>
      </c>
      <c r="AE157" s="102" t="str">
        <f t="array" ref="AE157">_xlfn.XLOOKUP("Storage",Stock1!B157,Stock1!I157,"")</f>
        <v/>
      </c>
      <c r="AF157" s="102" t="str">
        <f t="array" ref="AF157">_xlfn.XLOOKUP(AE157,Stock1!I157,Stock1!F157,"")</f>
        <v/>
      </c>
      <c r="AG157" s="102" t="str">
        <f t="array" ref="AG157">_xlfn.XLOOKUP(AE157,Stock1!I157,Stock1!J157,"")</f>
        <v/>
      </c>
    </row>
    <row r="158">
      <c r="K158" s="660" t="str">
        <f t="array" ref="K158">IFERROR(_xlfn.XLOOKUP(I158,Incentive!B:B,Incentive!E:E,""),"")</f>
        <v/>
      </c>
      <c r="L158" s="659" t="str">
        <f>IFERROR(VLOOKUP(I158,Stock1!F:J,5,False),"")</f>
        <v/>
      </c>
      <c r="M158" s="659" t="str">
        <f>IFERROR(VLOOKUP(I158,Stock2!F:J,5,False),"")</f>
        <v/>
      </c>
      <c r="V158" s="102" t="str">
        <f t="array" ref="V158">_xlfn.XLOOKUP("Charger",Stock1!B158,Stock1!I158,"")</f>
        <v/>
      </c>
      <c r="W158" s="102" t="str">
        <f t="array" ref="W158">_xlfn.XLOOKUP(V158,Stock1!I158,Stock1!F158,"")</f>
        <v/>
      </c>
      <c r="X158" s="102" t="str">
        <f t="array" ref="X158">_xlfn.XLOOKUP(V158,Stock1!I158,Stock1!J158,"")</f>
        <v/>
      </c>
      <c r="Y158" s="102" t="str">
        <f t="array" ref="Y158">_xlfn.XLOOKUP("Screen Protector for Android Phone and Other",Stock1!B158,Stock1!I158,"")</f>
        <v>[CS]Focus TG FF Samsung Galaxy A26 5G/A17 5G Black</v>
      </c>
      <c r="Z158" s="102" t="str">
        <f t="array" ref="Z158">_xlfn.XLOOKUP("Screen Protector for Galaxy Phone",Stock1!B158,Stock1!I158,"")</f>
        <v/>
      </c>
      <c r="AA158" s="102" t="str">
        <f t="array" ref="AA158">_xlfn.XLOOKUP("Screen Protector for Galaxy Tab",Stock1!B158,Stock1!I158,"")</f>
        <v/>
      </c>
      <c r="AB158" s="102" t="str">
        <f t="shared" si="4"/>
        <v>[CS]Focus TG FF Samsung Galaxy A26 5G/A17 5G Black</v>
      </c>
      <c r="AC158" s="429" t="str">
        <f t="array" ref="AC158">_xlfn.XLOOKUP(AB158,Stock1!I158,Stock1!F158,"")</f>
        <v>8859703433569</v>
      </c>
      <c r="AD158" s="102">
        <f t="array" ref="AD158">_xlfn.XLOOKUP(AB158,Stock1!I158,Stock1!J158,"")</f>
        <v>4</v>
      </c>
      <c r="AE158" s="102" t="str">
        <f t="array" ref="AE158">_xlfn.XLOOKUP("Storage",Stock1!B158,Stock1!I158,"")</f>
        <v/>
      </c>
      <c r="AF158" s="102" t="str">
        <f t="array" ref="AF158">_xlfn.XLOOKUP(AE158,Stock1!I158,Stock1!F158,"")</f>
        <v/>
      </c>
      <c r="AG158" s="102" t="str">
        <f t="array" ref="AG158">_xlfn.XLOOKUP(AE158,Stock1!I158,Stock1!J158,"")</f>
        <v/>
      </c>
    </row>
    <row r="159">
      <c r="K159" s="660" t="str">
        <f t="array" ref="K159">IFERROR(_xlfn.XLOOKUP(I159,Incentive!B:B,Incentive!E:E,""),"")</f>
        <v/>
      </c>
      <c r="L159" s="659" t="str">
        <f>IFERROR(VLOOKUP(I159,Stock1!F:J,5,False),"")</f>
        <v/>
      </c>
      <c r="M159" s="659" t="str">
        <f>IFERROR(VLOOKUP(I159,Stock2!F:J,5,False),"")</f>
        <v/>
      </c>
      <c r="V159" s="102" t="str">
        <f t="array" ref="V159">_xlfn.XLOOKUP("Charger",Stock1!B159,Stock1!I159,"")</f>
        <v/>
      </c>
      <c r="W159" s="102" t="str">
        <f t="array" ref="W159">_xlfn.XLOOKUP(V159,Stock1!I159,Stock1!F159,"")</f>
        <v/>
      </c>
      <c r="X159" s="102" t="str">
        <f t="array" ref="X159">_xlfn.XLOOKUP(V159,Stock1!I159,Stock1!J159,"")</f>
        <v/>
      </c>
      <c r="Y159" s="102" t="str">
        <f t="array" ref="Y159">_xlfn.XLOOKUP("Screen Protector for Android Phone and Other",Stock1!B159,Stock1!I159,"")</f>
        <v>[CS]Focus TG FF Samsung Galaxy A27 5G Black</v>
      </c>
      <c r="Z159" s="102" t="str">
        <f t="array" ref="Z159">_xlfn.XLOOKUP("Screen Protector for Galaxy Phone",Stock1!B159,Stock1!I159,"")</f>
        <v/>
      </c>
      <c r="AA159" s="102" t="str">
        <f t="array" ref="AA159">_xlfn.XLOOKUP("Screen Protector for Galaxy Tab",Stock1!B159,Stock1!I159,"")</f>
        <v/>
      </c>
      <c r="AB159" s="102" t="str">
        <f t="shared" si="4"/>
        <v>[CS]Focus TG FF Samsung Galaxy A27 5G Black</v>
      </c>
      <c r="AC159" s="429" t="str">
        <f t="array" ref="AC159">_xlfn.XLOOKUP(AB159,Stock1!I159,Stock1!F159,"")</f>
        <v>8859703443339</v>
      </c>
      <c r="AD159" s="102">
        <f t="array" ref="AD159">_xlfn.XLOOKUP(AB159,Stock1!I159,Stock1!J159,"")</f>
        <v>12</v>
      </c>
      <c r="AE159" s="102" t="str">
        <f t="array" ref="AE159">_xlfn.XLOOKUP("Storage",Stock1!B159,Stock1!I159,"")</f>
        <v/>
      </c>
      <c r="AF159" s="102" t="str">
        <f t="array" ref="AF159">_xlfn.XLOOKUP(AE159,Stock1!I159,Stock1!F159,"")</f>
        <v/>
      </c>
      <c r="AG159" s="102" t="str">
        <f t="array" ref="AG159">_xlfn.XLOOKUP(AE159,Stock1!I159,Stock1!J159,"")</f>
        <v/>
      </c>
    </row>
    <row r="160">
      <c r="K160" s="660" t="str">
        <f t="array" ref="K160">IFERROR(_xlfn.XLOOKUP(I160,Incentive!B:B,Incentive!E:E,""),"")</f>
        <v/>
      </c>
      <c r="L160" s="659" t="str">
        <f>IFERROR(VLOOKUP(I160,Stock1!F:J,5,False),"")</f>
        <v/>
      </c>
      <c r="M160" s="659" t="str">
        <f>IFERROR(VLOOKUP(I160,Stock2!F:J,5,False),"")</f>
        <v/>
      </c>
      <c r="V160" s="102" t="str">
        <f t="array" ref="V160">_xlfn.XLOOKUP("Charger",Stock1!B160,Stock1!I160,"")</f>
        <v/>
      </c>
      <c r="W160" s="102" t="str">
        <f t="array" ref="W160">_xlfn.XLOOKUP(V160,Stock1!I160,Stock1!F160,"")</f>
        <v/>
      </c>
      <c r="X160" s="102" t="str">
        <f t="array" ref="X160">_xlfn.XLOOKUP(V160,Stock1!I160,Stock1!J160,"")</f>
        <v/>
      </c>
      <c r="Y160" s="102" t="str">
        <f t="array" ref="Y160">_xlfn.XLOOKUP("Screen Protector for Android Phone and Other",Stock1!B160,Stock1!I160,"")</f>
        <v>[CS]Hishield Tempered Glass FC 2.5D for Samsung A37</v>
      </c>
      <c r="Z160" s="102" t="str">
        <f t="array" ref="Z160">_xlfn.XLOOKUP("Screen Protector for Galaxy Phone",Stock1!B160,Stock1!I160,"")</f>
        <v/>
      </c>
      <c r="AA160" s="102" t="str">
        <f t="array" ref="AA160">_xlfn.XLOOKUP("Screen Protector for Galaxy Tab",Stock1!B160,Stock1!I160,"")</f>
        <v/>
      </c>
      <c r="AB160" s="102" t="str">
        <f t="shared" si="4"/>
        <v>[CS]Hishield Tempered Glass FC 2.5D for Samsung A37</v>
      </c>
      <c r="AC160" s="429" t="str">
        <f t="array" ref="AC160">_xlfn.XLOOKUP(AB160,Stock1!I160,Stock1!F160,"")</f>
        <v>8859216846719</v>
      </c>
      <c r="AD160" s="102">
        <f t="array" ref="AD160">_xlfn.XLOOKUP(AB160,Stock1!I160,Stock1!J160,"")</f>
        <v>35</v>
      </c>
      <c r="AE160" s="102" t="str">
        <f t="array" ref="AE160">_xlfn.XLOOKUP("Storage",Stock1!B160,Stock1!I160,"")</f>
        <v/>
      </c>
      <c r="AF160" s="102" t="str">
        <f t="array" ref="AF160">_xlfn.XLOOKUP(AE160,Stock1!I160,Stock1!F160,"")</f>
        <v/>
      </c>
      <c r="AG160" s="102" t="str">
        <f t="array" ref="AG160">_xlfn.XLOOKUP(AE160,Stock1!I160,Stock1!J160,"")</f>
        <v/>
      </c>
    </row>
    <row r="161">
      <c r="K161" s="660" t="str">
        <f t="array" ref="K161">IFERROR(_xlfn.XLOOKUP(I161,Incentive!B:B,Incentive!E:E,""),"")</f>
        <v/>
      </c>
      <c r="L161" s="659" t="str">
        <f>IFERROR(VLOOKUP(I161,Stock1!F:J,5,False),"")</f>
        <v/>
      </c>
      <c r="M161" s="659" t="str">
        <f>IFERROR(VLOOKUP(I161,Stock2!F:J,5,False),"")</f>
        <v/>
      </c>
      <c r="V161" s="102" t="str">
        <f t="array" ref="V161">_xlfn.XLOOKUP("Charger",Stock1!B161,Stock1!I161,"")</f>
        <v/>
      </c>
      <c r="W161" s="102" t="str">
        <f t="array" ref="W161">_xlfn.XLOOKUP(V161,Stock1!I161,Stock1!F161,"")</f>
        <v/>
      </c>
      <c r="X161" s="102" t="str">
        <f t="array" ref="X161">_xlfn.XLOOKUP(V161,Stock1!I161,Stock1!J161,"")</f>
        <v/>
      </c>
      <c r="Y161" s="102" t="str">
        <f t="array" ref="Y161">_xlfn.XLOOKUP("Screen Protector for Android Phone and Other",Stock1!B161,Stock1!I161,"")</f>
        <v>[CS]Hishield Tempered Glass FC 2.5D for Samsung A57</v>
      </c>
      <c r="Z161" s="102" t="str">
        <f t="array" ref="Z161">_xlfn.XLOOKUP("Screen Protector for Galaxy Phone",Stock1!B161,Stock1!I161,"")</f>
        <v/>
      </c>
      <c r="AA161" s="102" t="str">
        <f t="array" ref="AA161">_xlfn.XLOOKUP("Screen Protector for Galaxy Tab",Stock1!B161,Stock1!I161,"")</f>
        <v/>
      </c>
      <c r="AB161" s="102" t="str">
        <f t="shared" si="4"/>
        <v>[CS]Hishield Tempered Glass FC 2.5D for Samsung A57</v>
      </c>
      <c r="AC161" s="429" t="str">
        <f t="array" ref="AC161">_xlfn.XLOOKUP(AB161,Stock1!I161,Stock1!F161,"")</f>
        <v>8859216846726</v>
      </c>
      <c r="AD161" s="102">
        <f t="array" ref="AD161">_xlfn.XLOOKUP(AB161,Stock1!I161,Stock1!J161,"")</f>
        <v>10</v>
      </c>
      <c r="AE161" s="102" t="str">
        <f t="array" ref="AE161">_xlfn.XLOOKUP("Storage",Stock1!B161,Stock1!I161,"")</f>
        <v/>
      </c>
      <c r="AF161" s="102" t="str">
        <f t="array" ref="AF161">_xlfn.XLOOKUP(AE161,Stock1!I161,Stock1!F161,"")</f>
        <v/>
      </c>
      <c r="AG161" s="102" t="str">
        <f t="array" ref="AG161">_xlfn.XLOOKUP(AE161,Stock1!I161,Stock1!J161,"")</f>
        <v/>
      </c>
    </row>
    <row r="162">
      <c r="K162" s="660" t="str">
        <f t="array" ref="K162">IFERROR(_xlfn.XLOOKUP(I162,Incentive!B:B,Incentive!E:E,""),"")</f>
        <v/>
      </c>
      <c r="L162" s="659" t="str">
        <f>IFERROR(VLOOKUP(I162,Stock1!F:J,5,False),"")</f>
        <v/>
      </c>
      <c r="M162" s="659" t="str">
        <f>IFERROR(VLOOKUP(I162,Stock2!F:J,5,False),"")</f>
        <v/>
      </c>
      <c r="V162" s="102" t="str">
        <f t="array" ref="V162">_xlfn.XLOOKUP("Charger",Stock1!B162,Stock1!I162,"")</f>
        <v/>
      </c>
      <c r="W162" s="102" t="str">
        <f t="array" ref="W162">_xlfn.XLOOKUP(V162,Stock1!I162,Stock1!F162,"")</f>
        <v/>
      </c>
      <c r="X162" s="102" t="str">
        <f t="array" ref="X162">_xlfn.XLOOKUP(V162,Stock1!I162,Stock1!J162,"")</f>
        <v/>
      </c>
      <c r="Y162" s="102" t="str">
        <f t="array" ref="Y162">_xlfn.XLOOKUP("Screen Protector for Android Phone and Other",Stock1!B162,Stock1!I162,"")</f>
        <v>[CS]Focus TG FF Samsung Galaxy A36 5G/A56 5G Black</v>
      </c>
      <c r="Z162" s="102" t="str">
        <f t="array" ref="Z162">_xlfn.XLOOKUP("Screen Protector for Galaxy Phone",Stock1!B162,Stock1!I162,"")</f>
        <v/>
      </c>
      <c r="AA162" s="102" t="str">
        <f t="array" ref="AA162">_xlfn.XLOOKUP("Screen Protector for Galaxy Tab",Stock1!B162,Stock1!I162,"")</f>
        <v/>
      </c>
      <c r="AB162" s="102" t="str">
        <f t="shared" si="4"/>
        <v>[CS]Focus TG FF Samsung Galaxy A36 5G/A56 5G Black</v>
      </c>
      <c r="AC162" s="429" t="str">
        <f t="array" ref="AC162">_xlfn.XLOOKUP(AB162,Stock1!I162,Stock1!F162,"")</f>
        <v>8859703433828</v>
      </c>
      <c r="AD162" s="102">
        <f t="array" ref="AD162">_xlfn.XLOOKUP(AB162,Stock1!I162,Stock1!J162,"")</f>
        <v>9</v>
      </c>
      <c r="AE162" s="102" t="str">
        <f t="array" ref="AE162">_xlfn.XLOOKUP("Storage",Stock1!B162,Stock1!I162,"")</f>
        <v/>
      </c>
      <c r="AF162" s="102" t="str">
        <f t="array" ref="AF162">_xlfn.XLOOKUP(AE162,Stock1!I162,Stock1!F162,"")</f>
        <v/>
      </c>
      <c r="AG162" s="102" t="str">
        <f t="array" ref="AG162">_xlfn.XLOOKUP(AE162,Stock1!I162,Stock1!J162,"")</f>
        <v/>
      </c>
    </row>
    <row r="163">
      <c r="K163" s="660" t="str">
        <f t="array" ref="K163">IFERROR(_xlfn.XLOOKUP(I163,Incentive!B:B,Incentive!E:E,""),"")</f>
        <v/>
      </c>
      <c r="L163" s="659" t="str">
        <f>IFERROR(VLOOKUP(I163,Stock1!F:J,5,False),"")</f>
        <v/>
      </c>
      <c r="M163" s="659" t="str">
        <f>IFERROR(VLOOKUP(I163,Stock2!F:J,5,False),"")</f>
        <v/>
      </c>
      <c r="V163" s="102" t="str">
        <f t="array" ref="V163">_xlfn.XLOOKUP("Charger",Stock1!B163,Stock1!I163,"")</f>
        <v/>
      </c>
      <c r="W163" s="102" t="str">
        <f t="array" ref="W163">_xlfn.XLOOKUP(V163,Stock1!I163,Stock1!F163,"")</f>
        <v/>
      </c>
      <c r="X163" s="102" t="str">
        <f t="array" ref="X163">_xlfn.XLOOKUP(V163,Stock1!I163,Stock1!J163,"")</f>
        <v/>
      </c>
      <c r="Y163" s="102" t="str">
        <f t="array" ref="Y163">_xlfn.XLOOKUP("Screen Protector for Android Phone and Other",Stock1!B163,Stock1!I163,"")</f>
        <v>[CS]Focus TG FF Samsung Galaxy A57 5G Black</v>
      </c>
      <c r="Z163" s="102" t="str">
        <f t="array" ref="Z163">_xlfn.XLOOKUP("Screen Protector for Galaxy Phone",Stock1!B163,Stock1!I163,"")</f>
        <v/>
      </c>
      <c r="AA163" s="102" t="str">
        <f t="array" ref="AA163">_xlfn.XLOOKUP("Screen Protector for Galaxy Tab",Stock1!B163,Stock1!I163,"")</f>
        <v/>
      </c>
      <c r="AB163" s="102" t="str">
        <f t="shared" si="4"/>
        <v>[CS]Focus TG FF Samsung Galaxy A57 5G Black</v>
      </c>
      <c r="AC163" s="429" t="str">
        <f t="array" ref="AC163">_xlfn.XLOOKUP(AB163,Stock1!I163,Stock1!F163,"")</f>
        <v>8859703437345</v>
      </c>
      <c r="AD163" s="102">
        <f t="array" ref="AD163">_xlfn.XLOOKUP(AB163,Stock1!I163,Stock1!J163,"")</f>
        <v>36</v>
      </c>
      <c r="AE163" s="102" t="str">
        <f t="array" ref="AE163">_xlfn.XLOOKUP("Storage",Stock1!B163,Stock1!I163,"")</f>
        <v/>
      </c>
      <c r="AF163" s="102" t="str">
        <f t="array" ref="AF163">_xlfn.XLOOKUP(AE163,Stock1!I163,Stock1!F163,"")</f>
        <v/>
      </c>
      <c r="AG163" s="102" t="str">
        <f t="array" ref="AG163">_xlfn.XLOOKUP(AE163,Stock1!I163,Stock1!J163,"")</f>
        <v/>
      </c>
    </row>
    <row r="164">
      <c r="K164" s="660" t="str">
        <f t="array" ref="K164">IFERROR(_xlfn.XLOOKUP(I164,Incentive!B:B,Incentive!E:E,""),"")</f>
        <v/>
      </c>
      <c r="L164" s="659" t="str">
        <f>IFERROR(VLOOKUP(I164,Stock1!F:J,5,False),"")</f>
        <v/>
      </c>
      <c r="M164" s="659" t="str">
        <f>IFERROR(VLOOKUP(I164,Stock2!F:J,5,False),"")</f>
        <v/>
      </c>
      <c r="V164" s="102" t="str">
        <f t="array" ref="V164">_xlfn.XLOOKUP("Charger",Stock1!B164,Stock1!I164,"")</f>
        <v/>
      </c>
      <c r="W164" s="102" t="str">
        <f t="array" ref="W164">_xlfn.XLOOKUP(V164,Stock1!I164,Stock1!F164,"")</f>
        <v/>
      </c>
      <c r="X164" s="102" t="str">
        <f t="array" ref="X164">_xlfn.XLOOKUP(V164,Stock1!I164,Stock1!J164,"")</f>
        <v/>
      </c>
      <c r="Y164" s="102" t="str">
        <f t="array" ref="Y164">_xlfn.XLOOKUP("Screen Protector for Android Phone and Other",Stock1!B164,Stock1!I164,"")</f>
        <v>Samsung Galaxy Fold8 Anti-reflecting Film - Transparent</v>
      </c>
      <c r="Z164" s="102" t="str">
        <f t="array" ref="Z164">_xlfn.XLOOKUP("Screen Protector for Galaxy Phone",Stock1!B164,Stock1!I164,"")</f>
        <v/>
      </c>
      <c r="AA164" s="102" t="str">
        <f t="array" ref="AA164">_xlfn.XLOOKUP("Screen Protector for Galaxy Tab",Stock1!B164,Stock1!I164,"")</f>
        <v/>
      </c>
      <c r="AB164" s="102" t="str">
        <f t="shared" si="4"/>
        <v>Samsung Galaxy Fold8 Anti-reflecting Film - Transparent</v>
      </c>
      <c r="AC164" s="429" t="str">
        <f t="array" ref="AC164">_xlfn.XLOOKUP(AB164,Stock1!I164,Stock1!F164,"")</f>
        <v>EF-UF971CTEGWW</v>
      </c>
      <c r="AD164" s="102">
        <f t="array" ref="AD164">_xlfn.XLOOKUP(AB164,Stock1!I164,Stock1!J164,"")</f>
        <v>1</v>
      </c>
      <c r="AE164" s="102" t="str">
        <f t="array" ref="AE164">_xlfn.XLOOKUP("Storage",Stock1!B164,Stock1!I164,"")</f>
        <v/>
      </c>
      <c r="AF164" s="102" t="str">
        <f t="array" ref="AF164">_xlfn.XLOOKUP(AE164,Stock1!I164,Stock1!F164,"")</f>
        <v/>
      </c>
      <c r="AG164" s="102" t="str">
        <f t="array" ref="AG164">_xlfn.XLOOKUP(AE164,Stock1!I164,Stock1!J164,"")</f>
        <v/>
      </c>
    </row>
    <row r="165">
      <c r="K165" s="660" t="str">
        <f t="array" ref="K165">IFERROR(_xlfn.XLOOKUP(I165,Incentive!B:B,Incentive!E:E,""),"")</f>
        <v/>
      </c>
      <c r="L165" s="659" t="str">
        <f>IFERROR(VLOOKUP(I165,Stock1!F:J,5,False),"")</f>
        <v/>
      </c>
      <c r="M165" s="659" t="str">
        <f>IFERROR(VLOOKUP(I165,Stock2!F:J,5,False),"")</f>
        <v/>
      </c>
      <c r="V165" s="102" t="str">
        <f t="array" ref="V165">_xlfn.XLOOKUP("Charger",Stock1!B165,Stock1!I165,"")</f>
        <v/>
      </c>
      <c r="W165" s="102" t="str">
        <f t="array" ref="W165">_xlfn.XLOOKUP(V165,Stock1!I165,Stock1!F165,"")</f>
        <v/>
      </c>
      <c r="X165" s="102" t="str">
        <f t="array" ref="X165">_xlfn.XLOOKUP(V165,Stock1!I165,Stock1!J165,"")</f>
        <v/>
      </c>
      <c r="Y165" s="102" t="str">
        <f t="array" ref="Y165">_xlfn.XLOOKUP("Screen Protector for Android Phone and Other",Stock1!B165,Stock1!I165,"")</f>
        <v>[CS]Focus TG FF Samsung Galaxy S25 FE Black</v>
      </c>
      <c r="Z165" s="102" t="str">
        <f t="array" ref="Z165">_xlfn.XLOOKUP("Screen Protector for Galaxy Phone",Stock1!B165,Stock1!I165,"")</f>
        <v/>
      </c>
      <c r="AA165" s="102" t="str">
        <f t="array" ref="AA165">_xlfn.XLOOKUP("Screen Protector for Galaxy Tab",Stock1!B165,Stock1!I165,"")</f>
        <v/>
      </c>
      <c r="AB165" s="102" t="str">
        <f t="shared" si="4"/>
        <v>[CS]Focus TG FF Samsung Galaxy S25 FE Black</v>
      </c>
      <c r="AC165" s="429" t="str">
        <f t="array" ref="AC165">_xlfn.XLOOKUP(AB165,Stock1!I165,Stock1!F165,"")</f>
        <v>8859703436560</v>
      </c>
      <c r="AD165" s="102">
        <f t="array" ref="AD165">_xlfn.XLOOKUP(AB165,Stock1!I165,Stock1!J165,"")</f>
        <v>19</v>
      </c>
      <c r="AE165" s="102" t="str">
        <f t="array" ref="AE165">_xlfn.XLOOKUP("Storage",Stock1!B165,Stock1!I165,"")</f>
        <v/>
      </c>
      <c r="AF165" s="102" t="str">
        <f t="array" ref="AF165">_xlfn.XLOOKUP(AE165,Stock1!I165,Stock1!F165,"")</f>
        <v/>
      </c>
      <c r="AG165" s="102" t="str">
        <f t="array" ref="AG165">_xlfn.XLOOKUP(AE165,Stock1!I165,Stock1!J165,"")</f>
        <v/>
      </c>
    </row>
    <row r="166">
      <c r="K166" s="660" t="str">
        <f t="array" ref="K166">IFERROR(_xlfn.XLOOKUP(I166,Incentive!B:B,Incentive!E:E,""),"")</f>
        <v/>
      </c>
      <c r="L166" s="659" t="str">
        <f>IFERROR(VLOOKUP(I166,Stock1!F:J,5,False),"")</f>
        <v/>
      </c>
      <c r="M166" s="659" t="str">
        <f>IFERROR(VLOOKUP(I166,Stock2!F:J,5,False),"")</f>
        <v/>
      </c>
      <c r="V166" s="102" t="str">
        <f t="array" ref="V166">_xlfn.XLOOKUP("Charger",Stock1!B166,Stock1!I166,"")</f>
        <v/>
      </c>
      <c r="W166" s="102" t="str">
        <f t="array" ref="W166">_xlfn.XLOOKUP(V166,Stock1!I166,Stock1!F166,"")</f>
        <v/>
      </c>
      <c r="X166" s="102" t="str">
        <f t="array" ref="X166">_xlfn.XLOOKUP(V166,Stock1!I166,Stock1!J166,"")</f>
        <v/>
      </c>
      <c r="Y166" s="102" t="str">
        <f t="array" ref="Y166">_xlfn.XLOOKUP("Screen Protector for Android Phone and Other",Stock1!B166,Stock1!I166,"")</f>
        <v>[CS]HISHIELD TemperedGlass FC 2.5D Samsung S25 FE</v>
      </c>
      <c r="Z166" s="102" t="str">
        <f t="array" ref="Z166">_xlfn.XLOOKUP("Screen Protector for Galaxy Phone",Stock1!B166,Stock1!I166,"")</f>
        <v/>
      </c>
      <c r="AA166" s="102" t="str">
        <f t="array" ref="AA166">_xlfn.XLOOKUP("Screen Protector for Galaxy Tab",Stock1!B166,Stock1!I166,"")</f>
        <v/>
      </c>
      <c r="AB166" s="102" t="str">
        <f t="shared" si="4"/>
        <v>[CS]HISHIELD TemperedGlass FC 2.5D Samsung S25 FE</v>
      </c>
      <c r="AC166" s="429" t="str">
        <f t="array" ref="AC166">_xlfn.XLOOKUP(AB166,Stock1!I166,Stock1!F166,"")</f>
        <v>8859216804030</v>
      </c>
      <c r="AD166" s="102">
        <f t="array" ref="AD166">_xlfn.XLOOKUP(AB166,Stock1!I166,Stock1!J166,"")</f>
        <v>11</v>
      </c>
      <c r="AE166" s="102" t="str">
        <f t="array" ref="AE166">_xlfn.XLOOKUP("Storage",Stock1!B166,Stock1!I166,"")</f>
        <v/>
      </c>
      <c r="AF166" s="102" t="str">
        <f t="array" ref="AF166">_xlfn.XLOOKUP(AE166,Stock1!I166,Stock1!F166,"")</f>
        <v/>
      </c>
      <c r="AG166" s="102" t="str">
        <f t="array" ref="AG166">_xlfn.XLOOKUP(AE166,Stock1!I166,Stock1!J166,"")</f>
        <v/>
      </c>
    </row>
    <row r="167">
      <c r="K167" s="660" t="str">
        <f t="array" ref="K167">IFERROR(_xlfn.XLOOKUP(I167,Incentive!B:B,Incentive!E:E,""),"")</f>
        <v/>
      </c>
      <c r="L167" s="659" t="str">
        <f>IFERROR(VLOOKUP(I167,Stock1!F:J,5,False),"")</f>
        <v/>
      </c>
      <c r="M167" s="659" t="str">
        <f>IFERROR(VLOOKUP(I167,Stock2!F:J,5,False),"")</f>
        <v/>
      </c>
      <c r="V167" s="102" t="str">
        <f t="array" ref="V167">_xlfn.XLOOKUP("Charger",Stock1!B167,Stock1!I167,"")</f>
        <v/>
      </c>
      <c r="W167" s="102" t="str">
        <f t="array" ref="W167">_xlfn.XLOOKUP(V167,Stock1!I167,Stock1!F167,"")</f>
        <v/>
      </c>
      <c r="X167" s="102" t="str">
        <f t="array" ref="X167">_xlfn.XLOOKUP(V167,Stock1!I167,Stock1!J167,"")</f>
        <v/>
      </c>
      <c r="Y167" s="102" t="str">
        <f t="array" ref="Y167">_xlfn.XLOOKUP("Screen Protector for Android Phone and Other",Stock1!B167,Stock1!I167,"")</f>
        <v>Samsung Galaxy S26FE Anti-reflecting Film - Transparency</v>
      </c>
      <c r="Z167" s="102" t="str">
        <f t="array" ref="Z167">_xlfn.XLOOKUP("Screen Protector for Galaxy Phone",Stock1!B167,Stock1!I167,"")</f>
        <v/>
      </c>
      <c r="AA167" s="102" t="str">
        <f t="array" ref="AA167">_xlfn.XLOOKUP("Screen Protector for Galaxy Tab",Stock1!B167,Stock1!I167,"")</f>
        <v/>
      </c>
      <c r="AB167" s="102" t="str">
        <f t="shared" si="4"/>
        <v>Samsung Galaxy S26FE Anti-reflecting Film - Transparency</v>
      </c>
      <c r="AC167" s="429" t="str">
        <f t="array" ref="AC167">_xlfn.XLOOKUP(AB167,Stock1!I167,Stock1!F167,"")</f>
        <v>EF-US741CTEGWW</v>
      </c>
      <c r="AD167" s="102">
        <f t="array" ref="AD167">_xlfn.XLOOKUP(AB167,Stock1!I167,Stock1!J167,"")</f>
        <v>2</v>
      </c>
      <c r="AE167" s="102" t="str">
        <f t="array" ref="AE167">_xlfn.XLOOKUP("Storage",Stock1!B167,Stock1!I167,"")</f>
        <v/>
      </c>
      <c r="AF167" s="102" t="str">
        <f t="array" ref="AF167">_xlfn.XLOOKUP(AE167,Stock1!I167,Stock1!F167,"")</f>
        <v/>
      </c>
      <c r="AG167" s="102" t="str">
        <f t="array" ref="AG167">_xlfn.XLOOKUP(AE167,Stock1!I167,Stock1!J167,"")</f>
        <v/>
      </c>
    </row>
    <row r="168">
      <c r="K168" s="660" t="str">
        <f t="array" ref="K168">IFERROR(_xlfn.XLOOKUP(I168,Incentive!B:B,Incentive!E:E,""),"")</f>
        <v/>
      </c>
      <c r="L168" s="659" t="str">
        <f>IFERROR(VLOOKUP(I168,Stock1!F:J,5,False),"")</f>
        <v/>
      </c>
      <c r="M168" s="659" t="str">
        <f>IFERROR(VLOOKUP(I168,Stock2!F:J,5,False),"")</f>
        <v/>
      </c>
      <c r="V168" s="102" t="str">
        <f t="array" ref="V168">_xlfn.XLOOKUP("Charger",Stock1!B168,Stock1!I168,"")</f>
        <v/>
      </c>
      <c r="W168" s="102" t="str">
        <f t="array" ref="W168">_xlfn.XLOOKUP(V168,Stock1!I168,Stock1!F168,"")</f>
        <v/>
      </c>
      <c r="X168" s="102" t="str">
        <f t="array" ref="X168">_xlfn.XLOOKUP(V168,Stock1!I168,Stock1!J168,"")</f>
        <v/>
      </c>
      <c r="Y168" s="102" t="str">
        <f t="array" ref="Y168">_xlfn.XLOOKUP("Screen Protector for Android Phone and Other",Stock1!B168,Stock1!I168,"")</f>
        <v>[CS]Hishield Hydrogel Film/Size S(18x12cm) - Ultra Clear</v>
      </c>
      <c r="Z168" s="102" t="str">
        <f t="array" ref="Z168">_xlfn.XLOOKUP("Screen Protector for Galaxy Phone",Stock1!B168,Stock1!I168,"")</f>
        <v/>
      </c>
      <c r="AA168" s="102" t="str">
        <f t="array" ref="AA168">_xlfn.XLOOKUP("Screen Protector for Galaxy Tab",Stock1!B168,Stock1!I168,"")</f>
        <v/>
      </c>
      <c r="AB168" s="102" t="str">
        <f t="shared" si="4"/>
        <v>[CS]Hishield Hydrogel Film/Size S(18x12cm) - Ultra Clear</v>
      </c>
      <c r="AC168" s="429" t="str">
        <f t="array" ref="AC168">_xlfn.XLOOKUP(AB168,Stock1!I168,Stock1!F168,"")</f>
        <v>8859216623860</v>
      </c>
      <c r="AD168" s="102">
        <f t="array" ref="AD168">_xlfn.XLOOKUP(AB168,Stock1!I168,Stock1!J168,"")</f>
        <v>32</v>
      </c>
      <c r="AE168" s="102" t="str">
        <f t="array" ref="AE168">_xlfn.XLOOKUP("Storage",Stock1!B168,Stock1!I168,"")</f>
        <v/>
      </c>
      <c r="AF168" s="102" t="str">
        <f t="array" ref="AF168">_xlfn.XLOOKUP(AE168,Stock1!I168,Stock1!F168,"")</f>
        <v/>
      </c>
      <c r="AG168" s="102" t="str">
        <f t="array" ref="AG168">_xlfn.XLOOKUP(AE168,Stock1!I168,Stock1!J168,"")</f>
        <v/>
      </c>
    </row>
    <row r="169">
      <c r="K169" s="660" t="str">
        <f t="array" ref="K169">IFERROR(_xlfn.XLOOKUP(I169,Incentive!B:B,Incentive!E:E,""),"")</f>
        <v/>
      </c>
      <c r="L169" s="659" t="str">
        <f>IFERROR(VLOOKUP(I169,Stock1!F:J,5,False),"")</f>
        <v/>
      </c>
      <c r="M169" s="659" t="str">
        <f>IFERROR(VLOOKUP(I169,Stock2!F:J,5,False),"")</f>
        <v/>
      </c>
      <c r="V169" s="102" t="str">
        <f t="array" ref="V169">_xlfn.XLOOKUP("Charger",Stock1!B169,Stock1!I169,"")</f>
        <v/>
      </c>
      <c r="W169" s="102" t="str">
        <f t="array" ref="W169">_xlfn.XLOOKUP(V169,Stock1!I169,Stock1!F169,"")</f>
        <v/>
      </c>
      <c r="X169" s="102" t="str">
        <f t="array" ref="X169">_xlfn.XLOOKUP(V169,Stock1!I169,Stock1!J169,"")</f>
        <v/>
      </c>
      <c r="Y169" s="102" t="str">
        <f t="array" ref="Y169">_xlfn.XLOOKUP("Screen Protector for Android Phone and Other",Stock1!B169,Stock1!I169,"")</f>
        <v>[CS]Hishield Hydrogel Film/Size S(18x12cm) - Anti Glare Gray</v>
      </c>
      <c r="Z169" s="102" t="str">
        <f t="array" ref="Z169">_xlfn.XLOOKUP("Screen Protector for Galaxy Phone",Stock1!B169,Stock1!I169,"")</f>
        <v/>
      </c>
      <c r="AA169" s="102" t="str">
        <f t="array" ref="AA169">_xlfn.XLOOKUP("Screen Protector for Galaxy Tab",Stock1!B169,Stock1!I169,"")</f>
        <v/>
      </c>
      <c r="AB169" s="102" t="str">
        <f t="shared" si="4"/>
        <v>[CS]Hishield Hydrogel Film/Size S(18x12cm) - Anti Glare Gray</v>
      </c>
      <c r="AC169" s="429" t="str">
        <f t="array" ref="AC169">_xlfn.XLOOKUP(AB169,Stock1!I169,Stock1!F169,"")</f>
        <v>8859216623877</v>
      </c>
      <c r="AD169" s="102">
        <f t="array" ref="AD169">_xlfn.XLOOKUP(AB169,Stock1!I169,Stock1!J169,"")</f>
        <v>32</v>
      </c>
      <c r="AE169" s="102" t="str">
        <f t="array" ref="AE169">_xlfn.XLOOKUP("Storage",Stock1!B169,Stock1!I169,"")</f>
        <v/>
      </c>
      <c r="AF169" s="102" t="str">
        <f t="array" ref="AF169">_xlfn.XLOOKUP(AE169,Stock1!I169,Stock1!F169,"")</f>
        <v/>
      </c>
      <c r="AG169" s="102" t="str">
        <f t="array" ref="AG169">_xlfn.XLOOKUP(AE169,Stock1!I169,Stock1!J169,"")</f>
        <v/>
      </c>
    </row>
    <row r="170">
      <c r="K170" s="660" t="str">
        <f t="array" ref="K170">IFERROR(_xlfn.XLOOKUP(I170,Incentive!B:B,Incentive!E:E,""),"")</f>
        <v/>
      </c>
      <c r="L170" s="659" t="str">
        <f>IFERROR(VLOOKUP(I170,Stock1!F:J,5,False),"")</f>
        <v/>
      </c>
      <c r="M170" s="659" t="str">
        <f>IFERROR(VLOOKUP(I170,Stock2!F:J,5,False),"")</f>
        <v/>
      </c>
      <c r="V170" s="102" t="str">
        <f t="array" ref="V170">_xlfn.XLOOKUP("Charger",Stock1!B170,Stock1!I170,"")</f>
        <v/>
      </c>
      <c r="W170" s="102" t="str">
        <f t="array" ref="W170">_xlfn.XLOOKUP(V170,Stock1!I170,Stock1!F170,"")</f>
        <v/>
      </c>
      <c r="X170" s="102" t="str">
        <f t="array" ref="X170">_xlfn.XLOOKUP(V170,Stock1!I170,Stock1!J170,"")</f>
        <v/>
      </c>
      <c r="Y170" s="102" t="str">
        <f t="array" ref="Y170">_xlfn.XLOOKUP("Screen Protector for Android Phone and Other",Stock1!B170,Stock1!I170,"")</f>
        <v>[CS]Focus TG FF SL Samsung S25 Black</v>
      </c>
      <c r="Z170" s="102" t="str">
        <f t="array" ref="Z170">_xlfn.XLOOKUP("Screen Protector for Galaxy Phone",Stock1!B170,Stock1!I170,"")</f>
        <v/>
      </c>
      <c r="AA170" s="102" t="str">
        <f t="array" ref="AA170">_xlfn.XLOOKUP("Screen Protector for Galaxy Tab",Stock1!B170,Stock1!I170,"")</f>
        <v/>
      </c>
      <c r="AB170" s="102" t="str">
        <f t="shared" si="4"/>
        <v>[CS]Focus TG FF SL Samsung S25 Black</v>
      </c>
      <c r="AC170" s="429" t="str">
        <f t="array" ref="AC170">_xlfn.XLOOKUP(AB170,Stock1!I170,Stock1!F170,"")</f>
        <v>8859703433576</v>
      </c>
      <c r="AD170" s="102">
        <f t="array" ref="AD170">_xlfn.XLOOKUP(AB170,Stock1!I170,Stock1!J170,"")</f>
        <v>1</v>
      </c>
      <c r="AE170" s="102" t="str">
        <f t="array" ref="AE170">_xlfn.XLOOKUP("Storage",Stock1!B170,Stock1!I170,"")</f>
        <v/>
      </c>
      <c r="AF170" s="102" t="str">
        <f t="array" ref="AF170">_xlfn.XLOOKUP(AE170,Stock1!I170,Stock1!F170,"")</f>
        <v/>
      </c>
      <c r="AG170" s="102" t="str">
        <f t="array" ref="AG170">_xlfn.XLOOKUP(AE170,Stock1!I170,Stock1!J170,"")</f>
        <v/>
      </c>
    </row>
    <row r="171">
      <c r="K171" s="660" t="str">
        <f t="array" ref="K171">IFERROR(_xlfn.XLOOKUP(I171,Incentive!B:B,Incentive!E:E,""),"")</f>
        <v/>
      </c>
      <c r="L171" s="659" t="str">
        <f>IFERROR(VLOOKUP(I171,Stock1!F:J,5,False),"")</f>
        <v/>
      </c>
      <c r="M171" s="659" t="str">
        <f>IFERROR(VLOOKUP(I171,Stock2!F:J,5,False),"")</f>
        <v/>
      </c>
      <c r="V171" s="102" t="str">
        <f t="array" ref="V171">_xlfn.XLOOKUP("Charger",Stock1!B171,Stock1!I171,"")</f>
        <v/>
      </c>
      <c r="W171" s="102" t="str">
        <f t="array" ref="W171">_xlfn.XLOOKUP(V171,Stock1!I171,Stock1!F171,"")</f>
        <v/>
      </c>
      <c r="X171" s="102" t="str">
        <f t="array" ref="X171">_xlfn.XLOOKUP(V171,Stock1!I171,Stock1!J171,"")</f>
        <v/>
      </c>
      <c r="Y171" s="102" t="str">
        <f t="array" ref="Y171">_xlfn.XLOOKUP("Screen Protector for Android Phone and Other",Stock1!B171,Stock1!I171,"")</f>
        <v>[CS]Focus TG FF SL Samsung S25 Ultra Black</v>
      </c>
      <c r="Z171" s="102" t="str">
        <f t="array" ref="Z171">_xlfn.XLOOKUP("Screen Protector for Galaxy Phone",Stock1!B171,Stock1!I171,"")</f>
        <v/>
      </c>
      <c r="AA171" s="102" t="str">
        <f t="array" ref="AA171">_xlfn.XLOOKUP("Screen Protector for Galaxy Tab",Stock1!B171,Stock1!I171,"")</f>
        <v/>
      </c>
      <c r="AB171" s="102" t="str">
        <f t="shared" si="4"/>
        <v>[CS]Focus TG FF SL Samsung S25 Ultra Black</v>
      </c>
      <c r="AC171" s="429" t="str">
        <f t="array" ref="AC171">_xlfn.XLOOKUP(AB171,Stock1!I171,Stock1!F171,"")</f>
        <v>8859703433590</v>
      </c>
      <c r="AD171" s="102">
        <f t="array" ref="AD171">_xlfn.XLOOKUP(AB171,Stock1!I171,Stock1!J171,"")</f>
        <v>10</v>
      </c>
      <c r="AE171" s="102" t="str">
        <f t="array" ref="AE171">_xlfn.XLOOKUP("Storage",Stock1!B171,Stock1!I171,"")</f>
        <v/>
      </c>
      <c r="AF171" s="102" t="str">
        <f t="array" ref="AF171">_xlfn.XLOOKUP(AE171,Stock1!I171,Stock1!F171,"")</f>
        <v/>
      </c>
      <c r="AG171" s="102" t="str">
        <f t="array" ref="AG171">_xlfn.XLOOKUP(AE171,Stock1!I171,Stock1!J171,"")</f>
        <v/>
      </c>
    </row>
    <row r="172">
      <c r="K172" s="660" t="str">
        <f t="array" ref="K172">IFERROR(_xlfn.XLOOKUP(I172,Incentive!B:B,Incentive!E:E,""),"")</f>
        <v/>
      </c>
      <c r="L172" s="659" t="str">
        <f>IFERROR(VLOOKUP(I172,Stock1!F:J,5,False),"")</f>
        <v/>
      </c>
      <c r="M172" s="659" t="str">
        <f>IFERROR(VLOOKUP(I172,Stock2!F:J,5,False),"")</f>
        <v/>
      </c>
      <c r="V172" s="102" t="str">
        <f t="array" ref="V172">_xlfn.XLOOKUP("Charger",Stock1!B172,Stock1!I172,"")</f>
        <v/>
      </c>
      <c r="W172" s="102" t="str">
        <f t="array" ref="W172">_xlfn.XLOOKUP(V172,Stock1!I172,Stock1!F172,"")</f>
        <v/>
      </c>
      <c r="X172" s="102" t="str">
        <f t="array" ref="X172">_xlfn.XLOOKUP(V172,Stock1!I172,Stock1!J172,"")</f>
        <v/>
      </c>
      <c r="Y172" s="102" t="str">
        <f t="array" ref="Y172">_xlfn.XLOOKUP("Screen Protector for Android Phone and Other",Stock1!B172,Stock1!I172,"")</f>
        <v>[CS]Focus TG FF SL PV Samsung S25 Ultra Black</v>
      </c>
      <c r="Z172" s="102" t="str">
        <f t="array" ref="Z172">_xlfn.XLOOKUP("Screen Protector for Galaxy Phone",Stock1!B172,Stock1!I172,"")</f>
        <v/>
      </c>
      <c r="AA172" s="102" t="str">
        <f t="array" ref="AA172">_xlfn.XLOOKUP("Screen Protector for Galaxy Tab",Stock1!B172,Stock1!I172,"")</f>
        <v/>
      </c>
      <c r="AB172" s="102" t="str">
        <f t="shared" si="4"/>
        <v>[CS]Focus TG FF SL PV Samsung S25 Ultra Black</v>
      </c>
      <c r="AC172" s="429" t="str">
        <f t="array" ref="AC172">_xlfn.XLOOKUP(AB172,Stock1!I172,Stock1!F172,"")</f>
        <v>8859703433606</v>
      </c>
      <c r="AD172" s="102">
        <f t="array" ref="AD172">_xlfn.XLOOKUP(AB172,Stock1!I172,Stock1!J172,"")</f>
        <v>3</v>
      </c>
      <c r="AE172" s="102" t="str">
        <f t="array" ref="AE172">_xlfn.XLOOKUP("Storage",Stock1!B172,Stock1!I172,"")</f>
        <v/>
      </c>
      <c r="AF172" s="102" t="str">
        <f t="array" ref="AF172">_xlfn.XLOOKUP(AE172,Stock1!I172,Stock1!F172,"")</f>
        <v/>
      </c>
      <c r="AG172" s="102" t="str">
        <f t="array" ref="AG172">_xlfn.XLOOKUP(AE172,Stock1!I172,Stock1!J172,"")</f>
        <v/>
      </c>
    </row>
    <row r="173">
      <c r="K173" s="660" t="str">
        <f t="array" ref="K173">IFERROR(_xlfn.XLOOKUP(I173,Incentive!B:B,Incentive!E:E,""),"")</f>
        <v/>
      </c>
      <c r="L173" s="659" t="str">
        <f>IFERROR(VLOOKUP(I173,Stock1!F:J,5,False),"")</f>
        <v/>
      </c>
      <c r="M173" s="659" t="str">
        <f>IFERROR(VLOOKUP(I173,Stock2!F:J,5,False),"")</f>
        <v/>
      </c>
      <c r="V173" s="102" t="str">
        <f t="array" ref="V173">_xlfn.XLOOKUP("Charger",Stock1!B173,Stock1!I173,"")</f>
        <v/>
      </c>
      <c r="W173" s="102" t="str">
        <f t="array" ref="W173">_xlfn.XLOOKUP(V173,Stock1!I173,Stock1!F173,"")</f>
        <v/>
      </c>
      <c r="X173" s="102" t="str">
        <f t="array" ref="X173">_xlfn.XLOOKUP(V173,Stock1!I173,Stock1!J173,"")</f>
        <v/>
      </c>
      <c r="Y173" s="102" t="str">
        <f t="array" ref="Y173">_xlfn.XLOOKUP("Screen Protector for Android Phone and Other",Stock1!B173,Stock1!I173,"")</f>
        <v>[CS]Hishield Tempered Glass FC 2.5D Samsung S25Ultra - Black</v>
      </c>
      <c r="Z173" s="102" t="str">
        <f t="array" ref="Z173">_xlfn.XLOOKUP("Screen Protector for Galaxy Phone",Stock1!B173,Stock1!I173,"")</f>
        <v/>
      </c>
      <c r="AA173" s="102" t="str">
        <f t="array" ref="AA173">_xlfn.XLOOKUP("Screen Protector for Galaxy Tab",Stock1!B173,Stock1!I173,"")</f>
        <v/>
      </c>
      <c r="AB173" s="102" t="str">
        <f t="shared" si="4"/>
        <v>[CS]Hishield Tempered Glass FC 2.5D Samsung S25Ultra - Black</v>
      </c>
      <c r="AC173" s="429" t="str">
        <f t="array" ref="AC173">_xlfn.XLOOKUP(AB173,Stock1!I173,Stock1!F173,"")</f>
        <v>8859216739264</v>
      </c>
      <c r="AD173" s="102">
        <f t="array" ref="AD173">_xlfn.XLOOKUP(AB173,Stock1!I173,Stock1!J173,"")</f>
        <v>4</v>
      </c>
      <c r="AE173" s="102" t="str">
        <f t="array" ref="AE173">_xlfn.XLOOKUP("Storage",Stock1!B173,Stock1!I173,"")</f>
        <v/>
      </c>
      <c r="AF173" s="102" t="str">
        <f t="array" ref="AF173">_xlfn.XLOOKUP(AE173,Stock1!I173,Stock1!F173,"")</f>
        <v/>
      </c>
      <c r="AG173" s="102" t="str">
        <f t="array" ref="AG173">_xlfn.XLOOKUP(AE173,Stock1!I173,Stock1!J173,"")</f>
        <v/>
      </c>
    </row>
    <row r="174">
      <c r="K174" s="660" t="str">
        <f t="array" ref="K174">IFERROR(_xlfn.XLOOKUP(I174,Incentive!B:B,Incentive!E:E,""),"")</f>
        <v/>
      </c>
      <c r="L174" s="659" t="str">
        <f>IFERROR(VLOOKUP(I174,Stock1!F:J,5,False),"")</f>
        <v/>
      </c>
      <c r="M174" s="659" t="str">
        <f>IFERROR(VLOOKUP(I174,Stock2!F:J,5,False),"")</f>
        <v/>
      </c>
      <c r="V174" s="102" t="str">
        <f t="array" ref="V174">_xlfn.XLOOKUP("Charger",Stock1!B174,Stock1!I174,"")</f>
        <v/>
      </c>
      <c r="W174" s="102" t="str">
        <f t="array" ref="W174">_xlfn.XLOOKUP(V174,Stock1!I174,Stock1!F174,"")</f>
        <v/>
      </c>
      <c r="X174" s="102" t="str">
        <f t="array" ref="X174">_xlfn.XLOOKUP(V174,Stock1!I174,Stock1!J174,"")</f>
        <v/>
      </c>
      <c r="Y174" s="102" t="str">
        <f t="array" ref="Y174">_xlfn.XLOOKUP("Screen Protector for Android Phone and Other",Stock1!B174,Stock1!I174,"")</f>
        <v>Samsung Galaxy S25Plus Screen Protector - Transparent</v>
      </c>
      <c r="Z174" s="102" t="str">
        <f t="array" ref="Z174">_xlfn.XLOOKUP("Screen Protector for Galaxy Phone",Stock1!B174,Stock1!I174,"")</f>
        <v/>
      </c>
      <c r="AA174" s="102" t="str">
        <f t="array" ref="AA174">_xlfn.XLOOKUP("Screen Protector for Galaxy Tab",Stock1!B174,Stock1!I174,"")</f>
        <v/>
      </c>
      <c r="AB174" s="102" t="str">
        <f t="shared" si="4"/>
        <v>Samsung Galaxy S25Plus Screen Protector - Transparent</v>
      </c>
      <c r="AC174" s="429" t="str">
        <f t="array" ref="AC174">_xlfn.XLOOKUP(AB174,Stock1!I174,Stock1!F174,"")</f>
        <v>EF-US936CTEGWW</v>
      </c>
      <c r="AD174" s="102">
        <f t="array" ref="AD174">_xlfn.XLOOKUP(AB174,Stock1!I174,Stock1!J174,"")</f>
        <v>1</v>
      </c>
      <c r="AE174" s="102" t="str">
        <f t="array" ref="AE174">_xlfn.XLOOKUP("Storage",Stock1!B174,Stock1!I174,"")</f>
        <v/>
      </c>
      <c r="AF174" s="102" t="str">
        <f t="array" ref="AF174">_xlfn.XLOOKUP(AE174,Stock1!I174,Stock1!F174,"")</f>
        <v/>
      </c>
      <c r="AG174" s="102" t="str">
        <f t="array" ref="AG174">_xlfn.XLOOKUP(AE174,Stock1!I174,Stock1!J174,"")</f>
        <v/>
      </c>
    </row>
    <row r="175">
      <c r="K175" s="660" t="str">
        <f t="array" ref="K175">IFERROR(_xlfn.XLOOKUP(I175,Incentive!B:B,Incentive!E:E,""),"")</f>
        <v/>
      </c>
      <c r="L175" s="659" t="str">
        <f>IFERROR(VLOOKUP(I175,Stock1!F:J,5,False),"")</f>
        <v/>
      </c>
      <c r="M175" s="659" t="str">
        <f>IFERROR(VLOOKUP(I175,Stock2!F:J,5,False),"")</f>
        <v/>
      </c>
      <c r="V175" s="102" t="str">
        <f t="array" ref="V175">_xlfn.XLOOKUP("Charger",Stock1!B175,Stock1!I175,"")</f>
        <v/>
      </c>
      <c r="W175" s="102" t="str">
        <f t="array" ref="W175">_xlfn.XLOOKUP(V175,Stock1!I175,Stock1!F175,"")</f>
        <v/>
      </c>
      <c r="X175" s="102" t="str">
        <f t="array" ref="X175">_xlfn.XLOOKUP(V175,Stock1!I175,Stock1!J175,"")</f>
        <v/>
      </c>
      <c r="Y175" s="102" t="str">
        <f t="array" ref="Y175">_xlfn.XLOOKUP("Screen Protector for Android Phone and Other",Stock1!B175,Stock1!I175,"")</f>
        <v>[CS]Focus TG FF SL Samsung Galaxy S26</v>
      </c>
      <c r="Z175" s="102" t="str">
        <f t="array" ref="Z175">_xlfn.XLOOKUP("Screen Protector for Galaxy Phone",Stock1!B175,Stock1!I175,"")</f>
        <v/>
      </c>
      <c r="AA175" s="102" t="str">
        <f t="array" ref="AA175">_xlfn.XLOOKUP("Screen Protector for Galaxy Tab",Stock1!B175,Stock1!I175,"")</f>
        <v/>
      </c>
      <c r="AB175" s="102" t="str">
        <f t="shared" si="4"/>
        <v>[CS]Focus TG FF SL Samsung Galaxy S26</v>
      </c>
      <c r="AC175" s="429" t="str">
        <f t="array" ref="AC175">_xlfn.XLOOKUP(AB175,Stock1!I175,Stock1!F175,"")</f>
        <v>8859703437451</v>
      </c>
      <c r="AD175" s="102">
        <f t="array" ref="AD175">_xlfn.XLOOKUP(AB175,Stock1!I175,Stock1!J175,"")</f>
        <v>2</v>
      </c>
      <c r="AE175" s="102" t="str">
        <f t="array" ref="AE175">_xlfn.XLOOKUP("Storage",Stock1!B175,Stock1!I175,"")</f>
        <v/>
      </c>
      <c r="AF175" s="102" t="str">
        <f t="array" ref="AF175">_xlfn.XLOOKUP(AE175,Stock1!I175,Stock1!F175,"")</f>
        <v/>
      </c>
      <c r="AG175" s="102" t="str">
        <f t="array" ref="AG175">_xlfn.XLOOKUP(AE175,Stock1!I175,Stock1!J175,"")</f>
        <v/>
      </c>
    </row>
    <row r="176">
      <c r="K176" s="660" t="str">
        <f t="array" ref="K176">IFERROR(_xlfn.XLOOKUP(I176,Incentive!B:B,Incentive!E:E,""),"")</f>
        <v/>
      </c>
      <c r="L176" s="659" t="str">
        <f>IFERROR(VLOOKUP(I176,Stock1!F:J,5,False),"")</f>
        <v/>
      </c>
      <c r="M176" s="659" t="str">
        <f>IFERROR(VLOOKUP(I176,Stock2!F:J,5,False),"")</f>
        <v/>
      </c>
      <c r="V176" s="102" t="str">
        <f t="array" ref="V176">_xlfn.XLOOKUP("Charger",Stock1!B176,Stock1!I176,"")</f>
        <v/>
      </c>
      <c r="W176" s="102" t="str">
        <f t="array" ref="W176">_xlfn.XLOOKUP(V176,Stock1!I176,Stock1!F176,"")</f>
        <v/>
      </c>
      <c r="X176" s="102" t="str">
        <f t="array" ref="X176">_xlfn.XLOOKUP(V176,Stock1!I176,Stock1!J176,"")</f>
        <v/>
      </c>
      <c r="Y176" s="102" t="str">
        <f t="array" ref="Y176">_xlfn.XLOOKUP("Screen Protector for Android Phone and Other",Stock1!B176,Stock1!I176,"")</f>
        <v>[CS]Focus TG FF SL Samsung Galaxy S26 Plus</v>
      </c>
      <c r="Z176" s="102" t="str">
        <f t="array" ref="Z176">_xlfn.XLOOKUP("Screen Protector for Galaxy Phone",Stock1!B176,Stock1!I176,"")</f>
        <v/>
      </c>
      <c r="AA176" s="102" t="str">
        <f t="array" ref="AA176">_xlfn.XLOOKUP("Screen Protector for Galaxy Tab",Stock1!B176,Stock1!I176,"")</f>
        <v/>
      </c>
      <c r="AB176" s="102" t="str">
        <f t="shared" si="4"/>
        <v>[CS]Focus TG FF SL Samsung Galaxy S26 Plus</v>
      </c>
      <c r="AC176" s="429" t="str">
        <f t="array" ref="AC176">_xlfn.XLOOKUP(AB176,Stock1!I176,Stock1!F176,"")</f>
        <v>8859703437468</v>
      </c>
      <c r="AD176" s="102">
        <f t="array" ref="AD176">_xlfn.XLOOKUP(AB176,Stock1!I176,Stock1!J176,"")</f>
        <v>3</v>
      </c>
      <c r="AE176" s="102" t="str">
        <f t="array" ref="AE176">_xlfn.XLOOKUP("Storage",Stock1!B176,Stock1!I176,"")</f>
        <v/>
      </c>
      <c r="AF176" s="102" t="str">
        <f t="array" ref="AF176">_xlfn.XLOOKUP(AE176,Stock1!I176,Stock1!F176,"")</f>
        <v/>
      </c>
      <c r="AG176" s="102" t="str">
        <f t="array" ref="AG176">_xlfn.XLOOKUP(AE176,Stock1!I176,Stock1!J176,"")</f>
        <v/>
      </c>
    </row>
    <row r="177">
      <c r="K177" s="660" t="str">
        <f t="array" ref="K177">IFERROR(_xlfn.XLOOKUP(I177,Incentive!B:B,Incentive!E:E,""),"")</f>
        <v/>
      </c>
      <c r="L177" s="659" t="str">
        <f>IFERROR(VLOOKUP(I177,Stock1!F:J,5,False),"")</f>
        <v/>
      </c>
      <c r="M177" s="659" t="str">
        <f>IFERROR(VLOOKUP(I177,Stock2!F:J,5,False),"")</f>
        <v/>
      </c>
      <c r="V177" s="102" t="str">
        <f t="array" ref="V177">_xlfn.XLOOKUP("Charger",Stock1!B177,Stock1!I177,"")</f>
        <v/>
      </c>
      <c r="W177" s="102" t="str">
        <f t="array" ref="W177">_xlfn.XLOOKUP(V177,Stock1!I177,Stock1!F177,"")</f>
        <v/>
      </c>
      <c r="X177" s="102" t="str">
        <f t="array" ref="X177">_xlfn.XLOOKUP(V177,Stock1!I177,Stock1!J177,"")</f>
        <v/>
      </c>
      <c r="Y177" s="102" t="str">
        <f t="array" ref="Y177">_xlfn.XLOOKUP("Screen Protector for Android Phone and Other",Stock1!B177,Stock1!I177,"")</f>
        <v>[CS]Focus TG FF SL Samsung Galaxy S26 Ultra</v>
      </c>
      <c r="Z177" s="102" t="str">
        <f t="array" ref="Z177">_xlfn.XLOOKUP("Screen Protector for Galaxy Phone",Stock1!B177,Stock1!I177,"")</f>
        <v/>
      </c>
      <c r="AA177" s="102" t="str">
        <f t="array" ref="AA177">_xlfn.XLOOKUP("Screen Protector for Galaxy Tab",Stock1!B177,Stock1!I177,"")</f>
        <v/>
      </c>
      <c r="AB177" s="102" t="str">
        <f t="shared" si="4"/>
        <v>[CS]Focus TG FF SL Samsung Galaxy S26 Ultra</v>
      </c>
      <c r="AC177" s="429" t="str">
        <f t="array" ref="AC177">_xlfn.XLOOKUP(AB177,Stock1!I177,Stock1!F177,"")</f>
        <v>8859703437475</v>
      </c>
      <c r="AD177" s="102">
        <f t="array" ref="AD177">_xlfn.XLOOKUP(AB177,Stock1!I177,Stock1!J177,"")</f>
        <v>15</v>
      </c>
      <c r="AE177" s="102" t="str">
        <f t="array" ref="AE177">_xlfn.XLOOKUP("Storage",Stock1!B177,Stock1!I177,"")</f>
        <v/>
      </c>
      <c r="AF177" s="102" t="str">
        <f t="array" ref="AF177">_xlfn.XLOOKUP(AE177,Stock1!I177,Stock1!F177,"")</f>
        <v/>
      </c>
      <c r="AG177" s="102" t="str">
        <f t="array" ref="AG177">_xlfn.XLOOKUP(AE177,Stock1!I177,Stock1!J177,"")</f>
        <v/>
      </c>
    </row>
    <row r="178">
      <c r="K178" s="660" t="str">
        <f t="array" ref="K178">IFERROR(_xlfn.XLOOKUP(I178,Incentive!B:B,Incentive!E:E,""),"")</f>
        <v/>
      </c>
      <c r="L178" s="659" t="str">
        <f>IFERROR(VLOOKUP(I178,Stock1!F:J,5,False),"")</f>
        <v/>
      </c>
      <c r="M178" s="659" t="str">
        <f>IFERROR(VLOOKUP(I178,Stock2!F:J,5,False),"")</f>
        <v/>
      </c>
      <c r="V178" s="102" t="str">
        <f t="array" ref="V178">_xlfn.XLOOKUP("Charger",Stock1!B178,Stock1!I178,"")</f>
        <v/>
      </c>
      <c r="W178" s="102" t="str">
        <f t="array" ref="W178">_xlfn.XLOOKUP(V178,Stock1!I178,Stock1!F178,"")</f>
        <v/>
      </c>
      <c r="X178" s="102" t="str">
        <f t="array" ref="X178">_xlfn.XLOOKUP(V178,Stock1!I178,Stock1!J178,"")</f>
        <v/>
      </c>
      <c r="Y178" s="102" t="str">
        <f t="array" ref="Y178">_xlfn.XLOOKUP("Screen Protector for Android Phone and Other",Stock1!B178,Stock1!I178,"")</f>
        <v>[CS]Focus TG FF SL PV Samsung Galaxy S26 Ultra</v>
      </c>
      <c r="Z178" s="102" t="str">
        <f t="array" ref="Z178">_xlfn.XLOOKUP("Screen Protector for Galaxy Phone",Stock1!B178,Stock1!I178,"")</f>
        <v/>
      </c>
      <c r="AA178" s="102" t="str">
        <f t="array" ref="AA178">_xlfn.XLOOKUP("Screen Protector for Galaxy Tab",Stock1!B178,Stock1!I178,"")</f>
        <v/>
      </c>
      <c r="AB178" s="102" t="str">
        <f t="shared" si="4"/>
        <v>[CS]Focus TG FF SL PV Samsung Galaxy S26 Ultra</v>
      </c>
      <c r="AC178" s="429" t="str">
        <f t="array" ref="AC178">_xlfn.XLOOKUP(AB178,Stock1!I178,Stock1!F178,"")</f>
        <v>8859703437482</v>
      </c>
      <c r="AD178" s="102">
        <f t="array" ref="AD178">_xlfn.XLOOKUP(AB178,Stock1!I178,Stock1!J178,"")</f>
        <v>5</v>
      </c>
      <c r="AE178" s="102" t="str">
        <f t="array" ref="AE178">_xlfn.XLOOKUP("Storage",Stock1!B178,Stock1!I178,"")</f>
        <v/>
      </c>
      <c r="AF178" s="102" t="str">
        <f t="array" ref="AF178">_xlfn.XLOOKUP(AE178,Stock1!I178,Stock1!F178,"")</f>
        <v/>
      </c>
      <c r="AG178" s="102" t="str">
        <f t="array" ref="AG178">_xlfn.XLOOKUP(AE178,Stock1!I178,Stock1!J178,"")</f>
        <v/>
      </c>
    </row>
    <row r="179">
      <c r="K179" s="660" t="str">
        <f t="array" ref="K179">IFERROR(_xlfn.XLOOKUP(I179,Incentive!B:B,Incentive!E:E,""),"")</f>
        <v/>
      </c>
      <c r="L179" s="659" t="str">
        <f>IFERROR(VLOOKUP(I179,Stock1!F:J,5,False),"")</f>
        <v/>
      </c>
      <c r="M179" s="659" t="str">
        <f>IFERROR(VLOOKUP(I179,Stock2!F:J,5,False),"")</f>
        <v/>
      </c>
      <c r="V179" s="102" t="str">
        <f t="array" ref="V179">_xlfn.XLOOKUP("Charger",Stock1!B179,Stock1!I179,"")</f>
        <v/>
      </c>
      <c r="W179" s="102" t="str">
        <f t="array" ref="W179">_xlfn.XLOOKUP(V179,Stock1!I179,Stock1!F179,"")</f>
        <v/>
      </c>
      <c r="X179" s="102" t="str">
        <f t="array" ref="X179">_xlfn.XLOOKUP(V179,Stock1!I179,Stock1!J179,"")</f>
        <v/>
      </c>
      <c r="Y179" s="102" t="str">
        <f t="array" ref="Y179">_xlfn.XLOOKUP("Screen Protector for Android Phone and Other",Stock1!B179,Stock1!I179,"")</f>
        <v>[CS]Focus TG FF SL MT Samsung Galaxy S26 Ultra</v>
      </c>
      <c r="Z179" s="102" t="str">
        <f t="array" ref="Z179">_xlfn.XLOOKUP("Screen Protector for Galaxy Phone",Stock1!B179,Stock1!I179,"")</f>
        <v/>
      </c>
      <c r="AA179" s="102" t="str">
        <f t="array" ref="AA179">_xlfn.XLOOKUP("Screen Protector for Galaxy Tab",Stock1!B179,Stock1!I179,"")</f>
        <v/>
      </c>
      <c r="AB179" s="102" t="str">
        <f t="shared" si="4"/>
        <v>[CS]Focus TG FF SL MT Samsung Galaxy S26 Ultra</v>
      </c>
      <c r="AC179" s="429" t="str">
        <f t="array" ref="AC179">_xlfn.XLOOKUP(AB179,Stock1!I179,Stock1!F179,"")</f>
        <v>8859703437499</v>
      </c>
      <c r="AD179" s="102">
        <f t="array" ref="AD179">_xlfn.XLOOKUP(AB179,Stock1!I179,Stock1!J179,"")</f>
        <v>6</v>
      </c>
      <c r="AE179" s="102" t="str">
        <f t="array" ref="AE179">_xlfn.XLOOKUP("Storage",Stock1!B179,Stock1!I179,"")</f>
        <v/>
      </c>
      <c r="AF179" s="102" t="str">
        <f t="array" ref="AF179">_xlfn.XLOOKUP(AE179,Stock1!I179,Stock1!F179,"")</f>
        <v/>
      </c>
      <c r="AG179" s="102" t="str">
        <f t="array" ref="AG179">_xlfn.XLOOKUP(AE179,Stock1!I179,Stock1!J179,"")</f>
        <v/>
      </c>
    </row>
    <row r="180">
      <c r="K180" s="660" t="str">
        <f t="array" ref="K180">IFERROR(_xlfn.XLOOKUP(I180,Incentive!B:B,Incentive!E:E,""),"")</f>
        <v/>
      </c>
      <c r="L180" s="659" t="str">
        <f>IFERROR(VLOOKUP(I180,Stock1!F:J,5,False),"")</f>
        <v/>
      </c>
      <c r="M180" s="659" t="str">
        <f>IFERROR(VLOOKUP(I180,Stock2!F:J,5,False),"")</f>
        <v/>
      </c>
      <c r="V180" s="102" t="str">
        <f t="array" ref="V180">_xlfn.XLOOKUP("Charger",Stock1!B180,Stock1!I180,"")</f>
        <v/>
      </c>
      <c r="W180" s="102" t="str">
        <f t="array" ref="W180">_xlfn.XLOOKUP(V180,Stock1!I180,Stock1!F180,"")</f>
        <v/>
      </c>
      <c r="X180" s="102" t="str">
        <f t="array" ref="X180">_xlfn.XLOOKUP(V180,Stock1!I180,Stock1!J180,"")</f>
        <v/>
      </c>
      <c r="Y180" s="102" t="str">
        <f t="array" ref="Y180">_xlfn.XLOOKUP("Screen Protector for Android Phone and Other",Stock1!B180,Stock1!I180,"")</f>
        <v>[CS]Focus TG FF UG SL Samsung Galaxy S26 Ultra</v>
      </c>
      <c r="Z180" s="102" t="str">
        <f t="array" ref="Z180">_xlfn.XLOOKUP("Screen Protector for Galaxy Phone",Stock1!B180,Stock1!I180,"")</f>
        <v/>
      </c>
      <c r="AA180" s="102" t="str">
        <f t="array" ref="AA180">_xlfn.XLOOKUP("Screen Protector for Galaxy Tab",Stock1!B180,Stock1!I180,"")</f>
        <v/>
      </c>
      <c r="AB180" s="102" t="str">
        <f t="shared" si="4"/>
        <v>[CS]Focus TG FF UG SL Samsung Galaxy S26 Ultra</v>
      </c>
      <c r="AC180" s="429" t="str">
        <f t="array" ref="AC180">_xlfn.XLOOKUP(AB180,Stock1!I180,Stock1!F180,"")</f>
        <v>8859703437581</v>
      </c>
      <c r="AD180" s="102">
        <f t="array" ref="AD180">_xlfn.XLOOKUP(AB180,Stock1!I180,Stock1!J180,"")</f>
        <v>2</v>
      </c>
      <c r="AE180" s="102" t="str">
        <f t="array" ref="AE180">_xlfn.XLOOKUP("Storage",Stock1!B180,Stock1!I180,"")</f>
        <v/>
      </c>
      <c r="AF180" s="102" t="str">
        <f t="array" ref="AF180">_xlfn.XLOOKUP(AE180,Stock1!I180,Stock1!F180,"")</f>
        <v/>
      </c>
      <c r="AG180" s="102" t="str">
        <f t="array" ref="AG180">_xlfn.XLOOKUP(AE180,Stock1!I180,Stock1!J180,"")</f>
        <v/>
      </c>
    </row>
    <row r="181">
      <c r="K181" s="660" t="str">
        <f t="array" ref="K181">IFERROR(_xlfn.XLOOKUP(I181,Incentive!B:B,Incentive!E:E,""),"")</f>
        <v/>
      </c>
      <c r="L181" s="659" t="str">
        <f>IFERROR(VLOOKUP(I181,Stock1!F:J,5,False),"")</f>
        <v/>
      </c>
      <c r="M181" s="659" t="str">
        <f>IFERROR(VLOOKUP(I181,Stock2!F:J,5,False),"")</f>
        <v/>
      </c>
      <c r="V181" s="102" t="str">
        <f t="array" ref="V181">_xlfn.XLOOKUP("Charger",Stock1!B181,Stock1!I181,"")</f>
        <v/>
      </c>
      <c r="W181" s="102" t="str">
        <f t="array" ref="W181">_xlfn.XLOOKUP(V181,Stock1!I181,Stock1!F181,"")</f>
        <v/>
      </c>
      <c r="X181" s="102" t="str">
        <f t="array" ref="X181">_xlfn.XLOOKUP(V181,Stock1!I181,Stock1!J181,"")</f>
        <v/>
      </c>
      <c r="Y181" s="102" t="str">
        <f t="array" ref="Y181">_xlfn.XLOOKUP("Screen Protector for Android Phone and Other",Stock1!B181,Stock1!I181,"")</f>
        <v>[CS]Focus TG FF Samsung Galaxy S26 FE Black</v>
      </c>
      <c r="Z181" s="102" t="str">
        <f t="array" ref="Z181">_xlfn.XLOOKUP("Screen Protector for Galaxy Phone",Stock1!B181,Stock1!I181,"")</f>
        <v/>
      </c>
      <c r="AA181" s="102" t="str">
        <f t="array" ref="AA181">_xlfn.XLOOKUP("Screen Protector for Galaxy Tab",Stock1!B181,Stock1!I181,"")</f>
        <v/>
      </c>
      <c r="AB181" s="102" t="str">
        <f t="shared" si="4"/>
        <v>[CS]Focus TG FF Samsung Galaxy S26 FE Black</v>
      </c>
      <c r="AC181" s="429" t="str">
        <f t="array" ref="AC181">_xlfn.XLOOKUP(AB181,Stock1!I181,Stock1!F181,"")</f>
        <v>8859703446620</v>
      </c>
      <c r="AD181" s="102">
        <f t="array" ref="AD181">_xlfn.XLOOKUP(AB181,Stock1!I181,Stock1!J181,"")</f>
        <v>5</v>
      </c>
      <c r="AE181" s="102" t="str">
        <f t="array" ref="AE181">_xlfn.XLOOKUP("Storage",Stock1!B181,Stock1!I181,"")</f>
        <v/>
      </c>
      <c r="AF181" s="102" t="str">
        <f t="array" ref="AF181">_xlfn.XLOOKUP(AE181,Stock1!I181,Stock1!F181,"")</f>
        <v/>
      </c>
      <c r="AG181" s="102" t="str">
        <f t="array" ref="AG181">_xlfn.XLOOKUP(AE181,Stock1!I181,Stock1!J181,"")</f>
        <v/>
      </c>
    </row>
    <row r="182">
      <c r="K182" s="660" t="str">
        <f t="array" ref="K182">IFERROR(_xlfn.XLOOKUP(I182,Incentive!B:B,Incentive!E:E,""),"")</f>
        <v/>
      </c>
      <c r="L182" s="659" t="str">
        <f>IFERROR(VLOOKUP(I182,Stock1!F:J,5,False),"")</f>
        <v/>
      </c>
      <c r="M182" s="659" t="str">
        <f>IFERROR(VLOOKUP(I182,Stock2!F:J,5,False),"")</f>
        <v/>
      </c>
      <c r="V182" s="102" t="str">
        <f t="array" ref="V182">_xlfn.XLOOKUP("Charger",Stock1!B182,Stock1!I182,"")</f>
        <v/>
      </c>
      <c r="W182" s="102" t="str">
        <f t="array" ref="W182">_xlfn.XLOOKUP(V182,Stock1!I182,Stock1!F182,"")</f>
        <v/>
      </c>
      <c r="X182" s="102" t="str">
        <f t="array" ref="X182">_xlfn.XLOOKUP(V182,Stock1!I182,Stock1!J182,"")</f>
        <v/>
      </c>
      <c r="Y182" s="102" t="str">
        <f t="array" ref="Y182">_xlfn.XLOOKUP("Screen Protector for Android Phone and Other",Stock1!B182,Stock1!I182,"")</f>
        <v>[CS]Hishield Tempered Glass FC 2.5D Samsung S26</v>
      </c>
      <c r="Z182" s="102" t="str">
        <f t="array" ref="Z182">_xlfn.XLOOKUP("Screen Protector for Galaxy Phone",Stock1!B182,Stock1!I182,"")</f>
        <v/>
      </c>
      <c r="AA182" s="102" t="str">
        <f t="array" ref="AA182">_xlfn.XLOOKUP("Screen Protector for Galaxy Tab",Stock1!B182,Stock1!I182,"")</f>
        <v/>
      </c>
      <c r="AB182" s="102" t="str">
        <f t="shared" si="4"/>
        <v>[CS]Hishield Tempered Glass FC 2.5D Samsung S26</v>
      </c>
      <c r="AC182" s="429" t="str">
        <f t="array" ref="AC182">_xlfn.XLOOKUP(AB182,Stock1!I182,Stock1!F182,"")</f>
        <v>8859216829019</v>
      </c>
      <c r="AD182" s="102">
        <f t="array" ref="AD182">_xlfn.XLOOKUP(AB182,Stock1!I182,Stock1!J182,"")</f>
        <v>2</v>
      </c>
      <c r="AE182" s="102" t="str">
        <f t="array" ref="AE182">_xlfn.XLOOKUP("Storage",Stock1!B182,Stock1!I182,"")</f>
        <v/>
      </c>
      <c r="AF182" s="102" t="str">
        <f t="array" ref="AF182">_xlfn.XLOOKUP(AE182,Stock1!I182,Stock1!F182,"")</f>
        <v/>
      </c>
      <c r="AG182" s="102" t="str">
        <f t="array" ref="AG182">_xlfn.XLOOKUP(AE182,Stock1!I182,Stock1!J182,"")</f>
        <v/>
      </c>
    </row>
    <row r="183">
      <c r="K183" s="660" t="str">
        <f t="array" ref="K183">IFERROR(_xlfn.XLOOKUP(I183,Incentive!B:B,Incentive!E:E,""),"")</f>
        <v/>
      </c>
      <c r="L183" s="659" t="str">
        <f>IFERROR(VLOOKUP(I183,Stock1!F:J,5,False),"")</f>
        <v/>
      </c>
      <c r="M183" s="659" t="str">
        <f>IFERROR(VLOOKUP(I183,Stock2!F:J,5,False),"")</f>
        <v/>
      </c>
      <c r="V183" s="102" t="str">
        <f t="array" ref="V183">_xlfn.XLOOKUP("Charger",Stock1!B183,Stock1!I183,"")</f>
        <v/>
      </c>
      <c r="W183" s="102" t="str">
        <f t="array" ref="W183">_xlfn.XLOOKUP(V183,Stock1!I183,Stock1!F183,"")</f>
        <v/>
      </c>
      <c r="X183" s="102" t="str">
        <f t="array" ref="X183">_xlfn.XLOOKUP(V183,Stock1!I183,Stock1!J183,"")</f>
        <v/>
      </c>
      <c r="Y183" s="102" t="str">
        <f t="array" ref="Y183">_xlfn.XLOOKUP("Screen Protector for Android Phone and Other",Stock1!B183,Stock1!I183,"")</f>
        <v>[CS]Hishield Tempered Glass FC 2.5D Samsung S26 Plus</v>
      </c>
      <c r="Z183" s="102" t="str">
        <f t="array" ref="Z183">_xlfn.XLOOKUP("Screen Protector for Galaxy Phone",Stock1!B183,Stock1!I183,"")</f>
        <v/>
      </c>
      <c r="AA183" s="102" t="str">
        <f t="array" ref="AA183">_xlfn.XLOOKUP("Screen Protector for Galaxy Tab",Stock1!B183,Stock1!I183,"")</f>
        <v/>
      </c>
      <c r="AB183" s="102" t="str">
        <f t="shared" si="4"/>
        <v>[CS]Hishield Tempered Glass FC 2.5D Samsung S26 Plus</v>
      </c>
      <c r="AC183" s="429" t="str">
        <f t="array" ref="AC183">_xlfn.XLOOKUP(AB183,Stock1!I183,Stock1!F183,"")</f>
        <v>8859216829026</v>
      </c>
      <c r="AD183" s="102">
        <f t="array" ref="AD183">_xlfn.XLOOKUP(AB183,Stock1!I183,Stock1!J183,"")</f>
        <v>5</v>
      </c>
      <c r="AE183" s="102" t="str">
        <f t="array" ref="AE183">_xlfn.XLOOKUP("Storage",Stock1!B183,Stock1!I183,"")</f>
        <v/>
      </c>
      <c r="AF183" s="102" t="str">
        <f t="array" ref="AF183">_xlfn.XLOOKUP(AE183,Stock1!I183,Stock1!F183,"")</f>
        <v/>
      </c>
      <c r="AG183" s="102" t="str">
        <f t="array" ref="AG183">_xlfn.XLOOKUP(AE183,Stock1!I183,Stock1!J183,"")</f>
        <v/>
      </c>
    </row>
    <row r="184">
      <c r="K184" s="660" t="str">
        <f t="array" ref="K184">IFERROR(_xlfn.XLOOKUP(I184,Incentive!B:B,Incentive!E:E,""),"")</f>
        <v/>
      </c>
      <c r="L184" s="659" t="str">
        <f>IFERROR(VLOOKUP(I184,Stock1!F:J,5,False),"")</f>
        <v/>
      </c>
      <c r="M184" s="659" t="str">
        <f>IFERROR(VLOOKUP(I184,Stock2!F:J,5,False),"")</f>
        <v/>
      </c>
      <c r="V184" s="102" t="str">
        <f t="array" ref="V184">_xlfn.XLOOKUP("Charger",Stock1!B184,Stock1!I184,"")</f>
        <v/>
      </c>
      <c r="W184" s="102" t="str">
        <f t="array" ref="W184">_xlfn.XLOOKUP(V184,Stock1!I184,Stock1!F184,"")</f>
        <v/>
      </c>
      <c r="X184" s="102" t="str">
        <f t="array" ref="X184">_xlfn.XLOOKUP(V184,Stock1!I184,Stock1!J184,"")</f>
        <v/>
      </c>
      <c r="Y184" s="102" t="str">
        <f t="array" ref="Y184">_xlfn.XLOOKUP("Screen Protector for Android Phone and Other",Stock1!B184,Stock1!I184,"")</f>
        <v>[CS]Hishield Tempered Glass FC 2.5D Samsung S26 Ultra</v>
      </c>
      <c r="Z184" s="102" t="str">
        <f t="array" ref="Z184">_xlfn.XLOOKUP("Screen Protector for Galaxy Phone",Stock1!B184,Stock1!I184,"")</f>
        <v/>
      </c>
      <c r="AA184" s="102" t="str">
        <f t="array" ref="AA184">_xlfn.XLOOKUP("Screen Protector for Galaxy Tab",Stock1!B184,Stock1!I184,"")</f>
        <v/>
      </c>
      <c r="AB184" s="102" t="str">
        <f t="shared" si="4"/>
        <v>[CS]Hishield Tempered Glass FC 2.5D Samsung S26 Ultra</v>
      </c>
      <c r="AC184" s="429" t="str">
        <f t="array" ref="AC184">_xlfn.XLOOKUP(AB184,Stock1!I184,Stock1!F184,"")</f>
        <v>8859216829033</v>
      </c>
      <c r="AD184" s="102">
        <f t="array" ref="AD184">_xlfn.XLOOKUP(AB184,Stock1!I184,Stock1!J184,"")</f>
        <v>21</v>
      </c>
      <c r="AE184" s="102" t="str">
        <f t="array" ref="AE184">_xlfn.XLOOKUP("Storage",Stock1!B184,Stock1!I184,"")</f>
        <v/>
      </c>
      <c r="AF184" s="102" t="str">
        <f t="array" ref="AF184">_xlfn.XLOOKUP(AE184,Stock1!I184,Stock1!F184,"")</f>
        <v/>
      </c>
      <c r="AG184" s="102" t="str">
        <f t="array" ref="AG184">_xlfn.XLOOKUP(AE184,Stock1!I184,Stock1!J184,"")</f>
        <v/>
      </c>
    </row>
    <row r="185">
      <c r="K185" s="660" t="str">
        <f t="array" ref="K185">IFERROR(_xlfn.XLOOKUP(I185,Incentive!B:B,Incentive!E:E,""),"")</f>
        <v/>
      </c>
      <c r="L185" s="659" t="str">
        <f>IFERROR(VLOOKUP(I185,Stock1!F:J,5,False),"")</f>
        <v/>
      </c>
      <c r="M185" s="659" t="str">
        <f>IFERROR(VLOOKUP(I185,Stock2!F:J,5,False),"")</f>
        <v/>
      </c>
      <c r="V185" s="102" t="str">
        <f t="array" ref="V185">_xlfn.XLOOKUP("Charger",Stock1!B185,Stock1!I185,"")</f>
        <v/>
      </c>
      <c r="W185" s="102" t="str">
        <f t="array" ref="W185">_xlfn.XLOOKUP(V185,Stock1!I185,Stock1!F185,"")</f>
        <v/>
      </c>
      <c r="X185" s="102" t="str">
        <f t="array" ref="X185">_xlfn.XLOOKUP(V185,Stock1!I185,Stock1!J185,"")</f>
        <v/>
      </c>
      <c r="Y185" s="102" t="str">
        <f t="array" ref="Y185">_xlfn.XLOOKUP("Screen Protector for Android Phone and Other",Stock1!B185,Stock1!I185,"")</f>
        <v>[CS]Hishield 2.5D Matte Glass Samsung S26</v>
      </c>
      <c r="Z185" s="102" t="str">
        <f t="array" ref="Z185">_xlfn.XLOOKUP("Screen Protector for Galaxy Phone",Stock1!B185,Stock1!I185,"")</f>
        <v/>
      </c>
      <c r="AA185" s="102" t="str">
        <f t="array" ref="AA185">_xlfn.XLOOKUP("Screen Protector for Galaxy Tab",Stock1!B185,Stock1!I185,"")</f>
        <v/>
      </c>
      <c r="AB185" s="102" t="str">
        <f t="shared" si="4"/>
        <v>[CS]Hishield 2.5D Matte Glass Samsung S26</v>
      </c>
      <c r="AC185" s="429" t="str">
        <f t="array" ref="AC185">_xlfn.XLOOKUP(AB185,Stock1!I185,Stock1!F185,"")</f>
        <v>8859216829040</v>
      </c>
      <c r="AD185" s="102">
        <f t="array" ref="AD185">_xlfn.XLOOKUP(AB185,Stock1!I185,Stock1!J185,"")</f>
        <v>5</v>
      </c>
      <c r="AE185" s="102" t="str">
        <f t="array" ref="AE185">_xlfn.XLOOKUP("Storage",Stock1!B185,Stock1!I185,"")</f>
        <v/>
      </c>
      <c r="AF185" s="102" t="str">
        <f t="array" ref="AF185">_xlfn.XLOOKUP(AE185,Stock1!I185,Stock1!F185,"")</f>
        <v/>
      </c>
      <c r="AG185" s="102" t="str">
        <f t="array" ref="AG185">_xlfn.XLOOKUP(AE185,Stock1!I185,Stock1!J185,"")</f>
        <v/>
      </c>
    </row>
    <row r="186">
      <c r="K186" s="660" t="str">
        <f t="array" ref="K186">IFERROR(_xlfn.XLOOKUP(I186,Incentive!B:B,Incentive!E:E,""),"")</f>
        <v/>
      </c>
      <c r="L186" s="659" t="str">
        <f>IFERROR(VLOOKUP(I186,Stock1!F:J,5,False),"")</f>
        <v/>
      </c>
      <c r="M186" s="659" t="str">
        <f>IFERROR(VLOOKUP(I186,Stock2!F:J,5,False),"")</f>
        <v/>
      </c>
      <c r="V186" s="102" t="str">
        <f t="array" ref="V186">_xlfn.XLOOKUP("Charger",Stock1!B186,Stock1!I186,"")</f>
        <v/>
      </c>
      <c r="W186" s="102" t="str">
        <f t="array" ref="W186">_xlfn.XLOOKUP(V186,Stock1!I186,Stock1!F186,"")</f>
        <v/>
      </c>
      <c r="X186" s="102" t="str">
        <f t="array" ref="X186">_xlfn.XLOOKUP(V186,Stock1!I186,Stock1!J186,"")</f>
        <v/>
      </c>
      <c r="Y186" s="102" t="str">
        <f t="array" ref="Y186">_xlfn.XLOOKUP("Screen Protector for Android Phone and Other",Stock1!B186,Stock1!I186,"")</f>
        <v>[CS]Hishield 2.5D Matte Glass Samsung S26 Plus</v>
      </c>
      <c r="Z186" s="102" t="str">
        <f t="array" ref="Z186">_xlfn.XLOOKUP("Screen Protector for Galaxy Phone",Stock1!B186,Stock1!I186,"")</f>
        <v/>
      </c>
      <c r="AA186" s="102" t="str">
        <f t="array" ref="AA186">_xlfn.XLOOKUP("Screen Protector for Galaxy Tab",Stock1!B186,Stock1!I186,"")</f>
        <v/>
      </c>
      <c r="AB186" s="102" t="str">
        <f t="shared" si="4"/>
        <v>[CS]Hishield 2.5D Matte Glass Samsung S26 Plus</v>
      </c>
      <c r="AC186" s="429" t="str">
        <f t="array" ref="AC186">_xlfn.XLOOKUP(AB186,Stock1!I186,Stock1!F186,"")</f>
        <v>8859216829057</v>
      </c>
      <c r="AD186" s="102">
        <f t="array" ref="AD186">_xlfn.XLOOKUP(AB186,Stock1!I186,Stock1!J186,"")</f>
        <v>5</v>
      </c>
      <c r="AE186" s="102" t="str">
        <f t="array" ref="AE186">_xlfn.XLOOKUP("Storage",Stock1!B186,Stock1!I186,"")</f>
        <v/>
      </c>
      <c r="AF186" s="102" t="str">
        <f t="array" ref="AF186">_xlfn.XLOOKUP(AE186,Stock1!I186,Stock1!F186,"")</f>
        <v/>
      </c>
      <c r="AG186" s="102" t="str">
        <f t="array" ref="AG186">_xlfn.XLOOKUP(AE186,Stock1!I186,Stock1!J186,"")</f>
        <v/>
      </c>
    </row>
    <row r="187">
      <c r="K187" s="660" t="str">
        <f t="array" ref="K187">IFERROR(_xlfn.XLOOKUP(I187,Incentive!B:B,Incentive!E:E,""),"")</f>
        <v/>
      </c>
      <c r="L187" s="659" t="str">
        <f>IFERROR(VLOOKUP(I187,Stock1!F:J,5,False),"")</f>
        <v/>
      </c>
      <c r="M187" s="659" t="str">
        <f>IFERROR(VLOOKUP(I187,Stock2!F:J,5,False),"")</f>
        <v/>
      </c>
      <c r="V187" s="102" t="str">
        <f t="array" ref="V187">_xlfn.XLOOKUP("Charger",Stock1!B187,Stock1!I187,"")</f>
        <v/>
      </c>
      <c r="W187" s="102" t="str">
        <f t="array" ref="W187">_xlfn.XLOOKUP(V187,Stock1!I187,Stock1!F187,"")</f>
        <v/>
      </c>
      <c r="X187" s="102" t="str">
        <f t="array" ref="X187">_xlfn.XLOOKUP(V187,Stock1!I187,Stock1!J187,"")</f>
        <v/>
      </c>
      <c r="Y187" s="102" t="str">
        <f t="array" ref="Y187">_xlfn.XLOOKUP("Screen Protector for Android Phone and Other",Stock1!B187,Stock1!I187,"")</f>
        <v>[CS]Hishield 2.5D Matte Glass Samsung S26 Ultra</v>
      </c>
      <c r="Z187" s="102" t="str">
        <f t="array" ref="Z187">_xlfn.XLOOKUP("Screen Protector for Galaxy Phone",Stock1!B187,Stock1!I187,"")</f>
        <v/>
      </c>
      <c r="AA187" s="102" t="str">
        <f t="array" ref="AA187">_xlfn.XLOOKUP("Screen Protector for Galaxy Tab",Stock1!B187,Stock1!I187,"")</f>
        <v/>
      </c>
      <c r="AB187" s="102" t="str">
        <f t="shared" si="4"/>
        <v>[CS]Hishield 2.5D Matte Glass Samsung S26 Ultra</v>
      </c>
      <c r="AC187" s="429" t="str">
        <f t="array" ref="AC187">_xlfn.XLOOKUP(AB187,Stock1!I187,Stock1!F187,"")</f>
        <v>8859216829064</v>
      </c>
      <c r="AD187" s="102">
        <f t="array" ref="AD187">_xlfn.XLOOKUP(AB187,Stock1!I187,Stock1!J187,"")</f>
        <v>6</v>
      </c>
      <c r="AE187" s="102" t="str">
        <f t="array" ref="AE187">_xlfn.XLOOKUP("Storage",Stock1!B187,Stock1!I187,"")</f>
        <v/>
      </c>
      <c r="AF187" s="102" t="str">
        <f t="array" ref="AF187">_xlfn.XLOOKUP(AE187,Stock1!I187,Stock1!F187,"")</f>
        <v/>
      </c>
      <c r="AG187" s="102" t="str">
        <f t="array" ref="AG187">_xlfn.XLOOKUP(AE187,Stock1!I187,Stock1!J187,"")</f>
        <v/>
      </c>
    </row>
    <row r="188">
      <c r="K188" s="660" t="str">
        <f t="array" ref="K188">IFERROR(_xlfn.XLOOKUP(I188,Incentive!B:B,Incentive!E:E,""),"")</f>
        <v/>
      </c>
      <c r="L188" s="659" t="str">
        <f>IFERROR(VLOOKUP(I188,Stock1!F:J,5,False),"")</f>
        <v/>
      </c>
      <c r="M188" s="659" t="str">
        <f>IFERROR(VLOOKUP(I188,Stock2!F:J,5,False),"")</f>
        <v/>
      </c>
      <c r="V188" s="102" t="str">
        <f t="array" ref="V188">_xlfn.XLOOKUP("Charger",Stock1!B188,Stock1!I188,"")</f>
        <v/>
      </c>
      <c r="W188" s="102" t="str">
        <f t="array" ref="W188">_xlfn.XLOOKUP(V188,Stock1!I188,Stock1!F188,"")</f>
        <v/>
      </c>
      <c r="X188" s="102" t="str">
        <f t="array" ref="X188">_xlfn.XLOOKUP(V188,Stock1!I188,Stock1!J188,"")</f>
        <v/>
      </c>
      <c r="Y188" s="102" t="str">
        <f t="array" ref="Y188">_xlfn.XLOOKUP("Screen Protector for Android Phone and Other",Stock1!B188,Stock1!I188,"")</f>
        <v>Samsung Galaxy S26 Anti-reflecting Film - Transparent</v>
      </c>
      <c r="Z188" s="102" t="str">
        <f t="array" ref="Z188">_xlfn.XLOOKUP("Screen Protector for Galaxy Phone",Stock1!B188,Stock1!I188,"")</f>
        <v/>
      </c>
      <c r="AA188" s="102" t="str">
        <f t="array" ref="AA188">_xlfn.XLOOKUP("Screen Protector for Galaxy Tab",Stock1!B188,Stock1!I188,"")</f>
        <v/>
      </c>
      <c r="AB188" s="102" t="str">
        <f t="shared" si="4"/>
        <v>Samsung Galaxy S26 Anti-reflecting Film - Transparent</v>
      </c>
      <c r="AC188" s="429" t="str">
        <f t="array" ref="AC188">_xlfn.XLOOKUP(AB188,Stock1!I188,Stock1!F188,"")</f>
        <v>EF-US942CTEGWW</v>
      </c>
      <c r="AD188" s="102">
        <f t="array" ref="AD188">_xlfn.XLOOKUP(AB188,Stock1!I188,Stock1!J188,"")</f>
        <v>1</v>
      </c>
      <c r="AE188" s="102" t="str">
        <f t="array" ref="AE188">_xlfn.XLOOKUP("Storage",Stock1!B188,Stock1!I188,"")</f>
        <v/>
      </c>
      <c r="AF188" s="102" t="str">
        <f t="array" ref="AF188">_xlfn.XLOOKUP(AE188,Stock1!I188,Stock1!F188,"")</f>
        <v/>
      </c>
      <c r="AG188" s="102" t="str">
        <f t="array" ref="AG188">_xlfn.XLOOKUP(AE188,Stock1!I188,Stock1!J188,"")</f>
        <v/>
      </c>
    </row>
    <row r="189">
      <c r="K189" s="660" t="str">
        <f t="array" ref="K189">IFERROR(_xlfn.XLOOKUP(I189,Incentive!B:B,Incentive!E:E,""),"")</f>
        <v/>
      </c>
      <c r="L189" s="659" t="str">
        <f>IFERROR(VLOOKUP(I189,Stock1!F:J,5,False),"")</f>
        <v/>
      </c>
      <c r="M189" s="659" t="str">
        <f>IFERROR(VLOOKUP(I189,Stock2!F:J,5,False),"")</f>
        <v/>
      </c>
      <c r="V189" s="102" t="str">
        <f t="array" ref="V189">_xlfn.XLOOKUP("Charger",Stock1!B189,Stock1!I189,"")</f>
        <v/>
      </c>
      <c r="W189" s="102" t="str">
        <f t="array" ref="W189">_xlfn.XLOOKUP(V189,Stock1!I189,Stock1!F189,"")</f>
        <v/>
      </c>
      <c r="X189" s="102" t="str">
        <f t="array" ref="X189">_xlfn.XLOOKUP(V189,Stock1!I189,Stock1!J189,"")</f>
        <v/>
      </c>
      <c r="Y189" s="102" t="str">
        <f t="array" ref="Y189">_xlfn.XLOOKUP("Screen Protector for Android Phone and Other",Stock1!B189,Stock1!I189,"")</f>
        <v>Samsung Galaxy S26Plus Anti-reflecting Film - Transparent</v>
      </c>
      <c r="Z189" s="102" t="str">
        <f t="array" ref="Z189">_xlfn.XLOOKUP("Screen Protector for Galaxy Phone",Stock1!B189,Stock1!I189,"")</f>
        <v/>
      </c>
      <c r="AA189" s="102" t="str">
        <f t="array" ref="AA189">_xlfn.XLOOKUP("Screen Protector for Galaxy Tab",Stock1!B189,Stock1!I189,"")</f>
        <v/>
      </c>
      <c r="AB189" s="102" t="str">
        <f t="shared" si="4"/>
        <v>Samsung Galaxy S26Plus Anti-reflecting Film - Transparent</v>
      </c>
      <c r="AC189" s="429" t="str">
        <f t="array" ref="AC189">_xlfn.XLOOKUP(AB189,Stock1!I189,Stock1!F189,"")</f>
        <v>EF-US947CTEGWW</v>
      </c>
      <c r="AD189" s="102">
        <f t="array" ref="AD189">_xlfn.XLOOKUP(AB189,Stock1!I189,Stock1!J189,"")</f>
        <v>2</v>
      </c>
      <c r="AE189" s="102" t="str">
        <f t="array" ref="AE189">_xlfn.XLOOKUP("Storage",Stock1!B189,Stock1!I189,"")</f>
        <v/>
      </c>
      <c r="AF189" s="102" t="str">
        <f t="array" ref="AF189">_xlfn.XLOOKUP(AE189,Stock1!I189,Stock1!F189,"")</f>
        <v/>
      </c>
      <c r="AG189" s="102" t="str">
        <f t="array" ref="AG189">_xlfn.XLOOKUP(AE189,Stock1!I189,Stock1!J189,"")</f>
        <v/>
      </c>
    </row>
    <row r="190">
      <c r="K190" s="660" t="str">
        <f t="array" ref="K190">IFERROR(_xlfn.XLOOKUP(I190,Incentive!B:B,Incentive!E:E,""),"")</f>
        <v/>
      </c>
      <c r="L190" s="659" t="str">
        <f>IFERROR(VLOOKUP(I190,Stock1!F:J,5,False),"")</f>
        <v/>
      </c>
      <c r="M190" s="659" t="str">
        <f>IFERROR(VLOOKUP(I190,Stock2!F:J,5,False),"")</f>
        <v/>
      </c>
      <c r="V190" s="102" t="str">
        <f t="array" ref="V190">_xlfn.XLOOKUP("Charger",Stock1!B190,Stock1!I190,"")</f>
        <v/>
      </c>
      <c r="W190" s="102" t="str">
        <f t="array" ref="W190">_xlfn.XLOOKUP(V190,Stock1!I190,Stock1!F190,"")</f>
        <v/>
      </c>
      <c r="X190" s="102" t="str">
        <f t="array" ref="X190">_xlfn.XLOOKUP(V190,Stock1!I190,Stock1!J190,"")</f>
        <v/>
      </c>
      <c r="Y190" s="102" t="str">
        <f t="array" ref="Y190">_xlfn.XLOOKUP("Screen Protector for Android Phone and Other",Stock1!B190,Stock1!I190,"")</f>
        <v>[CS]Focus TG UC Samsung Galaxy Z Flip 7 5G</v>
      </c>
      <c r="Z190" s="102" t="str">
        <f t="array" ref="Z190">_xlfn.XLOOKUP("Screen Protector for Galaxy Phone",Stock1!B190,Stock1!I190,"")</f>
        <v/>
      </c>
      <c r="AA190" s="102" t="str">
        <f t="array" ref="AA190">_xlfn.XLOOKUP("Screen Protector for Galaxy Tab",Stock1!B190,Stock1!I190,"")</f>
        <v/>
      </c>
      <c r="AB190" s="102" t="str">
        <f t="shared" si="4"/>
        <v>[CS]Focus TG UC Samsung Galaxy Z Flip 7 5G</v>
      </c>
      <c r="AC190" s="429" t="str">
        <f t="array" ref="AC190">_xlfn.XLOOKUP(AB190,Stock1!I190,Stock1!F190,"")</f>
        <v>8859703435532</v>
      </c>
      <c r="AD190" s="102">
        <f t="array" ref="AD190">_xlfn.XLOOKUP(AB190,Stock1!I190,Stock1!J190,"")</f>
        <v>7</v>
      </c>
      <c r="AE190" s="102" t="str">
        <f t="array" ref="AE190">_xlfn.XLOOKUP("Storage",Stock1!B190,Stock1!I190,"")</f>
        <v/>
      </c>
      <c r="AF190" s="102" t="str">
        <f t="array" ref="AF190">_xlfn.XLOOKUP(AE190,Stock1!I190,Stock1!F190,"")</f>
        <v/>
      </c>
      <c r="AG190" s="102" t="str">
        <f t="array" ref="AG190">_xlfn.XLOOKUP(AE190,Stock1!I190,Stock1!J190,"")</f>
        <v/>
      </c>
    </row>
    <row r="191">
      <c r="K191" s="660" t="str">
        <f t="array" ref="K191">IFERROR(_xlfn.XLOOKUP(I191,Incentive!B:B,Incentive!E:E,""),"")</f>
        <v/>
      </c>
      <c r="L191" s="659" t="str">
        <f>IFERROR(VLOOKUP(I191,Stock1!F:J,5,False),"")</f>
        <v/>
      </c>
      <c r="M191" s="659" t="str">
        <f>IFERROR(VLOOKUP(I191,Stock2!F:J,5,False),"")</f>
        <v/>
      </c>
      <c r="V191" s="102" t="str">
        <f t="array" ref="V191">_xlfn.XLOOKUP("Charger",Stock1!B191,Stock1!I191,"")</f>
        <v/>
      </c>
      <c r="W191" s="102" t="str">
        <f t="array" ref="W191">_xlfn.XLOOKUP(V191,Stock1!I191,Stock1!F191,"")</f>
        <v/>
      </c>
      <c r="X191" s="102" t="str">
        <f t="array" ref="X191">_xlfn.XLOOKUP(V191,Stock1!I191,Stock1!J191,"")</f>
        <v/>
      </c>
      <c r="Y191" s="102" t="str">
        <f t="array" ref="Y191">_xlfn.XLOOKUP("Screen Protector for Android Phone and Other",Stock1!B191,Stock1!I191,"")</f>
        <v>[CS]Focus TG UC Samsung Galaxy Z Flip 8</v>
      </c>
      <c r="Z191" s="102" t="str">
        <f t="array" ref="Z191">_xlfn.XLOOKUP("Screen Protector for Galaxy Phone",Stock1!B191,Stock1!I191,"")</f>
        <v/>
      </c>
      <c r="AA191" s="102" t="str">
        <f t="array" ref="AA191">_xlfn.XLOOKUP("Screen Protector for Galaxy Tab",Stock1!B191,Stock1!I191,"")</f>
        <v/>
      </c>
      <c r="AB191" s="102" t="str">
        <f t="shared" si="4"/>
        <v>[CS]Focus TG UC Samsung Galaxy Z Flip 8</v>
      </c>
      <c r="AC191" s="429" t="str">
        <f t="array" ref="AC191">_xlfn.XLOOKUP(AB191,Stock1!I191,Stock1!F191,"")</f>
        <v>8859703443599</v>
      </c>
      <c r="AD191" s="102">
        <f t="array" ref="AD191">_xlfn.XLOOKUP(AB191,Stock1!I191,Stock1!J191,"")</f>
        <v>5</v>
      </c>
      <c r="AE191" s="102" t="str">
        <f t="array" ref="AE191">_xlfn.XLOOKUP("Storage",Stock1!B191,Stock1!I191,"")</f>
        <v/>
      </c>
      <c r="AF191" s="102" t="str">
        <f t="array" ref="AF191">_xlfn.XLOOKUP(AE191,Stock1!I191,Stock1!F191,"")</f>
        <v/>
      </c>
      <c r="AG191" s="102" t="str">
        <f t="array" ref="AG191">_xlfn.XLOOKUP(AE191,Stock1!I191,Stock1!J191,"")</f>
        <v/>
      </c>
    </row>
    <row r="192">
      <c r="K192" s="660" t="str">
        <f t="array" ref="K192">IFERROR(_xlfn.XLOOKUP(I192,Incentive!B:B,Incentive!E:E,""),"")</f>
        <v/>
      </c>
      <c r="L192" s="659" t="str">
        <f>IFERROR(VLOOKUP(I192,Stock1!F:J,5,False),"")</f>
        <v/>
      </c>
      <c r="M192" s="659" t="str">
        <f>IFERROR(VLOOKUP(I192,Stock2!F:J,5,False),"")</f>
        <v/>
      </c>
      <c r="V192" s="102" t="str">
        <f t="array" ref="V192">_xlfn.XLOOKUP("Charger",Stock1!B192,Stock1!I192,"")</f>
        <v/>
      </c>
      <c r="W192" s="102" t="str">
        <f t="array" ref="W192">_xlfn.XLOOKUP(V192,Stock1!I192,Stock1!F192,"")</f>
        <v/>
      </c>
      <c r="X192" s="102" t="str">
        <f t="array" ref="X192">_xlfn.XLOOKUP(V192,Stock1!I192,Stock1!J192,"")</f>
        <v/>
      </c>
      <c r="Y192" s="102" t="str">
        <f t="array" ref="Y192">_xlfn.XLOOKUP("Screen Protector for Android Phone and Other",Stock1!B192,Stock1!I192,"")</f>
        <v>[CS]Hishield Tempered Glass 2.5D Clear Samsung Z Flip8</v>
      </c>
      <c r="Z192" s="102" t="str">
        <f t="array" ref="Z192">_xlfn.XLOOKUP("Screen Protector for Galaxy Phone",Stock1!B192,Stock1!I192,"")</f>
        <v/>
      </c>
      <c r="AA192" s="102" t="str">
        <f t="array" ref="AA192">_xlfn.XLOOKUP("Screen Protector for Galaxy Tab",Stock1!B192,Stock1!I192,"")</f>
        <v/>
      </c>
      <c r="AB192" s="102" t="str">
        <f t="shared" si="4"/>
        <v>[CS]Hishield Tempered Glass 2.5D Clear Samsung Z Flip8</v>
      </c>
      <c r="AC192" s="429" t="str">
        <f t="array" ref="AC192">_xlfn.XLOOKUP(AB192,Stock1!I192,Stock1!F192,"")</f>
        <v>8859216860241</v>
      </c>
      <c r="AD192" s="102">
        <f t="array" ref="AD192">_xlfn.XLOOKUP(AB192,Stock1!I192,Stock1!J192,"")</f>
        <v>28</v>
      </c>
      <c r="AE192" s="102" t="str">
        <f t="array" ref="AE192">_xlfn.XLOOKUP("Storage",Stock1!B192,Stock1!I192,"")</f>
        <v/>
      </c>
      <c r="AF192" s="102" t="str">
        <f t="array" ref="AF192">_xlfn.XLOOKUP(AE192,Stock1!I192,Stock1!F192,"")</f>
        <v/>
      </c>
      <c r="AG192" s="102" t="str">
        <f t="array" ref="AG192">_xlfn.XLOOKUP(AE192,Stock1!I192,Stock1!J192,"")</f>
        <v/>
      </c>
    </row>
    <row r="193">
      <c r="K193" s="660" t="str">
        <f t="array" ref="K193">IFERROR(_xlfn.XLOOKUP(I193,Incentive!B:B,Incentive!E:E,""),"")</f>
        <v/>
      </c>
      <c r="L193" s="659" t="str">
        <f>IFERROR(VLOOKUP(I193,Stock1!F:J,5,False),"")</f>
        <v/>
      </c>
      <c r="M193" s="659" t="str">
        <f>IFERROR(VLOOKUP(I193,Stock2!F:J,5,False),"")</f>
        <v/>
      </c>
      <c r="V193" s="102" t="str">
        <f t="array" ref="V193">_xlfn.XLOOKUP("Charger",Stock1!B193,Stock1!I193,"")</f>
        <v/>
      </c>
      <c r="W193" s="102" t="str">
        <f t="array" ref="W193">_xlfn.XLOOKUP(V193,Stock1!I193,Stock1!F193,"")</f>
        <v/>
      </c>
      <c r="X193" s="102" t="str">
        <f t="array" ref="X193">_xlfn.XLOOKUP(V193,Stock1!I193,Stock1!J193,"")</f>
        <v/>
      </c>
      <c r="Y193" s="102" t="str">
        <f t="array" ref="Y193">_xlfn.XLOOKUP("Screen Protector for Android Phone and Other",Stock1!B193,Stock1!I193,"")</f>
        <v>[CS]Focus TG UC Samsung Galaxy Z Fold 8</v>
      </c>
      <c r="Z193" s="102" t="str">
        <f t="array" ref="Z193">_xlfn.XLOOKUP("Screen Protector for Galaxy Phone",Stock1!B193,Stock1!I193,"")</f>
        <v/>
      </c>
      <c r="AA193" s="102" t="str">
        <f t="array" ref="AA193">_xlfn.XLOOKUP("Screen Protector for Galaxy Tab",Stock1!B193,Stock1!I193,"")</f>
        <v/>
      </c>
      <c r="AB193" s="102" t="str">
        <f t="shared" si="4"/>
        <v>[CS]Focus TG UC Samsung Galaxy Z Fold 8</v>
      </c>
      <c r="AC193" s="429" t="str">
        <f t="array" ref="AC193">_xlfn.XLOOKUP(AB193,Stock1!I193,Stock1!F193,"")</f>
        <v>8859703443612</v>
      </c>
      <c r="AD193" s="102">
        <f t="array" ref="AD193">_xlfn.XLOOKUP(AB193,Stock1!I193,Stock1!J193,"")</f>
        <v>3</v>
      </c>
      <c r="AE193" s="102" t="str">
        <f t="array" ref="AE193">_xlfn.XLOOKUP("Storage",Stock1!B193,Stock1!I193,"")</f>
        <v/>
      </c>
      <c r="AF193" s="102" t="str">
        <f t="array" ref="AF193">_xlfn.XLOOKUP(AE193,Stock1!I193,Stock1!F193,"")</f>
        <v/>
      </c>
      <c r="AG193" s="102" t="str">
        <f t="array" ref="AG193">_xlfn.XLOOKUP(AE193,Stock1!I193,Stock1!J193,"")</f>
        <v/>
      </c>
    </row>
    <row r="194">
      <c r="K194" s="660" t="str">
        <f t="array" ref="K194">IFERROR(_xlfn.XLOOKUP(I194,Incentive!B:B,Incentive!E:E,""),"")</f>
        <v/>
      </c>
      <c r="L194" s="659" t="str">
        <f>IFERROR(VLOOKUP(I194,Stock1!F:J,5,False),"")</f>
        <v/>
      </c>
      <c r="M194" s="659" t="str">
        <f>IFERROR(VLOOKUP(I194,Stock2!F:J,5,False),"")</f>
        <v/>
      </c>
      <c r="V194" s="102" t="str">
        <f t="array" ref="V194">_xlfn.XLOOKUP("Charger",Stock1!B194,Stock1!I194,"")</f>
        <v/>
      </c>
      <c r="W194" s="102" t="str">
        <f t="array" ref="W194">_xlfn.XLOOKUP(V194,Stock1!I194,Stock1!F194,"")</f>
        <v/>
      </c>
      <c r="X194" s="102" t="str">
        <f t="array" ref="X194">_xlfn.XLOOKUP(V194,Stock1!I194,Stock1!J194,"")</f>
        <v/>
      </c>
      <c r="Y194" s="102" t="str">
        <f t="array" ref="Y194">_xlfn.XLOOKUP("Screen Protector for Android Phone and Other",Stock1!B194,Stock1!I194,"")</f>
        <v>[CS]Hishield TemperedGlass 2.5D Clear Samsung Z Fold8</v>
      </c>
      <c r="Z194" s="102" t="str">
        <f t="array" ref="Z194">_xlfn.XLOOKUP("Screen Protector for Galaxy Phone",Stock1!B194,Stock1!I194,"")</f>
        <v/>
      </c>
      <c r="AA194" s="102" t="str">
        <f t="array" ref="AA194">_xlfn.XLOOKUP("Screen Protector for Galaxy Tab",Stock1!B194,Stock1!I194,"")</f>
        <v/>
      </c>
      <c r="AB194" s="102" t="str">
        <f t="shared" si="4"/>
        <v>[CS]Hishield TemperedGlass 2.5D Clear Samsung Z Fold8</v>
      </c>
      <c r="AC194" s="429" t="str">
        <f t="array" ref="AC194">_xlfn.XLOOKUP(AB194,Stock1!I194,Stock1!F194,"")</f>
        <v>8859216860401</v>
      </c>
      <c r="AD194" s="102">
        <f t="array" ref="AD194">_xlfn.XLOOKUP(AB194,Stock1!I194,Stock1!J194,"")</f>
        <v>7</v>
      </c>
      <c r="AE194" s="102" t="str">
        <f t="array" ref="AE194">_xlfn.XLOOKUP("Storage",Stock1!B194,Stock1!I194,"")</f>
        <v/>
      </c>
      <c r="AF194" s="102" t="str">
        <f t="array" ref="AF194">_xlfn.XLOOKUP(AE194,Stock1!I194,Stock1!F194,"")</f>
        <v/>
      </c>
      <c r="AG194" s="102" t="str">
        <f t="array" ref="AG194">_xlfn.XLOOKUP(AE194,Stock1!I194,Stock1!J194,"")</f>
        <v/>
      </c>
    </row>
    <row r="195">
      <c r="K195" s="660" t="str">
        <f t="array" ref="K195">IFERROR(_xlfn.XLOOKUP(I195,Incentive!B:B,Incentive!E:E,""),"")</f>
        <v/>
      </c>
      <c r="L195" s="659" t="str">
        <f>IFERROR(VLOOKUP(I195,Stock1!F:J,5,False),"")</f>
        <v/>
      </c>
      <c r="M195" s="659" t="str">
        <f>IFERROR(VLOOKUP(I195,Stock2!F:J,5,False),"")</f>
        <v/>
      </c>
      <c r="V195" s="102" t="str">
        <f t="array" ref="V195">_xlfn.XLOOKUP("Charger",Stock1!B195,Stock1!I195,"")</f>
        <v/>
      </c>
      <c r="W195" s="102" t="str">
        <f t="array" ref="W195">_xlfn.XLOOKUP(V195,Stock1!I195,Stock1!F195,"")</f>
        <v/>
      </c>
      <c r="X195" s="102" t="str">
        <f t="array" ref="X195">_xlfn.XLOOKUP(V195,Stock1!I195,Stock1!J195,"")</f>
        <v/>
      </c>
      <c r="Y195" s="102" t="str">
        <f t="array" ref="Y195">_xlfn.XLOOKUP("Screen Protector for Android Phone and Other",Stock1!B195,Stock1!I195,"")</f>
        <v>[CS]Focus TG UC Samsung Galaxy Z Fold 8 Ultra</v>
      </c>
      <c r="Z195" s="102" t="str">
        <f t="array" ref="Z195">_xlfn.XLOOKUP("Screen Protector for Galaxy Phone",Stock1!B195,Stock1!I195,"")</f>
        <v/>
      </c>
      <c r="AA195" s="102" t="str">
        <f t="array" ref="AA195">_xlfn.XLOOKUP("Screen Protector for Galaxy Tab",Stock1!B195,Stock1!I195,"")</f>
        <v/>
      </c>
      <c r="AB195" s="102" t="str">
        <f t="shared" si="4"/>
        <v>[CS]Focus TG UC Samsung Galaxy Z Fold 8 Ultra</v>
      </c>
      <c r="AC195" s="429" t="str">
        <f t="array" ref="AC195">_xlfn.XLOOKUP(AB195,Stock1!I195,Stock1!F195,"")</f>
        <v>8859703443605</v>
      </c>
      <c r="AD195" s="102">
        <f t="array" ref="AD195">_xlfn.XLOOKUP(AB195,Stock1!I195,Stock1!J195,"")</f>
        <v>3</v>
      </c>
      <c r="AE195" s="102" t="str">
        <f t="array" ref="AE195">_xlfn.XLOOKUP("Storage",Stock1!B195,Stock1!I195,"")</f>
        <v/>
      </c>
      <c r="AF195" s="102" t="str">
        <f t="array" ref="AF195">_xlfn.XLOOKUP(AE195,Stock1!I195,Stock1!F195,"")</f>
        <v/>
      </c>
      <c r="AG195" s="102" t="str">
        <f t="array" ref="AG195">_xlfn.XLOOKUP(AE195,Stock1!I195,Stock1!J195,"")</f>
        <v/>
      </c>
    </row>
    <row r="196">
      <c r="K196" s="660" t="str">
        <f t="array" ref="K196">IFERROR(_xlfn.XLOOKUP(I196,Incentive!B:B,Incentive!E:E,""),"")</f>
        <v/>
      </c>
      <c r="L196" s="659" t="str">
        <f>IFERROR(VLOOKUP(I196,Stock1!F:J,5,False),"")</f>
        <v/>
      </c>
      <c r="M196" s="659" t="str">
        <f>IFERROR(VLOOKUP(I196,Stock2!F:J,5,False),"")</f>
        <v/>
      </c>
      <c r="V196" s="102" t="str">
        <f t="array" ref="V196">_xlfn.XLOOKUP("Charger",Stock1!B196,Stock1!I196,"")</f>
        <v/>
      </c>
      <c r="W196" s="102" t="str">
        <f t="array" ref="W196">_xlfn.XLOOKUP(V196,Stock1!I196,Stock1!F196,"")</f>
        <v/>
      </c>
      <c r="X196" s="102" t="str">
        <f t="array" ref="X196">_xlfn.XLOOKUP(V196,Stock1!I196,Stock1!J196,"")</f>
        <v/>
      </c>
      <c r="Y196" s="102" t="str">
        <f t="array" ref="Y196">_xlfn.XLOOKUP("Screen Protector for Android Phone and Other",Stock1!B196,Stock1!I196,"")</f>
        <v>[CS]Hishield Tempered Glass 2.5D Clear Samsung Z Fold8 Ultra</v>
      </c>
      <c r="Z196" s="102" t="str">
        <f t="array" ref="Z196">_xlfn.XLOOKUP("Screen Protector for Galaxy Phone",Stock1!B196,Stock1!I196,"")</f>
        <v/>
      </c>
      <c r="AA196" s="102" t="str">
        <f t="array" ref="AA196">_xlfn.XLOOKUP("Screen Protector for Galaxy Tab",Stock1!B196,Stock1!I196,"")</f>
        <v/>
      </c>
      <c r="AB196" s="102" t="str">
        <f t="shared" si="4"/>
        <v>[CS]Hishield Tempered Glass 2.5D Clear Samsung Z Fold8 Ultra</v>
      </c>
      <c r="AC196" s="429" t="str">
        <f t="array" ref="AC196">_xlfn.XLOOKUP(AB196,Stock1!I196,Stock1!F196,"")</f>
        <v>8859216860326</v>
      </c>
      <c r="AD196" s="102">
        <f t="array" ref="AD196">_xlfn.XLOOKUP(AB196,Stock1!I196,Stock1!J196,"")</f>
        <v>29</v>
      </c>
      <c r="AE196" s="102" t="str">
        <f t="array" ref="AE196">_xlfn.XLOOKUP("Storage",Stock1!B196,Stock1!I196,"")</f>
        <v/>
      </c>
      <c r="AF196" s="102" t="str">
        <f t="array" ref="AF196">_xlfn.XLOOKUP(AE196,Stock1!I196,Stock1!F196,"")</f>
        <v/>
      </c>
      <c r="AG196" s="102" t="str">
        <f t="array" ref="AG196">_xlfn.XLOOKUP(AE196,Stock1!I196,Stock1!J196,"")</f>
        <v/>
      </c>
    </row>
    <row r="197">
      <c r="K197" s="660" t="str">
        <f t="array" ref="K197">IFERROR(_xlfn.XLOOKUP(I197,Incentive!B:B,Incentive!E:E,""),"")</f>
        <v/>
      </c>
      <c r="L197" s="659" t="str">
        <f>IFERROR(VLOOKUP(I197,Stock1!F:J,5,False),"")</f>
        <v/>
      </c>
      <c r="M197" s="659" t="str">
        <f>IFERROR(VLOOKUP(I197,Stock2!F:J,5,False),"")</f>
        <v/>
      </c>
      <c r="V197" s="102" t="str">
        <f t="array" ref="V197">_xlfn.XLOOKUP("Charger",Stock1!B197,Stock1!I197,"")</f>
        <v/>
      </c>
      <c r="W197" s="102" t="str">
        <f t="array" ref="W197">_xlfn.XLOOKUP(V197,Stock1!I197,Stock1!F197,"")</f>
        <v/>
      </c>
      <c r="X197" s="102" t="str">
        <f t="array" ref="X197">_xlfn.XLOOKUP(V197,Stock1!I197,Stock1!J197,"")</f>
        <v/>
      </c>
      <c r="Y197" s="102" t="str">
        <f t="array" ref="Y197">_xlfn.XLOOKUP("Screen Protector for Android Phone and Other",Stock1!B197,Stock1!I197,"")</f>
        <v/>
      </c>
      <c r="Z197" s="102" t="str">
        <f t="array" ref="Z197">_xlfn.XLOOKUP("Screen Protector for Galaxy Phone",Stock1!B197,Stock1!I197,"")</f>
        <v/>
      </c>
      <c r="AA197" s="102" t="str">
        <f t="array" ref="AA197">_xlfn.XLOOKUP("Screen Protector for Galaxy Tab",Stock1!B197,Stock1!I197,"")</f>
        <v>[CS]Focus TG UC Samsung Galaxy Tab A9 8.7</v>
      </c>
      <c r="AB197" s="102" t="str">
        <f t="shared" si="4"/>
        <v>[CS]Focus TG UC Samsung Galaxy Tab A9 8.7</v>
      </c>
      <c r="AC197" s="429" t="str">
        <f t="array" ref="AC197">_xlfn.XLOOKUP(AB197,Stock1!I197,Stock1!F197,"")</f>
        <v>8859703426066</v>
      </c>
      <c r="AD197" s="102">
        <f t="array" ref="AD197">_xlfn.XLOOKUP(AB197,Stock1!I197,Stock1!J197,"")</f>
        <v>5</v>
      </c>
      <c r="AE197" s="102" t="str">
        <f t="array" ref="AE197">_xlfn.XLOOKUP("Storage",Stock1!B197,Stock1!I197,"")</f>
        <v/>
      </c>
      <c r="AF197" s="102" t="str">
        <f t="array" ref="AF197">_xlfn.XLOOKUP(AE197,Stock1!I197,Stock1!F197,"")</f>
        <v/>
      </c>
      <c r="AG197" s="102" t="str">
        <f t="array" ref="AG197">_xlfn.XLOOKUP(AE197,Stock1!I197,Stock1!J197,"")</f>
        <v/>
      </c>
    </row>
    <row r="198">
      <c r="K198" s="660" t="str">
        <f t="array" ref="K198">IFERROR(_xlfn.XLOOKUP(I198,Incentive!B:B,Incentive!E:E,""),"")</f>
        <v/>
      </c>
      <c r="L198" s="659" t="str">
        <f>IFERROR(VLOOKUP(I198,Stock1!F:J,5,False),"")</f>
        <v/>
      </c>
      <c r="M198" s="659" t="str">
        <f>IFERROR(VLOOKUP(I198,Stock2!F:J,5,False),"")</f>
        <v/>
      </c>
      <c r="V198" s="102" t="str">
        <f t="array" ref="V198">_xlfn.XLOOKUP("Charger",Stock1!B198,Stock1!I198,"")</f>
        <v/>
      </c>
      <c r="W198" s="102" t="str">
        <f t="array" ref="W198">_xlfn.XLOOKUP(V198,Stock1!I198,Stock1!F198,"")</f>
        <v/>
      </c>
      <c r="X198" s="102" t="str">
        <f t="array" ref="X198">_xlfn.XLOOKUP(V198,Stock1!I198,Stock1!J198,"")</f>
        <v/>
      </c>
      <c r="Y198" s="102" t="str">
        <f t="array" ref="Y198">_xlfn.XLOOKUP("Screen Protector for Android Phone and Other",Stock1!B198,Stock1!I198,"")</f>
        <v/>
      </c>
      <c r="Z198" s="102" t="str">
        <f t="array" ref="Z198">_xlfn.XLOOKUP("Screen Protector for Galaxy Phone",Stock1!B198,Stock1!I198,"")</f>
        <v/>
      </c>
      <c r="AA198" s="102" t="str">
        <f t="array" ref="AA198">_xlfn.XLOOKUP("Screen Protector for Galaxy Tab",Stock1!B198,Stock1!I198,"")</f>
        <v>[CS]Focus TG UC Samsung Galaxy Tab A9 Plus 11</v>
      </c>
      <c r="AB198" s="102" t="str">
        <f t="shared" si="4"/>
        <v>[CS]Focus TG UC Samsung Galaxy Tab A9 Plus 11</v>
      </c>
      <c r="AC198" s="429" t="str">
        <f t="array" ref="AC198">_xlfn.XLOOKUP(AB198,Stock1!I198,Stock1!F198,"")</f>
        <v>8859703426073</v>
      </c>
      <c r="AD198" s="102">
        <f t="array" ref="AD198">_xlfn.XLOOKUP(AB198,Stock1!I198,Stock1!J198,"")</f>
        <v>6</v>
      </c>
      <c r="AE198" s="102" t="str">
        <f t="array" ref="AE198">_xlfn.XLOOKUP("Storage",Stock1!B198,Stock1!I198,"")</f>
        <v/>
      </c>
      <c r="AF198" s="102" t="str">
        <f t="array" ref="AF198">_xlfn.XLOOKUP(AE198,Stock1!I198,Stock1!F198,"")</f>
        <v/>
      </c>
      <c r="AG198" s="102" t="str">
        <f t="array" ref="AG198">_xlfn.XLOOKUP(AE198,Stock1!I198,Stock1!J198,"")</f>
        <v/>
      </c>
    </row>
    <row r="199">
      <c r="K199" s="660" t="str">
        <f t="array" ref="K199">IFERROR(_xlfn.XLOOKUP(I199,Incentive!B:B,Incentive!E:E,""),"")</f>
        <v/>
      </c>
      <c r="L199" s="659" t="str">
        <f>IFERROR(VLOOKUP(I199,Stock1!F:J,5,False),"")</f>
        <v/>
      </c>
      <c r="M199" s="659" t="str">
        <f>IFERROR(VLOOKUP(I199,Stock2!F:J,5,False),"")</f>
        <v/>
      </c>
      <c r="V199" s="102" t="str">
        <f t="array" ref="V199">_xlfn.XLOOKUP("Charger",Stock1!B199,Stock1!I199,"")</f>
        <v/>
      </c>
      <c r="W199" s="102" t="str">
        <f t="array" ref="W199">_xlfn.XLOOKUP(V199,Stock1!I199,Stock1!F199,"")</f>
        <v/>
      </c>
      <c r="X199" s="102" t="str">
        <f t="array" ref="X199">_xlfn.XLOOKUP(V199,Stock1!I199,Stock1!J199,"")</f>
        <v/>
      </c>
      <c r="Y199" s="102" t="str">
        <f t="array" ref="Y199">_xlfn.XLOOKUP("Screen Protector for Android Phone and Other",Stock1!B199,Stock1!I199,"")</f>
        <v/>
      </c>
      <c r="Z199" s="102" t="str">
        <f t="array" ref="Z199">_xlfn.XLOOKUP("Screen Protector for Galaxy Phone",Stock1!B199,Stock1!I199,"")</f>
        <v/>
      </c>
      <c r="AA199" s="102" t="str">
        <f t="array" ref="AA199">_xlfn.XLOOKUP("Screen Protector for Galaxy Tab",Stock1!B199,Stock1!I199,"")</f>
        <v>[CS]Focus TG UC Samsung Galaxy Tab S10 FE Plus 13.1</v>
      </c>
      <c r="AB199" s="102" t="str">
        <f t="shared" si="4"/>
        <v>[CS]Focus TG UC Samsung Galaxy Tab S10 FE Plus 13.1</v>
      </c>
      <c r="AC199" s="429" t="str">
        <f t="array" ref="AC199">_xlfn.XLOOKUP(AB199,Stock1!I199,Stock1!F199,"")</f>
        <v>8859703435204</v>
      </c>
      <c r="AD199" s="102">
        <f t="array" ref="AD199">_xlfn.XLOOKUP(AB199,Stock1!I199,Stock1!J199,"")</f>
        <v>6</v>
      </c>
      <c r="AE199" s="102" t="str">
        <f t="array" ref="AE199">_xlfn.XLOOKUP("Storage",Stock1!B199,Stock1!I199,"")</f>
        <v/>
      </c>
      <c r="AF199" s="102" t="str">
        <f t="array" ref="AF199">_xlfn.XLOOKUP(AE199,Stock1!I199,Stock1!F199,"")</f>
        <v/>
      </c>
      <c r="AG199" s="102" t="str">
        <f t="array" ref="AG199">_xlfn.XLOOKUP(AE199,Stock1!I199,Stock1!J199,"")</f>
        <v/>
      </c>
    </row>
    <row r="200">
      <c r="K200" s="660" t="str">
        <f t="array" ref="K200">IFERROR(_xlfn.XLOOKUP(I200,Incentive!B:B,Incentive!E:E,""),"")</f>
        <v/>
      </c>
      <c r="L200" s="659" t="str">
        <f>IFERROR(VLOOKUP(I200,Stock1!F:J,5,False),"")</f>
        <v/>
      </c>
      <c r="M200" s="659" t="str">
        <f>IFERROR(VLOOKUP(I200,Stock2!F:J,5,False),"")</f>
        <v/>
      </c>
      <c r="V200" s="102" t="str">
        <f t="array" ref="V200">_xlfn.XLOOKUP("Charger",Stock1!B200,Stock1!I200,"")</f>
        <v/>
      </c>
      <c r="W200" s="102" t="str">
        <f t="array" ref="W200">_xlfn.XLOOKUP(V200,Stock1!I200,Stock1!F200,"")</f>
        <v/>
      </c>
      <c r="X200" s="102" t="str">
        <f t="array" ref="X200">_xlfn.XLOOKUP(V200,Stock1!I200,Stock1!J200,"")</f>
        <v/>
      </c>
      <c r="Y200" s="102" t="str">
        <f t="array" ref="Y200">_xlfn.XLOOKUP("Screen Protector for Android Phone and Other",Stock1!B200,Stock1!I200,"")</f>
        <v/>
      </c>
      <c r="Z200" s="102" t="str">
        <f t="array" ref="Z200">_xlfn.XLOOKUP("Screen Protector for Galaxy Phone",Stock1!B200,Stock1!I200,"")</f>
        <v/>
      </c>
      <c r="AA200" s="102" t="str">
        <f t="array" ref="AA200">_xlfn.XLOOKUP("Screen Protector for Galaxy Tab",Stock1!B200,Stock1!I200,"")</f>
        <v>[CS]HISHIELD TemperedGlass FC 2.5D Samsung Tab S10 Lite</v>
      </c>
      <c r="AB200" s="102" t="str">
        <f t="shared" si="4"/>
        <v>[CS]HISHIELD TemperedGlass FC 2.5D Samsung Tab S10 Lite</v>
      </c>
      <c r="AC200" s="429" t="str">
        <f t="array" ref="AC200">_xlfn.XLOOKUP(AB200,Stock1!I200,Stock1!F200,"")</f>
        <v>8859216804085</v>
      </c>
      <c r="AD200" s="102">
        <f t="array" ref="AD200">_xlfn.XLOOKUP(AB200,Stock1!I200,Stock1!J200,"")</f>
        <v>6</v>
      </c>
      <c r="AE200" s="102" t="str">
        <f t="array" ref="AE200">_xlfn.XLOOKUP("Storage",Stock1!B200,Stock1!I200,"")</f>
        <v/>
      </c>
      <c r="AF200" s="102" t="str">
        <f t="array" ref="AF200">_xlfn.XLOOKUP(AE200,Stock1!I200,Stock1!F200,"")</f>
        <v/>
      </c>
      <c r="AG200" s="102" t="str">
        <f t="array" ref="AG200">_xlfn.XLOOKUP(AE200,Stock1!I200,Stock1!J200,"")</f>
        <v/>
      </c>
    </row>
    <row r="201">
      <c r="K201" s="660" t="str">
        <f t="array" ref="K201">IFERROR(_xlfn.XLOOKUP(I201,Incentive!B:B,Incentive!E:E,""),"")</f>
        <v/>
      </c>
      <c r="L201" s="659" t="str">
        <f>IFERROR(VLOOKUP(I201,Stock1!F:J,5,False),"")</f>
        <v/>
      </c>
      <c r="M201" s="659" t="str">
        <f>IFERROR(VLOOKUP(I201,Stock2!F:J,5,False),"")</f>
        <v/>
      </c>
      <c r="V201" s="102" t="str">
        <f t="array" ref="V201">_xlfn.XLOOKUP("Charger",Stock1!B201,Stock1!I201,"")</f>
        <v/>
      </c>
      <c r="W201" s="102" t="str">
        <f t="array" ref="W201">_xlfn.XLOOKUP(V201,Stock1!I201,Stock1!F201,"")</f>
        <v/>
      </c>
      <c r="X201" s="102" t="str">
        <f t="array" ref="X201">_xlfn.XLOOKUP(V201,Stock1!I201,Stock1!J201,"")</f>
        <v/>
      </c>
      <c r="Y201" s="102" t="str">
        <f t="array" ref="Y201">_xlfn.XLOOKUP("Screen Protector for Android Phone and Other",Stock1!B201,Stock1!I201,"")</f>
        <v/>
      </c>
      <c r="Z201" s="102" t="str">
        <f t="array" ref="Z201">_xlfn.XLOOKUP("Screen Protector for Galaxy Phone",Stock1!B201,Stock1!I201,"")</f>
        <v/>
      </c>
      <c r="AA201" s="102" t="str">
        <f t="array" ref="AA201">_xlfn.XLOOKUP("Screen Protector for Galaxy Tab",Stock1!B201,Stock1!I201,"")</f>
        <v>[CS]Focus TG UC Samsung Galaxy Tab S11</v>
      </c>
      <c r="AB201" s="102" t="str">
        <f t="shared" si="4"/>
        <v>[CS]Focus TG UC Samsung Galaxy Tab S11</v>
      </c>
      <c r="AC201" s="429" t="str">
        <f t="array" ref="AC201">_xlfn.XLOOKUP(AB201,Stock1!I201,Stock1!F201,"")</f>
        <v>8859703436669</v>
      </c>
      <c r="AD201" s="102">
        <f t="array" ref="AD201">_xlfn.XLOOKUP(AB201,Stock1!I201,Stock1!J201,"")</f>
        <v>10</v>
      </c>
      <c r="AE201" s="102" t="str">
        <f t="array" ref="AE201">_xlfn.XLOOKUP("Storage",Stock1!B201,Stock1!I201,"")</f>
        <v/>
      </c>
      <c r="AF201" s="102" t="str">
        <f t="array" ref="AF201">_xlfn.XLOOKUP(AE201,Stock1!I201,Stock1!F201,"")</f>
        <v/>
      </c>
      <c r="AG201" s="102" t="str">
        <f t="array" ref="AG201">_xlfn.XLOOKUP(AE201,Stock1!I201,Stock1!J201,"")</f>
        <v/>
      </c>
    </row>
    <row r="202">
      <c r="K202" s="660" t="str">
        <f t="array" ref="K202">IFERROR(_xlfn.XLOOKUP(I202,Incentive!B:B,Incentive!E:E,""),"")</f>
        <v/>
      </c>
      <c r="L202" s="659" t="str">
        <f>IFERROR(VLOOKUP(I202,Stock1!F:J,5,False),"")</f>
        <v/>
      </c>
      <c r="M202" s="659" t="str">
        <f>IFERROR(VLOOKUP(I202,Stock2!F:J,5,False),"")</f>
        <v/>
      </c>
      <c r="V202" s="102" t="str">
        <f t="array" ref="V202">_xlfn.XLOOKUP("Charger",Stock1!B202,Stock1!I202,"")</f>
        <v/>
      </c>
      <c r="W202" s="102" t="str">
        <f t="array" ref="W202">_xlfn.XLOOKUP(V202,Stock1!I202,Stock1!F202,"")</f>
        <v/>
      </c>
      <c r="X202" s="102" t="str">
        <f t="array" ref="X202">_xlfn.XLOOKUP(V202,Stock1!I202,Stock1!J202,"")</f>
        <v/>
      </c>
      <c r="Y202" s="102" t="str">
        <f t="array" ref="Y202">_xlfn.XLOOKUP("Screen Protector for Android Phone and Other",Stock1!B202,Stock1!I202,"")</f>
        <v/>
      </c>
      <c r="Z202" s="102" t="str">
        <f t="array" ref="Z202">_xlfn.XLOOKUP("Screen Protector for Galaxy Phone",Stock1!B202,Stock1!I202,"")</f>
        <v/>
      </c>
      <c r="AA202" s="102" t="str">
        <f t="array" ref="AA202">_xlfn.XLOOKUP("Screen Protector for Galaxy Tab",Stock1!B202,Stock1!I202,"")</f>
        <v>[CS]HISHIELD TemperedGlass FC 2.5D Samsung Tab S11</v>
      </c>
      <c r="AB202" s="102" t="str">
        <f t="shared" si="4"/>
        <v>[CS]HISHIELD TemperedGlass FC 2.5D Samsung Tab S11</v>
      </c>
      <c r="AC202" s="429" t="str">
        <f t="array" ref="AC202">_xlfn.XLOOKUP(AB202,Stock1!I202,Stock1!F202,"")</f>
        <v>8859216804108</v>
      </c>
      <c r="AD202" s="102">
        <f t="array" ref="AD202">_xlfn.XLOOKUP(AB202,Stock1!I202,Stock1!J202,"")</f>
        <v>4</v>
      </c>
      <c r="AE202" s="102" t="str">
        <f t="array" ref="AE202">_xlfn.XLOOKUP("Storage",Stock1!B202,Stock1!I202,"")</f>
        <v/>
      </c>
      <c r="AF202" s="102" t="str">
        <f t="array" ref="AF202">_xlfn.XLOOKUP(AE202,Stock1!I202,Stock1!F202,"")</f>
        <v/>
      </c>
      <c r="AG202" s="102" t="str">
        <f t="array" ref="AG202">_xlfn.XLOOKUP(AE202,Stock1!I202,Stock1!J202,"")</f>
        <v/>
      </c>
    </row>
    <row r="203">
      <c r="K203" s="660" t="str">
        <f t="array" ref="K203">IFERROR(_xlfn.XLOOKUP(I203,Incentive!B:B,Incentive!E:E,""),"")</f>
        <v/>
      </c>
      <c r="L203" s="659" t="str">
        <f>IFERROR(VLOOKUP(I203,Stock1!F:J,5,False),"")</f>
        <v/>
      </c>
      <c r="M203" s="659" t="str">
        <f>IFERROR(VLOOKUP(I203,Stock2!F:J,5,False),"")</f>
        <v/>
      </c>
      <c r="V203" s="102" t="str">
        <f t="array" ref="V203">_xlfn.XLOOKUP("Charger",Stock1!B203,Stock1!I203,"")</f>
        <v/>
      </c>
      <c r="W203" s="102" t="str">
        <f t="array" ref="W203">_xlfn.XLOOKUP(V203,Stock1!I203,Stock1!F203,"")</f>
        <v/>
      </c>
      <c r="X203" s="102" t="str">
        <f t="array" ref="X203">_xlfn.XLOOKUP(V203,Stock1!I203,Stock1!J203,"")</f>
        <v/>
      </c>
      <c r="Y203" s="102" t="str">
        <f t="array" ref="Y203">_xlfn.XLOOKUP("Screen Protector for Android Phone and Other",Stock1!B203,Stock1!I203,"")</f>
        <v/>
      </c>
      <c r="Z203" s="102" t="str">
        <f t="array" ref="Z203">_xlfn.XLOOKUP("Screen Protector for Galaxy Phone",Stock1!B203,Stock1!I203,"")</f>
        <v/>
      </c>
      <c r="AA203" s="102" t="str">
        <f t="array" ref="AA203">_xlfn.XLOOKUP("Screen Protector for Galaxy Tab",Stock1!B203,Stock1!I203,"")</f>
        <v>[CS]Focus TG UC Samsung Galaxy Tab S11 Ultra</v>
      </c>
      <c r="AB203" s="102" t="str">
        <f t="shared" si="4"/>
        <v>[CS]Focus TG UC Samsung Galaxy Tab S11 Ultra</v>
      </c>
      <c r="AC203" s="429" t="str">
        <f t="array" ref="AC203">_xlfn.XLOOKUP(AB203,Stock1!I203,Stock1!F203,"")</f>
        <v>8859703436690</v>
      </c>
      <c r="AD203" s="102">
        <f t="array" ref="AD203">_xlfn.XLOOKUP(AB203,Stock1!I203,Stock1!J203,"")</f>
        <v>1</v>
      </c>
      <c r="AE203" s="102" t="str">
        <f t="array" ref="AE203">_xlfn.XLOOKUP("Storage",Stock1!B203,Stock1!I203,"")</f>
        <v/>
      </c>
      <c r="AF203" s="102" t="str">
        <f t="array" ref="AF203">_xlfn.XLOOKUP(AE203,Stock1!I203,Stock1!F203,"")</f>
        <v/>
      </c>
      <c r="AG203" s="102" t="str">
        <f t="array" ref="AG203">_xlfn.XLOOKUP(AE203,Stock1!I203,Stock1!J203,"")</f>
        <v/>
      </c>
    </row>
    <row r="204">
      <c r="K204" s="660" t="str">
        <f t="array" ref="K204">IFERROR(_xlfn.XLOOKUP(I204,Incentive!B:B,Incentive!E:E,""),"")</f>
        <v/>
      </c>
      <c r="L204" s="659" t="str">
        <f>IFERROR(VLOOKUP(I204,Stock1!F:J,5,False),"")</f>
        <v/>
      </c>
      <c r="M204" s="659" t="str">
        <f>IFERROR(VLOOKUP(I204,Stock2!F:J,5,False),"")</f>
        <v/>
      </c>
      <c r="V204" s="102" t="str">
        <f t="array" ref="V204">_xlfn.XLOOKUP("Charger",Stock1!B204,Stock1!I204,"")</f>
        <v/>
      </c>
      <c r="W204" s="102" t="str">
        <f t="array" ref="W204">_xlfn.XLOOKUP(V204,Stock1!I204,Stock1!F204,"")</f>
        <v/>
      </c>
      <c r="X204" s="102" t="str">
        <f t="array" ref="X204">_xlfn.XLOOKUP(V204,Stock1!I204,Stock1!J204,"")</f>
        <v/>
      </c>
      <c r="Y204" s="102" t="str">
        <f t="array" ref="Y204">_xlfn.XLOOKUP("Screen Protector for Android Phone and Other",Stock1!B204,Stock1!I204,"")</f>
        <v/>
      </c>
      <c r="Z204" s="102" t="str">
        <f t="array" ref="Z204">_xlfn.XLOOKUP("Screen Protector for Galaxy Phone",Stock1!B204,Stock1!I204,"")</f>
        <v/>
      </c>
      <c r="AA204" s="102" t="str">
        <f t="array" ref="AA204">_xlfn.XLOOKUP("Screen Protector for Galaxy Tab",Stock1!B204,Stock1!I204,"")</f>
        <v>[CS]Hishield TemperedGlass 0.33mm Tab S11 Ultra</v>
      </c>
      <c r="AB204" s="102" t="str">
        <f t="shared" si="4"/>
        <v>[CS]Hishield TemperedGlass 0.33mm Tab S11 Ultra</v>
      </c>
      <c r="AC204" s="429" t="str">
        <f t="array" ref="AC204">_xlfn.XLOOKUP(AB204,Stock1!I204,Stock1!F204,"")</f>
        <v>8859216804122</v>
      </c>
      <c r="AD204" s="102">
        <f t="array" ref="AD204">_xlfn.XLOOKUP(AB204,Stock1!I204,Stock1!J204,"")</f>
        <v>4</v>
      </c>
      <c r="AE204" s="102" t="str">
        <f t="array" ref="AE204">_xlfn.XLOOKUP("Storage",Stock1!B204,Stock1!I204,"")</f>
        <v/>
      </c>
      <c r="AF204" s="102" t="str">
        <f t="array" ref="AF204">_xlfn.XLOOKUP(AE204,Stock1!I204,Stock1!F204,"")</f>
        <v/>
      </c>
      <c r="AG204" s="102" t="str">
        <f t="array" ref="AG204">_xlfn.XLOOKUP(AE204,Stock1!I204,Stock1!J204,"")</f>
        <v/>
      </c>
    </row>
    <row r="205">
      <c r="K205" s="660" t="str">
        <f t="array" ref="K205">IFERROR(_xlfn.XLOOKUP(I205,Incentive!B:B,Incentive!E:E,""),"")</f>
        <v/>
      </c>
      <c r="L205" s="659" t="str">
        <f>IFERROR(VLOOKUP(I205,Stock1!F:J,5,False),"")</f>
        <v/>
      </c>
      <c r="M205" s="659" t="str">
        <f>IFERROR(VLOOKUP(I205,Stock2!F:J,5,False),"")</f>
        <v/>
      </c>
      <c r="V205" s="102" t="str">
        <f t="array" ref="V205">_xlfn.XLOOKUP("Charger",Stock1!B205,Stock1!I205,"")</f>
        <v/>
      </c>
      <c r="W205" s="102" t="str">
        <f t="array" ref="W205">_xlfn.XLOOKUP(V205,Stock1!I205,Stock1!F205,"")</f>
        <v/>
      </c>
      <c r="X205" s="102" t="str">
        <f t="array" ref="X205">_xlfn.XLOOKUP(V205,Stock1!I205,Stock1!J205,"")</f>
        <v/>
      </c>
      <c r="Y205" s="102" t="str">
        <f t="array" ref="Y205">_xlfn.XLOOKUP("Screen Protector for Android Phone and Other",Stock1!B205,Stock1!I205,"")</f>
        <v/>
      </c>
      <c r="Z205" s="102" t="str">
        <f t="array" ref="Z205">_xlfn.XLOOKUP("Screen Protector for Galaxy Phone",Stock1!B205,Stock1!I205,"")</f>
        <v/>
      </c>
      <c r="AA205" s="102" t="str">
        <f t="array" ref="AA205">_xlfn.XLOOKUP("Screen Protector for Galaxy Tab",Stock1!B205,Stock1!I205,"")</f>
        <v>[CS]Focus TG UC Samsung Galaxy Tab S8 Plus 12.4</v>
      </c>
      <c r="AB205" s="102" t="str">
        <f t="shared" si="4"/>
        <v>[CS]Focus TG UC Samsung Galaxy Tab S8 Plus 12.4</v>
      </c>
      <c r="AC205" s="429" t="str">
        <f t="array" ref="AC205">_xlfn.XLOOKUP(AB205,Stock1!I205,Stock1!F205,"")</f>
        <v>8859703400226</v>
      </c>
      <c r="AD205" s="102">
        <f t="array" ref="AD205">_xlfn.XLOOKUP(AB205,Stock1!I205,Stock1!J205,"")</f>
        <v>1</v>
      </c>
      <c r="AE205" s="102" t="str">
        <f t="array" ref="AE205">_xlfn.XLOOKUP("Storage",Stock1!B205,Stock1!I205,"")</f>
        <v/>
      </c>
      <c r="AF205" s="102" t="str">
        <f t="array" ref="AF205">_xlfn.XLOOKUP(AE205,Stock1!I205,Stock1!F205,"")</f>
        <v/>
      </c>
      <c r="AG205" s="102" t="str">
        <f t="array" ref="AG205">_xlfn.XLOOKUP(AE205,Stock1!I205,Stock1!J205,"")</f>
        <v/>
      </c>
    </row>
    <row r="206">
      <c r="K206" s="660" t="str">
        <f t="array" ref="K206">IFERROR(_xlfn.XLOOKUP(I206,Incentive!B:B,Incentive!E:E,""),"")</f>
        <v/>
      </c>
      <c r="L206" s="659" t="str">
        <f>IFERROR(VLOOKUP(I206,Stock1!F:J,5,False),"")</f>
        <v/>
      </c>
      <c r="M206" s="659" t="str">
        <f>IFERROR(VLOOKUP(I206,Stock2!F:J,5,False),"")</f>
        <v/>
      </c>
      <c r="V206" s="102" t="str">
        <f t="array" ref="V206">_xlfn.XLOOKUP("Charger",Stock1!B206,Stock1!I206,"")</f>
        <v/>
      </c>
      <c r="W206" s="102" t="str">
        <f t="array" ref="W206">_xlfn.XLOOKUP(V206,Stock1!I206,Stock1!F206,"")</f>
        <v/>
      </c>
      <c r="X206" s="102" t="str">
        <f t="array" ref="X206">_xlfn.XLOOKUP(V206,Stock1!I206,Stock1!J206,"")</f>
        <v/>
      </c>
      <c r="Y206" s="102" t="str">
        <f t="array" ref="Y206">_xlfn.XLOOKUP("Screen Protector for Android Phone and Other",Stock1!B206,Stock1!I206,"")</f>
        <v/>
      </c>
      <c r="Z206" s="102" t="str">
        <f t="array" ref="Z206">_xlfn.XLOOKUP("Screen Protector for Galaxy Phone",Stock1!B206,Stock1!I206,"")</f>
        <v/>
      </c>
      <c r="AA206" s="102" t="str">
        <f t="array" ref="AA206">_xlfn.XLOOKUP("Screen Protector for Galaxy Tab",Stock1!B206,Stock1!I206,"")</f>
        <v/>
      </c>
      <c r="AB206" s="102" t="str">
        <f t="shared" si="4"/>
        <v/>
      </c>
      <c r="AC206" s="102" t="str">
        <f t="array" ref="AC206">_xlfn.XLOOKUP(AB206,Stock1!I206,Stock1!F206,"")</f>
        <v/>
      </c>
      <c r="AD206" s="102" t="str">
        <f t="array" ref="AD206">_xlfn.XLOOKUP(AB206,Stock1!I206,Stock1!J206,"")</f>
        <v/>
      </c>
      <c r="AE206" s="102" t="str">
        <f t="array" ref="AE206">_xlfn.XLOOKUP("Storage",Stock1!B206,Stock1!I206,"")</f>
        <v/>
      </c>
      <c r="AF206" s="102" t="str">
        <f t="array" ref="AF206">_xlfn.XLOOKUP(AE206,Stock1!I206,Stock1!F206,"")</f>
        <v/>
      </c>
      <c r="AG206" s="102" t="str">
        <f t="array" ref="AG206">_xlfn.XLOOKUP(AE206,Stock1!I206,Stock1!J206,"")</f>
        <v/>
      </c>
    </row>
    <row r="207">
      <c r="K207" s="660" t="str">
        <f t="array" ref="K207">IFERROR(_xlfn.XLOOKUP(I207,Incentive!B:B,Incentive!E:E,""),"")</f>
        <v/>
      </c>
      <c r="L207" s="659" t="str">
        <f>IFERROR(VLOOKUP(I207,Stock1!F:J,5,False),"")</f>
        <v/>
      </c>
      <c r="M207" s="659" t="str">
        <f>IFERROR(VLOOKUP(I207,Stock2!F:J,5,False),"")</f>
        <v/>
      </c>
      <c r="V207" s="102" t="str">
        <f t="array" ref="V207">_xlfn.XLOOKUP("Charger",Stock1!B207,Stock1!I207,"")</f>
        <v/>
      </c>
      <c r="W207" s="102" t="str">
        <f t="array" ref="W207">_xlfn.XLOOKUP(V207,Stock1!I207,Stock1!F207,"")</f>
        <v/>
      </c>
      <c r="X207" s="102" t="str">
        <f t="array" ref="X207">_xlfn.XLOOKUP(V207,Stock1!I207,Stock1!J207,"")</f>
        <v/>
      </c>
      <c r="Y207" s="102" t="str">
        <f t="array" ref="Y207">_xlfn.XLOOKUP("Screen Protector for Android Phone and Other",Stock1!B207,Stock1!I207,"")</f>
        <v/>
      </c>
      <c r="Z207" s="102" t="str">
        <f t="array" ref="Z207">_xlfn.XLOOKUP("Screen Protector for Galaxy Phone",Stock1!B207,Stock1!I207,"")</f>
        <v/>
      </c>
      <c r="AA207" s="102" t="str">
        <f t="array" ref="AA207">_xlfn.XLOOKUP("Screen Protector for Galaxy Tab",Stock1!B207,Stock1!I207,"")</f>
        <v/>
      </c>
      <c r="AB207" s="102" t="str">
        <f t="shared" si="4"/>
        <v/>
      </c>
      <c r="AC207" s="102" t="str">
        <f t="array" ref="AC207">_xlfn.XLOOKUP(AB207,Stock1!I207,Stock1!F207,"")</f>
        <v/>
      </c>
      <c r="AD207" s="102" t="str">
        <f t="array" ref="AD207">_xlfn.XLOOKUP(AB207,Stock1!I207,Stock1!J207,"")</f>
        <v/>
      </c>
      <c r="AE207" s="102" t="str">
        <f t="array" ref="AE207">_xlfn.XLOOKUP("Storage",Stock1!B207,Stock1!I207,"")</f>
        <v/>
      </c>
      <c r="AF207" s="102" t="str">
        <f t="array" ref="AF207">_xlfn.XLOOKUP(AE207,Stock1!I207,Stock1!F207,"")</f>
        <v/>
      </c>
      <c r="AG207" s="102" t="str">
        <f t="array" ref="AG207">_xlfn.XLOOKUP(AE207,Stock1!I207,Stock1!J207,"")</f>
        <v/>
      </c>
    </row>
    <row r="208">
      <c r="K208" s="660" t="str">
        <f t="array" ref="K208">IFERROR(_xlfn.XLOOKUP(I208,Incentive!B:B,Incentive!E:E,""),"")</f>
        <v/>
      </c>
      <c r="L208" s="659" t="str">
        <f>IFERROR(VLOOKUP(I208,Stock1!F:J,5,False),"")</f>
        <v/>
      </c>
      <c r="M208" s="659" t="str">
        <f>IFERROR(VLOOKUP(I208,Stock2!F:J,5,False),"")</f>
        <v/>
      </c>
      <c r="V208" s="102" t="str">
        <f t="array" ref="V208">_xlfn.XLOOKUP("Charger",Stock1!B208,Stock1!I208,"")</f>
        <v/>
      </c>
      <c r="W208" s="102" t="str">
        <f t="array" ref="W208">_xlfn.XLOOKUP(V208,Stock1!I208,Stock1!F208,"")</f>
        <v/>
      </c>
      <c r="X208" s="102" t="str">
        <f t="array" ref="X208">_xlfn.XLOOKUP(V208,Stock1!I208,Stock1!J208,"")</f>
        <v/>
      </c>
      <c r="Y208" s="102" t="str">
        <f t="array" ref="Y208">_xlfn.XLOOKUP("Screen Protector for Android Phone and Other",Stock1!B208,Stock1!I208,"")</f>
        <v/>
      </c>
      <c r="Z208" s="102" t="str">
        <f t="array" ref="Z208">_xlfn.XLOOKUP("Screen Protector for Galaxy Phone",Stock1!B208,Stock1!I208,"")</f>
        <v/>
      </c>
      <c r="AA208" s="102" t="str">
        <f t="array" ref="AA208">_xlfn.XLOOKUP("Screen Protector for Galaxy Tab",Stock1!B208,Stock1!I208,"")</f>
        <v/>
      </c>
      <c r="AB208" s="102" t="str">
        <f t="shared" si="4"/>
        <v/>
      </c>
      <c r="AC208" s="102" t="str">
        <f t="array" ref="AC208">_xlfn.XLOOKUP(AB208,Stock1!I208,Stock1!F208,"")</f>
        <v/>
      </c>
      <c r="AD208" s="102" t="str">
        <f t="array" ref="AD208">_xlfn.XLOOKUP(AB208,Stock1!I208,Stock1!J208,"")</f>
        <v/>
      </c>
      <c r="AE208" s="102" t="str">
        <f t="array" ref="AE208">_xlfn.XLOOKUP("Storage",Stock1!B208,Stock1!I208,"")</f>
        <v/>
      </c>
      <c r="AF208" s="102" t="str">
        <f t="array" ref="AF208">_xlfn.XLOOKUP(AE208,Stock1!I208,Stock1!F208,"")</f>
        <v/>
      </c>
      <c r="AG208" s="102" t="str">
        <f t="array" ref="AG208">_xlfn.XLOOKUP(AE208,Stock1!I208,Stock1!J208,"")</f>
        <v/>
      </c>
    </row>
    <row r="209">
      <c r="K209" s="660" t="str">
        <f t="array" ref="K209">IFERROR(_xlfn.XLOOKUP(I209,Incentive!B:B,Incentive!E:E,""),"")</f>
        <v/>
      </c>
      <c r="L209" s="659" t="str">
        <f>IFERROR(VLOOKUP(I209,Stock1!F:J,5,False),"")</f>
        <v/>
      </c>
      <c r="M209" s="659" t="str">
        <f>IFERROR(VLOOKUP(I209,Stock2!F:J,5,False),"")</f>
        <v/>
      </c>
      <c r="V209" s="102" t="str">
        <f t="array" ref="V209">_xlfn.XLOOKUP("Charger",Stock1!B209,Stock1!I209,"")</f>
        <v/>
      </c>
      <c r="W209" s="102" t="str">
        <f t="array" ref="W209">_xlfn.XLOOKUP(V209,Stock1!I209,Stock1!F209,"")</f>
        <v/>
      </c>
      <c r="X209" s="102" t="str">
        <f t="array" ref="X209">_xlfn.XLOOKUP(V209,Stock1!I209,Stock1!J209,"")</f>
        <v/>
      </c>
      <c r="Y209" s="102" t="str">
        <f t="array" ref="Y209">_xlfn.XLOOKUP("Screen Protector for Android Phone and Other",Stock1!B209,Stock1!I209,"")</f>
        <v/>
      </c>
      <c r="Z209" s="102" t="str">
        <f t="array" ref="Z209">_xlfn.XLOOKUP("Screen Protector for Galaxy Phone",Stock1!B209,Stock1!I209,"")</f>
        <v/>
      </c>
      <c r="AA209" s="102" t="str">
        <f t="array" ref="AA209">_xlfn.XLOOKUP("Screen Protector for Galaxy Tab",Stock1!B209,Stock1!I209,"")</f>
        <v/>
      </c>
      <c r="AB209" s="102" t="str">
        <f t="shared" si="4"/>
        <v/>
      </c>
      <c r="AC209" s="102" t="str">
        <f t="array" ref="AC209">_xlfn.XLOOKUP(AB209,Stock1!I209,Stock1!F209,"")</f>
        <v/>
      </c>
      <c r="AD209" s="102" t="str">
        <f t="array" ref="AD209">_xlfn.XLOOKUP(AB209,Stock1!I209,Stock1!J209,"")</f>
        <v/>
      </c>
      <c r="AE209" s="102" t="str">
        <f t="array" ref="AE209">_xlfn.XLOOKUP("Storage",Stock1!B209,Stock1!I209,"")</f>
        <v/>
      </c>
      <c r="AF209" s="102" t="str">
        <f t="array" ref="AF209">_xlfn.XLOOKUP(AE209,Stock1!I209,Stock1!F209,"")</f>
        <v/>
      </c>
      <c r="AG209" s="102" t="str">
        <f t="array" ref="AG209">_xlfn.XLOOKUP(AE209,Stock1!I209,Stock1!J209,"")</f>
        <v/>
      </c>
    </row>
    <row r="210">
      <c r="K210" s="660" t="str">
        <f t="array" ref="K210">IFERROR(_xlfn.XLOOKUP(I210,Incentive!B:B,Incentive!E:E,""),"")</f>
        <v/>
      </c>
      <c r="L210" s="659" t="str">
        <f>IFERROR(VLOOKUP(I210,Stock1!F:J,5,False),"")</f>
        <v/>
      </c>
      <c r="M210" s="659" t="str">
        <f>IFERROR(VLOOKUP(I210,Stock2!F:J,5,False),"")</f>
        <v/>
      </c>
      <c r="V210" s="102" t="str">
        <f t="array" ref="V210">_xlfn.XLOOKUP("Charger",Stock1!B210,Stock1!I210,"")</f>
        <v/>
      </c>
      <c r="W210" s="102" t="str">
        <f t="array" ref="W210">_xlfn.XLOOKUP(V210,Stock1!I210,Stock1!F210,"")</f>
        <v/>
      </c>
      <c r="X210" s="102" t="str">
        <f t="array" ref="X210">_xlfn.XLOOKUP(V210,Stock1!I210,Stock1!J210,"")</f>
        <v/>
      </c>
      <c r="Y210" s="102" t="str">
        <f t="array" ref="Y210">_xlfn.XLOOKUP("Screen Protector for Android Phone and Other",Stock1!B210,Stock1!I210,"")</f>
        <v/>
      </c>
      <c r="Z210" s="102" t="str">
        <f t="array" ref="Z210">_xlfn.XLOOKUP("Screen Protector for Galaxy Phone",Stock1!B210,Stock1!I210,"")</f>
        <v/>
      </c>
      <c r="AA210" s="102" t="str">
        <f t="array" ref="AA210">_xlfn.XLOOKUP("Screen Protector for Galaxy Tab",Stock1!B210,Stock1!I210,"")</f>
        <v/>
      </c>
      <c r="AB210" s="102" t="str">
        <f t="shared" si="4"/>
        <v/>
      </c>
      <c r="AC210" s="102" t="str">
        <f t="array" ref="AC210">_xlfn.XLOOKUP(AB210,Stock1!I210,Stock1!F210,"")</f>
        <v/>
      </c>
      <c r="AD210" s="102" t="str">
        <f t="array" ref="AD210">_xlfn.XLOOKUP(AB210,Stock1!I210,Stock1!J210,"")</f>
        <v/>
      </c>
      <c r="AE210" s="102" t="str">
        <f t="array" ref="AE210">_xlfn.XLOOKUP("Storage",Stock1!B210,Stock1!I210,"")</f>
        <v/>
      </c>
      <c r="AF210" s="102" t="str">
        <f t="array" ref="AF210">_xlfn.XLOOKUP(AE210,Stock1!I210,Stock1!F210,"")</f>
        <v/>
      </c>
      <c r="AG210" s="102" t="str">
        <f t="array" ref="AG210">_xlfn.XLOOKUP(AE210,Stock1!I210,Stock1!J210,"")</f>
        <v/>
      </c>
    </row>
    <row r="211">
      <c r="K211" s="660" t="str">
        <f t="array" ref="K211">IFERROR(_xlfn.XLOOKUP(I211,Incentive!B:B,Incentive!E:E,""),"")</f>
        <v/>
      </c>
      <c r="L211" s="659" t="str">
        <f>IFERROR(VLOOKUP(I211,Stock1!F:J,5,False),"")</f>
        <v/>
      </c>
      <c r="M211" s="659" t="str">
        <f>IFERROR(VLOOKUP(I211,Stock2!F:J,5,False),"")</f>
        <v/>
      </c>
      <c r="V211" s="102" t="str">
        <f t="array" ref="V211">_xlfn.XLOOKUP("Charger",Stock1!B211,Stock1!I211,"")</f>
        <v/>
      </c>
      <c r="W211" s="102" t="str">
        <f t="array" ref="W211">_xlfn.XLOOKUP(V211,Stock1!I211,Stock1!F211,"")</f>
        <v/>
      </c>
      <c r="X211" s="102" t="str">
        <f t="array" ref="X211">_xlfn.XLOOKUP(V211,Stock1!I211,Stock1!J211,"")</f>
        <v/>
      </c>
      <c r="Y211" s="102" t="str">
        <f t="array" ref="Y211">_xlfn.XLOOKUP("Screen Protector for Android Phone and Other",Stock1!B211,Stock1!I211,"")</f>
        <v/>
      </c>
      <c r="Z211" s="102" t="str">
        <f t="array" ref="Z211">_xlfn.XLOOKUP("Screen Protector for Galaxy Phone",Stock1!B211,Stock1!I211,"")</f>
        <v/>
      </c>
      <c r="AA211" s="102" t="str">
        <f t="array" ref="AA211">_xlfn.XLOOKUP("Screen Protector for Galaxy Tab",Stock1!B211,Stock1!I211,"")</f>
        <v/>
      </c>
      <c r="AB211" s="102" t="str">
        <f t="shared" si="4"/>
        <v/>
      </c>
      <c r="AC211" s="102" t="str">
        <f t="array" ref="AC211">_xlfn.XLOOKUP(AB211,Stock1!I211,Stock1!F211,"")</f>
        <v/>
      </c>
      <c r="AD211" s="102" t="str">
        <f t="array" ref="AD211">_xlfn.XLOOKUP(AB211,Stock1!I211,Stock1!J211,"")</f>
        <v/>
      </c>
      <c r="AE211" s="102" t="str">
        <f t="array" ref="AE211">_xlfn.XLOOKUP("Storage",Stock1!B211,Stock1!I211,"")</f>
        <v/>
      </c>
      <c r="AF211" s="102" t="str">
        <f t="array" ref="AF211">_xlfn.XLOOKUP(AE211,Stock1!I211,Stock1!F211,"")</f>
        <v/>
      </c>
      <c r="AG211" s="102" t="str">
        <f t="array" ref="AG211">_xlfn.XLOOKUP(AE211,Stock1!I211,Stock1!J211,"")</f>
        <v/>
      </c>
    </row>
    <row r="212">
      <c r="K212" s="660" t="str">
        <f t="array" ref="K212">IFERROR(_xlfn.XLOOKUP(I212,Incentive!B:B,Incentive!E:E,""),"")</f>
        <v/>
      </c>
      <c r="L212" s="659" t="str">
        <f>IFERROR(VLOOKUP(I212,Stock1!F:J,5,False),"")</f>
        <v/>
      </c>
      <c r="M212" s="659" t="str">
        <f>IFERROR(VLOOKUP(I212,Stock2!F:J,5,False),"")</f>
        <v/>
      </c>
      <c r="V212" s="102" t="str">
        <f t="array" ref="V212">_xlfn.XLOOKUP("Charger",Stock1!B212,Stock1!I212,"")</f>
        <v/>
      </c>
      <c r="W212" s="102" t="str">
        <f t="array" ref="W212">_xlfn.XLOOKUP(V212,Stock1!I212,Stock1!F212,"")</f>
        <v/>
      </c>
      <c r="X212" s="102" t="str">
        <f t="array" ref="X212">_xlfn.XLOOKUP(V212,Stock1!I212,Stock1!J212,"")</f>
        <v/>
      </c>
      <c r="Y212" s="102" t="str">
        <f t="array" ref="Y212">_xlfn.XLOOKUP("Screen Protector for Android Phone and Other",Stock1!B212,Stock1!I212,"")</f>
        <v/>
      </c>
      <c r="Z212" s="102" t="str">
        <f t="array" ref="Z212">_xlfn.XLOOKUP("Screen Protector for Galaxy Phone",Stock1!B212,Stock1!I212,"")</f>
        <v/>
      </c>
      <c r="AA212" s="102" t="str">
        <f t="array" ref="AA212">_xlfn.XLOOKUP("Screen Protector for Galaxy Tab",Stock1!B212,Stock1!I212,"")</f>
        <v/>
      </c>
      <c r="AB212" s="102" t="str">
        <f t="shared" si="4"/>
        <v/>
      </c>
      <c r="AC212" s="102" t="str">
        <f t="array" ref="AC212">_xlfn.XLOOKUP(AB212,Stock1!I212,Stock1!F212,"")</f>
        <v/>
      </c>
      <c r="AD212" s="102" t="str">
        <f t="array" ref="AD212">_xlfn.XLOOKUP(AB212,Stock1!I212,Stock1!J212,"")</f>
        <v/>
      </c>
      <c r="AE212" s="102" t="str">
        <f t="array" ref="AE212">_xlfn.XLOOKUP("Storage",Stock1!B212,Stock1!I212,"")</f>
        <v/>
      </c>
      <c r="AF212" s="102" t="str">
        <f t="array" ref="AF212">_xlfn.XLOOKUP(AE212,Stock1!I212,Stock1!F212,"")</f>
        <v/>
      </c>
      <c r="AG212" s="102" t="str">
        <f t="array" ref="AG212">_xlfn.XLOOKUP(AE212,Stock1!I212,Stock1!J212,"")</f>
        <v/>
      </c>
    </row>
    <row r="213">
      <c r="K213" s="660" t="str">
        <f t="array" ref="K213">IFERROR(_xlfn.XLOOKUP(I213,Incentive!B:B,Incentive!E:E,""),"")</f>
        <v/>
      </c>
      <c r="L213" s="659" t="str">
        <f>IFERROR(VLOOKUP(I213,Stock1!F:J,5,False),"")</f>
        <v/>
      </c>
      <c r="M213" s="659" t="str">
        <f>IFERROR(VLOOKUP(I213,Stock2!F:J,5,False),"")</f>
        <v/>
      </c>
      <c r="V213" s="102" t="str">
        <f t="array" ref="V213">_xlfn.XLOOKUP("Charger",Stock1!B213,Stock1!I213,"")</f>
        <v/>
      </c>
      <c r="W213" s="102" t="str">
        <f t="array" ref="W213">_xlfn.XLOOKUP(V213,Stock1!I213,Stock1!F213,"")</f>
        <v/>
      </c>
      <c r="X213" s="102" t="str">
        <f t="array" ref="X213">_xlfn.XLOOKUP(V213,Stock1!I213,Stock1!J213,"")</f>
        <v/>
      </c>
      <c r="Y213" s="102" t="str">
        <f t="array" ref="Y213">_xlfn.XLOOKUP("Screen Protector for Android Phone and Other",Stock1!B213,Stock1!I213,"")</f>
        <v/>
      </c>
      <c r="Z213" s="102" t="str">
        <f t="array" ref="Z213">_xlfn.XLOOKUP("Screen Protector for Galaxy Phone",Stock1!B213,Stock1!I213,"")</f>
        <v/>
      </c>
      <c r="AA213" s="102" t="str">
        <f t="array" ref="AA213">_xlfn.XLOOKUP("Screen Protector for Galaxy Tab",Stock1!B213,Stock1!I213,"")</f>
        <v/>
      </c>
      <c r="AB213" s="102" t="str">
        <f t="shared" si="4"/>
        <v/>
      </c>
      <c r="AC213" s="102" t="str">
        <f t="array" ref="AC213">_xlfn.XLOOKUP(AB213,Stock1!I213,Stock1!F213,"")</f>
        <v/>
      </c>
      <c r="AD213" s="102" t="str">
        <f t="array" ref="AD213">_xlfn.XLOOKUP(AB213,Stock1!I213,Stock1!J213,"")</f>
        <v/>
      </c>
      <c r="AE213" s="102" t="str">
        <f t="array" ref="AE213">_xlfn.XLOOKUP("Storage",Stock1!B213,Stock1!I213,"")</f>
        <v/>
      </c>
      <c r="AF213" s="102" t="str">
        <f t="array" ref="AF213">_xlfn.XLOOKUP(AE213,Stock1!I213,Stock1!F213,"")</f>
        <v/>
      </c>
      <c r="AG213" s="102" t="str">
        <f t="array" ref="AG213">_xlfn.XLOOKUP(AE213,Stock1!I213,Stock1!J213,"")</f>
        <v/>
      </c>
    </row>
    <row r="214">
      <c r="K214" s="660" t="str">
        <f t="array" ref="K214">IFERROR(_xlfn.XLOOKUP(I214,Incentive!B:B,Incentive!E:E,""),"")</f>
        <v/>
      </c>
      <c r="L214" s="659" t="str">
        <f>IFERROR(VLOOKUP(I214,Stock1!F:J,5,False),"")</f>
        <v/>
      </c>
      <c r="M214" s="659" t="str">
        <f>IFERROR(VLOOKUP(I214,Stock2!F:J,5,False),"")</f>
        <v/>
      </c>
      <c r="V214" s="102" t="str">
        <f t="array" ref="V214">_xlfn.XLOOKUP("Charger",Stock1!B214,Stock1!I214,"")</f>
        <v/>
      </c>
      <c r="W214" s="102" t="str">
        <f t="array" ref="W214">_xlfn.XLOOKUP(V214,Stock1!I214,Stock1!F214,"")</f>
        <v/>
      </c>
      <c r="X214" s="102" t="str">
        <f t="array" ref="X214">_xlfn.XLOOKUP(V214,Stock1!I214,Stock1!J214,"")</f>
        <v/>
      </c>
      <c r="Y214" s="102" t="str">
        <f t="array" ref="Y214">_xlfn.XLOOKUP("Screen Protector for Android Phone and Other",Stock1!B214,Stock1!I214,"")</f>
        <v/>
      </c>
      <c r="Z214" s="102" t="str">
        <f t="array" ref="Z214">_xlfn.XLOOKUP("Screen Protector for Galaxy Phone",Stock1!B214,Stock1!I214,"")</f>
        <v/>
      </c>
      <c r="AA214" s="102" t="str">
        <f t="array" ref="AA214">_xlfn.XLOOKUP("Screen Protector for Galaxy Tab",Stock1!B214,Stock1!I214,"")</f>
        <v/>
      </c>
      <c r="AB214" s="102" t="str">
        <f t="shared" si="4"/>
        <v/>
      </c>
      <c r="AC214" s="102" t="str">
        <f t="array" ref="AC214">_xlfn.XLOOKUP(AB214,Stock1!I214,Stock1!F214,"")</f>
        <v/>
      </c>
      <c r="AD214" s="102" t="str">
        <f t="array" ref="AD214">_xlfn.XLOOKUP(AB214,Stock1!I214,Stock1!J214,"")</f>
        <v/>
      </c>
      <c r="AE214" s="102" t="str">
        <f t="array" ref="AE214">_xlfn.XLOOKUP("Storage",Stock1!B214,Stock1!I214,"")</f>
        <v/>
      </c>
      <c r="AF214" s="102" t="str">
        <f t="array" ref="AF214">_xlfn.XLOOKUP(AE214,Stock1!I214,Stock1!F214,"")</f>
        <v/>
      </c>
      <c r="AG214" s="102" t="str">
        <f t="array" ref="AG214">_xlfn.XLOOKUP(AE214,Stock1!I214,Stock1!J214,"")</f>
        <v/>
      </c>
    </row>
    <row r="215">
      <c r="K215" s="660" t="str">
        <f t="array" ref="K215">IFERROR(_xlfn.XLOOKUP(I215,Incentive!B:B,Incentive!E:E,""),"")</f>
        <v/>
      </c>
      <c r="L215" s="659" t="str">
        <f>IFERROR(VLOOKUP(I215,Stock1!F:J,5,False),"")</f>
        <v/>
      </c>
      <c r="M215" s="659" t="str">
        <f>IFERROR(VLOOKUP(I215,Stock2!F:J,5,False),"")</f>
        <v/>
      </c>
      <c r="V215" s="102" t="str">
        <f t="array" ref="V215">_xlfn.XLOOKUP("Charger",Stock1!B215,Stock1!I215,"")</f>
        <v/>
      </c>
      <c r="W215" s="102" t="str">
        <f t="array" ref="W215">_xlfn.XLOOKUP(V215,Stock1!I215,Stock1!F215,"")</f>
        <v/>
      </c>
      <c r="X215" s="102" t="str">
        <f t="array" ref="X215">_xlfn.XLOOKUP(V215,Stock1!I215,Stock1!J215,"")</f>
        <v/>
      </c>
      <c r="Y215" s="102" t="str">
        <f t="array" ref="Y215">_xlfn.XLOOKUP("Screen Protector for Android Phone and Other",Stock1!B215,Stock1!I215,"")</f>
        <v/>
      </c>
      <c r="Z215" s="102" t="str">
        <f t="array" ref="Z215">_xlfn.XLOOKUP("Screen Protector for Galaxy Phone",Stock1!B215,Stock1!I215,"")</f>
        <v/>
      </c>
      <c r="AA215" s="102" t="str">
        <f t="array" ref="AA215">_xlfn.XLOOKUP("Screen Protector for Galaxy Tab",Stock1!B215,Stock1!I215,"")</f>
        <v/>
      </c>
      <c r="AB215" s="102" t="str">
        <f t="shared" si="4"/>
        <v/>
      </c>
      <c r="AC215" s="102" t="str">
        <f t="array" ref="AC215">_xlfn.XLOOKUP(AB215,Stock1!I215,Stock1!F215,"")</f>
        <v/>
      </c>
      <c r="AD215" s="102" t="str">
        <f t="array" ref="AD215">_xlfn.XLOOKUP(AB215,Stock1!I215,Stock1!J215,"")</f>
        <v/>
      </c>
      <c r="AE215" s="102" t="str">
        <f t="array" ref="AE215">_xlfn.XLOOKUP("Storage",Stock1!B215,Stock1!I215,"")</f>
        <v/>
      </c>
      <c r="AF215" s="102" t="str">
        <f t="array" ref="AF215">_xlfn.XLOOKUP(AE215,Stock1!I215,Stock1!F215,"")</f>
        <v/>
      </c>
      <c r="AG215" s="102" t="str">
        <f t="array" ref="AG215">_xlfn.XLOOKUP(AE215,Stock1!I215,Stock1!J215,"")</f>
        <v/>
      </c>
    </row>
    <row r="216">
      <c r="K216" s="660" t="str">
        <f t="array" ref="K216">IFERROR(_xlfn.XLOOKUP(I216,Incentive!B:B,Incentive!E:E,""),"")</f>
        <v/>
      </c>
      <c r="L216" s="659" t="str">
        <f>IFERROR(VLOOKUP(I216,Stock1!F:J,5,False),"")</f>
        <v/>
      </c>
      <c r="M216" s="659" t="str">
        <f>IFERROR(VLOOKUP(I216,Stock2!F:J,5,False),"")</f>
        <v/>
      </c>
      <c r="V216" s="102" t="str">
        <f t="array" ref="V216">_xlfn.XLOOKUP("Charger",Stock1!B216,Stock1!I216,"")</f>
        <v/>
      </c>
      <c r="W216" s="102" t="str">
        <f t="array" ref="W216">_xlfn.XLOOKUP(V216,Stock1!I216,Stock1!F216,"")</f>
        <v/>
      </c>
      <c r="X216" s="102" t="str">
        <f t="array" ref="X216">_xlfn.XLOOKUP(V216,Stock1!I216,Stock1!J216,"")</f>
        <v/>
      </c>
      <c r="Y216" s="102" t="str">
        <f t="array" ref="Y216">_xlfn.XLOOKUP("Screen Protector for Android Phone and Other",Stock1!B216,Stock1!I216,"")</f>
        <v/>
      </c>
      <c r="Z216" s="102" t="str">
        <f t="array" ref="Z216">_xlfn.XLOOKUP("Screen Protector for Galaxy Phone",Stock1!B216,Stock1!I216,"")</f>
        <v/>
      </c>
      <c r="AA216" s="102" t="str">
        <f t="array" ref="AA216">_xlfn.XLOOKUP("Screen Protector for Galaxy Tab",Stock1!B216,Stock1!I216,"")</f>
        <v/>
      </c>
      <c r="AB216" s="102" t="str">
        <f t="shared" si="4"/>
        <v/>
      </c>
      <c r="AC216" s="102" t="str">
        <f t="array" ref="AC216">_xlfn.XLOOKUP(AB216,Stock1!I216,Stock1!F216,"")</f>
        <v/>
      </c>
      <c r="AD216" s="102" t="str">
        <f t="array" ref="AD216">_xlfn.XLOOKUP(AB216,Stock1!I216,Stock1!J216,"")</f>
        <v/>
      </c>
      <c r="AE216" s="102" t="str">
        <f t="array" ref="AE216">_xlfn.XLOOKUP("Storage",Stock1!B216,Stock1!I216,"")</f>
        <v/>
      </c>
      <c r="AF216" s="102" t="str">
        <f t="array" ref="AF216">_xlfn.XLOOKUP(AE216,Stock1!I216,Stock1!F216,"")</f>
        <v/>
      </c>
      <c r="AG216" s="102" t="str">
        <f t="array" ref="AG216">_xlfn.XLOOKUP(AE216,Stock1!I216,Stock1!J216,"")</f>
        <v/>
      </c>
    </row>
    <row r="217">
      <c r="K217" s="660" t="str">
        <f t="array" ref="K217">IFERROR(_xlfn.XLOOKUP(I217,Incentive!B:B,Incentive!E:E,""),"")</f>
        <v/>
      </c>
      <c r="L217" s="659" t="str">
        <f>IFERROR(VLOOKUP(I217,Stock1!F:J,5,False),"")</f>
        <v/>
      </c>
      <c r="M217" s="659" t="str">
        <f>IFERROR(VLOOKUP(I217,Stock2!F:J,5,False),"")</f>
        <v/>
      </c>
      <c r="V217" s="102" t="str">
        <f t="array" ref="V217">_xlfn.XLOOKUP("Charger",Stock1!B217,Stock1!I217,"")</f>
        <v/>
      </c>
      <c r="W217" s="102" t="str">
        <f t="array" ref="W217">_xlfn.XLOOKUP(V217,Stock1!I217,Stock1!F217,"")</f>
        <v/>
      </c>
      <c r="X217" s="102" t="str">
        <f t="array" ref="X217">_xlfn.XLOOKUP(V217,Stock1!I217,Stock1!J217,"")</f>
        <v/>
      </c>
      <c r="Y217" s="102" t="str">
        <f t="array" ref="Y217">_xlfn.XLOOKUP("Screen Protector for Android Phone and Other",Stock1!B217,Stock1!I217,"")</f>
        <v/>
      </c>
      <c r="Z217" s="102" t="str">
        <f t="array" ref="Z217">_xlfn.XLOOKUP("Screen Protector for Galaxy Phone",Stock1!B217,Stock1!I217,"")</f>
        <v/>
      </c>
      <c r="AA217" s="102" t="str">
        <f t="array" ref="AA217">_xlfn.XLOOKUP("Screen Protector for Galaxy Tab",Stock1!B217,Stock1!I217,"")</f>
        <v/>
      </c>
      <c r="AB217" s="102" t="str">
        <f t="shared" si="4"/>
        <v/>
      </c>
      <c r="AC217" s="102" t="str">
        <f t="array" ref="AC217">_xlfn.XLOOKUP(AB217,Stock1!I217,Stock1!F217,"")</f>
        <v/>
      </c>
      <c r="AD217" s="102" t="str">
        <f t="array" ref="AD217">_xlfn.XLOOKUP(AB217,Stock1!I217,Stock1!J217,"")</f>
        <v/>
      </c>
      <c r="AE217" s="102" t="str">
        <f t="array" ref="AE217">_xlfn.XLOOKUP("Storage",Stock1!B217,Stock1!I217,"")</f>
        <v/>
      </c>
      <c r="AF217" s="102" t="str">
        <f t="array" ref="AF217">_xlfn.XLOOKUP(AE217,Stock1!I217,Stock1!F217,"")</f>
        <v/>
      </c>
      <c r="AG217" s="102" t="str">
        <f t="array" ref="AG217">_xlfn.XLOOKUP(AE217,Stock1!I217,Stock1!J217,"")</f>
        <v/>
      </c>
    </row>
    <row r="218">
      <c r="K218" s="660" t="str">
        <f t="array" ref="K218">IFERROR(_xlfn.XLOOKUP(I218,Incentive!B:B,Incentive!E:E,""),"")</f>
        <v/>
      </c>
      <c r="L218" s="659" t="str">
        <f>IFERROR(VLOOKUP(I218,Stock1!F:J,5,False),"")</f>
        <v/>
      </c>
      <c r="M218" s="659" t="str">
        <f>IFERROR(VLOOKUP(I218,Stock2!F:J,5,False),"")</f>
        <v/>
      </c>
      <c r="V218" s="102" t="str">
        <f t="array" ref="V218">_xlfn.XLOOKUP("Charger",Stock1!B218,Stock1!I218,"")</f>
        <v/>
      </c>
      <c r="W218" s="102" t="str">
        <f t="array" ref="W218">_xlfn.XLOOKUP(V218,Stock1!I218,Stock1!F218,"")</f>
        <v/>
      </c>
      <c r="X218" s="102" t="str">
        <f t="array" ref="X218">_xlfn.XLOOKUP(V218,Stock1!I218,Stock1!J218,"")</f>
        <v/>
      </c>
      <c r="Y218" s="102" t="str">
        <f t="array" ref="Y218">_xlfn.XLOOKUP("Screen Protector for Android Phone and Other",Stock1!B218,Stock1!I218,"")</f>
        <v/>
      </c>
      <c r="Z218" s="102" t="str">
        <f t="array" ref="Z218">_xlfn.XLOOKUP("Screen Protector for Galaxy Phone",Stock1!B218,Stock1!I218,"")</f>
        <v/>
      </c>
      <c r="AA218" s="102" t="str">
        <f t="array" ref="AA218">_xlfn.XLOOKUP("Screen Protector for Galaxy Tab",Stock1!B218,Stock1!I218,"")</f>
        <v/>
      </c>
      <c r="AB218" s="102" t="str">
        <f t="shared" si="4"/>
        <v/>
      </c>
      <c r="AC218" s="102" t="str">
        <f t="array" ref="AC218">_xlfn.XLOOKUP(AB218,Stock1!I218,Stock1!F218,"")</f>
        <v/>
      </c>
      <c r="AD218" s="102" t="str">
        <f t="array" ref="AD218">_xlfn.XLOOKUP(AB218,Stock1!I218,Stock1!J218,"")</f>
        <v/>
      </c>
      <c r="AE218" s="102" t="str">
        <f t="array" ref="AE218">_xlfn.XLOOKUP("Storage",Stock1!B218,Stock1!I218,"")</f>
        <v/>
      </c>
      <c r="AF218" s="102" t="str">
        <f t="array" ref="AF218">_xlfn.XLOOKUP(AE218,Stock1!I218,Stock1!F218,"")</f>
        <v/>
      </c>
      <c r="AG218" s="102" t="str">
        <f t="array" ref="AG218">_xlfn.XLOOKUP(AE218,Stock1!I218,Stock1!J218,"")</f>
        <v/>
      </c>
    </row>
    <row r="219">
      <c r="K219" s="660" t="str">
        <f t="array" ref="K219">IFERROR(_xlfn.XLOOKUP(I219,Incentive!B:B,Incentive!E:E,""),"")</f>
        <v/>
      </c>
      <c r="L219" s="659" t="str">
        <f>IFERROR(VLOOKUP(I219,Stock1!F:J,5,False),"")</f>
        <v/>
      </c>
      <c r="M219" s="659" t="str">
        <f>IFERROR(VLOOKUP(I219,Stock2!F:J,5,False),"")</f>
        <v/>
      </c>
      <c r="V219" s="102" t="str">
        <f t="array" ref="V219">_xlfn.XLOOKUP("Charger",Stock1!B219,Stock1!I219,"")</f>
        <v/>
      </c>
      <c r="W219" s="102" t="str">
        <f t="array" ref="W219">_xlfn.XLOOKUP(V219,Stock1!I219,Stock1!F219,"")</f>
        <v/>
      </c>
      <c r="X219" s="102" t="str">
        <f t="array" ref="X219">_xlfn.XLOOKUP(V219,Stock1!I219,Stock1!J219,"")</f>
        <v/>
      </c>
      <c r="Y219" s="102" t="str">
        <f t="array" ref="Y219">_xlfn.XLOOKUP("Screen Protector for Android Phone and Other",Stock1!B219,Stock1!I219,"")</f>
        <v/>
      </c>
      <c r="Z219" s="102" t="str">
        <f t="array" ref="Z219">_xlfn.XLOOKUP("Screen Protector for Galaxy Phone",Stock1!B219,Stock1!I219,"")</f>
        <v/>
      </c>
      <c r="AA219" s="102" t="str">
        <f t="array" ref="AA219">_xlfn.XLOOKUP("Screen Protector for Galaxy Tab",Stock1!B219,Stock1!I219,"")</f>
        <v/>
      </c>
      <c r="AB219" s="102" t="str">
        <f t="shared" si="4"/>
        <v/>
      </c>
      <c r="AC219" s="102" t="str">
        <f t="array" ref="AC219">_xlfn.XLOOKUP(AB219,Stock1!I219,Stock1!F219,"")</f>
        <v/>
      </c>
      <c r="AD219" s="102" t="str">
        <f t="array" ref="AD219">_xlfn.XLOOKUP(AB219,Stock1!I219,Stock1!J219,"")</f>
        <v/>
      </c>
      <c r="AE219" s="102" t="str">
        <f t="array" ref="AE219">_xlfn.XLOOKUP("Storage",Stock1!B219,Stock1!I219,"")</f>
        <v/>
      </c>
      <c r="AF219" s="102" t="str">
        <f t="array" ref="AF219">_xlfn.XLOOKUP(AE219,Stock1!I219,Stock1!F219,"")</f>
        <v/>
      </c>
      <c r="AG219" s="102" t="str">
        <f t="array" ref="AG219">_xlfn.XLOOKUP(AE219,Stock1!I219,Stock1!J219,"")</f>
        <v/>
      </c>
    </row>
    <row r="220">
      <c r="K220" s="660" t="str">
        <f t="array" ref="K220">IFERROR(_xlfn.XLOOKUP(I220,Incentive!B:B,Incentive!E:E,""),"")</f>
        <v/>
      </c>
      <c r="L220" s="659" t="str">
        <f>IFERROR(VLOOKUP(I220,Stock1!F:J,5,False),"")</f>
        <v/>
      </c>
      <c r="M220" s="659" t="str">
        <f>IFERROR(VLOOKUP(I220,Stock2!F:J,5,False),"")</f>
        <v/>
      </c>
      <c r="V220" s="102" t="str">
        <f t="array" ref="V220">_xlfn.XLOOKUP("Charger",Stock1!B220,Stock1!I220,"")</f>
        <v/>
      </c>
      <c r="W220" s="102" t="str">
        <f t="array" ref="W220">_xlfn.XLOOKUP(V220,Stock1!I220,Stock1!F220,"")</f>
        <v/>
      </c>
      <c r="X220" s="102" t="str">
        <f t="array" ref="X220">_xlfn.XLOOKUP(V220,Stock1!I220,Stock1!J220,"")</f>
        <v/>
      </c>
      <c r="Y220" s="102" t="str">
        <f t="array" ref="Y220">_xlfn.XLOOKUP("Screen Protector for Android Phone and Other",Stock1!B220,Stock1!I220,"")</f>
        <v/>
      </c>
      <c r="Z220" s="102" t="str">
        <f t="array" ref="Z220">_xlfn.XLOOKUP("Screen Protector for Galaxy Phone",Stock1!B220,Stock1!I220,"")</f>
        <v/>
      </c>
      <c r="AA220" s="102" t="str">
        <f t="array" ref="AA220">_xlfn.XLOOKUP("Screen Protector for Galaxy Tab",Stock1!B220,Stock1!I220,"")</f>
        <v/>
      </c>
      <c r="AB220" s="102" t="str">
        <f t="shared" si="4"/>
        <v/>
      </c>
      <c r="AC220" s="102" t="str">
        <f t="array" ref="AC220">_xlfn.XLOOKUP(AB220,Stock1!I220,Stock1!F220,"")</f>
        <v/>
      </c>
      <c r="AD220" s="102" t="str">
        <f t="array" ref="AD220">_xlfn.XLOOKUP(AB220,Stock1!I220,Stock1!J220,"")</f>
        <v/>
      </c>
      <c r="AE220" s="102" t="str">
        <f t="array" ref="AE220">_xlfn.XLOOKUP("Storage",Stock1!B220,Stock1!I220,"")</f>
        <v/>
      </c>
      <c r="AF220" s="102" t="str">
        <f t="array" ref="AF220">_xlfn.XLOOKUP(AE220,Stock1!I220,Stock1!F220,"")</f>
        <v/>
      </c>
      <c r="AG220" s="102" t="str">
        <f t="array" ref="AG220">_xlfn.XLOOKUP(AE220,Stock1!I220,Stock1!J220,"")</f>
        <v/>
      </c>
    </row>
    <row r="221">
      <c r="K221" s="660" t="str">
        <f t="array" ref="K221">IFERROR(_xlfn.XLOOKUP(I221,Incentive!B:B,Incentive!E:E,""),"")</f>
        <v/>
      </c>
      <c r="L221" s="659" t="str">
        <f>IFERROR(VLOOKUP(I221,Stock1!F:J,5,False),"")</f>
        <v/>
      </c>
      <c r="M221" s="659" t="str">
        <f>IFERROR(VLOOKUP(I221,Stock2!F:J,5,False),"")</f>
        <v/>
      </c>
      <c r="V221" s="102" t="str">
        <f t="array" ref="V221">_xlfn.XLOOKUP("Charger",Stock1!B221,Stock1!I221,"")</f>
        <v/>
      </c>
      <c r="W221" s="102" t="str">
        <f t="array" ref="W221">_xlfn.XLOOKUP(V221,Stock1!I221,Stock1!F221,"")</f>
        <v/>
      </c>
      <c r="X221" s="102" t="str">
        <f t="array" ref="X221">_xlfn.XLOOKUP(V221,Stock1!I221,Stock1!J221,"")</f>
        <v/>
      </c>
      <c r="Y221" s="102" t="str">
        <f t="array" ref="Y221">_xlfn.XLOOKUP("Screen Protector for Android Phone and Other",Stock1!B221,Stock1!I221,"")</f>
        <v/>
      </c>
      <c r="Z221" s="102" t="str">
        <f t="array" ref="Z221">_xlfn.XLOOKUP("Screen Protector for Galaxy Phone",Stock1!B221,Stock1!I221,"")</f>
        <v/>
      </c>
      <c r="AA221" s="102" t="str">
        <f t="array" ref="AA221">_xlfn.XLOOKUP("Screen Protector for Galaxy Tab",Stock1!B221,Stock1!I221,"")</f>
        <v/>
      </c>
      <c r="AB221" s="102" t="str">
        <f t="shared" si="4"/>
        <v/>
      </c>
      <c r="AC221" s="102" t="str">
        <f t="array" ref="AC221">_xlfn.XLOOKUP(AB221,Stock1!I221,Stock1!F221,"")</f>
        <v/>
      </c>
      <c r="AD221" s="102" t="str">
        <f t="array" ref="AD221">_xlfn.XLOOKUP(AB221,Stock1!I221,Stock1!J221,"")</f>
        <v/>
      </c>
      <c r="AE221" s="102" t="str">
        <f t="array" ref="AE221">_xlfn.XLOOKUP("Storage",Stock1!B221,Stock1!I221,"")</f>
        <v/>
      </c>
      <c r="AF221" s="102" t="str">
        <f t="array" ref="AF221">_xlfn.XLOOKUP(AE221,Stock1!I221,Stock1!F221,"")</f>
        <v/>
      </c>
      <c r="AG221" s="102" t="str">
        <f t="array" ref="AG221">_xlfn.XLOOKUP(AE221,Stock1!I221,Stock1!J221,"")</f>
        <v/>
      </c>
    </row>
    <row r="222">
      <c r="K222" s="660" t="str">
        <f t="array" ref="K222">IFERROR(_xlfn.XLOOKUP(I222,Incentive!B:B,Incentive!E:E,""),"")</f>
        <v/>
      </c>
      <c r="L222" s="659" t="str">
        <f>IFERROR(VLOOKUP(I222,Stock1!F:J,5,False),"")</f>
        <v/>
      </c>
      <c r="M222" s="659" t="str">
        <f>IFERROR(VLOOKUP(I222,Stock2!F:J,5,False),"")</f>
        <v/>
      </c>
      <c r="V222" s="102" t="str">
        <f t="array" ref="V222">_xlfn.XLOOKUP("Charger",Stock1!B222,Stock1!I222,"")</f>
        <v/>
      </c>
      <c r="W222" s="102" t="str">
        <f t="array" ref="W222">_xlfn.XLOOKUP(V222,Stock1!I222,Stock1!F222,"")</f>
        <v/>
      </c>
      <c r="X222" s="102" t="str">
        <f t="array" ref="X222">_xlfn.XLOOKUP(V222,Stock1!I222,Stock1!J222,"")</f>
        <v/>
      </c>
      <c r="Y222" s="102" t="str">
        <f t="array" ref="Y222">_xlfn.XLOOKUP("Screen Protector for Android Phone and Other",Stock1!B222,Stock1!I222,"")</f>
        <v/>
      </c>
      <c r="Z222" s="102" t="str">
        <f t="array" ref="Z222">_xlfn.XLOOKUP("Screen Protector for Galaxy Phone",Stock1!B222,Stock1!I222,"")</f>
        <v/>
      </c>
      <c r="AA222" s="102" t="str">
        <f t="array" ref="AA222">_xlfn.XLOOKUP("Screen Protector for Galaxy Tab",Stock1!B222,Stock1!I222,"")</f>
        <v/>
      </c>
      <c r="AB222" s="102" t="str">
        <f t="shared" si="4"/>
        <v/>
      </c>
      <c r="AC222" s="102" t="str">
        <f t="array" ref="AC222">_xlfn.XLOOKUP(AB222,Stock1!I222,Stock1!F222,"")</f>
        <v/>
      </c>
      <c r="AD222" s="102" t="str">
        <f t="array" ref="AD222">_xlfn.XLOOKUP(AB222,Stock1!I222,Stock1!J222,"")</f>
        <v/>
      </c>
      <c r="AE222" s="102" t="str">
        <f t="array" ref="AE222">_xlfn.XLOOKUP("Storage",Stock1!B222,Stock1!I222,"")</f>
        <v/>
      </c>
      <c r="AF222" s="102" t="str">
        <f t="array" ref="AF222">_xlfn.XLOOKUP(AE222,Stock1!I222,Stock1!F222,"")</f>
        <v/>
      </c>
      <c r="AG222" s="102" t="str">
        <f t="array" ref="AG222">_xlfn.XLOOKUP(AE222,Stock1!I222,Stock1!J222,"")</f>
        <v/>
      </c>
    </row>
    <row r="223">
      <c r="K223" s="660" t="str">
        <f t="array" ref="K223">IFERROR(_xlfn.XLOOKUP(I223,Incentive!B:B,Incentive!E:E,""),"")</f>
        <v/>
      </c>
      <c r="L223" s="659" t="str">
        <f>IFERROR(VLOOKUP(I223,Stock1!F:J,5,False),"")</f>
        <v/>
      </c>
      <c r="M223" s="659" t="str">
        <f>IFERROR(VLOOKUP(I223,Stock2!F:J,5,False),"")</f>
        <v/>
      </c>
      <c r="V223" s="102" t="str">
        <f t="array" ref="V223">_xlfn.XLOOKUP("Charger",Stock1!B223,Stock1!I223,"")</f>
        <v/>
      </c>
      <c r="W223" s="102" t="str">
        <f t="array" ref="W223">_xlfn.XLOOKUP(V223,Stock1!I223,Stock1!F223,"")</f>
        <v/>
      </c>
      <c r="X223" s="102" t="str">
        <f t="array" ref="X223">_xlfn.XLOOKUP(V223,Stock1!I223,Stock1!J223,"")</f>
        <v/>
      </c>
      <c r="Y223" s="102" t="str">
        <f t="array" ref="Y223">_xlfn.XLOOKUP("Screen Protector for Android Phone and Other",Stock1!B223,Stock1!I223,"")</f>
        <v/>
      </c>
      <c r="Z223" s="102" t="str">
        <f t="array" ref="Z223">_xlfn.XLOOKUP("Screen Protector for Galaxy Phone",Stock1!B223,Stock1!I223,"")</f>
        <v/>
      </c>
      <c r="AA223" s="102" t="str">
        <f t="array" ref="AA223">_xlfn.XLOOKUP("Screen Protector for Galaxy Tab",Stock1!B223,Stock1!I223,"")</f>
        <v/>
      </c>
      <c r="AB223" s="102" t="str">
        <f t="shared" si="4"/>
        <v/>
      </c>
      <c r="AC223" s="102" t="str">
        <f t="array" ref="AC223">_xlfn.XLOOKUP(AB223,Stock1!I223,Stock1!F223,"")</f>
        <v/>
      </c>
      <c r="AD223" s="102" t="str">
        <f t="array" ref="AD223">_xlfn.XLOOKUP(AB223,Stock1!I223,Stock1!J223,"")</f>
        <v/>
      </c>
      <c r="AE223" s="102" t="str">
        <f t="array" ref="AE223">_xlfn.XLOOKUP("Storage",Stock1!B223,Stock1!I223,"")</f>
        <v/>
      </c>
      <c r="AF223" s="102" t="str">
        <f t="array" ref="AF223">_xlfn.XLOOKUP(AE223,Stock1!I223,Stock1!F223,"")</f>
        <v/>
      </c>
      <c r="AG223" s="102" t="str">
        <f t="array" ref="AG223">_xlfn.XLOOKUP(AE223,Stock1!I223,Stock1!J223,"")</f>
        <v/>
      </c>
    </row>
    <row r="224">
      <c r="K224" s="660" t="str">
        <f t="array" ref="K224">IFERROR(_xlfn.XLOOKUP(I224,Incentive!B:B,Incentive!E:E,""),"")</f>
        <v/>
      </c>
      <c r="L224" s="659" t="str">
        <f>IFERROR(VLOOKUP(I224,Stock1!F:J,5,False),"")</f>
        <v/>
      </c>
      <c r="M224" s="659" t="str">
        <f>IFERROR(VLOOKUP(I224,Stock2!F:J,5,False),"")</f>
        <v/>
      </c>
      <c r="V224" s="102" t="str">
        <f t="array" ref="V224">_xlfn.XLOOKUP("Charger",Stock1!B224,Stock1!I224,"")</f>
        <v/>
      </c>
      <c r="W224" s="102" t="str">
        <f t="array" ref="W224">_xlfn.XLOOKUP(V224,Stock1!I224,Stock1!F224,"")</f>
        <v/>
      </c>
      <c r="X224" s="102" t="str">
        <f t="array" ref="X224">_xlfn.XLOOKUP(V224,Stock1!I224,Stock1!J224,"")</f>
        <v/>
      </c>
      <c r="Y224" s="102" t="str">
        <f t="array" ref="Y224">_xlfn.XLOOKUP("Screen Protector for Android Phone and Other",Stock1!B224,Stock1!I224,"")</f>
        <v/>
      </c>
      <c r="Z224" s="102" t="str">
        <f t="array" ref="Z224">_xlfn.XLOOKUP("Screen Protector for Galaxy Phone",Stock1!B224,Stock1!I224,"")</f>
        <v/>
      </c>
      <c r="AA224" s="102" t="str">
        <f t="array" ref="AA224">_xlfn.XLOOKUP("Screen Protector for Galaxy Tab",Stock1!B224,Stock1!I224,"")</f>
        <v/>
      </c>
      <c r="AB224" s="102" t="str">
        <f t="shared" si="4"/>
        <v/>
      </c>
      <c r="AC224" s="102" t="str">
        <f t="array" ref="AC224">_xlfn.XLOOKUP(AB224,Stock1!I224,Stock1!F224,"")</f>
        <v/>
      </c>
      <c r="AD224" s="102" t="str">
        <f t="array" ref="AD224">_xlfn.XLOOKUP(AB224,Stock1!I224,Stock1!J224,"")</f>
        <v/>
      </c>
      <c r="AE224" s="102" t="str">
        <f t="array" ref="AE224">_xlfn.XLOOKUP("Storage",Stock1!B224,Stock1!I224,"")</f>
        <v/>
      </c>
      <c r="AF224" s="102" t="str">
        <f t="array" ref="AF224">_xlfn.XLOOKUP(AE224,Stock1!I224,Stock1!F224,"")</f>
        <v/>
      </c>
      <c r="AG224" s="102" t="str">
        <f t="array" ref="AG224">_xlfn.XLOOKUP(AE224,Stock1!I224,Stock1!J224,"")</f>
        <v/>
      </c>
    </row>
    <row r="225">
      <c r="K225" s="660" t="str">
        <f t="array" ref="K225">IFERROR(_xlfn.XLOOKUP(I225,Incentive!B:B,Incentive!E:E,""),"")</f>
        <v/>
      </c>
      <c r="L225" s="659" t="str">
        <f>IFERROR(VLOOKUP(I225,Stock1!F:J,5,False),"")</f>
        <v/>
      </c>
      <c r="M225" s="659" t="str">
        <f>IFERROR(VLOOKUP(I225,Stock2!F:J,5,False),"")</f>
        <v/>
      </c>
      <c r="V225" s="102" t="str">
        <f t="array" ref="V225">_xlfn.XLOOKUP("Charger",Stock1!B225,Stock1!I225,"")</f>
        <v/>
      </c>
      <c r="W225" s="102" t="str">
        <f t="array" ref="W225">_xlfn.XLOOKUP(V225,Stock1!I225,Stock1!F225,"")</f>
        <v/>
      </c>
      <c r="X225" s="102" t="str">
        <f t="array" ref="X225">_xlfn.XLOOKUP(V225,Stock1!I225,Stock1!J225,"")</f>
        <v/>
      </c>
      <c r="Y225" s="102" t="str">
        <f t="array" ref="Y225">_xlfn.XLOOKUP("Screen Protector for Android Phone and Other",Stock1!B225,Stock1!I225,"")</f>
        <v/>
      </c>
      <c r="Z225" s="102" t="str">
        <f t="array" ref="Z225">_xlfn.XLOOKUP("Screen Protector for Galaxy Phone",Stock1!B225,Stock1!I225,"")</f>
        <v/>
      </c>
      <c r="AA225" s="102" t="str">
        <f t="array" ref="AA225">_xlfn.XLOOKUP("Screen Protector for Galaxy Tab",Stock1!B225,Stock1!I225,"")</f>
        <v/>
      </c>
      <c r="AB225" s="102" t="str">
        <f t="shared" si="4"/>
        <v/>
      </c>
      <c r="AC225" s="102" t="str">
        <f t="array" ref="AC225">_xlfn.XLOOKUP(AB225,Stock1!I225,Stock1!F225,"")</f>
        <v/>
      </c>
      <c r="AD225" s="102" t="str">
        <f t="array" ref="AD225">_xlfn.XLOOKUP(AB225,Stock1!I225,Stock1!J225,"")</f>
        <v/>
      </c>
      <c r="AE225" s="102" t="str">
        <f t="array" ref="AE225">_xlfn.XLOOKUP("Storage",Stock1!B225,Stock1!I225,"")</f>
        <v/>
      </c>
      <c r="AF225" s="102" t="str">
        <f t="array" ref="AF225">_xlfn.XLOOKUP(AE225,Stock1!I225,Stock1!F225,"")</f>
        <v/>
      </c>
      <c r="AG225" s="102" t="str">
        <f t="array" ref="AG225">_xlfn.XLOOKUP(AE225,Stock1!I225,Stock1!J225,"")</f>
        <v/>
      </c>
    </row>
    <row r="226">
      <c r="K226" s="660" t="str">
        <f t="array" ref="K226">IFERROR(_xlfn.XLOOKUP(I226,Incentive!B:B,Incentive!E:E,""),"")</f>
        <v/>
      </c>
      <c r="L226" s="659" t="str">
        <f>IFERROR(VLOOKUP(I226,Stock1!F:J,5,False),"")</f>
        <v/>
      </c>
      <c r="M226" s="659" t="str">
        <f>IFERROR(VLOOKUP(I226,Stock2!F:J,5,False),"")</f>
        <v/>
      </c>
      <c r="V226" s="102" t="str">
        <f t="array" ref="V226">_xlfn.XLOOKUP("Charger",Stock1!B226,Stock1!I226,"")</f>
        <v/>
      </c>
      <c r="W226" s="102" t="str">
        <f t="array" ref="W226">_xlfn.XLOOKUP(V226,Stock1!I226,Stock1!F226,"")</f>
        <v/>
      </c>
      <c r="X226" s="102" t="str">
        <f t="array" ref="X226">_xlfn.XLOOKUP(V226,Stock1!I226,Stock1!J226,"")</f>
        <v/>
      </c>
      <c r="Y226" s="102" t="str">
        <f t="array" ref="Y226">_xlfn.XLOOKUP("Screen Protector for Android Phone and Other",Stock1!B226,Stock1!I226,"")</f>
        <v/>
      </c>
      <c r="Z226" s="102" t="str">
        <f t="array" ref="Z226">_xlfn.XLOOKUP("Screen Protector for Galaxy Phone",Stock1!B226,Stock1!I226,"")</f>
        <v/>
      </c>
      <c r="AA226" s="102" t="str">
        <f t="array" ref="AA226">_xlfn.XLOOKUP("Screen Protector for Galaxy Tab",Stock1!B226,Stock1!I226,"")</f>
        <v/>
      </c>
      <c r="AB226" s="102" t="str">
        <f t="shared" si="4"/>
        <v/>
      </c>
      <c r="AC226" s="102" t="str">
        <f t="array" ref="AC226">_xlfn.XLOOKUP(AB226,Stock1!I226,Stock1!F226,"")</f>
        <v/>
      </c>
      <c r="AD226" s="102" t="str">
        <f t="array" ref="AD226">_xlfn.XLOOKUP(AB226,Stock1!I226,Stock1!J226,"")</f>
        <v/>
      </c>
      <c r="AE226" s="102" t="str">
        <f t="array" ref="AE226">_xlfn.XLOOKUP("Storage",Stock1!B226,Stock1!I226,"")</f>
        <v/>
      </c>
      <c r="AF226" s="102" t="str">
        <f t="array" ref="AF226">_xlfn.XLOOKUP(AE226,Stock1!I226,Stock1!F226,"")</f>
        <v/>
      </c>
      <c r="AG226" s="102" t="str">
        <f t="array" ref="AG226">_xlfn.XLOOKUP(AE226,Stock1!I226,Stock1!J226,"")</f>
        <v/>
      </c>
    </row>
    <row r="227">
      <c r="K227" s="660" t="str">
        <f t="array" ref="K227">IFERROR(_xlfn.XLOOKUP(I227,Incentive!B:B,Incentive!E:E,""),"")</f>
        <v/>
      </c>
      <c r="L227" s="659" t="str">
        <f>IFERROR(VLOOKUP(I227,Stock1!F:J,5,False),"")</f>
        <v/>
      </c>
      <c r="M227" s="659" t="str">
        <f>IFERROR(VLOOKUP(I227,Stock2!F:J,5,False),"")</f>
        <v/>
      </c>
      <c r="V227" s="102" t="str">
        <f t="array" ref="V227">_xlfn.XLOOKUP("Charger",Stock1!B227,Stock1!I227,"")</f>
        <v/>
      </c>
      <c r="W227" s="102" t="str">
        <f t="array" ref="W227">_xlfn.XLOOKUP(V227,Stock1!I227,Stock1!F227,"")</f>
        <v/>
      </c>
      <c r="X227" s="102" t="str">
        <f t="array" ref="X227">_xlfn.XLOOKUP(V227,Stock1!I227,Stock1!J227,"")</f>
        <v/>
      </c>
      <c r="Y227" s="102" t="str">
        <f t="array" ref="Y227">_xlfn.XLOOKUP("Screen Protector for Android Phone and Other",Stock1!B227,Stock1!I227,"")</f>
        <v/>
      </c>
      <c r="Z227" s="102" t="str">
        <f t="array" ref="Z227">_xlfn.XLOOKUP("Screen Protector for Galaxy Phone",Stock1!B227,Stock1!I227,"")</f>
        <v/>
      </c>
      <c r="AA227" s="102" t="str">
        <f t="array" ref="AA227">_xlfn.XLOOKUP("Screen Protector for Galaxy Tab",Stock1!B227,Stock1!I227,"")</f>
        <v/>
      </c>
      <c r="AB227" s="102" t="str">
        <f t="shared" si="4"/>
        <v/>
      </c>
      <c r="AC227" s="102" t="str">
        <f t="array" ref="AC227">_xlfn.XLOOKUP(AB227,Stock1!I227,Stock1!F227,"")</f>
        <v/>
      </c>
      <c r="AD227" s="102" t="str">
        <f t="array" ref="AD227">_xlfn.XLOOKUP(AB227,Stock1!I227,Stock1!J227,"")</f>
        <v/>
      </c>
      <c r="AE227" s="102" t="str">
        <f t="array" ref="AE227">_xlfn.XLOOKUP("Storage",Stock1!B227,Stock1!I227,"")</f>
        <v/>
      </c>
      <c r="AF227" s="102" t="str">
        <f t="array" ref="AF227">_xlfn.XLOOKUP(AE227,Stock1!I227,Stock1!F227,"")</f>
        <v/>
      </c>
      <c r="AG227" s="102" t="str">
        <f t="array" ref="AG227">_xlfn.XLOOKUP(AE227,Stock1!I227,Stock1!J227,"")</f>
        <v/>
      </c>
    </row>
    <row r="228">
      <c r="K228" s="660" t="str">
        <f t="array" ref="K228">IFERROR(_xlfn.XLOOKUP(I228,Incentive!B:B,Incentive!E:E,""),"")</f>
        <v/>
      </c>
      <c r="L228" s="659" t="str">
        <f>IFERROR(VLOOKUP(I228,Stock1!F:J,5,False),"")</f>
        <v/>
      </c>
      <c r="M228" s="659" t="str">
        <f>IFERROR(VLOOKUP(I228,Stock2!F:J,5,False),"")</f>
        <v/>
      </c>
      <c r="V228" s="102" t="str">
        <f t="array" ref="V228">_xlfn.XLOOKUP("Charger",Stock1!B228,Stock1!I228,"")</f>
        <v/>
      </c>
      <c r="W228" s="102" t="str">
        <f t="array" ref="W228">_xlfn.XLOOKUP(V228,Stock1!I228,Stock1!F228,"")</f>
        <v/>
      </c>
      <c r="X228" s="102" t="str">
        <f t="array" ref="X228">_xlfn.XLOOKUP(V228,Stock1!I228,Stock1!J228,"")</f>
        <v/>
      </c>
      <c r="Y228" s="102" t="str">
        <f t="array" ref="Y228">_xlfn.XLOOKUP("Screen Protector for Android Phone and Other",Stock1!B228,Stock1!I228,"")</f>
        <v/>
      </c>
      <c r="Z228" s="102" t="str">
        <f t="array" ref="Z228">_xlfn.XLOOKUP("Screen Protector for Galaxy Phone",Stock1!B228,Stock1!I228,"")</f>
        <v/>
      </c>
      <c r="AA228" s="102" t="str">
        <f t="array" ref="AA228">_xlfn.XLOOKUP("Screen Protector for Galaxy Tab",Stock1!B228,Stock1!I228,"")</f>
        <v/>
      </c>
      <c r="AB228" s="102" t="str">
        <f t="shared" si="4"/>
        <v/>
      </c>
      <c r="AC228" s="102" t="str">
        <f t="array" ref="AC228">_xlfn.XLOOKUP(AB228,Stock1!I228,Stock1!F228,"")</f>
        <v/>
      </c>
      <c r="AD228" s="102" t="str">
        <f t="array" ref="AD228">_xlfn.XLOOKUP(AB228,Stock1!I228,Stock1!J228,"")</f>
        <v/>
      </c>
      <c r="AE228" s="102" t="str">
        <f t="array" ref="AE228">_xlfn.XLOOKUP("Storage",Stock1!B228,Stock1!I228,"")</f>
        <v/>
      </c>
      <c r="AF228" s="102" t="str">
        <f t="array" ref="AF228">_xlfn.XLOOKUP(AE228,Stock1!I228,Stock1!F228,"")</f>
        <v/>
      </c>
      <c r="AG228" s="102" t="str">
        <f t="array" ref="AG228">_xlfn.XLOOKUP(AE228,Stock1!I228,Stock1!J228,"")</f>
        <v/>
      </c>
    </row>
    <row r="229">
      <c r="K229" s="660" t="str">
        <f t="array" ref="K229">IFERROR(_xlfn.XLOOKUP(I229,Incentive!B:B,Incentive!E:E,""),"")</f>
        <v/>
      </c>
      <c r="L229" s="659" t="str">
        <f>IFERROR(VLOOKUP(I229,Stock1!F:J,5,False),"")</f>
        <v/>
      </c>
      <c r="M229" s="659" t="str">
        <f>IFERROR(VLOOKUP(I229,Stock2!F:J,5,False),"")</f>
        <v/>
      </c>
      <c r="V229" s="102" t="str">
        <f t="array" ref="V229">_xlfn.XLOOKUP("Charger",Stock1!B229,Stock1!I229,"")</f>
        <v/>
      </c>
      <c r="W229" s="102" t="str">
        <f t="array" ref="W229">_xlfn.XLOOKUP(V229,Stock1!I229,Stock1!F229,"")</f>
        <v/>
      </c>
      <c r="X229" s="102" t="str">
        <f t="array" ref="X229">_xlfn.XLOOKUP(V229,Stock1!I229,Stock1!J229,"")</f>
        <v/>
      </c>
      <c r="Y229" s="102" t="str">
        <f t="array" ref="Y229">_xlfn.XLOOKUP("Screen Protector for Android Phone and Other",Stock1!B229,Stock1!I229,"")</f>
        <v/>
      </c>
      <c r="Z229" s="102" t="str">
        <f t="array" ref="Z229">_xlfn.XLOOKUP("Screen Protector for Galaxy Phone",Stock1!B229,Stock1!I229,"")</f>
        <v/>
      </c>
      <c r="AA229" s="102" t="str">
        <f t="array" ref="AA229">_xlfn.XLOOKUP("Screen Protector for Galaxy Tab",Stock1!B229,Stock1!I229,"")</f>
        <v/>
      </c>
      <c r="AB229" s="102" t="str">
        <f t="shared" si="4"/>
        <v/>
      </c>
      <c r="AC229" s="102" t="str">
        <f t="array" ref="AC229">_xlfn.XLOOKUP(AB229,Stock1!I229,Stock1!F229,"")</f>
        <v/>
      </c>
      <c r="AD229" s="102" t="str">
        <f t="array" ref="AD229">_xlfn.XLOOKUP(AB229,Stock1!I229,Stock1!J229,"")</f>
        <v/>
      </c>
      <c r="AE229" s="102" t="str">
        <f t="array" ref="AE229">_xlfn.XLOOKUP("Storage",Stock1!B229,Stock1!I229,"")</f>
        <v/>
      </c>
      <c r="AF229" s="102" t="str">
        <f t="array" ref="AF229">_xlfn.XLOOKUP(AE229,Stock1!I229,Stock1!F229,"")</f>
        <v/>
      </c>
      <c r="AG229" s="102" t="str">
        <f t="array" ref="AG229">_xlfn.XLOOKUP(AE229,Stock1!I229,Stock1!J229,"")</f>
        <v/>
      </c>
    </row>
    <row r="230">
      <c r="K230" s="660" t="str">
        <f t="array" ref="K230">IFERROR(_xlfn.XLOOKUP(I230,Incentive!B:B,Incentive!E:E,""),"")</f>
        <v/>
      </c>
      <c r="L230" s="659" t="str">
        <f>IFERROR(VLOOKUP(I230,Stock1!F:J,5,False),"")</f>
        <v/>
      </c>
      <c r="M230" s="659" t="str">
        <f>IFERROR(VLOOKUP(I230,Stock2!F:J,5,False),"")</f>
        <v/>
      </c>
      <c r="V230" s="102" t="str">
        <f t="array" ref="V230">_xlfn.XLOOKUP("Charger",Stock1!B230,Stock1!I230,"")</f>
        <v/>
      </c>
      <c r="W230" s="102" t="str">
        <f t="array" ref="W230">_xlfn.XLOOKUP(V230,Stock1!I230,Stock1!F230,"")</f>
        <v/>
      </c>
      <c r="X230" s="102" t="str">
        <f t="array" ref="X230">_xlfn.XLOOKUP(V230,Stock1!I230,Stock1!J230,"")</f>
        <v/>
      </c>
      <c r="Y230" s="102" t="str">
        <f t="array" ref="Y230">_xlfn.XLOOKUP("Screen Protector for Android Phone and Other",Stock1!B230,Stock1!I230,"")</f>
        <v/>
      </c>
      <c r="Z230" s="102" t="str">
        <f t="array" ref="Z230">_xlfn.XLOOKUP("Screen Protector for Galaxy Phone",Stock1!B230,Stock1!I230,"")</f>
        <v/>
      </c>
      <c r="AA230" s="102" t="str">
        <f t="array" ref="AA230">_xlfn.XLOOKUP("Screen Protector for Galaxy Tab",Stock1!B230,Stock1!I230,"")</f>
        <v/>
      </c>
      <c r="AB230" s="102" t="str">
        <f t="shared" si="4"/>
        <v/>
      </c>
      <c r="AC230" s="102" t="str">
        <f t="array" ref="AC230">_xlfn.XLOOKUP(AB230,Stock1!I230,Stock1!F230,"")</f>
        <v/>
      </c>
      <c r="AD230" s="102" t="str">
        <f t="array" ref="AD230">_xlfn.XLOOKUP(AB230,Stock1!I230,Stock1!J230,"")</f>
        <v/>
      </c>
      <c r="AE230" s="102" t="str">
        <f t="array" ref="AE230">_xlfn.XLOOKUP("Storage",Stock1!B230,Stock1!I230,"")</f>
        <v/>
      </c>
      <c r="AF230" s="102" t="str">
        <f t="array" ref="AF230">_xlfn.XLOOKUP(AE230,Stock1!I230,Stock1!F230,"")</f>
        <v/>
      </c>
      <c r="AG230" s="102" t="str">
        <f t="array" ref="AG230">_xlfn.XLOOKUP(AE230,Stock1!I230,Stock1!J230,"")</f>
        <v/>
      </c>
    </row>
    <row r="231">
      <c r="K231" s="660" t="str">
        <f t="array" ref="K231">IFERROR(_xlfn.XLOOKUP(I231,Incentive!B:B,Incentive!E:E,""),"")</f>
        <v/>
      </c>
      <c r="L231" s="659" t="str">
        <f>IFERROR(VLOOKUP(I231,Stock1!F:J,5,False),"")</f>
        <v/>
      </c>
      <c r="M231" s="659" t="str">
        <f>IFERROR(VLOOKUP(I231,Stock2!F:J,5,False),"")</f>
        <v/>
      </c>
      <c r="V231" s="102" t="str">
        <f t="array" ref="V231">_xlfn.XLOOKUP("Charger",Stock1!B231,Stock1!I231,"")</f>
        <v/>
      </c>
      <c r="W231" s="102" t="str">
        <f t="array" ref="W231">_xlfn.XLOOKUP(V231,Stock1!I231,Stock1!F231,"")</f>
        <v/>
      </c>
      <c r="X231" s="102" t="str">
        <f t="array" ref="X231">_xlfn.XLOOKUP(V231,Stock1!I231,Stock1!J231,"")</f>
        <v/>
      </c>
      <c r="Y231" s="102" t="str">
        <f t="array" ref="Y231">_xlfn.XLOOKUP("Screen Protector for Android Phone and Other",Stock1!B231,Stock1!I231,"")</f>
        <v/>
      </c>
      <c r="Z231" s="102" t="str">
        <f t="array" ref="Z231">_xlfn.XLOOKUP("Screen Protector for Galaxy Phone",Stock1!B231,Stock1!I231,"")</f>
        <v/>
      </c>
      <c r="AA231" s="102" t="str">
        <f t="array" ref="AA231">_xlfn.XLOOKUP("Screen Protector for Galaxy Tab",Stock1!B231,Stock1!I231,"")</f>
        <v/>
      </c>
      <c r="AB231" s="102" t="str">
        <f t="shared" si="4"/>
        <v/>
      </c>
      <c r="AC231" s="102" t="str">
        <f t="array" ref="AC231">_xlfn.XLOOKUP(AB231,Stock1!I231,Stock1!F231,"")</f>
        <v/>
      </c>
      <c r="AD231" s="102" t="str">
        <f t="array" ref="AD231">_xlfn.XLOOKUP(AB231,Stock1!I231,Stock1!J231,"")</f>
        <v/>
      </c>
      <c r="AE231" s="102" t="str">
        <f t="array" ref="AE231">_xlfn.XLOOKUP("Storage",Stock1!B231,Stock1!I231,"")</f>
        <v/>
      </c>
      <c r="AF231" s="102" t="str">
        <f t="array" ref="AF231">_xlfn.XLOOKUP(AE231,Stock1!I231,Stock1!F231,"")</f>
        <v/>
      </c>
      <c r="AG231" s="102" t="str">
        <f t="array" ref="AG231">_xlfn.XLOOKUP(AE231,Stock1!I231,Stock1!J231,"")</f>
        <v/>
      </c>
    </row>
    <row r="232">
      <c r="K232" s="660" t="str">
        <f t="array" ref="K232">IFERROR(_xlfn.XLOOKUP(I232,Incentive!B:B,Incentive!E:E,""),"")</f>
        <v/>
      </c>
      <c r="L232" s="659" t="str">
        <f>IFERROR(VLOOKUP(I232,Stock1!F:J,5,False),"")</f>
        <v/>
      </c>
      <c r="M232" s="659" t="str">
        <f>IFERROR(VLOOKUP(I232,Stock2!F:J,5,False),"")</f>
        <v/>
      </c>
      <c r="V232" s="102" t="str">
        <f t="array" ref="V232">_xlfn.XLOOKUP("Charger",Stock1!B232,Stock1!I232,"")</f>
        <v/>
      </c>
      <c r="W232" s="102" t="str">
        <f t="array" ref="W232">_xlfn.XLOOKUP(V232,Stock1!I232,Stock1!F232,"")</f>
        <v/>
      </c>
      <c r="X232" s="102" t="str">
        <f t="array" ref="X232">_xlfn.XLOOKUP(V232,Stock1!I232,Stock1!J232,"")</f>
        <v/>
      </c>
      <c r="Y232" s="102" t="str">
        <f t="array" ref="Y232">_xlfn.XLOOKUP("Screen Protector for Android Phone and Other",Stock1!B232,Stock1!I232,"")</f>
        <v/>
      </c>
      <c r="Z232" s="102" t="str">
        <f t="array" ref="Z232">_xlfn.XLOOKUP("Screen Protector for Galaxy Phone",Stock1!B232,Stock1!I232,"")</f>
        <v/>
      </c>
      <c r="AA232" s="102" t="str">
        <f t="array" ref="AA232">_xlfn.XLOOKUP("Screen Protector for Galaxy Tab",Stock1!B232,Stock1!I232,"")</f>
        <v/>
      </c>
      <c r="AB232" s="102" t="str">
        <f t="shared" si="4"/>
        <v/>
      </c>
      <c r="AC232" s="102" t="str">
        <f t="array" ref="AC232">_xlfn.XLOOKUP(AB232,Stock1!I232,Stock1!F232,"")</f>
        <v/>
      </c>
      <c r="AD232" s="102" t="str">
        <f t="array" ref="AD232">_xlfn.XLOOKUP(AB232,Stock1!I232,Stock1!J232,"")</f>
        <v/>
      </c>
      <c r="AE232" s="102" t="str">
        <f t="array" ref="AE232">_xlfn.XLOOKUP("Storage",Stock1!B232,Stock1!I232,"")</f>
        <v/>
      </c>
      <c r="AF232" s="102" t="str">
        <f t="array" ref="AF232">_xlfn.XLOOKUP(AE232,Stock1!I232,Stock1!F232,"")</f>
        <v/>
      </c>
      <c r="AG232" s="102" t="str">
        <f t="array" ref="AG232">_xlfn.XLOOKUP(AE232,Stock1!I232,Stock1!J232,"")</f>
        <v/>
      </c>
    </row>
    <row r="233">
      <c r="K233" s="660" t="str">
        <f t="array" ref="K233">IFERROR(_xlfn.XLOOKUP(I233,Incentive!B:B,Incentive!E:E,""),"")</f>
        <v/>
      </c>
      <c r="L233" s="659" t="str">
        <f>IFERROR(VLOOKUP(I233,Stock1!F:J,5,False),"")</f>
        <v/>
      </c>
      <c r="M233" s="659" t="str">
        <f>IFERROR(VLOOKUP(I233,Stock2!F:J,5,False),"")</f>
        <v/>
      </c>
      <c r="V233" s="102" t="str">
        <f t="array" ref="V233">_xlfn.XLOOKUP("Charger",Stock1!B233,Stock1!I233,"")</f>
        <v/>
      </c>
      <c r="W233" s="102" t="str">
        <f t="array" ref="W233">_xlfn.XLOOKUP(V233,Stock1!I233,Stock1!F233,"")</f>
        <v/>
      </c>
      <c r="X233" s="102" t="str">
        <f t="array" ref="X233">_xlfn.XLOOKUP(V233,Stock1!I233,Stock1!J233,"")</f>
        <v/>
      </c>
      <c r="Y233" s="102" t="str">
        <f t="array" ref="Y233">_xlfn.XLOOKUP("Screen Protector for Android Phone and Other",Stock1!B233,Stock1!I233,"")</f>
        <v/>
      </c>
      <c r="Z233" s="102" t="str">
        <f t="array" ref="Z233">_xlfn.XLOOKUP("Screen Protector for Galaxy Phone",Stock1!B233,Stock1!I233,"")</f>
        <v/>
      </c>
      <c r="AA233" s="102" t="str">
        <f t="array" ref="AA233">_xlfn.XLOOKUP("Screen Protector for Galaxy Tab",Stock1!B233,Stock1!I233,"")</f>
        <v/>
      </c>
      <c r="AB233" s="102" t="str">
        <f t="shared" si="4"/>
        <v/>
      </c>
      <c r="AC233" s="102" t="str">
        <f t="array" ref="AC233">_xlfn.XLOOKUP(AB233,Stock1!I233,Stock1!F233,"")</f>
        <v/>
      </c>
      <c r="AD233" s="102" t="str">
        <f t="array" ref="AD233">_xlfn.XLOOKUP(AB233,Stock1!I233,Stock1!J233,"")</f>
        <v/>
      </c>
      <c r="AE233" s="102" t="str">
        <f t="array" ref="AE233">_xlfn.XLOOKUP("Storage",Stock1!B233,Stock1!I233,"")</f>
        <v/>
      </c>
      <c r="AF233" s="102" t="str">
        <f t="array" ref="AF233">_xlfn.XLOOKUP(AE233,Stock1!I233,Stock1!F233,"")</f>
        <v/>
      </c>
      <c r="AG233" s="102" t="str">
        <f t="array" ref="AG233">_xlfn.XLOOKUP(AE233,Stock1!I233,Stock1!J233,"")</f>
        <v/>
      </c>
    </row>
    <row r="234">
      <c r="K234" s="660" t="str">
        <f t="array" ref="K234">IFERROR(_xlfn.XLOOKUP(I234,Incentive!B:B,Incentive!E:E,""),"")</f>
        <v/>
      </c>
      <c r="L234" s="659" t="str">
        <f>IFERROR(VLOOKUP(I234,Stock1!F:J,5,False),"")</f>
        <v/>
      </c>
      <c r="M234" s="659" t="str">
        <f>IFERROR(VLOOKUP(I234,Stock2!F:J,5,False),"")</f>
        <v/>
      </c>
      <c r="V234" s="102" t="str">
        <f t="array" ref="V234">_xlfn.XLOOKUP("Charger",Stock1!B234,Stock1!I234,"")</f>
        <v/>
      </c>
      <c r="W234" s="102" t="str">
        <f t="array" ref="W234">_xlfn.XLOOKUP(V234,Stock1!I234,Stock1!F234,"")</f>
        <v/>
      </c>
      <c r="X234" s="102" t="str">
        <f t="array" ref="X234">_xlfn.XLOOKUP(V234,Stock1!I234,Stock1!J234,"")</f>
        <v/>
      </c>
      <c r="Y234" s="102" t="str">
        <f t="array" ref="Y234">_xlfn.XLOOKUP("Screen Protector for Android Phone and Other",Stock1!B234,Stock1!I234,"")</f>
        <v/>
      </c>
      <c r="Z234" s="102" t="str">
        <f t="array" ref="Z234">_xlfn.XLOOKUP("Screen Protector for Galaxy Phone",Stock1!B234,Stock1!I234,"")</f>
        <v/>
      </c>
      <c r="AA234" s="102" t="str">
        <f t="array" ref="AA234">_xlfn.XLOOKUP("Screen Protector for Galaxy Tab",Stock1!B234,Stock1!I234,"")</f>
        <v/>
      </c>
      <c r="AB234" s="102" t="str">
        <f t="shared" si="4"/>
        <v/>
      </c>
      <c r="AC234" s="102" t="str">
        <f t="array" ref="AC234">_xlfn.XLOOKUP(AB234,Stock1!I234,Stock1!F234,"")</f>
        <v/>
      </c>
      <c r="AD234" s="102" t="str">
        <f t="array" ref="AD234">_xlfn.XLOOKUP(AB234,Stock1!I234,Stock1!J234,"")</f>
        <v/>
      </c>
      <c r="AE234" s="102" t="str">
        <f t="array" ref="AE234">_xlfn.XLOOKUP("Storage",Stock1!B234,Stock1!I234,"")</f>
        <v/>
      </c>
      <c r="AF234" s="102" t="str">
        <f t="array" ref="AF234">_xlfn.XLOOKUP(AE234,Stock1!I234,Stock1!F234,"")</f>
        <v/>
      </c>
      <c r="AG234" s="102" t="str">
        <f t="array" ref="AG234">_xlfn.XLOOKUP(AE234,Stock1!I234,Stock1!J234,"")</f>
        <v/>
      </c>
    </row>
    <row r="235">
      <c r="K235" s="660" t="str">
        <f t="array" ref="K235">IFERROR(_xlfn.XLOOKUP(I235,Incentive!B:B,Incentive!E:E,""),"")</f>
        <v/>
      </c>
      <c r="L235" s="659" t="str">
        <f>IFERROR(VLOOKUP(I235,Stock1!F:J,5,False),"")</f>
        <v/>
      </c>
      <c r="M235" s="659" t="str">
        <f>IFERROR(VLOOKUP(I235,Stock2!F:J,5,False),"")</f>
        <v/>
      </c>
      <c r="V235" s="102" t="str">
        <f t="array" ref="V235">_xlfn.XLOOKUP("Charger",Stock1!B235,Stock1!I235,"")</f>
        <v/>
      </c>
      <c r="W235" s="102" t="str">
        <f t="array" ref="W235">_xlfn.XLOOKUP(V235,Stock1!I235,Stock1!F235,"")</f>
        <v/>
      </c>
      <c r="X235" s="102" t="str">
        <f t="array" ref="X235">_xlfn.XLOOKUP(V235,Stock1!I235,Stock1!J235,"")</f>
        <v/>
      </c>
      <c r="Y235" s="102" t="str">
        <f t="array" ref="Y235">_xlfn.XLOOKUP("Screen Protector for Android Phone and Other",Stock1!B235,Stock1!I235,"")</f>
        <v/>
      </c>
      <c r="Z235" s="102" t="str">
        <f t="array" ref="Z235">_xlfn.XLOOKUP("Screen Protector for Galaxy Phone",Stock1!B235,Stock1!I235,"")</f>
        <v/>
      </c>
      <c r="AA235" s="102" t="str">
        <f t="array" ref="AA235">_xlfn.XLOOKUP("Screen Protector for Galaxy Tab",Stock1!B235,Stock1!I235,"")</f>
        <v/>
      </c>
      <c r="AB235" s="102" t="str">
        <f t="shared" si="4"/>
        <v/>
      </c>
      <c r="AC235" s="102" t="str">
        <f t="array" ref="AC235">_xlfn.XLOOKUP(AB235,Stock1!I235,Stock1!F235,"")</f>
        <v/>
      </c>
      <c r="AD235" s="102" t="str">
        <f t="array" ref="AD235">_xlfn.XLOOKUP(AB235,Stock1!I235,Stock1!J235,"")</f>
        <v/>
      </c>
      <c r="AE235" s="102" t="str">
        <f t="array" ref="AE235">_xlfn.XLOOKUP("Storage",Stock1!B235,Stock1!I235,"")</f>
        <v/>
      </c>
      <c r="AF235" s="102" t="str">
        <f t="array" ref="AF235">_xlfn.XLOOKUP(AE235,Stock1!I235,Stock1!F235,"")</f>
        <v/>
      </c>
      <c r="AG235" s="102" t="str">
        <f t="array" ref="AG235">_xlfn.XLOOKUP(AE235,Stock1!I235,Stock1!J235,"")</f>
        <v/>
      </c>
    </row>
    <row r="236">
      <c r="K236" s="660" t="str">
        <f t="array" ref="K236">IFERROR(_xlfn.XLOOKUP(I236,Incentive!B:B,Incentive!E:E,""),"")</f>
        <v/>
      </c>
      <c r="L236" s="659" t="str">
        <f>IFERROR(VLOOKUP(I236,Stock1!F:J,5,False),"")</f>
        <v/>
      </c>
      <c r="M236" s="659" t="str">
        <f>IFERROR(VLOOKUP(I236,Stock2!F:J,5,False),"")</f>
        <v/>
      </c>
      <c r="V236" s="102" t="str">
        <f t="array" ref="V236">_xlfn.XLOOKUP("Charger",Stock1!B236,Stock1!I236,"")</f>
        <v/>
      </c>
      <c r="W236" s="102" t="str">
        <f t="array" ref="W236">_xlfn.XLOOKUP(V236,Stock1!I236,Stock1!F236,"")</f>
        <v/>
      </c>
      <c r="X236" s="102" t="str">
        <f t="array" ref="X236">_xlfn.XLOOKUP(V236,Stock1!I236,Stock1!J236,"")</f>
        <v/>
      </c>
      <c r="Y236" s="102" t="str">
        <f t="array" ref="Y236">_xlfn.XLOOKUP("Screen Protector for Android Phone and Other",Stock1!B236,Stock1!I236,"")</f>
        <v/>
      </c>
      <c r="Z236" s="102" t="str">
        <f t="array" ref="Z236">_xlfn.XLOOKUP("Screen Protector for Galaxy Phone",Stock1!B236,Stock1!I236,"")</f>
        <v/>
      </c>
      <c r="AA236" s="102" t="str">
        <f t="array" ref="AA236">_xlfn.XLOOKUP("Screen Protector for Galaxy Tab",Stock1!B236,Stock1!I236,"")</f>
        <v/>
      </c>
      <c r="AB236" s="102" t="str">
        <f t="shared" si="4"/>
        <v/>
      </c>
      <c r="AC236" s="102" t="str">
        <f t="array" ref="AC236">_xlfn.XLOOKUP(AB236,Stock1!I236,Stock1!F236,"")</f>
        <v/>
      </c>
      <c r="AD236" s="102" t="str">
        <f t="array" ref="AD236">_xlfn.XLOOKUP(AB236,Stock1!I236,Stock1!J236,"")</f>
        <v/>
      </c>
      <c r="AE236" s="102" t="str">
        <f t="array" ref="AE236">_xlfn.XLOOKUP("Storage",Stock1!B236,Stock1!I236,"")</f>
        <v/>
      </c>
      <c r="AF236" s="102" t="str">
        <f t="array" ref="AF236">_xlfn.XLOOKUP(AE236,Stock1!I236,Stock1!F236,"")</f>
        <v/>
      </c>
      <c r="AG236" s="102" t="str">
        <f t="array" ref="AG236">_xlfn.XLOOKUP(AE236,Stock1!I236,Stock1!J236,"")</f>
        <v/>
      </c>
    </row>
    <row r="237">
      <c r="K237" s="660" t="str">
        <f t="array" ref="K237">IFERROR(_xlfn.XLOOKUP(I237,Incentive!B:B,Incentive!E:E,""),"")</f>
        <v/>
      </c>
      <c r="L237" s="659" t="str">
        <f>IFERROR(VLOOKUP(I237,Stock1!F:J,5,False),"")</f>
        <v/>
      </c>
      <c r="M237" s="659" t="str">
        <f>IFERROR(VLOOKUP(I237,Stock2!F:J,5,False),"")</f>
        <v/>
      </c>
      <c r="V237" s="102" t="str">
        <f t="array" ref="V237">_xlfn.XLOOKUP("Charger",Stock1!B237,Stock1!I237,"")</f>
        <v/>
      </c>
      <c r="W237" s="102" t="str">
        <f t="array" ref="W237">_xlfn.XLOOKUP(V237,Stock1!I237,Stock1!F237,"")</f>
        <v/>
      </c>
      <c r="X237" s="102" t="str">
        <f t="array" ref="X237">_xlfn.XLOOKUP(V237,Stock1!I237,Stock1!J237,"")</f>
        <v/>
      </c>
      <c r="Y237" s="102" t="str">
        <f t="array" ref="Y237">_xlfn.XLOOKUP("Screen Protector for Android Phone and Other",Stock1!B237,Stock1!I237,"")</f>
        <v/>
      </c>
      <c r="Z237" s="102" t="str">
        <f t="array" ref="Z237">_xlfn.XLOOKUP("Screen Protector for Galaxy Phone",Stock1!B237,Stock1!I237,"")</f>
        <v/>
      </c>
      <c r="AA237" s="102" t="str">
        <f t="array" ref="AA237">_xlfn.XLOOKUP("Screen Protector for Galaxy Tab",Stock1!B237,Stock1!I237,"")</f>
        <v/>
      </c>
      <c r="AB237" s="102" t="str">
        <f t="shared" si="4"/>
        <v/>
      </c>
      <c r="AC237" s="102" t="str">
        <f t="array" ref="AC237">_xlfn.XLOOKUP(AB237,Stock1!I237,Stock1!F237,"")</f>
        <v/>
      </c>
      <c r="AD237" s="102" t="str">
        <f t="array" ref="AD237">_xlfn.XLOOKUP(AB237,Stock1!I237,Stock1!J237,"")</f>
        <v/>
      </c>
      <c r="AE237" s="102" t="str">
        <f t="array" ref="AE237">_xlfn.XLOOKUP("Storage",Stock1!B237,Stock1!I237,"")</f>
        <v/>
      </c>
      <c r="AF237" s="102" t="str">
        <f t="array" ref="AF237">_xlfn.XLOOKUP(AE237,Stock1!I237,Stock1!F237,"")</f>
        <v/>
      </c>
      <c r="AG237" s="102" t="str">
        <f t="array" ref="AG237">_xlfn.XLOOKUP(AE237,Stock1!I237,Stock1!J237,"")</f>
        <v/>
      </c>
    </row>
    <row r="238">
      <c r="K238" s="660" t="str">
        <f t="array" ref="K238">IFERROR(_xlfn.XLOOKUP(I238,Incentive!B:B,Incentive!E:E,""),"")</f>
        <v/>
      </c>
      <c r="L238" s="659" t="str">
        <f>IFERROR(VLOOKUP(I238,Stock1!F:J,5,False),"")</f>
        <v/>
      </c>
      <c r="M238" s="659" t="str">
        <f>IFERROR(VLOOKUP(I238,Stock2!F:J,5,False),"")</f>
        <v/>
      </c>
      <c r="V238" s="102" t="str">
        <f t="array" ref="V238">_xlfn.XLOOKUP("Charger",Stock1!B238,Stock1!I238,"")</f>
        <v/>
      </c>
      <c r="W238" s="102" t="str">
        <f t="array" ref="W238">_xlfn.XLOOKUP(V238,Stock1!I238,Stock1!F238,"")</f>
        <v/>
      </c>
      <c r="X238" s="102" t="str">
        <f t="array" ref="X238">_xlfn.XLOOKUP(V238,Stock1!I238,Stock1!J238,"")</f>
        <v/>
      </c>
      <c r="Y238" s="102" t="str">
        <f t="array" ref="Y238">_xlfn.XLOOKUP("Screen Protector for Android Phone and Other",Stock1!B238,Stock1!I238,"")</f>
        <v/>
      </c>
      <c r="Z238" s="102" t="str">
        <f t="array" ref="Z238">_xlfn.XLOOKUP("Screen Protector for Galaxy Phone",Stock1!B238,Stock1!I238,"")</f>
        <v/>
      </c>
      <c r="AA238" s="102" t="str">
        <f t="array" ref="AA238">_xlfn.XLOOKUP("Screen Protector for Galaxy Tab",Stock1!B238,Stock1!I238,"")</f>
        <v/>
      </c>
      <c r="AB238" s="102" t="str">
        <f t="shared" si="4"/>
        <v/>
      </c>
      <c r="AC238" s="102" t="str">
        <f t="array" ref="AC238">_xlfn.XLOOKUP(AB238,Stock1!I238,Stock1!F238,"")</f>
        <v/>
      </c>
      <c r="AD238" s="102" t="str">
        <f t="array" ref="AD238">_xlfn.XLOOKUP(AB238,Stock1!I238,Stock1!J238,"")</f>
        <v/>
      </c>
      <c r="AE238" s="102" t="str">
        <f t="array" ref="AE238">_xlfn.XLOOKUP("Storage",Stock1!B238,Stock1!I238,"")</f>
        <v/>
      </c>
      <c r="AF238" s="102" t="str">
        <f t="array" ref="AF238">_xlfn.XLOOKUP(AE238,Stock1!I238,Stock1!F238,"")</f>
        <v/>
      </c>
      <c r="AG238" s="102" t="str">
        <f t="array" ref="AG238">_xlfn.XLOOKUP(AE238,Stock1!I238,Stock1!J238,"")</f>
        <v/>
      </c>
    </row>
    <row r="239">
      <c r="K239" s="660" t="str">
        <f t="array" ref="K239">IFERROR(_xlfn.XLOOKUP(I239,Incentive!B:B,Incentive!E:E,""),"")</f>
        <v/>
      </c>
      <c r="L239" s="659" t="str">
        <f>IFERROR(VLOOKUP(I239,Stock1!F:J,5,False),"")</f>
        <v/>
      </c>
      <c r="M239" s="659" t="str">
        <f>IFERROR(VLOOKUP(I239,Stock2!F:J,5,False),"")</f>
        <v/>
      </c>
      <c r="V239" s="102" t="str">
        <f t="array" ref="V239">_xlfn.XLOOKUP("Charger",Stock1!B239,Stock1!I239,"")</f>
        <v/>
      </c>
      <c r="W239" s="102" t="str">
        <f t="array" ref="W239">_xlfn.XLOOKUP(V239,Stock1!I239,Stock1!F239,"")</f>
        <v/>
      </c>
      <c r="X239" s="102" t="str">
        <f t="array" ref="X239">_xlfn.XLOOKUP(V239,Stock1!I239,Stock1!J239,"")</f>
        <v/>
      </c>
      <c r="Y239" s="102" t="str">
        <f t="array" ref="Y239">_xlfn.XLOOKUP("Screen Protector for Android Phone and Other",Stock1!B239,Stock1!I239,"")</f>
        <v/>
      </c>
      <c r="Z239" s="102" t="str">
        <f t="array" ref="Z239">_xlfn.XLOOKUP("Screen Protector for Galaxy Phone",Stock1!B239,Stock1!I239,"")</f>
        <v/>
      </c>
      <c r="AA239" s="102" t="str">
        <f t="array" ref="AA239">_xlfn.XLOOKUP("Screen Protector for Galaxy Tab",Stock1!B239,Stock1!I239,"")</f>
        <v/>
      </c>
      <c r="AB239" s="102" t="str">
        <f t="shared" si="4"/>
        <v/>
      </c>
      <c r="AC239" s="102" t="str">
        <f t="array" ref="AC239">_xlfn.XLOOKUP(AB239,Stock1!I239,Stock1!F239,"")</f>
        <v/>
      </c>
      <c r="AD239" s="102" t="str">
        <f t="array" ref="AD239">_xlfn.XLOOKUP(AB239,Stock1!I239,Stock1!J239,"")</f>
        <v/>
      </c>
      <c r="AE239" s="102" t="str">
        <f t="array" ref="AE239">_xlfn.XLOOKUP("Storage",Stock1!B239,Stock1!I239,"")</f>
        <v/>
      </c>
      <c r="AF239" s="102" t="str">
        <f t="array" ref="AF239">_xlfn.XLOOKUP(AE239,Stock1!I239,Stock1!F239,"")</f>
        <v/>
      </c>
      <c r="AG239" s="102" t="str">
        <f t="array" ref="AG239">_xlfn.XLOOKUP(AE239,Stock1!I239,Stock1!J239,"")</f>
        <v/>
      </c>
    </row>
    <row r="240">
      <c r="K240" s="660" t="str">
        <f t="array" ref="K240">IFERROR(_xlfn.XLOOKUP(I240,Incentive!B:B,Incentive!E:E,""),"")</f>
        <v/>
      </c>
      <c r="L240" s="659" t="str">
        <f>IFERROR(VLOOKUP(I240,Stock1!F:J,5,False),"")</f>
        <v/>
      </c>
      <c r="M240" s="659" t="str">
        <f>IFERROR(VLOOKUP(I240,Stock2!F:J,5,False),"")</f>
        <v/>
      </c>
      <c r="V240" s="102" t="str">
        <f t="array" ref="V240">_xlfn.XLOOKUP("Charger",Stock1!B240,Stock1!I240,"")</f>
        <v/>
      </c>
      <c r="W240" s="102" t="str">
        <f t="array" ref="W240">_xlfn.XLOOKUP(V240,Stock1!I240,Stock1!F240,"")</f>
        <v/>
      </c>
      <c r="X240" s="102" t="str">
        <f t="array" ref="X240">_xlfn.XLOOKUP(V240,Stock1!I240,Stock1!J240,"")</f>
        <v/>
      </c>
      <c r="Y240" s="102" t="str">
        <f t="array" ref="Y240">_xlfn.XLOOKUP("Screen Protector for Android Phone and Other",Stock1!B240,Stock1!I240,"")</f>
        <v/>
      </c>
      <c r="Z240" s="102" t="str">
        <f t="array" ref="Z240">_xlfn.XLOOKUP("Screen Protector for Galaxy Phone",Stock1!B240,Stock1!I240,"")</f>
        <v/>
      </c>
      <c r="AA240" s="102" t="str">
        <f t="array" ref="AA240">_xlfn.XLOOKUP("Screen Protector for Galaxy Tab",Stock1!B240,Stock1!I240,"")</f>
        <v/>
      </c>
      <c r="AB240" s="102" t="str">
        <f t="shared" si="4"/>
        <v/>
      </c>
      <c r="AC240" s="102" t="str">
        <f t="array" ref="AC240">_xlfn.XLOOKUP(AB240,Stock1!I240,Stock1!F240,"")</f>
        <v/>
      </c>
      <c r="AD240" s="102" t="str">
        <f t="array" ref="AD240">_xlfn.XLOOKUP(AB240,Stock1!I240,Stock1!J240,"")</f>
        <v/>
      </c>
      <c r="AE240" s="102" t="str">
        <f t="array" ref="AE240">_xlfn.XLOOKUP("Storage",Stock1!B240,Stock1!I240,"")</f>
        <v/>
      </c>
      <c r="AF240" s="102" t="str">
        <f t="array" ref="AF240">_xlfn.XLOOKUP(AE240,Stock1!I240,Stock1!F240,"")</f>
        <v/>
      </c>
      <c r="AG240" s="102" t="str">
        <f t="array" ref="AG240">_xlfn.XLOOKUP(AE240,Stock1!I240,Stock1!J240,"")</f>
        <v/>
      </c>
    </row>
    <row r="241">
      <c r="K241" s="660" t="str">
        <f t="array" ref="K241">IFERROR(_xlfn.XLOOKUP(I241,Incentive!B:B,Incentive!E:E,""),"")</f>
        <v/>
      </c>
      <c r="L241" s="659" t="str">
        <f>IFERROR(VLOOKUP(I241,Stock1!F:J,5,False),"")</f>
        <v/>
      </c>
      <c r="M241" s="659" t="str">
        <f>IFERROR(VLOOKUP(I241,Stock2!F:J,5,False),"")</f>
        <v/>
      </c>
      <c r="V241" s="102" t="str">
        <f t="array" ref="V241">_xlfn.XLOOKUP("Charger",Stock1!B241,Stock1!I241,"")</f>
        <v/>
      </c>
      <c r="W241" s="102" t="str">
        <f t="array" ref="W241">_xlfn.XLOOKUP(V241,Stock1!I241,Stock1!F241,"")</f>
        <v/>
      </c>
      <c r="X241" s="102" t="str">
        <f t="array" ref="X241">_xlfn.XLOOKUP(V241,Stock1!I241,Stock1!J241,"")</f>
        <v/>
      </c>
      <c r="Y241" s="102" t="str">
        <f t="array" ref="Y241">_xlfn.XLOOKUP("Screen Protector for Android Phone and Other",Stock1!B241,Stock1!I241,"")</f>
        <v/>
      </c>
      <c r="Z241" s="102" t="str">
        <f t="array" ref="Z241">_xlfn.XLOOKUP("Screen Protector for Galaxy Phone",Stock1!B241,Stock1!I241,"")</f>
        <v/>
      </c>
      <c r="AA241" s="102" t="str">
        <f t="array" ref="AA241">_xlfn.XLOOKUP("Screen Protector for Galaxy Tab",Stock1!B241,Stock1!I241,"")</f>
        <v/>
      </c>
      <c r="AB241" s="102" t="str">
        <f t="shared" si="4"/>
        <v/>
      </c>
      <c r="AC241" s="102" t="str">
        <f t="array" ref="AC241">_xlfn.XLOOKUP(AB241,Stock1!I241,Stock1!F241,"")</f>
        <v/>
      </c>
      <c r="AD241" s="102" t="str">
        <f t="array" ref="AD241">_xlfn.XLOOKUP(AB241,Stock1!I241,Stock1!J241,"")</f>
        <v/>
      </c>
      <c r="AE241" s="102" t="str">
        <f t="array" ref="AE241">_xlfn.XLOOKUP("Storage",Stock1!B241,Stock1!I241,"")</f>
        <v/>
      </c>
      <c r="AF241" s="102" t="str">
        <f t="array" ref="AF241">_xlfn.XLOOKUP(AE241,Stock1!I241,Stock1!F241,"")</f>
        <v/>
      </c>
      <c r="AG241" s="102" t="str">
        <f t="array" ref="AG241">_xlfn.XLOOKUP(AE241,Stock1!I241,Stock1!J241,"")</f>
        <v/>
      </c>
    </row>
    <row r="242">
      <c r="K242" s="660" t="str">
        <f t="array" ref="K242">IFERROR(_xlfn.XLOOKUP(I242,Incentive!B:B,Incentive!E:E,""),"")</f>
        <v/>
      </c>
      <c r="L242" s="659" t="str">
        <f>IFERROR(VLOOKUP(I242,Stock1!F:J,5,False),"")</f>
        <v/>
      </c>
      <c r="M242" s="659" t="str">
        <f>IFERROR(VLOOKUP(I242,Stock2!F:J,5,False),"")</f>
        <v/>
      </c>
      <c r="V242" s="102" t="str">
        <f t="array" ref="V242">_xlfn.XLOOKUP("Charger",Stock1!B242,Stock1!I242,"")</f>
        <v/>
      </c>
      <c r="W242" s="102" t="str">
        <f t="array" ref="W242">_xlfn.XLOOKUP(V242,Stock1!I242,Stock1!F242,"")</f>
        <v/>
      </c>
      <c r="X242" s="102" t="str">
        <f t="array" ref="X242">_xlfn.XLOOKUP(V242,Stock1!I242,Stock1!J242,"")</f>
        <v/>
      </c>
      <c r="Y242" s="102" t="str">
        <f t="array" ref="Y242">_xlfn.XLOOKUP("Screen Protector for Android Phone and Other",Stock1!B242,Stock1!I242,"")</f>
        <v/>
      </c>
      <c r="Z242" s="102" t="str">
        <f t="array" ref="Z242">_xlfn.XLOOKUP("Screen Protector for Galaxy Phone",Stock1!B242,Stock1!I242,"")</f>
        <v/>
      </c>
      <c r="AA242" s="102" t="str">
        <f t="array" ref="AA242">_xlfn.XLOOKUP("Screen Protector for Galaxy Tab",Stock1!B242,Stock1!I242,"")</f>
        <v/>
      </c>
      <c r="AB242" s="102" t="str">
        <f t="shared" si="4"/>
        <v/>
      </c>
      <c r="AC242" s="102" t="str">
        <f t="array" ref="AC242">_xlfn.XLOOKUP(AB242,Stock1!I242,Stock1!F242,"")</f>
        <v/>
      </c>
      <c r="AD242" s="102" t="str">
        <f t="array" ref="AD242">_xlfn.XLOOKUP(AB242,Stock1!I242,Stock1!J242,"")</f>
        <v/>
      </c>
      <c r="AE242" s="102" t="str">
        <f t="array" ref="AE242">_xlfn.XLOOKUP("Storage",Stock1!B242,Stock1!I242,"")</f>
        <v/>
      </c>
      <c r="AF242" s="102" t="str">
        <f t="array" ref="AF242">_xlfn.XLOOKUP(AE242,Stock1!I242,Stock1!F242,"")</f>
        <v/>
      </c>
      <c r="AG242" s="102" t="str">
        <f t="array" ref="AG242">_xlfn.XLOOKUP(AE242,Stock1!I242,Stock1!J242,"")</f>
        <v/>
      </c>
    </row>
    <row r="243">
      <c r="K243" s="660" t="str">
        <f t="array" ref="K243">IFERROR(_xlfn.XLOOKUP(I243,Incentive!B:B,Incentive!E:E,""),"")</f>
        <v/>
      </c>
      <c r="L243" s="659" t="str">
        <f>IFERROR(VLOOKUP(I243,Stock1!F:J,5,False),"")</f>
        <v/>
      </c>
      <c r="M243" s="659" t="str">
        <f>IFERROR(VLOOKUP(I243,Stock2!F:J,5,False),"")</f>
        <v/>
      </c>
      <c r="V243" s="102" t="str">
        <f t="array" ref="V243">_xlfn.XLOOKUP("Charger",Stock1!B243,Stock1!I243,"")</f>
        <v/>
      </c>
      <c r="W243" s="102" t="str">
        <f t="array" ref="W243">_xlfn.XLOOKUP(V243,Stock1!I243,Stock1!F243,"")</f>
        <v/>
      </c>
      <c r="X243" s="102" t="str">
        <f t="array" ref="X243">_xlfn.XLOOKUP(V243,Stock1!I243,Stock1!J243,"")</f>
        <v/>
      </c>
      <c r="Y243" s="102" t="str">
        <f t="array" ref="Y243">_xlfn.XLOOKUP("Screen Protector for Android Phone and Other",Stock1!B243,Stock1!I243,"")</f>
        <v/>
      </c>
      <c r="Z243" s="102" t="str">
        <f t="array" ref="Z243">_xlfn.XLOOKUP("Screen Protector for Galaxy Phone",Stock1!B243,Stock1!I243,"")</f>
        <v/>
      </c>
      <c r="AA243" s="102" t="str">
        <f t="array" ref="AA243">_xlfn.XLOOKUP("Screen Protector for Galaxy Tab",Stock1!B243,Stock1!I243,"")</f>
        <v/>
      </c>
      <c r="AB243" s="102" t="str">
        <f t="shared" si="4"/>
        <v/>
      </c>
      <c r="AC243" s="102" t="str">
        <f t="array" ref="AC243">_xlfn.XLOOKUP(AB243,Stock1!I243,Stock1!F243,"")</f>
        <v/>
      </c>
      <c r="AD243" s="102" t="str">
        <f t="array" ref="AD243">_xlfn.XLOOKUP(AB243,Stock1!I243,Stock1!J243,"")</f>
        <v/>
      </c>
      <c r="AE243" s="102" t="str">
        <f t="array" ref="AE243">_xlfn.XLOOKUP("Storage",Stock1!B243,Stock1!I243,"")</f>
        <v/>
      </c>
      <c r="AF243" s="102" t="str">
        <f t="array" ref="AF243">_xlfn.XLOOKUP(AE243,Stock1!I243,Stock1!F243,"")</f>
        <v/>
      </c>
      <c r="AG243" s="102" t="str">
        <f t="array" ref="AG243">_xlfn.XLOOKUP(AE243,Stock1!I243,Stock1!J243,"")</f>
        <v/>
      </c>
    </row>
    <row r="244">
      <c r="K244" s="660" t="str">
        <f t="array" ref="K244">IFERROR(_xlfn.XLOOKUP(I244,Incentive!B:B,Incentive!E:E,""),"")</f>
        <v/>
      </c>
      <c r="L244" s="659" t="str">
        <f>IFERROR(VLOOKUP(I244,Stock1!F:J,5,False),"")</f>
        <v/>
      </c>
      <c r="M244" s="659" t="str">
        <f>IFERROR(VLOOKUP(I244,Stock2!F:J,5,False),"")</f>
        <v/>
      </c>
      <c r="V244" s="102" t="str">
        <f t="array" ref="V244">_xlfn.XLOOKUP("Charger",Stock1!B244,Stock1!I244,"")</f>
        <v/>
      </c>
      <c r="W244" s="102" t="str">
        <f t="array" ref="W244">_xlfn.XLOOKUP(V244,Stock1!I244,Stock1!F244,"")</f>
        <v/>
      </c>
      <c r="X244" s="102" t="str">
        <f t="array" ref="X244">_xlfn.XLOOKUP(V244,Stock1!I244,Stock1!J244,"")</f>
        <v/>
      </c>
      <c r="Y244" s="102" t="str">
        <f t="array" ref="Y244">_xlfn.XLOOKUP("Screen Protector for Android Phone and Other",Stock1!B244,Stock1!I244,"")</f>
        <v/>
      </c>
      <c r="Z244" s="102" t="str">
        <f t="array" ref="Z244">_xlfn.XLOOKUP("Screen Protector for Galaxy Phone",Stock1!B244,Stock1!I244,"")</f>
        <v/>
      </c>
      <c r="AA244" s="102" t="str">
        <f t="array" ref="AA244">_xlfn.XLOOKUP("Screen Protector for Galaxy Tab",Stock1!B244,Stock1!I244,"")</f>
        <v/>
      </c>
      <c r="AB244" s="102" t="str">
        <f t="shared" si="4"/>
        <v/>
      </c>
      <c r="AC244" s="102" t="str">
        <f t="array" ref="AC244">_xlfn.XLOOKUP(AB244,Stock1!I244,Stock1!F244,"")</f>
        <v/>
      </c>
      <c r="AD244" s="102" t="str">
        <f t="array" ref="AD244">_xlfn.XLOOKUP(AB244,Stock1!I244,Stock1!J244,"")</f>
        <v/>
      </c>
      <c r="AE244" s="102" t="str">
        <f t="array" ref="AE244">_xlfn.XLOOKUP("Storage",Stock1!B244,Stock1!I244,"")</f>
        <v/>
      </c>
      <c r="AF244" s="102" t="str">
        <f t="array" ref="AF244">_xlfn.XLOOKUP(AE244,Stock1!I244,Stock1!F244,"")</f>
        <v/>
      </c>
      <c r="AG244" s="102" t="str">
        <f t="array" ref="AG244">_xlfn.XLOOKUP(AE244,Stock1!I244,Stock1!J244,"")</f>
        <v/>
      </c>
    </row>
    <row r="245">
      <c r="K245" s="660" t="str">
        <f t="array" ref="K245">IFERROR(_xlfn.XLOOKUP(I245,Incentive!B:B,Incentive!E:E,""),"")</f>
        <v/>
      </c>
      <c r="L245" s="659" t="str">
        <f>IFERROR(VLOOKUP(I245,Stock1!F:J,5,False),"")</f>
        <v/>
      </c>
      <c r="M245" s="659" t="str">
        <f>IFERROR(VLOOKUP(I245,Stock2!F:J,5,False),"")</f>
        <v/>
      </c>
      <c r="V245" s="102" t="str">
        <f t="array" ref="V245">_xlfn.XLOOKUP("Charger",Stock1!B245,Stock1!I245,"")</f>
        <v/>
      </c>
      <c r="W245" s="102" t="str">
        <f t="array" ref="W245">_xlfn.XLOOKUP(V245,Stock1!I245,Stock1!F245,"")</f>
        <v/>
      </c>
      <c r="X245" s="102" t="str">
        <f t="array" ref="X245">_xlfn.XLOOKUP(V245,Stock1!I245,Stock1!J245,"")</f>
        <v/>
      </c>
      <c r="Y245" s="102" t="str">
        <f t="array" ref="Y245">_xlfn.XLOOKUP("Screen Protector for Android Phone and Other",Stock1!B245,Stock1!I245,"")</f>
        <v/>
      </c>
      <c r="Z245" s="102" t="str">
        <f t="array" ref="Z245">_xlfn.XLOOKUP("Screen Protector for Galaxy Phone",Stock1!B245,Stock1!I245,"")</f>
        <v/>
      </c>
      <c r="AA245" s="102" t="str">
        <f t="array" ref="AA245">_xlfn.XLOOKUP("Screen Protector for Galaxy Tab",Stock1!B245,Stock1!I245,"")</f>
        <v/>
      </c>
      <c r="AB245" s="102" t="str">
        <f t="shared" si="4"/>
        <v/>
      </c>
      <c r="AC245" s="102" t="str">
        <f t="array" ref="AC245">_xlfn.XLOOKUP(AB245,Stock1!I245,Stock1!F245,"")</f>
        <v/>
      </c>
      <c r="AD245" s="102" t="str">
        <f t="array" ref="AD245">_xlfn.XLOOKUP(AB245,Stock1!I245,Stock1!J245,"")</f>
        <v/>
      </c>
      <c r="AE245" s="102" t="str">
        <f t="array" ref="AE245">_xlfn.XLOOKUP("Storage",Stock1!B245,Stock1!I245,"")</f>
        <v/>
      </c>
      <c r="AF245" s="102" t="str">
        <f t="array" ref="AF245">_xlfn.XLOOKUP(AE245,Stock1!I245,Stock1!F245,"")</f>
        <v/>
      </c>
      <c r="AG245" s="102" t="str">
        <f t="array" ref="AG245">_xlfn.XLOOKUP(AE245,Stock1!I245,Stock1!J245,"")</f>
        <v/>
      </c>
    </row>
    <row r="246">
      <c r="K246" s="660" t="str">
        <f t="array" ref="K246">IFERROR(_xlfn.XLOOKUP(I246,Incentive!B:B,Incentive!E:E,""),"")</f>
        <v/>
      </c>
      <c r="L246" s="659" t="str">
        <f>IFERROR(VLOOKUP(I246,Stock1!F:J,5,False),"")</f>
        <v/>
      </c>
      <c r="M246" s="659" t="str">
        <f>IFERROR(VLOOKUP(I246,Stock2!F:J,5,False),"")</f>
        <v/>
      </c>
      <c r="V246" s="102" t="str">
        <f t="array" ref="V246">_xlfn.XLOOKUP("Charger",Stock1!B246,Stock1!I246,"")</f>
        <v/>
      </c>
      <c r="W246" s="102" t="str">
        <f t="array" ref="W246">_xlfn.XLOOKUP(V246,Stock1!I246,Stock1!F246,"")</f>
        <v/>
      </c>
      <c r="X246" s="102" t="str">
        <f t="array" ref="X246">_xlfn.XLOOKUP(V246,Stock1!I246,Stock1!J246,"")</f>
        <v/>
      </c>
      <c r="Y246" s="102" t="str">
        <f t="array" ref="Y246">_xlfn.XLOOKUP("Screen Protector for Android Phone and Other",Stock1!B246,Stock1!I246,"")</f>
        <v/>
      </c>
      <c r="Z246" s="102" t="str">
        <f t="array" ref="Z246">_xlfn.XLOOKUP("Screen Protector for Galaxy Phone",Stock1!B246,Stock1!I246,"")</f>
        <v/>
      </c>
      <c r="AA246" s="102" t="str">
        <f t="array" ref="AA246">_xlfn.XLOOKUP("Screen Protector for Galaxy Tab",Stock1!B246,Stock1!I246,"")</f>
        <v/>
      </c>
      <c r="AB246" s="102" t="str">
        <f t="shared" si="4"/>
        <v/>
      </c>
      <c r="AC246" s="102" t="str">
        <f t="array" ref="AC246">_xlfn.XLOOKUP(AB246,Stock1!I246,Stock1!F246,"")</f>
        <v/>
      </c>
      <c r="AD246" s="102" t="str">
        <f t="array" ref="AD246">_xlfn.XLOOKUP(AB246,Stock1!I246,Stock1!J246,"")</f>
        <v/>
      </c>
      <c r="AE246" s="102" t="str">
        <f t="array" ref="AE246">_xlfn.XLOOKUP("Storage",Stock1!B246,Stock1!I246,"")</f>
        <v/>
      </c>
      <c r="AF246" s="102" t="str">
        <f t="array" ref="AF246">_xlfn.XLOOKUP(AE246,Stock1!I246,Stock1!F246,"")</f>
        <v/>
      </c>
      <c r="AG246" s="102" t="str">
        <f t="array" ref="AG246">_xlfn.XLOOKUP(AE246,Stock1!I246,Stock1!J246,"")</f>
        <v/>
      </c>
    </row>
    <row r="247">
      <c r="K247" s="660" t="str">
        <f t="array" ref="K247">IFERROR(_xlfn.XLOOKUP(I247,Incentive!B:B,Incentive!E:E,""),"")</f>
        <v/>
      </c>
      <c r="L247" s="659" t="str">
        <f>IFERROR(VLOOKUP(I247,Stock1!F:J,5,False),"")</f>
        <v/>
      </c>
      <c r="M247" s="659" t="str">
        <f>IFERROR(VLOOKUP(I247,Stock2!F:J,5,False),"")</f>
        <v/>
      </c>
      <c r="V247" s="102" t="str">
        <f t="array" ref="V247">_xlfn.XLOOKUP("Charger",Stock1!B247,Stock1!I247,"")</f>
        <v/>
      </c>
      <c r="W247" s="102" t="str">
        <f t="array" ref="W247">_xlfn.XLOOKUP(V247,Stock1!I247,Stock1!F247,"")</f>
        <v/>
      </c>
      <c r="X247" s="102" t="str">
        <f t="array" ref="X247">_xlfn.XLOOKUP(V247,Stock1!I247,Stock1!J247,"")</f>
        <v/>
      </c>
      <c r="Y247" s="102" t="str">
        <f t="array" ref="Y247">_xlfn.XLOOKUP("Screen Protector for Android Phone and Other",Stock1!B247,Stock1!I247,"")</f>
        <v/>
      </c>
      <c r="Z247" s="102" t="str">
        <f t="array" ref="Z247">_xlfn.XLOOKUP("Screen Protector for Galaxy Phone",Stock1!B247,Stock1!I247,"")</f>
        <v/>
      </c>
      <c r="AA247" s="102" t="str">
        <f t="array" ref="AA247">_xlfn.XLOOKUP("Screen Protector for Galaxy Tab",Stock1!B247,Stock1!I247,"")</f>
        <v/>
      </c>
      <c r="AB247" s="102" t="str">
        <f t="shared" si="4"/>
        <v/>
      </c>
      <c r="AC247" s="102" t="str">
        <f t="array" ref="AC247">_xlfn.XLOOKUP(AB247,Stock1!I247,Stock1!F247,"")</f>
        <v/>
      </c>
      <c r="AD247" s="102" t="str">
        <f t="array" ref="AD247">_xlfn.XLOOKUP(AB247,Stock1!I247,Stock1!J247,"")</f>
        <v/>
      </c>
      <c r="AE247" s="102" t="str">
        <f t="array" ref="AE247">_xlfn.XLOOKUP("Storage",Stock1!B247,Stock1!I247,"")</f>
        <v/>
      </c>
      <c r="AF247" s="102" t="str">
        <f t="array" ref="AF247">_xlfn.XLOOKUP(AE247,Stock1!I247,Stock1!F247,"")</f>
        <v/>
      </c>
      <c r="AG247" s="102" t="str">
        <f t="array" ref="AG247">_xlfn.XLOOKUP(AE247,Stock1!I247,Stock1!J247,"")</f>
        <v/>
      </c>
    </row>
    <row r="248">
      <c r="K248" s="660" t="str">
        <f t="array" ref="K248">IFERROR(_xlfn.XLOOKUP(I248,Incentive!B:B,Incentive!E:E,""),"")</f>
        <v/>
      </c>
      <c r="L248" s="659" t="str">
        <f>IFERROR(VLOOKUP(I248,Stock1!F:J,5,False),"")</f>
        <v/>
      </c>
      <c r="M248" s="659" t="str">
        <f>IFERROR(VLOOKUP(I248,Stock2!F:J,5,False),"")</f>
        <v/>
      </c>
      <c r="V248" s="102" t="str">
        <f t="array" ref="V248">_xlfn.XLOOKUP("Charger",Stock1!B248,Stock1!I248,"")</f>
        <v/>
      </c>
      <c r="W248" s="102" t="str">
        <f t="array" ref="W248">_xlfn.XLOOKUP(V248,Stock1!I248,Stock1!F248,"")</f>
        <v/>
      </c>
      <c r="X248" s="102" t="str">
        <f t="array" ref="X248">_xlfn.XLOOKUP(V248,Stock1!I248,Stock1!J248,"")</f>
        <v/>
      </c>
      <c r="Y248" s="102" t="str">
        <f t="array" ref="Y248">_xlfn.XLOOKUP("Screen Protector for Android Phone and Other",Stock1!B248,Stock1!I248,"")</f>
        <v/>
      </c>
      <c r="Z248" s="102" t="str">
        <f t="array" ref="Z248">_xlfn.XLOOKUP("Screen Protector for Galaxy Phone",Stock1!B248,Stock1!I248,"")</f>
        <v/>
      </c>
      <c r="AA248" s="102" t="str">
        <f t="array" ref="AA248">_xlfn.XLOOKUP("Screen Protector for Galaxy Tab",Stock1!B248,Stock1!I248,"")</f>
        <v/>
      </c>
      <c r="AB248" s="102" t="str">
        <f t="shared" si="4"/>
        <v/>
      </c>
      <c r="AC248" s="102" t="str">
        <f t="array" ref="AC248">_xlfn.XLOOKUP(AB248,Stock1!I248,Stock1!F248,"")</f>
        <v/>
      </c>
      <c r="AD248" s="102" t="str">
        <f t="array" ref="AD248">_xlfn.XLOOKUP(AB248,Stock1!I248,Stock1!J248,"")</f>
        <v/>
      </c>
      <c r="AE248" s="102" t="str">
        <f t="array" ref="AE248">_xlfn.XLOOKUP("Storage",Stock1!B248,Stock1!I248,"")</f>
        <v/>
      </c>
      <c r="AF248" s="102" t="str">
        <f t="array" ref="AF248">_xlfn.XLOOKUP(AE248,Stock1!I248,Stock1!F248,"")</f>
        <v/>
      </c>
      <c r="AG248" s="102" t="str">
        <f t="array" ref="AG248">_xlfn.XLOOKUP(AE248,Stock1!I248,Stock1!J248,"")</f>
        <v/>
      </c>
    </row>
    <row r="249">
      <c r="K249" s="660" t="str">
        <f t="array" ref="K249">IFERROR(_xlfn.XLOOKUP(I249,Incentive!B:B,Incentive!E:E,""),"")</f>
        <v/>
      </c>
      <c r="L249" s="659" t="str">
        <f>IFERROR(VLOOKUP(I249,Stock1!F:J,5,False),"")</f>
        <v/>
      </c>
      <c r="M249" s="659" t="str">
        <f>IFERROR(VLOOKUP(I249,Stock2!F:J,5,False),"")</f>
        <v/>
      </c>
      <c r="V249" s="102" t="str">
        <f t="array" ref="V249">_xlfn.XLOOKUP("Charger",Stock1!B249,Stock1!I249,"")</f>
        <v/>
      </c>
      <c r="W249" s="102" t="str">
        <f t="array" ref="W249">_xlfn.XLOOKUP(V249,Stock1!I249,Stock1!F249,"")</f>
        <v/>
      </c>
      <c r="X249" s="102" t="str">
        <f t="array" ref="X249">_xlfn.XLOOKUP(V249,Stock1!I249,Stock1!J249,"")</f>
        <v/>
      </c>
      <c r="Y249" s="102" t="str">
        <f t="array" ref="Y249">_xlfn.XLOOKUP("Screen Protector for Android Phone and Other",Stock1!B249,Stock1!I249,"")</f>
        <v/>
      </c>
      <c r="Z249" s="102" t="str">
        <f t="array" ref="Z249">_xlfn.XLOOKUP("Screen Protector for Galaxy Phone",Stock1!B249,Stock1!I249,"")</f>
        <v/>
      </c>
      <c r="AA249" s="102" t="str">
        <f t="array" ref="AA249">_xlfn.XLOOKUP("Screen Protector for Galaxy Tab",Stock1!B249,Stock1!I249,"")</f>
        <v/>
      </c>
      <c r="AB249" s="102" t="str">
        <f t="shared" si="4"/>
        <v/>
      </c>
      <c r="AC249" s="102" t="str">
        <f t="array" ref="AC249">_xlfn.XLOOKUP(AB249,Stock1!I249,Stock1!F249,"")</f>
        <v/>
      </c>
      <c r="AD249" s="102" t="str">
        <f t="array" ref="AD249">_xlfn.XLOOKUP(AB249,Stock1!I249,Stock1!J249,"")</f>
        <v/>
      </c>
      <c r="AE249" s="102" t="str">
        <f t="array" ref="AE249">_xlfn.XLOOKUP("Storage",Stock1!B249,Stock1!I249,"")</f>
        <v/>
      </c>
      <c r="AF249" s="102" t="str">
        <f t="array" ref="AF249">_xlfn.XLOOKUP(AE249,Stock1!I249,Stock1!F249,"")</f>
        <v/>
      </c>
      <c r="AG249" s="102" t="str">
        <f t="array" ref="AG249">_xlfn.XLOOKUP(AE249,Stock1!I249,Stock1!J249,"")</f>
        <v/>
      </c>
    </row>
    <row r="250">
      <c r="K250" s="660" t="str">
        <f t="array" ref="K250">IFERROR(_xlfn.XLOOKUP(I250,Incentive!B:B,Incentive!E:E,""),"")</f>
        <v/>
      </c>
      <c r="L250" s="659" t="str">
        <f>IFERROR(VLOOKUP(I250,Stock1!F:J,5,False),"")</f>
        <v/>
      </c>
      <c r="M250" s="659" t="str">
        <f>IFERROR(VLOOKUP(I250,Stock2!F:J,5,False),"")</f>
        <v/>
      </c>
      <c r="V250" s="102" t="str">
        <f t="array" ref="V250">_xlfn.XLOOKUP("Charger",Stock1!B250,Stock1!I250,"")</f>
        <v/>
      </c>
      <c r="W250" s="102" t="str">
        <f t="array" ref="W250">_xlfn.XLOOKUP(V250,Stock1!I250,Stock1!F250,"")</f>
        <v/>
      </c>
      <c r="X250" s="102" t="str">
        <f t="array" ref="X250">_xlfn.XLOOKUP(V250,Stock1!I250,Stock1!J250,"")</f>
        <v/>
      </c>
      <c r="Y250" s="102" t="str">
        <f t="array" ref="Y250">_xlfn.XLOOKUP("Screen Protector for Android Phone and Other",Stock1!B250,Stock1!I250,"")</f>
        <v/>
      </c>
      <c r="Z250" s="102" t="str">
        <f t="array" ref="Z250">_xlfn.XLOOKUP("Screen Protector for Galaxy Phone",Stock1!B250,Stock1!I250,"")</f>
        <v/>
      </c>
      <c r="AA250" s="102" t="str">
        <f t="array" ref="AA250">_xlfn.XLOOKUP("Screen Protector for Galaxy Tab",Stock1!B250,Stock1!I250,"")</f>
        <v/>
      </c>
      <c r="AB250" s="102" t="str">
        <f t="shared" si="4"/>
        <v/>
      </c>
      <c r="AC250" s="102" t="str">
        <f t="array" ref="AC250">_xlfn.XLOOKUP(AB250,Stock1!I250,Stock1!F250,"")</f>
        <v/>
      </c>
      <c r="AD250" s="102" t="str">
        <f t="array" ref="AD250">_xlfn.XLOOKUP(AB250,Stock1!I250,Stock1!J250,"")</f>
        <v/>
      </c>
      <c r="AE250" s="102" t="str">
        <f t="array" ref="AE250">_xlfn.XLOOKUP("Storage",Stock1!B250,Stock1!I250,"")</f>
        <v/>
      </c>
      <c r="AF250" s="102" t="str">
        <f t="array" ref="AF250">_xlfn.XLOOKUP(AE250,Stock1!I250,Stock1!F250,"")</f>
        <v/>
      </c>
      <c r="AG250" s="102" t="str">
        <f t="array" ref="AG250">_xlfn.XLOOKUP(AE250,Stock1!I250,Stock1!J250,"")</f>
        <v/>
      </c>
    </row>
    <row r="251">
      <c r="K251" s="660" t="str">
        <f t="array" ref="K251">IFERROR(_xlfn.XLOOKUP(I251,Incentive!B:B,Incentive!E:E,""),"")</f>
        <v/>
      </c>
      <c r="L251" s="659" t="str">
        <f>IFERROR(VLOOKUP(I251,Stock1!F:J,5,False),"")</f>
        <v/>
      </c>
      <c r="M251" s="659" t="str">
        <f>IFERROR(VLOOKUP(I251,Stock2!F:J,5,False),"")</f>
        <v/>
      </c>
      <c r="V251" s="102" t="str">
        <f t="array" ref="V251">_xlfn.XLOOKUP("Charger",Stock1!B251,Stock1!I251,"")</f>
        <v/>
      </c>
      <c r="W251" s="102" t="str">
        <f t="array" ref="W251">_xlfn.XLOOKUP(V251,Stock1!I251,Stock1!F251,"")</f>
        <v/>
      </c>
      <c r="X251" s="102" t="str">
        <f t="array" ref="X251">_xlfn.XLOOKUP(V251,Stock1!I251,Stock1!J251,"")</f>
        <v/>
      </c>
      <c r="Y251" s="102" t="str">
        <f t="array" ref="Y251">_xlfn.XLOOKUP("Screen Protector for Android Phone and Other",Stock1!B251,Stock1!I251,"")</f>
        <v/>
      </c>
      <c r="Z251" s="102" t="str">
        <f t="array" ref="Z251">_xlfn.XLOOKUP("Screen Protector for Galaxy Phone",Stock1!B251,Stock1!I251,"")</f>
        <v/>
      </c>
      <c r="AA251" s="102" t="str">
        <f t="array" ref="AA251">_xlfn.XLOOKUP("Screen Protector for Galaxy Tab",Stock1!B251,Stock1!I251,"")</f>
        <v/>
      </c>
      <c r="AB251" s="102" t="str">
        <f t="shared" si="4"/>
        <v/>
      </c>
      <c r="AC251" s="102" t="str">
        <f t="array" ref="AC251">_xlfn.XLOOKUP(AB251,Stock1!I251,Stock1!F251,"")</f>
        <v/>
      </c>
      <c r="AD251" s="102" t="str">
        <f t="array" ref="AD251">_xlfn.XLOOKUP(AB251,Stock1!I251,Stock1!J251,"")</f>
        <v/>
      </c>
      <c r="AE251" s="102" t="str">
        <f t="array" ref="AE251">_xlfn.XLOOKUP("Storage",Stock1!B251,Stock1!I251,"")</f>
        <v/>
      </c>
      <c r="AF251" s="102" t="str">
        <f t="array" ref="AF251">_xlfn.XLOOKUP(AE251,Stock1!I251,Stock1!F251,"")</f>
        <v/>
      </c>
      <c r="AG251" s="102" t="str">
        <f t="array" ref="AG251">_xlfn.XLOOKUP(AE251,Stock1!I251,Stock1!J251,"")</f>
        <v/>
      </c>
    </row>
    <row r="252">
      <c r="K252" s="660" t="str">
        <f t="array" ref="K252">IFERROR(_xlfn.XLOOKUP(I252,Incentive!B:B,Incentive!E:E,""),"")</f>
        <v/>
      </c>
      <c r="L252" s="659" t="str">
        <f>IFERROR(VLOOKUP(I252,Stock1!F:J,5,False),"")</f>
        <v/>
      </c>
      <c r="M252" s="659" t="str">
        <f>IFERROR(VLOOKUP(I252,Stock2!F:J,5,False),"")</f>
        <v/>
      </c>
      <c r="V252" s="102" t="str">
        <f t="array" ref="V252">_xlfn.XLOOKUP("Charger",Stock1!B252,Stock1!I252,"")</f>
        <v/>
      </c>
      <c r="W252" s="102" t="str">
        <f t="array" ref="W252">_xlfn.XLOOKUP(V252,Stock1!I252,Stock1!F252,"")</f>
        <v/>
      </c>
      <c r="X252" s="102" t="str">
        <f t="array" ref="X252">_xlfn.XLOOKUP(V252,Stock1!I252,Stock1!J252,"")</f>
        <v/>
      </c>
      <c r="Y252" s="102" t="str">
        <f t="array" ref="Y252">_xlfn.XLOOKUP("Screen Protector for Android Phone and Other",Stock1!B252,Stock1!I252,"")</f>
        <v/>
      </c>
      <c r="Z252" s="102" t="str">
        <f t="array" ref="Z252">_xlfn.XLOOKUP("Screen Protector for Galaxy Phone",Stock1!B252,Stock1!I252,"")</f>
        <v/>
      </c>
      <c r="AA252" s="102" t="str">
        <f t="array" ref="AA252">_xlfn.XLOOKUP("Screen Protector for Galaxy Tab",Stock1!B252,Stock1!I252,"")</f>
        <v/>
      </c>
      <c r="AB252" s="102" t="str">
        <f t="shared" si="4"/>
        <v/>
      </c>
      <c r="AC252" s="102" t="str">
        <f t="array" ref="AC252">_xlfn.XLOOKUP(AB252,Stock1!I252,Stock1!F252,"")</f>
        <v/>
      </c>
      <c r="AD252" s="102" t="str">
        <f t="array" ref="AD252">_xlfn.XLOOKUP(AB252,Stock1!I252,Stock1!J252,"")</f>
        <v/>
      </c>
      <c r="AE252" s="102" t="str">
        <f t="array" ref="AE252">_xlfn.XLOOKUP("Storage",Stock1!B252,Stock1!I252,"")</f>
        <v/>
      </c>
      <c r="AF252" s="102" t="str">
        <f t="array" ref="AF252">_xlfn.XLOOKUP(AE252,Stock1!I252,Stock1!F252,"")</f>
        <v/>
      </c>
      <c r="AG252" s="102" t="str">
        <f t="array" ref="AG252">_xlfn.XLOOKUP(AE252,Stock1!I252,Stock1!J252,"")</f>
        <v/>
      </c>
    </row>
    <row r="253">
      <c r="K253" s="660" t="str">
        <f t="array" ref="K253">IFERROR(_xlfn.XLOOKUP(I253,Incentive!B:B,Incentive!E:E,""),"")</f>
        <v/>
      </c>
      <c r="L253" s="659" t="str">
        <f>IFERROR(VLOOKUP(I253,Stock1!F:J,5,False),"")</f>
        <v/>
      </c>
      <c r="M253" s="659" t="str">
        <f>IFERROR(VLOOKUP(I253,Stock2!F:J,5,False),"")</f>
        <v/>
      </c>
      <c r="V253" s="102" t="str">
        <f t="array" ref="V253">_xlfn.XLOOKUP("Charger",Stock1!B253,Stock1!I253,"")</f>
        <v/>
      </c>
      <c r="W253" s="102" t="str">
        <f t="array" ref="W253">_xlfn.XLOOKUP(V253,Stock1!I253,Stock1!F253,"")</f>
        <v/>
      </c>
      <c r="X253" s="102" t="str">
        <f t="array" ref="X253">_xlfn.XLOOKUP(V253,Stock1!I253,Stock1!J253,"")</f>
        <v/>
      </c>
      <c r="Y253" s="102" t="str">
        <f t="array" ref="Y253">_xlfn.XLOOKUP("Screen Protector for Android Phone and Other",Stock1!B253,Stock1!I253,"")</f>
        <v/>
      </c>
      <c r="Z253" s="102" t="str">
        <f t="array" ref="Z253">_xlfn.XLOOKUP("Screen Protector for Galaxy Phone",Stock1!B253,Stock1!I253,"")</f>
        <v/>
      </c>
      <c r="AA253" s="102" t="str">
        <f t="array" ref="AA253">_xlfn.XLOOKUP("Screen Protector for Galaxy Tab",Stock1!B253,Stock1!I253,"")</f>
        <v/>
      </c>
      <c r="AB253" s="102" t="str">
        <f t="shared" si="4"/>
        <v/>
      </c>
      <c r="AC253" s="102" t="str">
        <f t="array" ref="AC253">_xlfn.XLOOKUP(AB253,Stock1!I253,Stock1!F253,"")</f>
        <v/>
      </c>
      <c r="AD253" s="102" t="str">
        <f t="array" ref="AD253">_xlfn.XLOOKUP(AB253,Stock1!I253,Stock1!J253,"")</f>
        <v/>
      </c>
      <c r="AE253" s="102" t="str">
        <f t="array" ref="AE253">_xlfn.XLOOKUP("Storage",Stock1!B253,Stock1!I253,"")</f>
        <v/>
      </c>
      <c r="AF253" s="102" t="str">
        <f t="array" ref="AF253">_xlfn.XLOOKUP(AE253,Stock1!I253,Stock1!F253,"")</f>
        <v/>
      </c>
      <c r="AG253" s="102" t="str">
        <f t="array" ref="AG253">_xlfn.XLOOKUP(AE253,Stock1!I253,Stock1!J253,"")</f>
        <v/>
      </c>
    </row>
    <row r="254">
      <c r="K254" s="660" t="str">
        <f t="array" ref="K254">IFERROR(_xlfn.XLOOKUP(I254,Incentive!B:B,Incentive!E:E,""),"")</f>
        <v/>
      </c>
      <c r="L254" s="659" t="str">
        <f>IFERROR(VLOOKUP(I254,Stock1!F:J,5,False),"")</f>
        <v/>
      </c>
      <c r="M254" s="659" t="str">
        <f>IFERROR(VLOOKUP(I254,Stock2!F:J,5,False),"")</f>
        <v/>
      </c>
      <c r="V254" s="102" t="str">
        <f t="array" ref="V254">_xlfn.XLOOKUP("Charger",Stock1!B254,Stock1!I254,"")</f>
        <v/>
      </c>
      <c r="W254" s="102" t="str">
        <f t="array" ref="W254">_xlfn.XLOOKUP(V254,Stock1!I254,Stock1!F254,"")</f>
        <v/>
      </c>
      <c r="X254" s="102" t="str">
        <f t="array" ref="X254">_xlfn.XLOOKUP(V254,Stock1!I254,Stock1!J254,"")</f>
        <v/>
      </c>
      <c r="Y254" s="102" t="str">
        <f t="array" ref="Y254">_xlfn.XLOOKUP("Screen Protector for Android Phone and Other",Stock1!B254,Stock1!I254,"")</f>
        <v/>
      </c>
      <c r="Z254" s="102" t="str">
        <f t="array" ref="Z254">_xlfn.XLOOKUP("Screen Protector for Galaxy Phone",Stock1!B254,Stock1!I254,"")</f>
        <v/>
      </c>
      <c r="AA254" s="102" t="str">
        <f t="array" ref="AA254">_xlfn.XLOOKUP("Screen Protector for Galaxy Tab",Stock1!B254,Stock1!I254,"")</f>
        <v/>
      </c>
      <c r="AB254" s="102" t="str">
        <f t="shared" si="4"/>
        <v/>
      </c>
      <c r="AC254" s="102" t="str">
        <f t="array" ref="AC254">_xlfn.XLOOKUP(AB254,Stock1!I254,Stock1!F254,"")</f>
        <v/>
      </c>
      <c r="AD254" s="102" t="str">
        <f t="array" ref="AD254">_xlfn.XLOOKUP(AB254,Stock1!I254,Stock1!J254,"")</f>
        <v/>
      </c>
      <c r="AE254" s="102" t="str">
        <f t="array" ref="AE254">_xlfn.XLOOKUP("Storage",Stock1!B254,Stock1!I254,"")</f>
        <v/>
      </c>
      <c r="AF254" s="102" t="str">
        <f t="array" ref="AF254">_xlfn.XLOOKUP(AE254,Stock1!I254,Stock1!F254,"")</f>
        <v/>
      </c>
      <c r="AG254" s="102" t="str">
        <f t="array" ref="AG254">_xlfn.XLOOKUP(AE254,Stock1!I254,Stock1!J254,"")</f>
        <v/>
      </c>
    </row>
    <row r="255">
      <c r="K255" s="660" t="str">
        <f t="array" ref="K255">IFERROR(_xlfn.XLOOKUP(I255,Incentive!B:B,Incentive!E:E,""),"")</f>
        <v/>
      </c>
      <c r="L255" s="659" t="str">
        <f>IFERROR(VLOOKUP(I255,Stock1!F:J,5,False),"")</f>
        <v/>
      </c>
      <c r="M255" s="659" t="str">
        <f>IFERROR(VLOOKUP(I255,Stock2!F:J,5,False),"")</f>
        <v/>
      </c>
      <c r="V255" s="102" t="str">
        <f t="array" ref="V255">_xlfn.XLOOKUP("Charger",Stock1!B255,Stock1!I255,"")</f>
        <v/>
      </c>
      <c r="W255" s="102" t="str">
        <f t="array" ref="W255">_xlfn.XLOOKUP(V255,Stock1!I255,Stock1!F255,"")</f>
        <v/>
      </c>
      <c r="X255" s="102" t="str">
        <f t="array" ref="X255">_xlfn.XLOOKUP(V255,Stock1!I255,Stock1!J255,"")</f>
        <v/>
      </c>
      <c r="Y255" s="102" t="str">
        <f t="array" ref="Y255">_xlfn.XLOOKUP("Screen Protector for Android Phone and Other",Stock1!B255,Stock1!I255,"")</f>
        <v/>
      </c>
      <c r="Z255" s="102" t="str">
        <f t="array" ref="Z255">_xlfn.XLOOKUP("Screen Protector for Galaxy Phone",Stock1!B255,Stock1!I255,"")</f>
        <v/>
      </c>
      <c r="AA255" s="102" t="str">
        <f t="array" ref="AA255">_xlfn.XLOOKUP("Screen Protector for Galaxy Tab",Stock1!B255,Stock1!I255,"")</f>
        <v/>
      </c>
      <c r="AB255" s="102" t="str">
        <f t="shared" si="4"/>
        <v/>
      </c>
      <c r="AC255" s="102" t="str">
        <f t="array" ref="AC255">_xlfn.XLOOKUP(AB255,Stock1!I255,Stock1!F255,"")</f>
        <v/>
      </c>
      <c r="AD255" s="102" t="str">
        <f t="array" ref="AD255">_xlfn.XLOOKUP(AB255,Stock1!I255,Stock1!J255,"")</f>
        <v/>
      </c>
      <c r="AE255" s="102" t="str">
        <f t="array" ref="AE255">_xlfn.XLOOKUP("Storage",Stock1!B255,Stock1!I255,"")</f>
        <v/>
      </c>
      <c r="AF255" s="102" t="str">
        <f t="array" ref="AF255">_xlfn.XLOOKUP(AE255,Stock1!I255,Stock1!F255,"")</f>
        <v/>
      </c>
      <c r="AG255" s="102" t="str">
        <f t="array" ref="AG255">_xlfn.XLOOKUP(AE255,Stock1!I255,Stock1!J255,"")</f>
        <v/>
      </c>
    </row>
    <row r="256">
      <c r="K256" s="660" t="str">
        <f t="array" ref="K256">IFERROR(_xlfn.XLOOKUP(I256,Incentive!B:B,Incentive!E:E,""),"")</f>
        <v/>
      </c>
      <c r="L256" s="659" t="str">
        <f>IFERROR(VLOOKUP(I256,Stock1!F:J,5,False),"")</f>
        <v/>
      </c>
      <c r="M256" s="659" t="str">
        <f>IFERROR(VLOOKUP(I256,Stock2!F:J,5,False),"")</f>
        <v/>
      </c>
      <c r="V256" s="102" t="str">
        <f t="array" ref="V256">_xlfn.XLOOKUP("Charger",Stock1!B256,Stock1!I256,"")</f>
        <v/>
      </c>
      <c r="W256" s="102" t="str">
        <f t="array" ref="W256">_xlfn.XLOOKUP(V256,Stock1!I256,Stock1!F256,"")</f>
        <v/>
      </c>
      <c r="X256" s="102" t="str">
        <f t="array" ref="X256">_xlfn.XLOOKUP(V256,Stock1!I256,Stock1!J256,"")</f>
        <v/>
      </c>
      <c r="Y256" s="102" t="str">
        <f t="array" ref="Y256">_xlfn.XLOOKUP("Screen Protector for Android Phone and Other",Stock1!B256,Stock1!I256,"")</f>
        <v/>
      </c>
      <c r="Z256" s="102" t="str">
        <f t="array" ref="Z256">_xlfn.XLOOKUP("Screen Protector for Galaxy Phone",Stock1!B256,Stock1!I256,"")</f>
        <v/>
      </c>
      <c r="AA256" s="102" t="str">
        <f t="array" ref="AA256">_xlfn.XLOOKUP("Screen Protector for Galaxy Tab",Stock1!B256,Stock1!I256,"")</f>
        <v/>
      </c>
      <c r="AB256" s="102" t="str">
        <f t="shared" si="4"/>
        <v/>
      </c>
      <c r="AC256" s="102" t="str">
        <f t="array" ref="AC256">_xlfn.XLOOKUP(AB256,Stock1!I256,Stock1!F256,"")</f>
        <v/>
      </c>
      <c r="AD256" s="102" t="str">
        <f t="array" ref="AD256">_xlfn.XLOOKUP(AB256,Stock1!I256,Stock1!J256,"")</f>
        <v/>
      </c>
      <c r="AE256" s="102" t="str">
        <f t="array" ref="AE256">_xlfn.XLOOKUP("Storage",Stock1!B256,Stock1!I256,"")</f>
        <v/>
      </c>
      <c r="AF256" s="102" t="str">
        <f t="array" ref="AF256">_xlfn.XLOOKUP(AE256,Stock1!I256,Stock1!F256,"")</f>
        <v/>
      </c>
      <c r="AG256" s="102" t="str">
        <f t="array" ref="AG256">_xlfn.XLOOKUP(AE256,Stock1!I256,Stock1!J256,"")</f>
        <v/>
      </c>
    </row>
    <row r="257">
      <c r="K257" s="660" t="str">
        <f t="array" ref="K257">IFERROR(_xlfn.XLOOKUP(I257,Incentive!B:B,Incentive!E:E,""),"")</f>
        <v/>
      </c>
      <c r="L257" s="659" t="str">
        <f>IFERROR(VLOOKUP(I257,Stock1!F:J,5,False),"")</f>
        <v/>
      </c>
      <c r="M257" s="659" t="str">
        <f>IFERROR(VLOOKUP(I257,Stock2!F:J,5,False),"")</f>
        <v/>
      </c>
      <c r="V257" s="102" t="str">
        <f t="array" ref="V257">_xlfn.XLOOKUP("Charger",Stock1!B257,Stock1!I257,"")</f>
        <v/>
      </c>
      <c r="W257" s="102" t="str">
        <f t="array" ref="W257">_xlfn.XLOOKUP(V257,Stock1!I257,Stock1!F257,"")</f>
        <v/>
      </c>
      <c r="X257" s="102" t="str">
        <f t="array" ref="X257">_xlfn.XLOOKUP(V257,Stock1!I257,Stock1!J257,"")</f>
        <v/>
      </c>
      <c r="Y257" s="102" t="str">
        <f t="array" ref="Y257">_xlfn.XLOOKUP("Screen Protector for Android Phone and Other",Stock1!B257,Stock1!I257,"")</f>
        <v/>
      </c>
      <c r="Z257" s="102" t="str">
        <f t="array" ref="Z257">_xlfn.XLOOKUP("Screen Protector for Galaxy Phone",Stock1!B257,Stock1!I257,"")</f>
        <v/>
      </c>
      <c r="AA257" s="102" t="str">
        <f t="array" ref="AA257">_xlfn.XLOOKUP("Screen Protector for Galaxy Tab",Stock1!B257,Stock1!I257,"")</f>
        <v/>
      </c>
      <c r="AB257" s="102" t="str">
        <f t="shared" si="4"/>
        <v/>
      </c>
      <c r="AC257" s="102" t="str">
        <f t="array" ref="AC257">_xlfn.XLOOKUP(AB257,Stock1!I257,Stock1!F257,"")</f>
        <v/>
      </c>
      <c r="AD257" s="102" t="str">
        <f t="array" ref="AD257">_xlfn.XLOOKUP(AB257,Stock1!I257,Stock1!J257,"")</f>
        <v/>
      </c>
      <c r="AE257" s="102" t="str">
        <f t="array" ref="AE257">_xlfn.XLOOKUP("Storage",Stock1!B257,Stock1!I257,"")</f>
        <v/>
      </c>
      <c r="AF257" s="102" t="str">
        <f t="array" ref="AF257">_xlfn.XLOOKUP(AE257,Stock1!I257,Stock1!F257,"")</f>
        <v/>
      </c>
      <c r="AG257" s="102" t="str">
        <f t="array" ref="AG257">_xlfn.XLOOKUP(AE257,Stock1!I257,Stock1!J257,"")</f>
        <v/>
      </c>
    </row>
    <row r="258">
      <c r="K258" s="660" t="str">
        <f t="array" ref="K258">IFERROR(_xlfn.XLOOKUP(I258,Incentive!B:B,Incentive!E:E,""),"")</f>
        <v/>
      </c>
      <c r="L258" s="659" t="str">
        <f>IFERROR(VLOOKUP(I258,Stock1!F:J,5,False),"")</f>
        <v/>
      </c>
      <c r="M258" s="659" t="str">
        <f>IFERROR(VLOOKUP(I258,Stock2!F:J,5,False),"")</f>
        <v/>
      </c>
      <c r="V258" s="102" t="str">
        <f t="array" ref="V258">_xlfn.XLOOKUP("Charger",Stock1!B258,Stock1!I258,"")</f>
        <v/>
      </c>
      <c r="W258" s="102" t="str">
        <f t="array" ref="W258">_xlfn.XLOOKUP(V258,Stock1!I258,Stock1!F258,"")</f>
        <v/>
      </c>
      <c r="X258" s="102" t="str">
        <f t="array" ref="X258">_xlfn.XLOOKUP(V258,Stock1!I258,Stock1!J258,"")</f>
        <v/>
      </c>
      <c r="Y258" s="102" t="str">
        <f t="array" ref="Y258">_xlfn.XLOOKUP("Screen Protector for Android Phone and Other",Stock1!B258,Stock1!I258,"")</f>
        <v/>
      </c>
      <c r="Z258" s="102" t="str">
        <f t="array" ref="Z258">_xlfn.XLOOKUP("Screen Protector for Galaxy Phone",Stock1!B258,Stock1!I258,"")</f>
        <v/>
      </c>
      <c r="AA258" s="102" t="str">
        <f t="array" ref="AA258">_xlfn.XLOOKUP("Screen Protector for Galaxy Tab",Stock1!B258,Stock1!I258,"")</f>
        <v/>
      </c>
      <c r="AB258" s="102" t="str">
        <f t="shared" si="4"/>
        <v/>
      </c>
      <c r="AC258" s="102" t="str">
        <f t="array" ref="AC258">_xlfn.XLOOKUP(AB258,Stock1!I258,Stock1!F258,"")</f>
        <v/>
      </c>
      <c r="AD258" s="102" t="str">
        <f t="array" ref="AD258">_xlfn.XLOOKUP(AB258,Stock1!I258,Stock1!J258,"")</f>
        <v/>
      </c>
      <c r="AE258" s="102" t="str">
        <f t="array" ref="AE258">_xlfn.XLOOKUP("Storage",Stock1!B258,Stock1!I258,"")</f>
        <v/>
      </c>
      <c r="AF258" s="102" t="str">
        <f t="array" ref="AF258">_xlfn.XLOOKUP(AE258,Stock1!I258,Stock1!F258,"")</f>
        <v/>
      </c>
      <c r="AG258" s="102" t="str">
        <f t="array" ref="AG258">_xlfn.XLOOKUP(AE258,Stock1!I258,Stock1!J258,"")</f>
        <v/>
      </c>
    </row>
    <row r="259">
      <c r="K259" s="660" t="str">
        <f t="array" ref="K259">IFERROR(_xlfn.XLOOKUP(I259,Incentive!B:B,Incentive!E:E,""),"")</f>
        <v/>
      </c>
      <c r="L259" s="659" t="str">
        <f>IFERROR(VLOOKUP(I259,Stock1!F:J,5,False),"")</f>
        <v/>
      </c>
      <c r="M259" s="659" t="str">
        <f>IFERROR(VLOOKUP(I259,Stock2!F:J,5,False),"")</f>
        <v/>
      </c>
      <c r="V259" s="102" t="str">
        <f t="array" ref="V259">_xlfn.XLOOKUP("Charger",Stock1!B259,Stock1!I259,"")</f>
        <v/>
      </c>
      <c r="W259" s="102" t="str">
        <f t="array" ref="W259">_xlfn.XLOOKUP(V259,Stock1!I259,Stock1!F259,"")</f>
        <v/>
      </c>
      <c r="X259" s="102" t="str">
        <f t="array" ref="X259">_xlfn.XLOOKUP(V259,Stock1!I259,Stock1!J259,"")</f>
        <v/>
      </c>
      <c r="Y259" s="102" t="str">
        <f t="array" ref="Y259">_xlfn.XLOOKUP("Screen Protector for Android Phone and Other",Stock1!B259,Stock1!I259,"")</f>
        <v/>
      </c>
      <c r="Z259" s="102" t="str">
        <f t="array" ref="Z259">_xlfn.XLOOKUP("Screen Protector for Galaxy Phone",Stock1!B259,Stock1!I259,"")</f>
        <v/>
      </c>
      <c r="AA259" s="102" t="str">
        <f t="array" ref="AA259">_xlfn.XLOOKUP("Screen Protector for Galaxy Tab",Stock1!B259,Stock1!I259,"")</f>
        <v/>
      </c>
      <c r="AB259" s="102" t="str">
        <f t="shared" si="4"/>
        <v/>
      </c>
      <c r="AC259" s="102" t="str">
        <f t="array" ref="AC259">_xlfn.XLOOKUP(AB259,Stock1!I259,Stock1!F259,"")</f>
        <v/>
      </c>
      <c r="AD259" s="102" t="str">
        <f t="array" ref="AD259">_xlfn.XLOOKUP(AB259,Stock1!I259,Stock1!J259,"")</f>
        <v/>
      </c>
      <c r="AE259" s="102" t="str">
        <f t="array" ref="AE259">_xlfn.XLOOKUP("Storage",Stock1!B259,Stock1!I259,"")</f>
        <v/>
      </c>
      <c r="AF259" s="102" t="str">
        <f t="array" ref="AF259">_xlfn.XLOOKUP(AE259,Stock1!I259,Stock1!F259,"")</f>
        <v/>
      </c>
      <c r="AG259" s="102" t="str">
        <f t="array" ref="AG259">_xlfn.XLOOKUP(AE259,Stock1!I259,Stock1!J259,"")</f>
        <v/>
      </c>
    </row>
    <row r="260">
      <c r="K260" s="660" t="str">
        <f t="array" ref="K260">IFERROR(_xlfn.XLOOKUP(I260,Incentive!B:B,Incentive!E:E,""),"")</f>
        <v/>
      </c>
      <c r="L260" s="659" t="str">
        <f>IFERROR(VLOOKUP(I260,Stock1!F:J,5,False),"")</f>
        <v/>
      </c>
      <c r="M260" s="659" t="str">
        <f>IFERROR(VLOOKUP(I260,Stock2!F:J,5,False),"")</f>
        <v/>
      </c>
      <c r="V260" s="102" t="str">
        <f t="array" ref="V260">_xlfn.XLOOKUP("Charger",Stock1!B260,Stock1!I260,"")</f>
        <v/>
      </c>
      <c r="W260" s="102" t="str">
        <f t="array" ref="W260">_xlfn.XLOOKUP(V260,Stock1!I260,Stock1!F260,"")</f>
        <v/>
      </c>
      <c r="X260" s="102" t="str">
        <f t="array" ref="X260">_xlfn.XLOOKUP(V260,Stock1!I260,Stock1!J260,"")</f>
        <v/>
      </c>
      <c r="Y260" s="102" t="str">
        <f t="array" ref="Y260">_xlfn.XLOOKUP("Screen Protector for Android Phone and Other",Stock1!B260,Stock1!I260,"")</f>
        <v/>
      </c>
      <c r="Z260" s="102" t="str">
        <f t="array" ref="Z260">_xlfn.XLOOKUP("Screen Protector for Galaxy Phone",Stock1!B260,Stock1!I260,"")</f>
        <v/>
      </c>
      <c r="AA260" s="102" t="str">
        <f t="array" ref="AA260">_xlfn.XLOOKUP("Screen Protector for Galaxy Tab",Stock1!B260,Stock1!I260,"")</f>
        <v/>
      </c>
      <c r="AB260" s="102" t="str">
        <f t="shared" si="4"/>
        <v/>
      </c>
      <c r="AC260" s="102" t="str">
        <f t="array" ref="AC260">_xlfn.XLOOKUP(AB260,Stock1!I260,Stock1!F260,"")</f>
        <v/>
      </c>
      <c r="AD260" s="102" t="str">
        <f t="array" ref="AD260">_xlfn.XLOOKUP(AB260,Stock1!I260,Stock1!J260,"")</f>
        <v/>
      </c>
      <c r="AE260" s="102" t="str">
        <f t="array" ref="AE260">_xlfn.XLOOKUP("Storage",Stock1!B260,Stock1!I260,"")</f>
        <v/>
      </c>
      <c r="AF260" s="102" t="str">
        <f t="array" ref="AF260">_xlfn.XLOOKUP(AE260,Stock1!I260,Stock1!F260,"")</f>
        <v/>
      </c>
      <c r="AG260" s="102" t="str">
        <f t="array" ref="AG260">_xlfn.XLOOKUP(AE260,Stock1!I260,Stock1!J260,"")</f>
        <v/>
      </c>
    </row>
    <row r="261">
      <c r="K261" s="660" t="str">
        <f t="array" ref="K261">IFERROR(_xlfn.XLOOKUP(I261,Incentive!B:B,Incentive!E:E,""),"")</f>
        <v/>
      </c>
      <c r="L261" s="659" t="str">
        <f>IFERROR(VLOOKUP(I261,Stock1!F:J,5,False),"")</f>
        <v/>
      </c>
      <c r="M261" s="659" t="str">
        <f>IFERROR(VLOOKUP(I261,Stock2!F:J,5,False),"")</f>
        <v/>
      </c>
      <c r="V261" s="102" t="str">
        <f t="array" ref="V261">_xlfn.XLOOKUP("Charger",Stock1!B261,Stock1!I261,"")</f>
        <v/>
      </c>
      <c r="W261" s="102" t="str">
        <f t="array" ref="W261">_xlfn.XLOOKUP(V261,Stock1!I261,Stock1!F261,"")</f>
        <v/>
      </c>
      <c r="X261" s="102" t="str">
        <f t="array" ref="X261">_xlfn.XLOOKUP(V261,Stock1!I261,Stock1!J261,"")</f>
        <v/>
      </c>
      <c r="Y261" s="102" t="str">
        <f t="array" ref="Y261">_xlfn.XLOOKUP("Screen Protector for Android Phone and Other",Stock1!B261,Stock1!I261,"")</f>
        <v/>
      </c>
      <c r="Z261" s="102" t="str">
        <f t="array" ref="Z261">_xlfn.XLOOKUP("Screen Protector for Galaxy Phone",Stock1!B261,Stock1!I261,"")</f>
        <v/>
      </c>
      <c r="AA261" s="102" t="str">
        <f t="array" ref="AA261">_xlfn.XLOOKUP("Screen Protector for Galaxy Tab",Stock1!B261,Stock1!I261,"")</f>
        <v/>
      </c>
      <c r="AB261" s="102" t="str">
        <f t="shared" si="4"/>
        <v/>
      </c>
      <c r="AC261" s="102" t="str">
        <f t="array" ref="AC261">_xlfn.XLOOKUP(AB261,Stock1!I261,Stock1!F261,"")</f>
        <v/>
      </c>
      <c r="AD261" s="102" t="str">
        <f t="array" ref="AD261">_xlfn.XLOOKUP(AB261,Stock1!I261,Stock1!J261,"")</f>
        <v/>
      </c>
      <c r="AE261" s="102" t="str">
        <f t="array" ref="AE261">_xlfn.XLOOKUP("Storage",Stock1!B261,Stock1!I261,"")</f>
        <v/>
      </c>
      <c r="AF261" s="102" t="str">
        <f t="array" ref="AF261">_xlfn.XLOOKUP(AE261,Stock1!I261,Stock1!F261,"")</f>
        <v/>
      </c>
      <c r="AG261" s="102" t="str">
        <f t="array" ref="AG261">_xlfn.XLOOKUP(AE261,Stock1!I261,Stock1!J261,"")</f>
        <v/>
      </c>
    </row>
    <row r="262">
      <c r="K262" s="660" t="str">
        <f t="array" ref="K262">IFERROR(_xlfn.XLOOKUP(I262,Incentive!B:B,Incentive!E:E,""),"")</f>
        <v/>
      </c>
      <c r="L262" s="659" t="str">
        <f>IFERROR(VLOOKUP(I262,Stock1!F:J,5,False),"")</f>
        <v/>
      </c>
      <c r="M262" s="659" t="str">
        <f>IFERROR(VLOOKUP(I262,Stock2!F:J,5,False),"")</f>
        <v/>
      </c>
      <c r="V262" s="102" t="str">
        <f t="array" ref="V262">_xlfn.XLOOKUP("Charger",Stock1!B262,Stock1!I262,"")</f>
        <v/>
      </c>
      <c r="W262" s="102" t="str">
        <f t="array" ref="W262">_xlfn.XLOOKUP(V262,Stock1!I262,Stock1!F262,"")</f>
        <v/>
      </c>
      <c r="X262" s="102" t="str">
        <f t="array" ref="X262">_xlfn.XLOOKUP(V262,Stock1!I262,Stock1!J262,"")</f>
        <v/>
      </c>
      <c r="Y262" s="102" t="str">
        <f t="array" ref="Y262">_xlfn.XLOOKUP("Screen Protector for Android Phone and Other",Stock1!B262,Stock1!I262,"")</f>
        <v/>
      </c>
      <c r="Z262" s="102" t="str">
        <f t="array" ref="Z262">_xlfn.XLOOKUP("Screen Protector for Galaxy Phone",Stock1!B262,Stock1!I262,"")</f>
        <v/>
      </c>
      <c r="AA262" s="102" t="str">
        <f t="array" ref="AA262">_xlfn.XLOOKUP("Screen Protector for Galaxy Tab",Stock1!B262,Stock1!I262,"")</f>
        <v/>
      </c>
      <c r="AB262" s="102" t="str">
        <f t="shared" si="4"/>
        <v/>
      </c>
      <c r="AC262" s="102" t="str">
        <f t="array" ref="AC262">_xlfn.XLOOKUP(AB262,Stock1!I262,Stock1!F262,"")</f>
        <v/>
      </c>
      <c r="AD262" s="102" t="str">
        <f t="array" ref="AD262">_xlfn.XLOOKUP(AB262,Stock1!I262,Stock1!J262,"")</f>
        <v/>
      </c>
      <c r="AE262" s="102" t="str">
        <f t="array" ref="AE262">_xlfn.XLOOKUP("Storage",Stock1!B262,Stock1!I262,"")</f>
        <v/>
      </c>
      <c r="AF262" s="102" t="str">
        <f t="array" ref="AF262">_xlfn.XLOOKUP(AE262,Stock1!I262,Stock1!F262,"")</f>
        <v/>
      </c>
      <c r="AG262" s="102" t="str">
        <f t="array" ref="AG262">_xlfn.XLOOKUP(AE262,Stock1!I262,Stock1!J262,"")</f>
        <v/>
      </c>
    </row>
    <row r="263">
      <c r="K263" s="660" t="str">
        <f t="array" ref="K263">IFERROR(_xlfn.XLOOKUP(I263,Incentive!B:B,Incentive!E:E,""),"")</f>
        <v/>
      </c>
      <c r="L263" s="659" t="str">
        <f>IFERROR(VLOOKUP(I263,Stock1!F:J,5,False),"")</f>
        <v/>
      </c>
      <c r="M263" s="659" t="str">
        <f>IFERROR(VLOOKUP(I263,Stock2!F:J,5,False),"")</f>
        <v/>
      </c>
      <c r="V263" s="102" t="str">
        <f t="array" ref="V263">_xlfn.XLOOKUP("Charger",Stock1!B263,Stock1!I263,"")</f>
        <v/>
      </c>
      <c r="W263" s="102" t="str">
        <f t="array" ref="W263">_xlfn.XLOOKUP(V263,Stock1!I263,Stock1!F263,"")</f>
        <v/>
      </c>
      <c r="X263" s="102" t="str">
        <f t="array" ref="X263">_xlfn.XLOOKUP(V263,Stock1!I263,Stock1!J263,"")</f>
        <v/>
      </c>
      <c r="Y263" s="102" t="str">
        <f t="array" ref="Y263">_xlfn.XLOOKUP("Screen Protector for Android Phone and Other",Stock1!B263,Stock1!I263,"")</f>
        <v/>
      </c>
      <c r="Z263" s="102" t="str">
        <f t="array" ref="Z263">_xlfn.XLOOKUP("Screen Protector for Galaxy Phone",Stock1!B263,Stock1!I263,"")</f>
        <v/>
      </c>
      <c r="AA263" s="102" t="str">
        <f t="array" ref="AA263">_xlfn.XLOOKUP("Screen Protector for Galaxy Tab",Stock1!B263,Stock1!I263,"")</f>
        <v/>
      </c>
      <c r="AB263" s="102" t="str">
        <f t="shared" si="4"/>
        <v/>
      </c>
      <c r="AC263" s="102" t="str">
        <f t="array" ref="AC263">_xlfn.XLOOKUP(AB263,Stock1!I263,Stock1!F263,"")</f>
        <v/>
      </c>
      <c r="AD263" s="102" t="str">
        <f t="array" ref="AD263">_xlfn.XLOOKUP(AB263,Stock1!I263,Stock1!J263,"")</f>
        <v/>
      </c>
      <c r="AE263" s="102" t="str">
        <f t="array" ref="AE263">_xlfn.XLOOKUP("Storage",Stock1!B263,Stock1!I263,"")</f>
        <v/>
      </c>
      <c r="AF263" s="102" t="str">
        <f t="array" ref="AF263">_xlfn.XLOOKUP(AE263,Stock1!I263,Stock1!F263,"")</f>
        <v/>
      </c>
      <c r="AG263" s="102" t="str">
        <f t="array" ref="AG263">_xlfn.XLOOKUP(AE263,Stock1!I263,Stock1!J263,"")</f>
        <v/>
      </c>
    </row>
    <row r="264">
      <c r="K264" s="660" t="str">
        <f t="array" ref="K264">IFERROR(_xlfn.XLOOKUP(I264,Incentive!B:B,Incentive!E:E,""),"")</f>
        <v/>
      </c>
      <c r="L264" s="659" t="str">
        <f>IFERROR(VLOOKUP(I264,Stock1!F:J,5,False),"")</f>
        <v/>
      </c>
      <c r="M264" s="659" t="str">
        <f>IFERROR(VLOOKUP(I264,Stock2!F:J,5,False),"")</f>
        <v/>
      </c>
      <c r="V264" s="102" t="str">
        <f t="array" ref="V264">_xlfn.XLOOKUP("Charger",Stock1!B264,Stock1!I264,"")</f>
        <v/>
      </c>
      <c r="W264" s="102" t="str">
        <f t="array" ref="W264">_xlfn.XLOOKUP(V264,Stock1!I264,Stock1!F264,"")</f>
        <v/>
      </c>
      <c r="X264" s="102" t="str">
        <f t="array" ref="X264">_xlfn.XLOOKUP(V264,Stock1!I264,Stock1!J264,"")</f>
        <v/>
      </c>
      <c r="Y264" s="102" t="str">
        <f t="array" ref="Y264">_xlfn.XLOOKUP("Screen Protector for Android Phone and Other",Stock1!B264,Stock1!I264,"")</f>
        <v/>
      </c>
      <c r="Z264" s="102" t="str">
        <f t="array" ref="Z264">_xlfn.XLOOKUP("Screen Protector for Galaxy Phone",Stock1!B264,Stock1!I264,"")</f>
        <v/>
      </c>
      <c r="AA264" s="102" t="str">
        <f t="array" ref="AA264">_xlfn.XLOOKUP("Screen Protector for Galaxy Tab",Stock1!B264,Stock1!I264,"")</f>
        <v/>
      </c>
      <c r="AB264" s="102" t="str">
        <f t="shared" si="4"/>
        <v/>
      </c>
      <c r="AC264" s="102" t="str">
        <f t="array" ref="AC264">_xlfn.XLOOKUP(AB264,Stock1!I264,Stock1!F264,"")</f>
        <v/>
      </c>
      <c r="AD264" s="102" t="str">
        <f t="array" ref="AD264">_xlfn.XLOOKUP(AB264,Stock1!I264,Stock1!J264,"")</f>
        <v/>
      </c>
      <c r="AE264" s="102" t="str">
        <f t="array" ref="AE264">_xlfn.XLOOKUP("Storage",Stock1!B264,Stock1!I264,"")</f>
        <v/>
      </c>
      <c r="AF264" s="102" t="str">
        <f t="array" ref="AF264">_xlfn.XLOOKUP(AE264,Stock1!I264,Stock1!F264,"")</f>
        <v/>
      </c>
      <c r="AG264" s="102" t="str">
        <f t="array" ref="AG264">_xlfn.XLOOKUP(AE264,Stock1!I264,Stock1!J264,"")</f>
        <v/>
      </c>
    </row>
    <row r="265">
      <c r="K265" s="660" t="str">
        <f t="array" ref="K265">IFERROR(_xlfn.XLOOKUP(I265,Incentive!B:B,Incentive!E:E,""),"")</f>
        <v/>
      </c>
      <c r="L265" s="659" t="str">
        <f>IFERROR(VLOOKUP(I265,Stock1!F:J,5,False),"")</f>
        <v/>
      </c>
      <c r="M265" s="659" t="str">
        <f>IFERROR(VLOOKUP(I265,Stock2!F:J,5,False),"")</f>
        <v/>
      </c>
      <c r="V265" s="102" t="str">
        <f t="array" ref="V265">_xlfn.XLOOKUP("Charger",Stock1!B265,Stock1!I265,"")</f>
        <v/>
      </c>
      <c r="W265" s="102" t="str">
        <f t="array" ref="W265">_xlfn.XLOOKUP(V265,Stock1!I265,Stock1!F265,"")</f>
        <v/>
      </c>
      <c r="X265" s="102" t="str">
        <f t="array" ref="X265">_xlfn.XLOOKUP(V265,Stock1!I265,Stock1!J265,"")</f>
        <v/>
      </c>
      <c r="Y265" s="102" t="str">
        <f t="array" ref="Y265">_xlfn.XLOOKUP("Screen Protector for Android Phone and Other",Stock1!B265,Stock1!I265,"")</f>
        <v/>
      </c>
      <c r="Z265" s="102" t="str">
        <f t="array" ref="Z265">_xlfn.XLOOKUP("Screen Protector for Galaxy Phone",Stock1!B265,Stock1!I265,"")</f>
        <v/>
      </c>
      <c r="AA265" s="102" t="str">
        <f t="array" ref="AA265">_xlfn.XLOOKUP("Screen Protector for Galaxy Tab",Stock1!B265,Stock1!I265,"")</f>
        <v/>
      </c>
      <c r="AB265" s="102" t="str">
        <f t="shared" si="4"/>
        <v/>
      </c>
      <c r="AC265" s="102" t="str">
        <f t="array" ref="AC265">_xlfn.XLOOKUP(AB265,Stock1!I265,Stock1!F265,"")</f>
        <v/>
      </c>
      <c r="AD265" s="102" t="str">
        <f t="array" ref="AD265">_xlfn.XLOOKUP(AB265,Stock1!I265,Stock1!J265,"")</f>
        <v/>
      </c>
      <c r="AE265" s="102" t="str">
        <f t="array" ref="AE265">_xlfn.XLOOKUP("Storage",Stock1!B265,Stock1!I265,"")</f>
        <v/>
      </c>
      <c r="AF265" s="102" t="str">
        <f t="array" ref="AF265">_xlfn.XLOOKUP(AE265,Stock1!I265,Stock1!F265,"")</f>
        <v/>
      </c>
      <c r="AG265" s="102" t="str">
        <f t="array" ref="AG265">_xlfn.XLOOKUP(AE265,Stock1!I265,Stock1!J265,"")</f>
        <v/>
      </c>
    </row>
    <row r="266">
      <c r="K266" s="660" t="str">
        <f t="array" ref="K266">IFERROR(_xlfn.XLOOKUP(I266,Incentive!B:B,Incentive!E:E,""),"")</f>
        <v/>
      </c>
      <c r="L266" s="659" t="str">
        <f>IFERROR(VLOOKUP(I266,Stock1!F:J,5,False),"")</f>
        <v/>
      </c>
      <c r="M266" s="659" t="str">
        <f>IFERROR(VLOOKUP(I266,Stock2!F:J,5,False),"")</f>
        <v/>
      </c>
      <c r="V266" s="102" t="str">
        <f t="array" ref="V266">_xlfn.XLOOKUP("Charger",Stock1!B266,Stock1!I266,"")</f>
        <v/>
      </c>
      <c r="W266" s="102" t="str">
        <f t="array" ref="W266">_xlfn.XLOOKUP(V266,Stock1!I266,Stock1!F266,"")</f>
        <v/>
      </c>
      <c r="X266" s="102" t="str">
        <f t="array" ref="X266">_xlfn.XLOOKUP(V266,Stock1!I266,Stock1!J266,"")</f>
        <v/>
      </c>
      <c r="Y266" s="102" t="str">
        <f t="array" ref="Y266">_xlfn.XLOOKUP("Screen Protector for Android Phone and Other",Stock1!B266,Stock1!I266,"")</f>
        <v/>
      </c>
      <c r="Z266" s="102" t="str">
        <f t="array" ref="Z266">_xlfn.XLOOKUP("Screen Protector for Galaxy Phone",Stock1!B266,Stock1!I266,"")</f>
        <v/>
      </c>
      <c r="AA266" s="102" t="str">
        <f t="array" ref="AA266">_xlfn.XLOOKUP("Screen Protector for Galaxy Tab",Stock1!B266,Stock1!I266,"")</f>
        <v/>
      </c>
      <c r="AB266" s="102" t="str">
        <f t="shared" si="4"/>
        <v/>
      </c>
      <c r="AC266" s="102" t="str">
        <f t="array" ref="AC266">_xlfn.XLOOKUP(AB266,Stock1!I266,Stock1!F266,"")</f>
        <v/>
      </c>
      <c r="AD266" s="102" t="str">
        <f t="array" ref="AD266">_xlfn.XLOOKUP(AB266,Stock1!I266,Stock1!J266,"")</f>
        <v/>
      </c>
      <c r="AE266" s="102" t="str">
        <f t="array" ref="AE266">_xlfn.XLOOKUP("Storage",Stock1!B266,Stock1!I266,"")</f>
        <v/>
      </c>
      <c r="AF266" s="102" t="str">
        <f t="array" ref="AF266">_xlfn.XLOOKUP(AE266,Stock1!I266,Stock1!F266,"")</f>
        <v/>
      </c>
      <c r="AG266" s="102" t="str">
        <f t="array" ref="AG266">_xlfn.XLOOKUP(AE266,Stock1!I266,Stock1!J266,"")</f>
        <v/>
      </c>
    </row>
    <row r="267">
      <c r="K267" s="660" t="str">
        <f t="array" ref="K267">IFERROR(_xlfn.XLOOKUP(I267,Incentive!B:B,Incentive!E:E,""),"")</f>
        <v/>
      </c>
      <c r="L267" s="659" t="str">
        <f>IFERROR(VLOOKUP(I267,Stock1!F:J,5,False),"")</f>
        <v/>
      </c>
      <c r="M267" s="659" t="str">
        <f>IFERROR(VLOOKUP(I267,Stock2!F:J,5,False),"")</f>
        <v/>
      </c>
      <c r="V267" s="102" t="str">
        <f t="array" ref="V267">_xlfn.XLOOKUP("Charger",Stock1!B267,Stock1!I267,"")</f>
        <v/>
      </c>
      <c r="W267" s="102" t="str">
        <f t="array" ref="W267">_xlfn.XLOOKUP(V267,Stock1!I267,Stock1!F267,"")</f>
        <v/>
      </c>
      <c r="X267" s="102" t="str">
        <f t="array" ref="X267">_xlfn.XLOOKUP(V267,Stock1!I267,Stock1!J267,"")</f>
        <v/>
      </c>
      <c r="Y267" s="102" t="str">
        <f t="array" ref="Y267">_xlfn.XLOOKUP("Screen Protector for Android Phone and Other",Stock1!B267,Stock1!I267,"")</f>
        <v/>
      </c>
      <c r="Z267" s="102" t="str">
        <f t="array" ref="Z267">_xlfn.XLOOKUP("Screen Protector for Galaxy Phone",Stock1!B267,Stock1!I267,"")</f>
        <v/>
      </c>
      <c r="AA267" s="102" t="str">
        <f t="array" ref="AA267">_xlfn.XLOOKUP("Screen Protector for Galaxy Tab",Stock1!B267,Stock1!I267,"")</f>
        <v/>
      </c>
      <c r="AB267" s="102" t="str">
        <f t="shared" si="4"/>
        <v/>
      </c>
      <c r="AC267" s="102" t="str">
        <f t="array" ref="AC267">_xlfn.XLOOKUP(AB267,Stock1!I267,Stock1!F267,"")</f>
        <v/>
      </c>
      <c r="AD267" s="102" t="str">
        <f t="array" ref="AD267">_xlfn.XLOOKUP(AB267,Stock1!I267,Stock1!J267,"")</f>
        <v/>
      </c>
      <c r="AE267" s="102" t="str">
        <f t="array" ref="AE267">_xlfn.XLOOKUP("Storage",Stock1!B267,Stock1!I267,"")</f>
        <v/>
      </c>
      <c r="AF267" s="102" t="str">
        <f t="array" ref="AF267">_xlfn.XLOOKUP(AE267,Stock1!I267,Stock1!F267,"")</f>
        <v/>
      </c>
      <c r="AG267" s="102" t="str">
        <f t="array" ref="AG267">_xlfn.XLOOKUP(AE267,Stock1!I267,Stock1!J267,"")</f>
        <v/>
      </c>
    </row>
    <row r="268">
      <c r="K268" s="660" t="str">
        <f t="array" ref="K268">IFERROR(_xlfn.XLOOKUP(I268,Incentive!B:B,Incentive!E:E,""),"")</f>
        <v/>
      </c>
      <c r="L268" s="659" t="str">
        <f>IFERROR(VLOOKUP(I268,Stock1!F:J,5,False),"")</f>
        <v/>
      </c>
      <c r="M268" s="659" t="str">
        <f>IFERROR(VLOOKUP(I268,Stock2!F:J,5,False),"")</f>
        <v/>
      </c>
      <c r="V268" s="102" t="str">
        <f t="array" ref="V268">_xlfn.XLOOKUP("Charger",Stock1!B268,Stock1!I268,"")</f>
        <v/>
      </c>
      <c r="W268" s="102" t="str">
        <f t="array" ref="W268">_xlfn.XLOOKUP(V268,Stock1!I268,Stock1!F268,"")</f>
        <v/>
      </c>
      <c r="X268" s="102" t="str">
        <f t="array" ref="X268">_xlfn.XLOOKUP(V268,Stock1!I268,Stock1!J268,"")</f>
        <v/>
      </c>
      <c r="Y268" s="102" t="str">
        <f t="array" ref="Y268">_xlfn.XLOOKUP("Screen Protector for Android Phone and Other",Stock1!B268,Stock1!I268,"")</f>
        <v/>
      </c>
      <c r="Z268" s="102" t="str">
        <f t="array" ref="Z268">_xlfn.XLOOKUP("Screen Protector for Galaxy Phone",Stock1!B268,Stock1!I268,"")</f>
        <v/>
      </c>
      <c r="AA268" s="102" t="str">
        <f t="array" ref="AA268">_xlfn.XLOOKUP("Screen Protector for Galaxy Tab",Stock1!B268,Stock1!I268,"")</f>
        <v/>
      </c>
      <c r="AB268" s="102" t="str">
        <f t="shared" si="4"/>
        <v/>
      </c>
      <c r="AC268" s="102" t="str">
        <f t="array" ref="AC268">_xlfn.XLOOKUP(AB268,Stock1!I268,Stock1!F268,"")</f>
        <v/>
      </c>
      <c r="AD268" s="102" t="str">
        <f t="array" ref="AD268">_xlfn.XLOOKUP(AB268,Stock1!I268,Stock1!J268,"")</f>
        <v/>
      </c>
      <c r="AE268" s="102" t="str">
        <f t="array" ref="AE268">_xlfn.XLOOKUP("Storage",Stock1!B268,Stock1!I268,"")</f>
        <v/>
      </c>
      <c r="AF268" s="102" t="str">
        <f t="array" ref="AF268">_xlfn.XLOOKUP(AE268,Stock1!I268,Stock1!F268,"")</f>
        <v/>
      </c>
      <c r="AG268" s="102" t="str">
        <f t="array" ref="AG268">_xlfn.XLOOKUP(AE268,Stock1!I268,Stock1!J268,"")</f>
        <v/>
      </c>
    </row>
    <row r="269">
      <c r="K269" s="660" t="str">
        <f t="array" ref="K269">IFERROR(_xlfn.XLOOKUP(I269,Incentive!B:B,Incentive!E:E,""),"")</f>
        <v/>
      </c>
      <c r="L269" s="659" t="str">
        <f>IFERROR(VLOOKUP(I269,Stock1!F:J,5,False),"")</f>
        <v/>
      </c>
      <c r="M269" s="659" t="str">
        <f>IFERROR(VLOOKUP(I269,Stock2!F:J,5,False),"")</f>
        <v/>
      </c>
      <c r="V269" s="102" t="str">
        <f t="array" ref="V269">_xlfn.XLOOKUP("Charger",Stock1!B269,Stock1!I269,"")</f>
        <v/>
      </c>
      <c r="W269" s="102" t="str">
        <f t="array" ref="W269">_xlfn.XLOOKUP(V269,Stock1!I269,Stock1!F269,"")</f>
        <v/>
      </c>
      <c r="X269" s="102" t="str">
        <f t="array" ref="X269">_xlfn.XLOOKUP(V269,Stock1!I269,Stock1!J269,"")</f>
        <v/>
      </c>
      <c r="Y269" s="102" t="str">
        <f t="array" ref="Y269">_xlfn.XLOOKUP("Screen Protector for Android Phone and Other",Stock1!B269,Stock1!I269,"")</f>
        <v/>
      </c>
      <c r="Z269" s="102" t="str">
        <f t="array" ref="Z269">_xlfn.XLOOKUP("Screen Protector for Galaxy Phone",Stock1!B269,Stock1!I269,"")</f>
        <v/>
      </c>
      <c r="AA269" s="102" t="str">
        <f t="array" ref="AA269">_xlfn.XLOOKUP("Screen Protector for Galaxy Tab",Stock1!B269,Stock1!I269,"")</f>
        <v/>
      </c>
      <c r="AB269" s="102" t="str">
        <f t="shared" si="4"/>
        <v/>
      </c>
      <c r="AC269" s="102" t="str">
        <f t="array" ref="AC269">_xlfn.XLOOKUP(AB269,Stock1!I269,Stock1!F269,"")</f>
        <v/>
      </c>
      <c r="AD269" s="102" t="str">
        <f t="array" ref="AD269">_xlfn.XLOOKUP(AB269,Stock1!I269,Stock1!J269,"")</f>
        <v/>
      </c>
      <c r="AE269" s="102" t="str">
        <f t="array" ref="AE269">_xlfn.XLOOKUP("Storage",Stock1!B269,Stock1!I269,"")</f>
        <v/>
      </c>
      <c r="AF269" s="102" t="str">
        <f t="array" ref="AF269">_xlfn.XLOOKUP(AE269,Stock1!I269,Stock1!F269,"")</f>
        <v/>
      </c>
      <c r="AG269" s="102" t="str">
        <f t="array" ref="AG269">_xlfn.XLOOKUP(AE269,Stock1!I269,Stock1!J269,"")</f>
        <v/>
      </c>
    </row>
    <row r="270">
      <c r="K270" s="660" t="str">
        <f t="array" ref="K270">IFERROR(_xlfn.XLOOKUP(I270,Incentive!B:B,Incentive!E:E,""),"")</f>
        <v/>
      </c>
      <c r="L270" s="659" t="str">
        <f>IFERROR(VLOOKUP(I270,Stock1!F:J,5,False),"")</f>
        <v/>
      </c>
      <c r="M270" s="659" t="str">
        <f>IFERROR(VLOOKUP(I270,Stock2!F:J,5,False),"")</f>
        <v/>
      </c>
      <c r="V270" s="102" t="str">
        <f t="array" ref="V270">_xlfn.XLOOKUP("Charger",Stock1!B270,Stock1!I270,"")</f>
        <v/>
      </c>
      <c r="W270" s="102" t="str">
        <f t="array" ref="W270">_xlfn.XLOOKUP(V270,Stock1!I270,Stock1!F270,"")</f>
        <v/>
      </c>
      <c r="X270" s="102" t="str">
        <f t="array" ref="X270">_xlfn.XLOOKUP(V270,Stock1!I270,Stock1!J270,"")</f>
        <v/>
      </c>
      <c r="Y270" s="102" t="str">
        <f t="array" ref="Y270">_xlfn.XLOOKUP("Screen Protector for Android Phone and Other",Stock1!B270,Stock1!I270,"")</f>
        <v/>
      </c>
      <c r="Z270" s="102" t="str">
        <f t="array" ref="Z270">_xlfn.XLOOKUP("Screen Protector for Galaxy Phone",Stock1!B270,Stock1!I270,"")</f>
        <v/>
      </c>
      <c r="AA270" s="102" t="str">
        <f t="array" ref="AA270">_xlfn.XLOOKUP("Screen Protector for Galaxy Tab",Stock1!B270,Stock1!I270,"")</f>
        <v/>
      </c>
      <c r="AB270" s="102" t="str">
        <f t="shared" si="4"/>
        <v/>
      </c>
      <c r="AC270" s="102" t="str">
        <f t="array" ref="AC270">_xlfn.XLOOKUP(AB270,Stock1!I270,Stock1!F270,"")</f>
        <v/>
      </c>
      <c r="AD270" s="102" t="str">
        <f t="array" ref="AD270">_xlfn.XLOOKUP(AB270,Stock1!I270,Stock1!J270,"")</f>
        <v/>
      </c>
      <c r="AE270" s="102" t="str">
        <f t="array" ref="AE270">_xlfn.XLOOKUP("Storage",Stock1!B270,Stock1!I270,"")</f>
        <v/>
      </c>
      <c r="AF270" s="102" t="str">
        <f t="array" ref="AF270">_xlfn.XLOOKUP(AE270,Stock1!I270,Stock1!F270,"")</f>
        <v/>
      </c>
      <c r="AG270" s="102" t="str">
        <f t="array" ref="AG270">_xlfn.XLOOKUP(AE270,Stock1!I270,Stock1!J270,"")</f>
        <v/>
      </c>
    </row>
    <row r="271">
      <c r="K271" s="660" t="str">
        <f t="array" ref="K271">IFERROR(_xlfn.XLOOKUP(I271,Incentive!B:B,Incentive!E:E,""),"")</f>
        <v/>
      </c>
      <c r="L271" s="659" t="str">
        <f>IFERROR(VLOOKUP(I271,Stock1!F:J,5,False),"")</f>
        <v/>
      </c>
      <c r="M271" s="659" t="str">
        <f>IFERROR(VLOOKUP(I271,Stock2!F:J,5,False),"")</f>
        <v/>
      </c>
      <c r="V271" s="102" t="str">
        <f t="array" ref="V271">_xlfn.XLOOKUP("Charger",Stock1!B271,Stock1!I271,"")</f>
        <v/>
      </c>
      <c r="W271" s="102" t="str">
        <f t="array" ref="W271">_xlfn.XLOOKUP(V271,Stock1!I271,Stock1!F271,"")</f>
        <v/>
      </c>
      <c r="X271" s="102" t="str">
        <f t="array" ref="X271">_xlfn.XLOOKUP(V271,Stock1!I271,Stock1!J271,"")</f>
        <v/>
      </c>
      <c r="Y271" s="102" t="str">
        <f t="array" ref="Y271">_xlfn.XLOOKUP("Screen Protector for Android Phone and Other",Stock1!B271,Stock1!I271,"")</f>
        <v/>
      </c>
      <c r="Z271" s="102" t="str">
        <f t="array" ref="Z271">_xlfn.XLOOKUP("Screen Protector for Galaxy Phone",Stock1!B271,Stock1!I271,"")</f>
        <v/>
      </c>
      <c r="AA271" s="102" t="str">
        <f t="array" ref="AA271">_xlfn.XLOOKUP("Screen Protector for Galaxy Tab",Stock1!B271,Stock1!I271,"")</f>
        <v/>
      </c>
      <c r="AB271" s="102" t="str">
        <f t="shared" si="4"/>
        <v/>
      </c>
      <c r="AC271" s="102" t="str">
        <f t="array" ref="AC271">_xlfn.XLOOKUP(AB271,Stock1!I271,Stock1!F271,"")</f>
        <v/>
      </c>
      <c r="AD271" s="102" t="str">
        <f t="array" ref="AD271">_xlfn.XLOOKUP(AB271,Stock1!I271,Stock1!J271,"")</f>
        <v/>
      </c>
      <c r="AE271" s="102" t="str">
        <f t="array" ref="AE271">_xlfn.XLOOKUP("Storage",Stock1!B271,Stock1!I271,"")</f>
        <v/>
      </c>
      <c r="AF271" s="102" t="str">
        <f t="array" ref="AF271">_xlfn.XLOOKUP(AE271,Stock1!I271,Stock1!F271,"")</f>
        <v/>
      </c>
      <c r="AG271" s="102" t="str">
        <f t="array" ref="AG271">_xlfn.XLOOKUP(AE271,Stock1!I271,Stock1!J271,"")</f>
        <v/>
      </c>
    </row>
    <row r="272">
      <c r="K272" s="660" t="str">
        <f t="array" ref="K272">IFERROR(_xlfn.XLOOKUP(I272,Incentive!B:B,Incentive!E:E,""),"")</f>
        <v/>
      </c>
      <c r="L272" s="659" t="str">
        <f>IFERROR(VLOOKUP(I272,Stock1!F:J,5,False),"")</f>
        <v/>
      </c>
      <c r="M272" s="659" t="str">
        <f>IFERROR(VLOOKUP(I272,Stock2!F:J,5,False),"")</f>
        <v/>
      </c>
      <c r="V272" s="102" t="str">
        <f t="array" ref="V272">_xlfn.XLOOKUP("Charger",Stock1!B272,Stock1!I272,"")</f>
        <v/>
      </c>
      <c r="W272" s="102" t="str">
        <f t="array" ref="W272">_xlfn.XLOOKUP(V272,Stock1!I272,Stock1!F272,"")</f>
        <v/>
      </c>
      <c r="X272" s="102" t="str">
        <f t="array" ref="X272">_xlfn.XLOOKUP(V272,Stock1!I272,Stock1!J272,"")</f>
        <v/>
      </c>
      <c r="Y272" s="102" t="str">
        <f t="array" ref="Y272">_xlfn.XLOOKUP("Screen Protector for Android Phone and Other",Stock1!B272,Stock1!I272,"")</f>
        <v/>
      </c>
      <c r="Z272" s="102" t="str">
        <f t="array" ref="Z272">_xlfn.XLOOKUP("Screen Protector for Galaxy Phone",Stock1!B272,Stock1!I272,"")</f>
        <v/>
      </c>
      <c r="AA272" s="102" t="str">
        <f t="array" ref="AA272">_xlfn.XLOOKUP("Screen Protector for Galaxy Tab",Stock1!B272,Stock1!I272,"")</f>
        <v/>
      </c>
      <c r="AB272" s="102" t="str">
        <f t="shared" si="4"/>
        <v/>
      </c>
      <c r="AC272" s="102" t="str">
        <f t="array" ref="AC272">_xlfn.XLOOKUP(AB272,Stock1!I272,Stock1!F272,"")</f>
        <v/>
      </c>
      <c r="AD272" s="102" t="str">
        <f t="array" ref="AD272">_xlfn.XLOOKUP(AB272,Stock1!I272,Stock1!J272,"")</f>
        <v/>
      </c>
      <c r="AE272" s="102" t="str">
        <f t="array" ref="AE272">_xlfn.XLOOKUP("Storage",Stock1!B272,Stock1!I272,"")</f>
        <v/>
      </c>
      <c r="AF272" s="102" t="str">
        <f t="array" ref="AF272">_xlfn.XLOOKUP(AE272,Stock1!I272,Stock1!F272,"")</f>
        <v/>
      </c>
      <c r="AG272" s="102" t="str">
        <f t="array" ref="AG272">_xlfn.XLOOKUP(AE272,Stock1!I272,Stock1!J272,"")</f>
        <v/>
      </c>
    </row>
    <row r="273">
      <c r="K273" s="660" t="str">
        <f t="array" ref="K273">IFERROR(_xlfn.XLOOKUP(I273,Incentive!B:B,Incentive!E:E,""),"")</f>
        <v/>
      </c>
      <c r="L273" s="659" t="str">
        <f>IFERROR(VLOOKUP(I273,Stock1!F:J,5,False),"")</f>
        <v/>
      </c>
      <c r="M273" s="659" t="str">
        <f>IFERROR(VLOOKUP(I273,Stock2!F:J,5,False),"")</f>
        <v/>
      </c>
      <c r="V273" s="102" t="str">
        <f t="array" ref="V273">_xlfn.XLOOKUP("Charger",Stock1!B273,Stock1!I273,"")</f>
        <v/>
      </c>
      <c r="W273" s="102" t="str">
        <f t="array" ref="W273">_xlfn.XLOOKUP(V273,Stock1!I273,Stock1!F273,"")</f>
        <v/>
      </c>
      <c r="X273" s="102" t="str">
        <f t="array" ref="X273">_xlfn.XLOOKUP(V273,Stock1!I273,Stock1!J273,"")</f>
        <v/>
      </c>
      <c r="Y273" s="102" t="str">
        <f t="array" ref="Y273">_xlfn.XLOOKUP("Screen Protector for Android Phone and Other",Stock1!B273,Stock1!I273,"")</f>
        <v/>
      </c>
      <c r="Z273" s="102" t="str">
        <f t="array" ref="Z273">_xlfn.XLOOKUP("Screen Protector for Galaxy Phone",Stock1!B273,Stock1!I273,"")</f>
        <v/>
      </c>
      <c r="AA273" s="102" t="str">
        <f t="array" ref="AA273">_xlfn.XLOOKUP("Screen Protector for Galaxy Tab",Stock1!B273,Stock1!I273,"")</f>
        <v/>
      </c>
      <c r="AB273" s="102" t="str">
        <f t="shared" si="4"/>
        <v/>
      </c>
      <c r="AC273" s="102" t="str">
        <f t="array" ref="AC273">_xlfn.XLOOKUP(AB273,Stock1!I273,Stock1!F273,"")</f>
        <v/>
      </c>
      <c r="AD273" s="102" t="str">
        <f t="array" ref="AD273">_xlfn.XLOOKUP(AB273,Stock1!I273,Stock1!J273,"")</f>
        <v/>
      </c>
      <c r="AE273" s="102" t="str">
        <f t="array" ref="AE273">_xlfn.XLOOKUP("Storage",Stock1!B273,Stock1!I273,"")</f>
        <v/>
      </c>
      <c r="AF273" s="102" t="str">
        <f t="array" ref="AF273">_xlfn.XLOOKUP(AE273,Stock1!I273,Stock1!F273,"")</f>
        <v/>
      </c>
      <c r="AG273" s="102" t="str">
        <f t="array" ref="AG273">_xlfn.XLOOKUP(AE273,Stock1!I273,Stock1!J273,"")</f>
        <v/>
      </c>
    </row>
    <row r="274">
      <c r="K274" s="660" t="str">
        <f t="array" ref="K274">IFERROR(_xlfn.XLOOKUP(I274,Incentive!B:B,Incentive!E:E,""),"")</f>
        <v/>
      </c>
      <c r="L274" s="659" t="str">
        <f>IFERROR(VLOOKUP(I274,Stock1!F:J,5,False),"")</f>
        <v/>
      </c>
      <c r="M274" s="659" t="str">
        <f>IFERROR(VLOOKUP(I274,Stock2!F:J,5,False),"")</f>
        <v/>
      </c>
      <c r="V274" s="102" t="str">
        <f t="array" ref="V274">_xlfn.XLOOKUP("Charger",Stock1!B274,Stock1!I274,"")</f>
        <v/>
      </c>
      <c r="W274" s="102" t="str">
        <f t="array" ref="W274">_xlfn.XLOOKUP(V274,Stock1!I274,Stock1!F274,"")</f>
        <v/>
      </c>
      <c r="X274" s="102" t="str">
        <f t="array" ref="X274">_xlfn.XLOOKUP(V274,Stock1!I274,Stock1!J274,"")</f>
        <v/>
      </c>
      <c r="Y274" s="102" t="str">
        <f t="array" ref="Y274">_xlfn.XLOOKUP("Screen Protector for Android Phone and Other",Stock1!B274,Stock1!I274,"")</f>
        <v/>
      </c>
      <c r="Z274" s="102" t="str">
        <f t="array" ref="Z274">_xlfn.XLOOKUP("Screen Protector for Galaxy Phone",Stock1!B274,Stock1!I274,"")</f>
        <v/>
      </c>
      <c r="AA274" s="102" t="str">
        <f t="array" ref="AA274">_xlfn.XLOOKUP("Screen Protector for Galaxy Tab",Stock1!B274,Stock1!I274,"")</f>
        <v/>
      </c>
      <c r="AB274" s="102" t="str">
        <f t="shared" si="4"/>
        <v/>
      </c>
      <c r="AC274" s="102" t="str">
        <f t="array" ref="AC274">_xlfn.XLOOKUP(AB274,Stock1!I274,Stock1!F274,"")</f>
        <v/>
      </c>
      <c r="AD274" s="102" t="str">
        <f t="array" ref="AD274">_xlfn.XLOOKUP(AB274,Stock1!I274,Stock1!J274,"")</f>
        <v/>
      </c>
      <c r="AE274" s="102" t="str">
        <f t="array" ref="AE274">_xlfn.XLOOKUP("Storage",Stock1!B274,Stock1!I274,"")</f>
        <v/>
      </c>
      <c r="AF274" s="102" t="str">
        <f t="array" ref="AF274">_xlfn.XLOOKUP(AE274,Stock1!I274,Stock1!F274,"")</f>
        <v/>
      </c>
      <c r="AG274" s="102" t="str">
        <f t="array" ref="AG274">_xlfn.XLOOKUP(AE274,Stock1!I274,Stock1!J274,"")</f>
        <v/>
      </c>
    </row>
    <row r="275">
      <c r="K275" s="660" t="str">
        <f t="array" ref="K275">IFERROR(_xlfn.XLOOKUP(I275,Incentive!B:B,Incentive!E:E,""),"")</f>
        <v/>
      </c>
      <c r="L275" s="659" t="str">
        <f>IFERROR(VLOOKUP(I275,Stock1!F:J,5,False),"")</f>
        <v/>
      </c>
      <c r="M275" s="659" t="str">
        <f>IFERROR(VLOOKUP(I275,Stock2!F:J,5,False),"")</f>
        <v/>
      </c>
      <c r="V275" s="102" t="str">
        <f t="array" ref="V275">_xlfn.XLOOKUP("Charger",Stock1!B275,Stock1!I275,"")</f>
        <v/>
      </c>
      <c r="W275" s="102" t="str">
        <f t="array" ref="W275">_xlfn.XLOOKUP(V275,Stock1!I275,Stock1!F275,"")</f>
        <v/>
      </c>
      <c r="X275" s="102" t="str">
        <f t="array" ref="X275">_xlfn.XLOOKUP(V275,Stock1!I275,Stock1!J275,"")</f>
        <v/>
      </c>
      <c r="Y275" s="102" t="str">
        <f t="array" ref="Y275">_xlfn.XLOOKUP("Screen Protector for Android Phone and Other",Stock1!B275,Stock1!I275,"")</f>
        <v/>
      </c>
      <c r="Z275" s="102" t="str">
        <f t="array" ref="Z275">_xlfn.XLOOKUP("Screen Protector for Galaxy Phone",Stock1!B275,Stock1!I275,"")</f>
        <v/>
      </c>
      <c r="AA275" s="102" t="str">
        <f t="array" ref="AA275">_xlfn.XLOOKUP("Screen Protector for Galaxy Tab",Stock1!B275,Stock1!I275,"")</f>
        <v/>
      </c>
      <c r="AB275" s="102" t="str">
        <f t="shared" si="4"/>
        <v/>
      </c>
      <c r="AC275" s="102" t="str">
        <f t="array" ref="AC275">_xlfn.XLOOKUP(AB275,Stock1!I275,Stock1!F275,"")</f>
        <v/>
      </c>
      <c r="AD275" s="102" t="str">
        <f t="array" ref="AD275">_xlfn.XLOOKUP(AB275,Stock1!I275,Stock1!J275,"")</f>
        <v/>
      </c>
      <c r="AE275" s="102" t="str">
        <f t="array" ref="AE275">_xlfn.XLOOKUP("Storage",Stock1!B275,Stock1!I275,"")</f>
        <v/>
      </c>
      <c r="AF275" s="102" t="str">
        <f t="array" ref="AF275">_xlfn.XLOOKUP(AE275,Stock1!I275,Stock1!F275,"")</f>
        <v/>
      </c>
      <c r="AG275" s="102" t="str">
        <f t="array" ref="AG275">_xlfn.XLOOKUP(AE275,Stock1!I275,Stock1!J275,"")</f>
        <v/>
      </c>
    </row>
    <row r="276">
      <c r="K276" s="660" t="str">
        <f t="array" ref="K276">IFERROR(_xlfn.XLOOKUP(I276,Incentive!B:B,Incentive!E:E,""),"")</f>
        <v/>
      </c>
      <c r="L276" s="659" t="str">
        <f>IFERROR(VLOOKUP(I276,Stock1!F:J,5,False),"")</f>
        <v/>
      </c>
      <c r="M276" s="659" t="str">
        <f>IFERROR(VLOOKUP(I276,Stock2!F:J,5,False),"")</f>
        <v/>
      </c>
      <c r="V276" s="102" t="str">
        <f t="array" ref="V276">_xlfn.XLOOKUP("Charger",Stock1!B276,Stock1!I276,"")</f>
        <v/>
      </c>
      <c r="W276" s="102" t="str">
        <f t="array" ref="W276">_xlfn.XLOOKUP(V276,Stock1!I276,Stock1!F276,"")</f>
        <v/>
      </c>
      <c r="X276" s="102" t="str">
        <f t="array" ref="X276">_xlfn.XLOOKUP(V276,Stock1!I276,Stock1!J276,"")</f>
        <v/>
      </c>
      <c r="Y276" s="102" t="str">
        <f t="array" ref="Y276">_xlfn.XLOOKUP("Screen Protector for Android Phone and Other",Stock1!B276,Stock1!I276,"")</f>
        <v/>
      </c>
      <c r="Z276" s="102" t="str">
        <f t="array" ref="Z276">_xlfn.XLOOKUP("Screen Protector for Galaxy Phone",Stock1!B276,Stock1!I276,"")</f>
        <v/>
      </c>
      <c r="AA276" s="102" t="str">
        <f t="array" ref="AA276">_xlfn.XLOOKUP("Screen Protector for Galaxy Tab",Stock1!B276,Stock1!I276,"")</f>
        <v/>
      </c>
      <c r="AB276" s="102" t="str">
        <f t="shared" si="4"/>
        <v/>
      </c>
      <c r="AC276" s="102" t="str">
        <f t="array" ref="AC276">_xlfn.XLOOKUP(AB276,Stock1!I276,Stock1!F276,"")</f>
        <v/>
      </c>
      <c r="AD276" s="102" t="str">
        <f t="array" ref="AD276">_xlfn.XLOOKUP(AB276,Stock1!I276,Stock1!J276,"")</f>
        <v/>
      </c>
      <c r="AE276" s="102" t="str">
        <f t="array" ref="AE276">_xlfn.XLOOKUP("Storage",Stock1!B276,Stock1!I276,"")</f>
        <v/>
      </c>
      <c r="AF276" s="102" t="str">
        <f t="array" ref="AF276">_xlfn.XLOOKUP(AE276,Stock1!I276,Stock1!F276,"")</f>
        <v/>
      </c>
      <c r="AG276" s="102" t="str">
        <f t="array" ref="AG276">_xlfn.XLOOKUP(AE276,Stock1!I276,Stock1!J276,"")</f>
        <v/>
      </c>
    </row>
    <row r="277">
      <c r="K277" s="660" t="str">
        <f t="array" ref="K277">IFERROR(_xlfn.XLOOKUP(I277,Incentive!B:B,Incentive!E:E,""),"")</f>
        <v/>
      </c>
      <c r="L277" s="659" t="str">
        <f>IFERROR(VLOOKUP(I277,Stock1!F:J,5,False),"")</f>
        <v/>
      </c>
      <c r="M277" s="659" t="str">
        <f>IFERROR(VLOOKUP(I277,Stock2!F:J,5,False),"")</f>
        <v/>
      </c>
      <c r="V277" s="102" t="str">
        <f t="array" ref="V277">_xlfn.XLOOKUP("Charger",Stock1!B277,Stock1!I277,"")</f>
        <v/>
      </c>
      <c r="W277" s="102" t="str">
        <f t="array" ref="W277">_xlfn.XLOOKUP(V277,Stock1!I277,Stock1!F277,"")</f>
        <v/>
      </c>
      <c r="X277" s="102" t="str">
        <f t="array" ref="X277">_xlfn.XLOOKUP(V277,Stock1!I277,Stock1!J277,"")</f>
        <v/>
      </c>
      <c r="Y277" s="102" t="str">
        <f t="array" ref="Y277">_xlfn.XLOOKUP("Screen Protector for Android Phone and Other",Stock1!B277,Stock1!I277,"")</f>
        <v/>
      </c>
      <c r="Z277" s="102" t="str">
        <f t="array" ref="Z277">_xlfn.XLOOKUP("Screen Protector for Galaxy Phone",Stock1!B277,Stock1!I277,"")</f>
        <v/>
      </c>
      <c r="AA277" s="102" t="str">
        <f t="array" ref="AA277">_xlfn.XLOOKUP("Screen Protector for Galaxy Tab",Stock1!B277,Stock1!I277,"")</f>
        <v/>
      </c>
      <c r="AB277" s="102" t="str">
        <f t="shared" si="4"/>
        <v/>
      </c>
      <c r="AC277" s="102" t="str">
        <f t="array" ref="AC277">_xlfn.XLOOKUP(AB277,Stock1!I277,Stock1!F277,"")</f>
        <v/>
      </c>
      <c r="AD277" s="102" t="str">
        <f t="array" ref="AD277">_xlfn.XLOOKUP(AB277,Stock1!I277,Stock1!J277,"")</f>
        <v/>
      </c>
      <c r="AE277" s="102" t="str">
        <f t="array" ref="AE277">_xlfn.XLOOKUP("Storage",Stock1!B277,Stock1!I277,"")</f>
        <v/>
      </c>
      <c r="AF277" s="102" t="str">
        <f t="array" ref="AF277">_xlfn.XLOOKUP(AE277,Stock1!I277,Stock1!F277,"")</f>
        <v/>
      </c>
      <c r="AG277" s="102" t="str">
        <f t="array" ref="AG277">_xlfn.XLOOKUP(AE277,Stock1!I277,Stock1!J277,"")</f>
        <v/>
      </c>
    </row>
    <row r="278">
      <c r="K278" s="660" t="str">
        <f t="array" ref="K278">IFERROR(_xlfn.XLOOKUP(I278,Incentive!B:B,Incentive!E:E,""),"")</f>
        <v/>
      </c>
      <c r="L278" s="659" t="str">
        <f>IFERROR(VLOOKUP(I278,Stock1!F:J,5,False),"")</f>
        <v/>
      </c>
      <c r="M278" s="659" t="str">
        <f>IFERROR(VLOOKUP(I278,Stock2!F:J,5,False),"")</f>
        <v/>
      </c>
      <c r="V278" s="102" t="str">
        <f t="array" ref="V278">_xlfn.XLOOKUP("Charger",Stock1!B278,Stock1!I278,"")</f>
        <v/>
      </c>
      <c r="W278" s="102" t="str">
        <f t="array" ref="W278">_xlfn.XLOOKUP(V278,Stock1!I278,Stock1!F278,"")</f>
        <v/>
      </c>
      <c r="X278" s="102" t="str">
        <f t="array" ref="X278">_xlfn.XLOOKUP(V278,Stock1!I278,Stock1!J278,"")</f>
        <v/>
      </c>
      <c r="Y278" s="102" t="str">
        <f t="array" ref="Y278">_xlfn.XLOOKUP("Screen Protector for Android Phone and Other",Stock1!B278,Stock1!I278,"")</f>
        <v/>
      </c>
      <c r="Z278" s="102" t="str">
        <f t="array" ref="Z278">_xlfn.XLOOKUP("Screen Protector for Galaxy Phone",Stock1!B278,Stock1!I278,"")</f>
        <v/>
      </c>
      <c r="AA278" s="102" t="str">
        <f t="array" ref="AA278">_xlfn.XLOOKUP("Screen Protector for Galaxy Tab",Stock1!B278,Stock1!I278,"")</f>
        <v/>
      </c>
      <c r="AB278" s="102" t="str">
        <f t="shared" si="4"/>
        <v/>
      </c>
      <c r="AC278" s="102" t="str">
        <f t="array" ref="AC278">_xlfn.XLOOKUP(AB278,Stock1!I278,Stock1!F278,"")</f>
        <v/>
      </c>
      <c r="AD278" s="102" t="str">
        <f t="array" ref="AD278">_xlfn.XLOOKUP(AB278,Stock1!I278,Stock1!J278,"")</f>
        <v/>
      </c>
      <c r="AE278" s="102" t="str">
        <f t="array" ref="AE278">_xlfn.XLOOKUP("Storage",Stock1!B278,Stock1!I278,"")</f>
        <v/>
      </c>
      <c r="AF278" s="102" t="str">
        <f t="array" ref="AF278">_xlfn.XLOOKUP(AE278,Stock1!I278,Stock1!F278,"")</f>
        <v/>
      </c>
      <c r="AG278" s="102" t="str">
        <f t="array" ref="AG278">_xlfn.XLOOKUP(AE278,Stock1!I278,Stock1!J278,"")</f>
        <v/>
      </c>
    </row>
    <row r="279">
      <c r="K279" s="660" t="str">
        <f t="array" ref="K279">IFERROR(_xlfn.XLOOKUP(I279,Incentive!B:B,Incentive!E:E,""),"")</f>
        <v/>
      </c>
      <c r="L279" s="659" t="str">
        <f>IFERROR(VLOOKUP(I279,Stock1!F:J,5,False),"")</f>
        <v/>
      </c>
      <c r="M279" s="659" t="str">
        <f>IFERROR(VLOOKUP(I279,Stock2!F:J,5,False),"")</f>
        <v/>
      </c>
      <c r="V279" s="102" t="str">
        <f t="array" ref="V279">_xlfn.XLOOKUP("Charger",Stock1!B279,Stock1!I279,"")</f>
        <v/>
      </c>
      <c r="W279" s="102" t="str">
        <f t="array" ref="W279">_xlfn.XLOOKUP(V279,Stock1!I279,Stock1!F279,"")</f>
        <v/>
      </c>
      <c r="X279" s="102" t="str">
        <f t="array" ref="X279">_xlfn.XLOOKUP(V279,Stock1!I279,Stock1!J279,"")</f>
        <v/>
      </c>
      <c r="Y279" s="102" t="str">
        <f t="array" ref="Y279">_xlfn.XLOOKUP("Screen Protector for Android Phone and Other",Stock1!B279,Stock1!I279,"")</f>
        <v/>
      </c>
      <c r="Z279" s="102" t="str">
        <f t="array" ref="Z279">_xlfn.XLOOKUP("Screen Protector for Galaxy Phone",Stock1!B279,Stock1!I279,"")</f>
        <v/>
      </c>
      <c r="AA279" s="102" t="str">
        <f t="array" ref="AA279">_xlfn.XLOOKUP("Screen Protector for Galaxy Tab",Stock1!B279,Stock1!I279,"")</f>
        <v/>
      </c>
      <c r="AB279" s="102" t="str">
        <f t="shared" si="4"/>
        <v/>
      </c>
      <c r="AC279" s="102" t="str">
        <f t="array" ref="AC279">_xlfn.XLOOKUP(AB279,Stock1!I279,Stock1!F279,"")</f>
        <v/>
      </c>
      <c r="AD279" s="102" t="str">
        <f t="array" ref="AD279">_xlfn.XLOOKUP(AB279,Stock1!I279,Stock1!J279,"")</f>
        <v/>
      </c>
      <c r="AE279" s="102" t="str">
        <f t="array" ref="AE279">_xlfn.XLOOKUP("Storage",Stock1!B279,Stock1!I279,"")</f>
        <v/>
      </c>
      <c r="AF279" s="102" t="str">
        <f t="array" ref="AF279">_xlfn.XLOOKUP(AE279,Stock1!I279,Stock1!F279,"")</f>
        <v/>
      </c>
      <c r="AG279" s="102" t="str">
        <f t="array" ref="AG279">_xlfn.XLOOKUP(AE279,Stock1!I279,Stock1!J279,"")</f>
        <v/>
      </c>
    </row>
    <row r="280">
      <c r="K280" s="660" t="str">
        <f t="array" ref="K280">IFERROR(_xlfn.XLOOKUP(I280,Incentive!B:B,Incentive!E:E,""),"")</f>
        <v/>
      </c>
      <c r="L280" s="659" t="str">
        <f>IFERROR(VLOOKUP(I280,Stock1!F:J,5,False),"")</f>
        <v/>
      </c>
      <c r="M280" s="659" t="str">
        <f>IFERROR(VLOOKUP(I280,Stock2!F:J,5,False),"")</f>
        <v/>
      </c>
      <c r="V280" s="102" t="str">
        <f t="array" ref="V280">_xlfn.XLOOKUP("Charger",Stock1!B280,Stock1!I280,"")</f>
        <v/>
      </c>
      <c r="W280" s="102" t="str">
        <f t="array" ref="W280">_xlfn.XLOOKUP(V280,Stock1!I280,Stock1!F280,"")</f>
        <v/>
      </c>
      <c r="X280" s="102" t="str">
        <f t="array" ref="X280">_xlfn.XLOOKUP(V280,Stock1!I280,Stock1!J280,"")</f>
        <v/>
      </c>
      <c r="Y280" s="102" t="str">
        <f t="array" ref="Y280">_xlfn.XLOOKUP("Screen Protector for Android Phone and Other",Stock1!B280,Stock1!I280,"")</f>
        <v/>
      </c>
      <c r="Z280" s="102" t="str">
        <f t="array" ref="Z280">_xlfn.XLOOKUP("Screen Protector for Galaxy Phone",Stock1!B280,Stock1!I280,"")</f>
        <v/>
      </c>
      <c r="AA280" s="102" t="str">
        <f t="array" ref="AA280">_xlfn.XLOOKUP("Screen Protector for Galaxy Tab",Stock1!B280,Stock1!I280,"")</f>
        <v/>
      </c>
      <c r="AB280" s="102" t="str">
        <f t="shared" si="4"/>
        <v/>
      </c>
      <c r="AC280" s="102" t="str">
        <f t="array" ref="AC280">_xlfn.XLOOKUP(AB280,Stock1!I280,Stock1!F280,"")</f>
        <v/>
      </c>
      <c r="AD280" s="102" t="str">
        <f t="array" ref="AD280">_xlfn.XLOOKUP(AB280,Stock1!I280,Stock1!J280,"")</f>
        <v/>
      </c>
      <c r="AE280" s="102" t="str">
        <f t="array" ref="AE280">_xlfn.XLOOKUP("Storage",Stock1!B280,Stock1!I280,"")</f>
        <v/>
      </c>
      <c r="AF280" s="102" t="str">
        <f t="array" ref="AF280">_xlfn.XLOOKUP(AE280,Stock1!I280,Stock1!F280,"")</f>
        <v/>
      </c>
      <c r="AG280" s="102" t="str">
        <f t="array" ref="AG280">_xlfn.XLOOKUP(AE280,Stock1!I280,Stock1!J280,"")</f>
        <v/>
      </c>
    </row>
    <row r="281">
      <c r="K281" s="660" t="str">
        <f t="array" ref="K281">IFERROR(_xlfn.XLOOKUP(I281,Incentive!B:B,Incentive!E:E,""),"")</f>
        <v/>
      </c>
      <c r="L281" s="659" t="str">
        <f>IFERROR(VLOOKUP(I281,Stock1!F:J,5,False),"")</f>
        <v/>
      </c>
      <c r="M281" s="659" t="str">
        <f>IFERROR(VLOOKUP(I281,Stock2!F:J,5,False),"")</f>
        <v/>
      </c>
      <c r="V281" s="102" t="str">
        <f t="array" ref="V281">_xlfn.XLOOKUP("Charger",Stock1!B281,Stock1!I281,"")</f>
        <v/>
      </c>
      <c r="W281" s="102" t="str">
        <f t="array" ref="W281">_xlfn.XLOOKUP(V281,Stock1!I281,Stock1!F281,"")</f>
        <v/>
      </c>
      <c r="X281" s="102" t="str">
        <f t="array" ref="X281">_xlfn.XLOOKUP(V281,Stock1!I281,Stock1!J281,"")</f>
        <v/>
      </c>
      <c r="Y281" s="102" t="str">
        <f t="array" ref="Y281">_xlfn.XLOOKUP("Screen Protector for Android Phone and Other",Stock1!B281,Stock1!I281,"")</f>
        <v/>
      </c>
      <c r="Z281" s="102" t="str">
        <f t="array" ref="Z281">_xlfn.XLOOKUP("Screen Protector for Galaxy Phone",Stock1!B281,Stock1!I281,"")</f>
        <v/>
      </c>
      <c r="AA281" s="102" t="str">
        <f t="array" ref="AA281">_xlfn.XLOOKUP("Screen Protector for Galaxy Tab",Stock1!B281,Stock1!I281,"")</f>
        <v/>
      </c>
      <c r="AB281" s="102" t="str">
        <f t="shared" si="4"/>
        <v/>
      </c>
      <c r="AC281" s="102" t="str">
        <f t="array" ref="AC281">_xlfn.XLOOKUP(AB281,Stock1!I281,Stock1!F281,"")</f>
        <v/>
      </c>
      <c r="AD281" s="102" t="str">
        <f t="array" ref="AD281">_xlfn.XLOOKUP(AB281,Stock1!I281,Stock1!J281,"")</f>
        <v/>
      </c>
      <c r="AE281" s="102" t="str">
        <f t="array" ref="AE281">_xlfn.XLOOKUP("Storage",Stock1!B281,Stock1!I281,"")</f>
        <v/>
      </c>
      <c r="AF281" s="102" t="str">
        <f t="array" ref="AF281">_xlfn.XLOOKUP(AE281,Stock1!I281,Stock1!F281,"")</f>
        <v/>
      </c>
      <c r="AG281" s="102" t="str">
        <f t="array" ref="AG281">_xlfn.XLOOKUP(AE281,Stock1!I281,Stock1!J281,"")</f>
        <v/>
      </c>
    </row>
    <row r="282">
      <c r="K282" s="660" t="str">
        <f t="array" ref="K282">IFERROR(_xlfn.XLOOKUP(I282,Incentive!B:B,Incentive!E:E,""),"")</f>
        <v/>
      </c>
      <c r="L282" s="659" t="str">
        <f>IFERROR(VLOOKUP(I282,Stock1!F:J,5,False),"")</f>
        <v/>
      </c>
      <c r="M282" s="659" t="str">
        <f>IFERROR(VLOOKUP(I282,Stock2!F:J,5,False),"")</f>
        <v/>
      </c>
      <c r="V282" s="102" t="str">
        <f t="array" ref="V282">_xlfn.XLOOKUP("Charger",Stock1!B282,Stock1!I282,"")</f>
        <v/>
      </c>
      <c r="W282" s="102" t="str">
        <f t="array" ref="W282">_xlfn.XLOOKUP(V282,Stock1!I282,Stock1!F282,"")</f>
        <v/>
      </c>
      <c r="X282" s="102" t="str">
        <f t="array" ref="X282">_xlfn.XLOOKUP(V282,Stock1!I282,Stock1!J282,"")</f>
        <v/>
      </c>
      <c r="Y282" s="102" t="str">
        <f t="array" ref="Y282">_xlfn.XLOOKUP("Screen Protector for Android Phone and Other",Stock1!B282,Stock1!I282,"")</f>
        <v/>
      </c>
      <c r="Z282" s="102" t="str">
        <f t="array" ref="Z282">_xlfn.XLOOKUP("Screen Protector for Galaxy Phone",Stock1!B282,Stock1!I282,"")</f>
        <v/>
      </c>
      <c r="AA282" s="102" t="str">
        <f t="array" ref="AA282">_xlfn.XLOOKUP("Screen Protector for Galaxy Tab",Stock1!B282,Stock1!I282,"")</f>
        <v/>
      </c>
      <c r="AB282" s="102" t="str">
        <f t="shared" si="4"/>
        <v/>
      </c>
      <c r="AC282" s="102" t="str">
        <f t="array" ref="AC282">_xlfn.XLOOKUP(AB282,Stock1!I282,Stock1!F282,"")</f>
        <v/>
      </c>
      <c r="AD282" s="102" t="str">
        <f t="array" ref="AD282">_xlfn.XLOOKUP(AB282,Stock1!I282,Stock1!J282,"")</f>
        <v/>
      </c>
      <c r="AE282" s="102" t="str">
        <f t="array" ref="AE282">_xlfn.XLOOKUP("Storage",Stock1!B282,Stock1!I282,"")</f>
        <v/>
      </c>
      <c r="AF282" s="102" t="str">
        <f t="array" ref="AF282">_xlfn.XLOOKUP(AE282,Stock1!I282,Stock1!F282,"")</f>
        <v/>
      </c>
      <c r="AG282" s="102" t="str">
        <f t="array" ref="AG282">_xlfn.XLOOKUP(AE282,Stock1!I282,Stock1!J282,"")</f>
        <v/>
      </c>
    </row>
    <row r="283">
      <c r="K283" s="660" t="str">
        <f t="array" ref="K283">IFERROR(_xlfn.XLOOKUP(I283,Incentive!B:B,Incentive!E:E,""),"")</f>
        <v/>
      </c>
      <c r="L283" s="659" t="str">
        <f>IFERROR(VLOOKUP(I283,Stock1!F:J,5,False),"")</f>
        <v/>
      </c>
      <c r="M283" s="659" t="str">
        <f>IFERROR(VLOOKUP(I283,Stock2!F:J,5,False),"")</f>
        <v/>
      </c>
      <c r="V283" s="102" t="str">
        <f t="array" ref="V283">_xlfn.XLOOKUP("Charger",Stock1!B283,Stock1!I283,"")</f>
        <v/>
      </c>
      <c r="W283" s="102" t="str">
        <f t="array" ref="W283">_xlfn.XLOOKUP(V283,Stock1!I283,Stock1!F283,"")</f>
        <v/>
      </c>
      <c r="X283" s="102" t="str">
        <f t="array" ref="X283">_xlfn.XLOOKUP(V283,Stock1!I283,Stock1!J283,"")</f>
        <v/>
      </c>
      <c r="Y283" s="102" t="str">
        <f t="array" ref="Y283">_xlfn.XLOOKUP("Screen Protector for Android Phone and Other",Stock1!B283,Stock1!I283,"")</f>
        <v/>
      </c>
      <c r="Z283" s="102" t="str">
        <f t="array" ref="Z283">_xlfn.XLOOKUP("Screen Protector for Galaxy Phone",Stock1!B283,Stock1!I283,"")</f>
        <v/>
      </c>
      <c r="AA283" s="102" t="str">
        <f t="array" ref="AA283">_xlfn.XLOOKUP("Screen Protector for Galaxy Tab",Stock1!B283,Stock1!I283,"")</f>
        <v/>
      </c>
      <c r="AB283" s="102" t="str">
        <f t="shared" si="4"/>
        <v/>
      </c>
      <c r="AC283" s="102" t="str">
        <f t="array" ref="AC283">_xlfn.XLOOKUP(AB283,Stock1!I283,Stock1!F283,"")</f>
        <v/>
      </c>
      <c r="AD283" s="102" t="str">
        <f t="array" ref="AD283">_xlfn.XLOOKUP(AB283,Stock1!I283,Stock1!J283,"")</f>
        <v/>
      </c>
      <c r="AE283" s="102" t="str">
        <f t="array" ref="AE283">_xlfn.XLOOKUP("Storage",Stock1!B283,Stock1!I283,"")</f>
        <v/>
      </c>
      <c r="AF283" s="102" t="str">
        <f t="array" ref="AF283">_xlfn.XLOOKUP(AE283,Stock1!I283,Stock1!F283,"")</f>
        <v/>
      </c>
      <c r="AG283" s="102" t="str">
        <f t="array" ref="AG283">_xlfn.XLOOKUP(AE283,Stock1!I283,Stock1!J283,"")</f>
        <v/>
      </c>
    </row>
    <row r="284">
      <c r="K284" s="660" t="str">
        <f t="array" ref="K284">IFERROR(_xlfn.XLOOKUP(I284,Incentive!B:B,Incentive!E:E,""),"")</f>
        <v/>
      </c>
      <c r="L284" s="659" t="str">
        <f>IFERROR(VLOOKUP(I284,Stock1!F:J,5,False),"")</f>
        <v/>
      </c>
      <c r="M284" s="659" t="str">
        <f>IFERROR(VLOOKUP(I284,Stock2!F:J,5,False),"")</f>
        <v/>
      </c>
      <c r="V284" s="102" t="str">
        <f t="array" ref="V284">_xlfn.XLOOKUP("Charger",Stock1!B284,Stock1!I284,"")</f>
        <v/>
      </c>
      <c r="W284" s="102" t="str">
        <f t="array" ref="W284">_xlfn.XLOOKUP(V284,Stock1!I284,Stock1!F284,"")</f>
        <v/>
      </c>
      <c r="X284" s="102" t="str">
        <f t="array" ref="X284">_xlfn.XLOOKUP(V284,Stock1!I284,Stock1!J284,"")</f>
        <v/>
      </c>
      <c r="Y284" s="102" t="str">
        <f t="array" ref="Y284">_xlfn.XLOOKUP("Screen Protector for Android Phone and Other",Stock1!B284,Stock1!I284,"")</f>
        <v/>
      </c>
      <c r="Z284" s="102" t="str">
        <f t="array" ref="Z284">_xlfn.XLOOKUP("Screen Protector for Galaxy Phone",Stock1!B284,Stock1!I284,"")</f>
        <v/>
      </c>
      <c r="AA284" s="102" t="str">
        <f t="array" ref="AA284">_xlfn.XLOOKUP("Screen Protector for Galaxy Tab",Stock1!B284,Stock1!I284,"")</f>
        <v/>
      </c>
      <c r="AB284" s="102" t="str">
        <f t="shared" si="4"/>
        <v/>
      </c>
      <c r="AC284" s="102" t="str">
        <f t="array" ref="AC284">_xlfn.XLOOKUP(AB284,Stock1!I284,Stock1!F284,"")</f>
        <v/>
      </c>
      <c r="AD284" s="102" t="str">
        <f t="array" ref="AD284">_xlfn.XLOOKUP(AB284,Stock1!I284,Stock1!J284,"")</f>
        <v/>
      </c>
      <c r="AE284" s="102" t="str">
        <f t="array" ref="AE284">_xlfn.XLOOKUP("Storage",Stock1!B284,Stock1!I284,"")</f>
        <v/>
      </c>
      <c r="AF284" s="102" t="str">
        <f t="array" ref="AF284">_xlfn.XLOOKUP(AE284,Stock1!I284,Stock1!F284,"")</f>
        <v/>
      </c>
      <c r="AG284" s="102" t="str">
        <f t="array" ref="AG284">_xlfn.XLOOKUP(AE284,Stock1!I284,Stock1!J284,"")</f>
        <v/>
      </c>
    </row>
    <row r="285">
      <c r="K285" s="660" t="str">
        <f t="array" ref="K285">IFERROR(_xlfn.XLOOKUP(I285,Incentive!B:B,Incentive!E:E,""),"")</f>
        <v/>
      </c>
      <c r="L285" s="659" t="str">
        <f>IFERROR(VLOOKUP(I285,Stock1!F:J,5,False),"")</f>
        <v/>
      </c>
      <c r="M285" s="659" t="str">
        <f>IFERROR(VLOOKUP(I285,Stock2!F:J,5,False),"")</f>
        <v/>
      </c>
      <c r="V285" s="102" t="str">
        <f t="array" ref="V285">_xlfn.XLOOKUP("Charger",Stock1!B285,Stock1!I285,"")</f>
        <v/>
      </c>
      <c r="W285" s="102" t="str">
        <f t="array" ref="W285">_xlfn.XLOOKUP(V285,Stock1!I285,Stock1!F285,"")</f>
        <v/>
      </c>
      <c r="X285" s="102" t="str">
        <f t="array" ref="X285">_xlfn.XLOOKUP(V285,Stock1!I285,Stock1!J285,"")</f>
        <v/>
      </c>
      <c r="Y285" s="102" t="str">
        <f t="array" ref="Y285">_xlfn.XLOOKUP("Screen Protector for Android Phone and Other",Stock1!B285,Stock1!I285,"")</f>
        <v/>
      </c>
      <c r="Z285" s="102" t="str">
        <f t="array" ref="Z285">_xlfn.XLOOKUP("Screen Protector for Galaxy Phone",Stock1!B285,Stock1!I285,"")</f>
        <v/>
      </c>
      <c r="AA285" s="102" t="str">
        <f t="array" ref="AA285">_xlfn.XLOOKUP("Screen Protector for Galaxy Tab",Stock1!B285,Stock1!I285,"")</f>
        <v/>
      </c>
      <c r="AB285" s="102" t="str">
        <f t="shared" si="4"/>
        <v/>
      </c>
      <c r="AC285" s="102" t="str">
        <f t="array" ref="AC285">_xlfn.XLOOKUP(AB285,Stock1!I285,Stock1!F285,"")</f>
        <v/>
      </c>
      <c r="AD285" s="102" t="str">
        <f t="array" ref="AD285">_xlfn.XLOOKUP(AB285,Stock1!I285,Stock1!J285,"")</f>
        <v/>
      </c>
      <c r="AE285" s="102" t="str">
        <f t="array" ref="AE285">_xlfn.XLOOKUP("Storage",Stock1!B285,Stock1!I285,"")</f>
        <v/>
      </c>
      <c r="AF285" s="102" t="str">
        <f t="array" ref="AF285">_xlfn.XLOOKUP(AE285,Stock1!I285,Stock1!F285,"")</f>
        <v/>
      </c>
      <c r="AG285" s="102" t="str">
        <f t="array" ref="AG285">_xlfn.XLOOKUP(AE285,Stock1!I285,Stock1!J285,"")</f>
        <v/>
      </c>
    </row>
    <row r="286">
      <c r="K286" s="660" t="str">
        <f t="array" ref="K286">IFERROR(_xlfn.XLOOKUP(I286,Incentive!B:B,Incentive!E:E,""),"")</f>
        <v/>
      </c>
      <c r="L286" s="659" t="str">
        <f>IFERROR(VLOOKUP(I286,Stock1!F:J,5,False),"")</f>
        <v/>
      </c>
      <c r="M286" s="659" t="str">
        <f>IFERROR(VLOOKUP(I286,Stock2!F:J,5,False),"")</f>
        <v/>
      </c>
      <c r="V286" s="102" t="str">
        <f t="array" ref="V286">_xlfn.XLOOKUP("Charger",Stock1!B286,Stock1!I286,"")</f>
        <v/>
      </c>
      <c r="W286" s="102" t="str">
        <f t="array" ref="W286">_xlfn.XLOOKUP(V286,Stock1!I286,Stock1!F286,"")</f>
        <v/>
      </c>
      <c r="X286" s="102" t="str">
        <f t="array" ref="X286">_xlfn.XLOOKUP(V286,Stock1!I286,Stock1!J286,"")</f>
        <v/>
      </c>
      <c r="Y286" s="102" t="str">
        <f t="array" ref="Y286">_xlfn.XLOOKUP("Screen Protector for Android Phone and Other",Stock1!B286,Stock1!I286,"")</f>
        <v/>
      </c>
      <c r="Z286" s="102" t="str">
        <f t="array" ref="Z286">_xlfn.XLOOKUP("Screen Protector for Galaxy Phone",Stock1!B286,Stock1!I286,"")</f>
        <v/>
      </c>
      <c r="AA286" s="102" t="str">
        <f t="array" ref="AA286">_xlfn.XLOOKUP("Screen Protector for Galaxy Tab",Stock1!B286,Stock1!I286,"")</f>
        <v/>
      </c>
      <c r="AB286" s="102" t="str">
        <f t="shared" si="4"/>
        <v/>
      </c>
      <c r="AC286" s="102" t="str">
        <f t="array" ref="AC286">_xlfn.XLOOKUP(AB286,Stock1!I286,Stock1!F286,"")</f>
        <v/>
      </c>
      <c r="AD286" s="102" t="str">
        <f t="array" ref="AD286">_xlfn.XLOOKUP(AB286,Stock1!I286,Stock1!J286,"")</f>
        <v/>
      </c>
      <c r="AE286" s="102" t="str">
        <f t="array" ref="AE286">_xlfn.XLOOKUP("Storage",Stock1!B286,Stock1!I286,"")</f>
        <v/>
      </c>
      <c r="AF286" s="102" t="str">
        <f t="array" ref="AF286">_xlfn.XLOOKUP(AE286,Stock1!I286,Stock1!F286,"")</f>
        <v/>
      </c>
      <c r="AG286" s="102" t="str">
        <f t="array" ref="AG286">_xlfn.XLOOKUP(AE286,Stock1!I286,Stock1!J286,"")</f>
        <v/>
      </c>
    </row>
    <row r="287">
      <c r="K287" s="660" t="str">
        <f t="array" ref="K287">IFERROR(_xlfn.XLOOKUP(I287,Incentive!B:B,Incentive!E:E,""),"")</f>
        <v/>
      </c>
      <c r="L287" s="659" t="str">
        <f>IFERROR(VLOOKUP(I287,Stock1!F:J,5,False),"")</f>
        <v/>
      </c>
      <c r="M287" s="659" t="str">
        <f>IFERROR(VLOOKUP(I287,Stock2!F:J,5,False),"")</f>
        <v/>
      </c>
      <c r="V287" s="102" t="str">
        <f t="array" ref="V287">_xlfn.XLOOKUP("Charger",Stock1!B287,Stock1!I287,"")</f>
        <v/>
      </c>
      <c r="W287" s="102" t="str">
        <f t="array" ref="W287">_xlfn.XLOOKUP(V287,Stock1!I287,Stock1!F287,"")</f>
        <v/>
      </c>
      <c r="X287" s="102" t="str">
        <f t="array" ref="X287">_xlfn.XLOOKUP(V287,Stock1!I287,Stock1!J287,"")</f>
        <v/>
      </c>
      <c r="Y287" s="102" t="str">
        <f t="array" ref="Y287">_xlfn.XLOOKUP("Screen Protector for Android Phone and Other",Stock1!B287,Stock1!I287,"")</f>
        <v/>
      </c>
      <c r="Z287" s="102" t="str">
        <f t="array" ref="Z287">_xlfn.XLOOKUP("Screen Protector for Galaxy Phone",Stock1!B287,Stock1!I287,"")</f>
        <v/>
      </c>
      <c r="AA287" s="102" t="str">
        <f t="array" ref="AA287">_xlfn.XLOOKUP("Screen Protector for Galaxy Tab",Stock1!B287,Stock1!I287,"")</f>
        <v/>
      </c>
      <c r="AB287" s="102" t="str">
        <f t="shared" si="4"/>
        <v/>
      </c>
      <c r="AC287" s="102" t="str">
        <f t="array" ref="AC287">_xlfn.XLOOKUP(AB287,Stock1!I287,Stock1!F287,"")</f>
        <v/>
      </c>
      <c r="AD287" s="102" t="str">
        <f t="array" ref="AD287">_xlfn.XLOOKUP(AB287,Stock1!I287,Stock1!J287,"")</f>
        <v/>
      </c>
      <c r="AE287" s="102" t="str">
        <f t="array" ref="AE287">_xlfn.XLOOKUP("Storage",Stock1!B287,Stock1!I287,"")</f>
        <v/>
      </c>
      <c r="AF287" s="102" t="str">
        <f t="array" ref="AF287">_xlfn.XLOOKUP(AE287,Stock1!I287,Stock1!F287,"")</f>
        <v/>
      </c>
      <c r="AG287" s="102" t="str">
        <f t="array" ref="AG287">_xlfn.XLOOKUP(AE287,Stock1!I287,Stock1!J287,"")</f>
        <v/>
      </c>
    </row>
    <row r="288">
      <c r="K288" s="660" t="str">
        <f t="array" ref="K288">IFERROR(_xlfn.XLOOKUP(I288,Incentive!B:B,Incentive!E:E,""),"")</f>
        <v/>
      </c>
      <c r="L288" s="659" t="str">
        <f>IFERROR(VLOOKUP(I288,Stock1!F:J,5,False),"")</f>
        <v/>
      </c>
      <c r="M288" s="659" t="str">
        <f>IFERROR(VLOOKUP(I288,Stock2!F:J,5,False),"")</f>
        <v/>
      </c>
      <c r="V288" s="102" t="str">
        <f t="array" ref="V288">_xlfn.XLOOKUP("Charger",Stock1!B288,Stock1!I288,"")</f>
        <v/>
      </c>
      <c r="W288" s="102" t="str">
        <f t="array" ref="W288">_xlfn.XLOOKUP(V288,Stock1!I288,Stock1!F288,"")</f>
        <v/>
      </c>
      <c r="X288" s="102" t="str">
        <f t="array" ref="X288">_xlfn.XLOOKUP(V288,Stock1!I288,Stock1!J288,"")</f>
        <v/>
      </c>
      <c r="Y288" s="102" t="str">
        <f t="array" ref="Y288">_xlfn.XLOOKUP("Screen Protector for Android Phone and Other",Stock1!B288,Stock1!I288,"")</f>
        <v/>
      </c>
      <c r="Z288" s="102" t="str">
        <f t="array" ref="Z288">_xlfn.XLOOKUP("Screen Protector for Galaxy Phone",Stock1!B288,Stock1!I288,"")</f>
        <v/>
      </c>
      <c r="AA288" s="102" t="str">
        <f t="array" ref="AA288">_xlfn.XLOOKUP("Screen Protector for Galaxy Tab",Stock1!B288,Stock1!I288,"")</f>
        <v/>
      </c>
      <c r="AB288" s="102" t="str">
        <f t="shared" si="4"/>
        <v/>
      </c>
      <c r="AC288" s="102" t="str">
        <f t="array" ref="AC288">_xlfn.XLOOKUP(AB288,Stock1!I288,Stock1!F288,"")</f>
        <v/>
      </c>
      <c r="AD288" s="102" t="str">
        <f t="array" ref="AD288">_xlfn.XLOOKUP(AB288,Stock1!I288,Stock1!J288,"")</f>
        <v/>
      </c>
      <c r="AE288" s="102" t="str">
        <f t="array" ref="AE288">_xlfn.XLOOKUP("Storage",Stock1!B288,Stock1!I288,"")</f>
        <v/>
      </c>
      <c r="AF288" s="102" t="str">
        <f t="array" ref="AF288">_xlfn.XLOOKUP(AE288,Stock1!I288,Stock1!F288,"")</f>
        <v/>
      </c>
      <c r="AG288" s="102" t="str">
        <f t="array" ref="AG288">_xlfn.XLOOKUP(AE288,Stock1!I288,Stock1!J288,"")</f>
        <v/>
      </c>
    </row>
    <row r="289">
      <c r="K289" s="660" t="str">
        <f t="array" ref="K289">IFERROR(_xlfn.XLOOKUP(I289,Incentive!B:B,Incentive!E:E,""),"")</f>
        <v/>
      </c>
      <c r="L289" s="659" t="str">
        <f>IFERROR(VLOOKUP(I289,Stock1!F:J,5,False),"")</f>
        <v/>
      </c>
      <c r="M289" s="659" t="str">
        <f>IFERROR(VLOOKUP(I289,Stock2!F:J,5,False),"")</f>
        <v/>
      </c>
      <c r="V289" s="102" t="str">
        <f t="array" ref="V289">_xlfn.XLOOKUP("Charger",Stock1!B289,Stock1!I289,"")</f>
        <v/>
      </c>
      <c r="W289" s="102" t="str">
        <f t="array" ref="W289">_xlfn.XLOOKUP(V289,Stock1!I289,Stock1!F289,"")</f>
        <v/>
      </c>
      <c r="X289" s="102" t="str">
        <f t="array" ref="X289">_xlfn.XLOOKUP(V289,Stock1!I289,Stock1!J289,"")</f>
        <v/>
      </c>
      <c r="Y289" s="102" t="str">
        <f t="array" ref="Y289">_xlfn.XLOOKUP("Screen Protector for Android Phone and Other",Stock1!B289,Stock1!I289,"")</f>
        <v/>
      </c>
      <c r="Z289" s="102" t="str">
        <f t="array" ref="Z289">_xlfn.XLOOKUP("Screen Protector for Galaxy Phone",Stock1!B289,Stock1!I289,"")</f>
        <v/>
      </c>
      <c r="AA289" s="102" t="str">
        <f t="array" ref="AA289">_xlfn.XLOOKUP("Screen Protector for Galaxy Tab",Stock1!B289,Stock1!I289,"")</f>
        <v/>
      </c>
      <c r="AB289" s="102" t="str">
        <f t="shared" si="4"/>
        <v/>
      </c>
      <c r="AC289" s="102" t="str">
        <f t="array" ref="AC289">_xlfn.XLOOKUP(AB289,Stock1!I289,Stock1!F289,"")</f>
        <v/>
      </c>
      <c r="AD289" s="102" t="str">
        <f t="array" ref="AD289">_xlfn.XLOOKUP(AB289,Stock1!I289,Stock1!J289,"")</f>
        <v/>
      </c>
      <c r="AE289" s="102" t="str">
        <f t="array" ref="AE289">_xlfn.XLOOKUP("Storage",Stock1!B289,Stock1!I289,"")</f>
        <v/>
      </c>
      <c r="AF289" s="102" t="str">
        <f t="array" ref="AF289">_xlfn.XLOOKUP(AE289,Stock1!I289,Stock1!F289,"")</f>
        <v/>
      </c>
      <c r="AG289" s="102" t="str">
        <f t="array" ref="AG289">_xlfn.XLOOKUP(AE289,Stock1!I289,Stock1!J289,"")</f>
        <v/>
      </c>
    </row>
    <row r="290">
      <c r="K290" s="660" t="str">
        <f t="array" ref="K290">IFERROR(_xlfn.XLOOKUP(I290,Incentive!B:B,Incentive!E:E,""),"")</f>
        <v/>
      </c>
      <c r="L290" s="659" t="str">
        <f>IFERROR(VLOOKUP(I290,Stock1!F:J,5,False),"")</f>
        <v/>
      </c>
      <c r="M290" s="659" t="str">
        <f>IFERROR(VLOOKUP(I290,Stock2!F:J,5,False),"")</f>
        <v/>
      </c>
      <c r="V290" s="102" t="str">
        <f t="array" ref="V290">_xlfn.XLOOKUP("Charger",Stock1!B290,Stock1!I290,"")</f>
        <v/>
      </c>
      <c r="W290" s="102" t="str">
        <f t="array" ref="W290">_xlfn.XLOOKUP(V290,Stock1!I290,Stock1!F290,"")</f>
        <v/>
      </c>
      <c r="X290" s="102" t="str">
        <f t="array" ref="X290">_xlfn.XLOOKUP(V290,Stock1!I290,Stock1!J290,"")</f>
        <v/>
      </c>
      <c r="Y290" s="102" t="str">
        <f t="array" ref="Y290">_xlfn.XLOOKUP("Screen Protector for Android Phone and Other",Stock1!B290,Stock1!I290,"")</f>
        <v/>
      </c>
      <c r="Z290" s="102" t="str">
        <f t="array" ref="Z290">_xlfn.XLOOKUP("Screen Protector for Galaxy Phone",Stock1!B290,Stock1!I290,"")</f>
        <v/>
      </c>
      <c r="AA290" s="102" t="str">
        <f t="array" ref="AA290">_xlfn.XLOOKUP("Screen Protector for Galaxy Tab",Stock1!B290,Stock1!I290,"")</f>
        <v/>
      </c>
      <c r="AB290" s="102" t="str">
        <f t="shared" si="4"/>
        <v/>
      </c>
      <c r="AC290" s="102" t="str">
        <f t="array" ref="AC290">_xlfn.XLOOKUP(AB290,Stock1!I290,Stock1!F290,"")</f>
        <v/>
      </c>
      <c r="AD290" s="102" t="str">
        <f t="array" ref="AD290">_xlfn.XLOOKUP(AB290,Stock1!I290,Stock1!J290,"")</f>
        <v/>
      </c>
      <c r="AE290" s="102" t="str">
        <f t="array" ref="AE290">_xlfn.XLOOKUP("Storage",Stock1!B290,Stock1!I290,"")</f>
        <v/>
      </c>
      <c r="AF290" s="102" t="str">
        <f t="array" ref="AF290">_xlfn.XLOOKUP(AE290,Stock1!I290,Stock1!F290,"")</f>
        <v/>
      </c>
      <c r="AG290" s="102" t="str">
        <f t="array" ref="AG290">_xlfn.XLOOKUP(AE290,Stock1!I290,Stock1!J290,"")</f>
        <v/>
      </c>
    </row>
    <row r="291">
      <c r="K291" s="660" t="str">
        <f t="array" ref="K291">IFERROR(_xlfn.XLOOKUP(I291,Incentive!B:B,Incentive!E:E,""),"")</f>
        <v/>
      </c>
      <c r="L291" s="659" t="str">
        <f>IFERROR(VLOOKUP(I291,Stock1!F:J,5,False),"")</f>
        <v/>
      </c>
      <c r="M291" s="659" t="str">
        <f>IFERROR(VLOOKUP(I291,Stock2!F:J,5,False),"")</f>
        <v/>
      </c>
      <c r="V291" s="102" t="str">
        <f t="array" ref="V291">_xlfn.XLOOKUP("Charger",Stock1!B291,Stock1!I291,"")</f>
        <v/>
      </c>
      <c r="W291" s="102" t="str">
        <f t="array" ref="W291">_xlfn.XLOOKUP(V291,Stock1!I291,Stock1!F291,"")</f>
        <v/>
      </c>
      <c r="X291" s="102" t="str">
        <f t="array" ref="X291">_xlfn.XLOOKUP(V291,Stock1!I291,Stock1!J291,"")</f>
        <v/>
      </c>
      <c r="Y291" s="102" t="str">
        <f t="array" ref="Y291">_xlfn.XLOOKUP("Screen Protector for Android Phone and Other",Stock1!B291,Stock1!I291,"")</f>
        <v/>
      </c>
      <c r="Z291" s="102" t="str">
        <f t="array" ref="Z291">_xlfn.XLOOKUP("Screen Protector for Galaxy Phone",Stock1!B291,Stock1!I291,"")</f>
        <v/>
      </c>
      <c r="AA291" s="102" t="str">
        <f t="array" ref="AA291">_xlfn.XLOOKUP("Screen Protector for Galaxy Tab",Stock1!B291,Stock1!I291,"")</f>
        <v/>
      </c>
      <c r="AB291" s="102" t="str">
        <f t="shared" si="4"/>
        <v/>
      </c>
      <c r="AC291" s="102" t="str">
        <f t="array" ref="AC291">_xlfn.XLOOKUP(AB291,Stock1!I291,Stock1!F291,"")</f>
        <v/>
      </c>
      <c r="AD291" s="102" t="str">
        <f t="array" ref="AD291">_xlfn.XLOOKUP(AB291,Stock1!I291,Stock1!J291,"")</f>
        <v/>
      </c>
      <c r="AE291" s="102" t="str">
        <f t="array" ref="AE291">_xlfn.XLOOKUP("Storage",Stock1!B291,Stock1!I291,"")</f>
        <v/>
      </c>
      <c r="AF291" s="102" t="str">
        <f t="array" ref="AF291">_xlfn.XLOOKUP(AE291,Stock1!I291,Stock1!F291,"")</f>
        <v/>
      </c>
      <c r="AG291" s="102" t="str">
        <f t="array" ref="AG291">_xlfn.XLOOKUP(AE291,Stock1!I291,Stock1!J291,"")</f>
        <v/>
      </c>
    </row>
    <row r="292">
      <c r="K292" s="660" t="str">
        <f t="array" ref="K292">IFERROR(_xlfn.XLOOKUP(I292,Incentive!B:B,Incentive!E:E,""),"")</f>
        <v/>
      </c>
      <c r="L292" s="659" t="str">
        <f>IFERROR(VLOOKUP(I292,Stock1!F:J,5,False),"")</f>
        <v/>
      </c>
      <c r="M292" s="659" t="str">
        <f>IFERROR(VLOOKUP(I292,Stock2!F:J,5,False),"")</f>
        <v/>
      </c>
      <c r="V292" s="102" t="str">
        <f t="array" ref="V292">_xlfn.XLOOKUP("Charger",Stock1!B292,Stock1!I292,"")</f>
        <v/>
      </c>
      <c r="W292" s="102" t="str">
        <f t="array" ref="W292">_xlfn.XLOOKUP(V292,Stock1!I292,Stock1!F292,"")</f>
        <v/>
      </c>
      <c r="X292" s="102" t="str">
        <f t="array" ref="X292">_xlfn.XLOOKUP(V292,Stock1!I292,Stock1!J292,"")</f>
        <v/>
      </c>
      <c r="Y292" s="102" t="str">
        <f t="array" ref="Y292">_xlfn.XLOOKUP("Screen Protector for Android Phone and Other",Stock1!B292,Stock1!I292,"")</f>
        <v/>
      </c>
      <c r="Z292" s="102" t="str">
        <f t="array" ref="Z292">_xlfn.XLOOKUP("Screen Protector for Galaxy Phone",Stock1!B292,Stock1!I292,"")</f>
        <v/>
      </c>
      <c r="AA292" s="102" t="str">
        <f t="array" ref="AA292">_xlfn.XLOOKUP("Screen Protector for Galaxy Tab",Stock1!B292,Stock1!I292,"")</f>
        <v/>
      </c>
      <c r="AB292" s="102" t="str">
        <f t="shared" si="4"/>
        <v/>
      </c>
      <c r="AC292" s="102" t="str">
        <f t="array" ref="AC292">_xlfn.XLOOKUP(AB292,Stock1!I292,Stock1!F292,"")</f>
        <v/>
      </c>
      <c r="AD292" s="102" t="str">
        <f t="array" ref="AD292">_xlfn.XLOOKUP(AB292,Stock1!I292,Stock1!J292,"")</f>
        <v/>
      </c>
      <c r="AE292" s="102" t="str">
        <f t="array" ref="AE292">_xlfn.XLOOKUP("Storage",Stock1!B292,Stock1!I292,"")</f>
        <v/>
      </c>
      <c r="AF292" s="102" t="str">
        <f t="array" ref="AF292">_xlfn.XLOOKUP(AE292,Stock1!I292,Stock1!F292,"")</f>
        <v/>
      </c>
      <c r="AG292" s="102" t="str">
        <f t="array" ref="AG292">_xlfn.XLOOKUP(AE292,Stock1!I292,Stock1!J292,"")</f>
        <v/>
      </c>
    </row>
    <row r="293">
      <c r="K293" s="660" t="str">
        <f t="array" ref="K293">IFERROR(_xlfn.XLOOKUP(I293,Incentive!B:B,Incentive!E:E,""),"")</f>
        <v/>
      </c>
      <c r="L293" s="659" t="str">
        <f>IFERROR(VLOOKUP(I293,Stock1!F:J,5,False),"")</f>
        <v/>
      </c>
      <c r="M293" s="659" t="str">
        <f>IFERROR(VLOOKUP(I293,Stock2!F:J,5,False),"")</f>
        <v/>
      </c>
      <c r="V293" s="102" t="str">
        <f t="array" ref="V293">_xlfn.XLOOKUP("Charger",Stock1!B293,Stock1!I293,"")</f>
        <v/>
      </c>
      <c r="W293" s="102" t="str">
        <f t="array" ref="W293">_xlfn.XLOOKUP(V293,Stock1!I293,Stock1!F293,"")</f>
        <v/>
      </c>
      <c r="X293" s="102" t="str">
        <f t="array" ref="X293">_xlfn.XLOOKUP(V293,Stock1!I293,Stock1!J293,"")</f>
        <v/>
      </c>
      <c r="Y293" s="102" t="str">
        <f t="array" ref="Y293">_xlfn.XLOOKUP("Screen Protector for Android Phone and Other",Stock1!B293,Stock1!I293,"")</f>
        <v/>
      </c>
      <c r="Z293" s="102" t="str">
        <f t="array" ref="Z293">_xlfn.XLOOKUP("Screen Protector for Galaxy Phone",Stock1!B293,Stock1!I293,"")</f>
        <v/>
      </c>
      <c r="AA293" s="102" t="str">
        <f t="array" ref="AA293">_xlfn.XLOOKUP("Screen Protector for Galaxy Tab",Stock1!B293,Stock1!I293,"")</f>
        <v/>
      </c>
      <c r="AB293" s="102" t="str">
        <f t="shared" si="4"/>
        <v/>
      </c>
      <c r="AC293" s="102" t="str">
        <f t="array" ref="AC293">_xlfn.XLOOKUP(AB293,Stock1!I293,Stock1!F293,"")</f>
        <v/>
      </c>
      <c r="AD293" s="102" t="str">
        <f t="array" ref="AD293">_xlfn.XLOOKUP(AB293,Stock1!I293,Stock1!J293,"")</f>
        <v/>
      </c>
      <c r="AE293" s="102" t="str">
        <f t="array" ref="AE293">_xlfn.XLOOKUP("Storage",Stock1!B293,Stock1!I293,"")</f>
        <v/>
      </c>
      <c r="AF293" s="102" t="str">
        <f t="array" ref="AF293">_xlfn.XLOOKUP(AE293,Stock1!I293,Stock1!F293,"")</f>
        <v/>
      </c>
      <c r="AG293" s="102" t="str">
        <f t="array" ref="AG293">_xlfn.XLOOKUP(AE293,Stock1!I293,Stock1!J293,"")</f>
        <v/>
      </c>
    </row>
    <row r="294">
      <c r="K294" s="660" t="str">
        <f t="array" ref="K294">IFERROR(_xlfn.XLOOKUP(I294,Incentive!B:B,Incentive!E:E,""),"")</f>
        <v/>
      </c>
      <c r="L294" s="659" t="str">
        <f>IFERROR(VLOOKUP(I294,Stock1!F:J,5,False),"")</f>
        <v/>
      </c>
      <c r="M294" s="659" t="str">
        <f>IFERROR(VLOOKUP(I294,Stock2!F:J,5,False),"")</f>
        <v/>
      </c>
      <c r="V294" s="102" t="str">
        <f t="array" ref="V294">_xlfn.XLOOKUP("Charger",Stock1!B294,Stock1!I294,"")</f>
        <v/>
      </c>
      <c r="W294" s="102" t="str">
        <f t="array" ref="W294">_xlfn.XLOOKUP(V294,Stock1!I294,Stock1!F294,"")</f>
        <v/>
      </c>
      <c r="X294" s="102" t="str">
        <f t="array" ref="X294">_xlfn.XLOOKUP(V294,Stock1!I294,Stock1!J294,"")</f>
        <v/>
      </c>
      <c r="Y294" s="102" t="str">
        <f t="array" ref="Y294">_xlfn.XLOOKUP("Screen Protector for Android Phone and Other",Stock1!B294,Stock1!I294,"")</f>
        <v/>
      </c>
      <c r="Z294" s="102" t="str">
        <f t="array" ref="Z294">_xlfn.XLOOKUP("Screen Protector for Galaxy Phone",Stock1!B294,Stock1!I294,"")</f>
        <v/>
      </c>
      <c r="AA294" s="102" t="str">
        <f t="array" ref="AA294">_xlfn.XLOOKUP("Screen Protector for Galaxy Tab",Stock1!B294,Stock1!I294,"")</f>
        <v/>
      </c>
      <c r="AB294" s="102" t="str">
        <f t="shared" si="4"/>
        <v/>
      </c>
      <c r="AC294" s="102" t="str">
        <f t="array" ref="AC294">_xlfn.XLOOKUP(AB294,Stock1!I294,Stock1!F294,"")</f>
        <v/>
      </c>
      <c r="AD294" s="102" t="str">
        <f t="array" ref="AD294">_xlfn.XLOOKUP(AB294,Stock1!I294,Stock1!J294,"")</f>
        <v/>
      </c>
      <c r="AE294" s="102" t="str">
        <f t="array" ref="AE294">_xlfn.XLOOKUP("Storage",Stock1!B294,Stock1!I294,"")</f>
        <v/>
      </c>
      <c r="AF294" s="102" t="str">
        <f t="array" ref="AF294">_xlfn.XLOOKUP(AE294,Stock1!I294,Stock1!F294,"")</f>
        <v/>
      </c>
      <c r="AG294" s="102" t="str">
        <f t="array" ref="AG294">_xlfn.XLOOKUP(AE294,Stock1!I294,Stock1!J294,"")</f>
        <v/>
      </c>
    </row>
    <row r="295">
      <c r="K295" s="660" t="str">
        <f t="array" ref="K295">IFERROR(_xlfn.XLOOKUP(I295,Incentive!B:B,Incentive!E:E,""),"")</f>
        <v/>
      </c>
      <c r="L295" s="659" t="str">
        <f>IFERROR(VLOOKUP(I295,Stock1!F:J,5,False),"")</f>
        <v/>
      </c>
      <c r="M295" s="659" t="str">
        <f>IFERROR(VLOOKUP(I295,Stock2!F:J,5,False),"")</f>
        <v/>
      </c>
      <c r="V295" s="102" t="str">
        <f t="array" ref="V295">_xlfn.XLOOKUP("Charger",Stock1!B295,Stock1!I295,"")</f>
        <v/>
      </c>
      <c r="W295" s="102" t="str">
        <f t="array" ref="W295">_xlfn.XLOOKUP(V295,Stock1!I295,Stock1!F295,"")</f>
        <v/>
      </c>
      <c r="X295" s="102" t="str">
        <f t="array" ref="X295">_xlfn.XLOOKUP(V295,Stock1!I295,Stock1!J295,"")</f>
        <v/>
      </c>
      <c r="Y295" s="102" t="str">
        <f t="array" ref="Y295">_xlfn.XLOOKUP("Screen Protector for Android Phone and Other",Stock1!B295,Stock1!I295,"")</f>
        <v/>
      </c>
      <c r="Z295" s="102" t="str">
        <f t="array" ref="Z295">_xlfn.XLOOKUP("Screen Protector for Galaxy Phone",Stock1!B295,Stock1!I295,"")</f>
        <v/>
      </c>
      <c r="AA295" s="102" t="str">
        <f t="array" ref="AA295">_xlfn.XLOOKUP("Screen Protector for Galaxy Tab",Stock1!B295,Stock1!I295,"")</f>
        <v/>
      </c>
      <c r="AB295" s="102" t="str">
        <f t="shared" si="4"/>
        <v/>
      </c>
      <c r="AC295" s="102" t="str">
        <f t="array" ref="AC295">_xlfn.XLOOKUP(AB295,Stock1!I295,Stock1!F295,"")</f>
        <v/>
      </c>
      <c r="AD295" s="102" t="str">
        <f t="array" ref="AD295">_xlfn.XLOOKUP(AB295,Stock1!I295,Stock1!J295,"")</f>
        <v/>
      </c>
      <c r="AE295" s="102" t="str">
        <f t="array" ref="AE295">_xlfn.XLOOKUP("Storage",Stock1!B295,Stock1!I295,"")</f>
        <v/>
      </c>
      <c r="AF295" s="102" t="str">
        <f t="array" ref="AF295">_xlfn.XLOOKUP(AE295,Stock1!I295,Stock1!F295,"")</f>
        <v/>
      </c>
      <c r="AG295" s="102" t="str">
        <f t="array" ref="AG295">_xlfn.XLOOKUP(AE295,Stock1!I295,Stock1!J295,"")</f>
        <v/>
      </c>
    </row>
    <row r="296">
      <c r="K296" s="660" t="str">
        <f t="array" ref="K296">IFERROR(_xlfn.XLOOKUP(I296,Incentive!B:B,Incentive!E:E,""),"")</f>
        <v/>
      </c>
      <c r="L296" s="659" t="str">
        <f>IFERROR(VLOOKUP(I296,Stock1!F:J,5,False),"")</f>
        <v/>
      </c>
      <c r="M296" s="659" t="str">
        <f>IFERROR(VLOOKUP(I296,Stock2!F:J,5,False),"")</f>
        <v/>
      </c>
      <c r="V296" s="102" t="str">
        <f t="array" ref="V296">_xlfn.XLOOKUP("Charger",Stock1!B296,Stock1!I296,"")</f>
        <v/>
      </c>
      <c r="W296" s="102" t="str">
        <f t="array" ref="W296">_xlfn.XLOOKUP(V296,Stock1!I296,Stock1!F296,"")</f>
        <v/>
      </c>
      <c r="X296" s="102" t="str">
        <f t="array" ref="X296">_xlfn.XLOOKUP(V296,Stock1!I296,Stock1!J296,"")</f>
        <v/>
      </c>
      <c r="Y296" s="102" t="str">
        <f t="array" ref="Y296">_xlfn.XLOOKUP("Screen Protector for Android Phone and Other",Stock1!B296,Stock1!I296,"")</f>
        <v/>
      </c>
      <c r="Z296" s="102" t="str">
        <f t="array" ref="Z296">_xlfn.XLOOKUP("Screen Protector for Galaxy Phone",Stock1!B296,Stock1!I296,"")</f>
        <v/>
      </c>
      <c r="AA296" s="102" t="str">
        <f t="array" ref="AA296">_xlfn.XLOOKUP("Screen Protector for Galaxy Tab",Stock1!B296,Stock1!I296,"")</f>
        <v/>
      </c>
      <c r="AB296" s="102" t="str">
        <f t="shared" si="4"/>
        <v/>
      </c>
      <c r="AC296" s="102" t="str">
        <f t="array" ref="AC296">_xlfn.XLOOKUP(AB296,Stock1!I296,Stock1!F296,"")</f>
        <v/>
      </c>
      <c r="AD296" s="102" t="str">
        <f t="array" ref="AD296">_xlfn.XLOOKUP(AB296,Stock1!I296,Stock1!J296,"")</f>
        <v/>
      </c>
      <c r="AE296" s="102" t="str">
        <f t="array" ref="AE296">_xlfn.XLOOKUP("Storage",Stock1!B296,Stock1!I296,"")</f>
        <v/>
      </c>
      <c r="AF296" s="102" t="str">
        <f t="array" ref="AF296">_xlfn.XLOOKUP(AE296,Stock1!I296,Stock1!F296,"")</f>
        <v/>
      </c>
      <c r="AG296" s="102" t="str">
        <f t="array" ref="AG296">_xlfn.XLOOKUP(AE296,Stock1!I296,Stock1!J296,"")</f>
        <v/>
      </c>
    </row>
    <row r="297">
      <c r="K297" s="660" t="str">
        <f t="array" ref="K297">IFERROR(_xlfn.XLOOKUP(I297,Incentive!B:B,Incentive!E:E,""),"")</f>
        <v/>
      </c>
      <c r="L297" s="659" t="str">
        <f>IFERROR(VLOOKUP(I297,Stock1!F:J,5,False),"")</f>
        <v/>
      </c>
      <c r="M297" s="659" t="str">
        <f>IFERROR(VLOOKUP(I297,Stock2!F:J,5,False),"")</f>
        <v/>
      </c>
      <c r="V297" s="102" t="str">
        <f t="array" ref="V297">_xlfn.XLOOKUP("Charger",Stock1!B297,Stock1!I297,"")</f>
        <v/>
      </c>
      <c r="W297" s="102" t="str">
        <f t="array" ref="W297">_xlfn.XLOOKUP(V297,Stock1!I297,Stock1!F297,"")</f>
        <v/>
      </c>
      <c r="X297" s="102" t="str">
        <f t="array" ref="X297">_xlfn.XLOOKUP(V297,Stock1!I297,Stock1!J297,"")</f>
        <v/>
      </c>
      <c r="Y297" s="102" t="str">
        <f t="array" ref="Y297">_xlfn.XLOOKUP("Screen Protector for Android Phone and Other",Stock1!B297,Stock1!I297,"")</f>
        <v/>
      </c>
      <c r="Z297" s="102" t="str">
        <f t="array" ref="Z297">_xlfn.XLOOKUP("Screen Protector for Galaxy Phone",Stock1!B297,Stock1!I297,"")</f>
        <v/>
      </c>
      <c r="AA297" s="102" t="str">
        <f t="array" ref="AA297">_xlfn.XLOOKUP("Screen Protector for Galaxy Tab",Stock1!B297,Stock1!I297,"")</f>
        <v/>
      </c>
      <c r="AB297" s="102" t="str">
        <f t="shared" si="4"/>
        <v/>
      </c>
      <c r="AC297" s="102" t="str">
        <f t="array" ref="AC297">_xlfn.XLOOKUP(AB297,Stock1!I297,Stock1!F297,"")</f>
        <v/>
      </c>
      <c r="AD297" s="102" t="str">
        <f t="array" ref="AD297">_xlfn.XLOOKUP(AB297,Stock1!I297,Stock1!J297,"")</f>
        <v/>
      </c>
      <c r="AE297" s="102" t="str">
        <f t="array" ref="AE297">_xlfn.XLOOKUP("Storage",Stock1!B297,Stock1!I297,"")</f>
        <v/>
      </c>
      <c r="AF297" s="102" t="str">
        <f t="array" ref="AF297">_xlfn.XLOOKUP(AE297,Stock1!I297,Stock1!F297,"")</f>
        <v/>
      </c>
      <c r="AG297" s="102" t="str">
        <f t="array" ref="AG297">_xlfn.XLOOKUP(AE297,Stock1!I297,Stock1!J297,"")</f>
        <v/>
      </c>
    </row>
    <row r="298">
      <c r="K298" s="660" t="str">
        <f t="array" ref="K298">IFERROR(_xlfn.XLOOKUP(I298,Incentive!B:B,Incentive!E:E,""),"")</f>
        <v/>
      </c>
      <c r="L298" s="659" t="str">
        <f>IFERROR(VLOOKUP(I298,Stock1!F:J,5,False),"")</f>
        <v/>
      </c>
      <c r="M298" s="659" t="str">
        <f>IFERROR(VLOOKUP(I298,Stock2!F:J,5,False),"")</f>
        <v/>
      </c>
      <c r="V298" s="102" t="str">
        <f t="array" ref="V298">_xlfn.XLOOKUP("Charger",Stock1!B298,Stock1!I298,"")</f>
        <v/>
      </c>
      <c r="W298" s="102" t="str">
        <f t="array" ref="W298">_xlfn.XLOOKUP(V298,Stock1!I298,Stock1!F298,"")</f>
        <v/>
      </c>
      <c r="X298" s="102" t="str">
        <f t="array" ref="X298">_xlfn.XLOOKUP(V298,Stock1!I298,Stock1!J298,"")</f>
        <v/>
      </c>
      <c r="Y298" s="102" t="str">
        <f t="array" ref="Y298">_xlfn.XLOOKUP("Screen Protector for Android Phone and Other",Stock1!B298,Stock1!I298,"")</f>
        <v/>
      </c>
      <c r="Z298" s="102" t="str">
        <f t="array" ref="Z298">_xlfn.XLOOKUP("Screen Protector for Galaxy Phone",Stock1!B298,Stock1!I298,"")</f>
        <v/>
      </c>
      <c r="AA298" s="102" t="str">
        <f t="array" ref="AA298">_xlfn.XLOOKUP("Screen Protector for Galaxy Tab",Stock1!B298,Stock1!I298,"")</f>
        <v/>
      </c>
      <c r="AB298" s="102" t="str">
        <f t="shared" si="4"/>
        <v/>
      </c>
      <c r="AC298" s="102" t="str">
        <f t="array" ref="AC298">_xlfn.XLOOKUP(AB298,Stock1!I298,Stock1!F298,"")</f>
        <v/>
      </c>
      <c r="AD298" s="102" t="str">
        <f t="array" ref="AD298">_xlfn.XLOOKUP(AB298,Stock1!I298,Stock1!J298,"")</f>
        <v/>
      </c>
      <c r="AE298" s="102" t="str">
        <f t="array" ref="AE298">_xlfn.XLOOKUP("Storage",Stock1!B298,Stock1!I298,"")</f>
        <v/>
      </c>
      <c r="AF298" s="102" t="str">
        <f t="array" ref="AF298">_xlfn.XLOOKUP(AE298,Stock1!I298,Stock1!F298,"")</f>
        <v/>
      </c>
      <c r="AG298" s="102" t="str">
        <f t="array" ref="AG298">_xlfn.XLOOKUP(AE298,Stock1!I298,Stock1!J298,"")</f>
        <v/>
      </c>
    </row>
    <row r="299">
      <c r="K299" s="660" t="str">
        <f t="array" ref="K299">IFERROR(_xlfn.XLOOKUP(I299,Incentive!B:B,Incentive!E:E,""),"")</f>
        <v/>
      </c>
      <c r="L299" s="659" t="str">
        <f>IFERROR(VLOOKUP(I299,Stock1!F:J,5,False),"")</f>
        <v/>
      </c>
      <c r="M299" s="659" t="str">
        <f>IFERROR(VLOOKUP(I299,Stock2!F:J,5,False),"")</f>
        <v/>
      </c>
      <c r="V299" s="102" t="str">
        <f t="array" ref="V299">_xlfn.XLOOKUP("Charger",Stock1!B299,Stock1!I299,"")</f>
        <v/>
      </c>
      <c r="W299" s="102" t="str">
        <f t="array" ref="W299">_xlfn.XLOOKUP(V299,Stock1!I299,Stock1!F299,"")</f>
        <v/>
      </c>
      <c r="X299" s="102" t="str">
        <f t="array" ref="X299">_xlfn.XLOOKUP(V299,Stock1!I299,Stock1!J299,"")</f>
        <v/>
      </c>
      <c r="Y299" s="102" t="str">
        <f t="array" ref="Y299">_xlfn.XLOOKUP("Screen Protector for Android Phone and Other",Stock1!B299,Stock1!I299,"")</f>
        <v/>
      </c>
      <c r="Z299" s="102" t="str">
        <f t="array" ref="Z299">_xlfn.XLOOKUP("Screen Protector for Galaxy Phone",Stock1!B299,Stock1!I299,"")</f>
        <v/>
      </c>
      <c r="AA299" s="102" t="str">
        <f t="array" ref="AA299">_xlfn.XLOOKUP("Screen Protector for Galaxy Tab",Stock1!B299,Stock1!I299,"")</f>
        <v/>
      </c>
      <c r="AB299" s="102" t="str">
        <f t="shared" si="4"/>
        <v/>
      </c>
      <c r="AC299" s="102" t="str">
        <f t="array" ref="AC299">_xlfn.XLOOKUP(AB299,Stock1!I299,Stock1!F299,"")</f>
        <v/>
      </c>
      <c r="AD299" s="102" t="str">
        <f t="array" ref="AD299">_xlfn.XLOOKUP(AB299,Stock1!I299,Stock1!J299,"")</f>
        <v/>
      </c>
      <c r="AE299" s="102" t="str">
        <f t="array" ref="AE299">_xlfn.XLOOKUP("Storage",Stock1!B299,Stock1!I299,"")</f>
        <v/>
      </c>
      <c r="AF299" s="102" t="str">
        <f t="array" ref="AF299">_xlfn.XLOOKUP(AE299,Stock1!I299,Stock1!F299,"")</f>
        <v/>
      </c>
      <c r="AG299" s="102" t="str">
        <f t="array" ref="AG299">_xlfn.XLOOKUP(AE299,Stock1!I299,Stock1!J299,"")</f>
        <v/>
      </c>
    </row>
    <row r="300">
      <c r="K300" s="660" t="str">
        <f t="array" ref="K300">IFERROR(_xlfn.XLOOKUP(I300,Incentive!B:B,Incentive!E:E,""),"")</f>
        <v/>
      </c>
      <c r="L300" s="659" t="str">
        <f>IFERROR(VLOOKUP(I300,Stock1!F:J,5,False),"")</f>
        <v/>
      </c>
      <c r="M300" s="659" t="str">
        <f>IFERROR(VLOOKUP(I300,Stock2!F:J,5,False),"")</f>
        <v/>
      </c>
      <c r="V300" s="102" t="str">
        <f t="array" ref="V300">_xlfn.XLOOKUP("Charger",Stock1!B300,Stock1!I300,"")</f>
        <v/>
      </c>
      <c r="W300" s="102" t="str">
        <f t="array" ref="W300">_xlfn.XLOOKUP(V300,Stock1!I300,Stock1!F300,"")</f>
        <v/>
      </c>
      <c r="X300" s="102" t="str">
        <f t="array" ref="X300">_xlfn.XLOOKUP(V300,Stock1!I300,Stock1!J300,"")</f>
        <v/>
      </c>
      <c r="Y300" s="102" t="str">
        <f t="array" ref="Y300">_xlfn.XLOOKUP("Screen Protector for Android Phone and Other",Stock1!B300,Stock1!I300,"")</f>
        <v/>
      </c>
      <c r="Z300" s="102" t="str">
        <f t="array" ref="Z300">_xlfn.XLOOKUP("Screen Protector for Galaxy Phone",Stock1!B300,Stock1!I300,"")</f>
        <v/>
      </c>
      <c r="AA300" s="102" t="str">
        <f t="array" ref="AA300">_xlfn.XLOOKUP("Screen Protector for Galaxy Tab",Stock1!B300,Stock1!I300,"")</f>
        <v/>
      </c>
      <c r="AB300" s="102" t="str">
        <f t="shared" si="4"/>
        <v/>
      </c>
      <c r="AC300" s="102" t="str">
        <f t="array" ref="AC300">_xlfn.XLOOKUP(AB300,Stock1!I300,Stock1!F300,"")</f>
        <v/>
      </c>
      <c r="AD300" s="102" t="str">
        <f t="array" ref="AD300">_xlfn.XLOOKUP(AB300,Stock1!I300,Stock1!J300,"")</f>
        <v/>
      </c>
      <c r="AE300" s="102" t="str">
        <f t="array" ref="AE300">_xlfn.XLOOKUP("Storage",Stock1!B300,Stock1!I300,"")</f>
        <v/>
      </c>
      <c r="AF300" s="102" t="str">
        <f t="array" ref="AF300">_xlfn.XLOOKUP(AE300,Stock1!I300,Stock1!F300,"")</f>
        <v/>
      </c>
      <c r="AG300" s="102" t="str">
        <f t="array" ref="AG300">_xlfn.XLOOKUP(AE300,Stock1!I300,Stock1!J300,"")</f>
        <v/>
      </c>
    </row>
    <row r="301">
      <c r="K301" s="660" t="str">
        <f t="array" ref="K301">IFERROR(_xlfn.XLOOKUP(I301,Incentive!B:B,Incentive!E:E,""),"")</f>
        <v/>
      </c>
      <c r="L301" s="659" t="str">
        <f>IFERROR(VLOOKUP(I301,Stock1!F:J,5,False),"")</f>
        <v/>
      </c>
      <c r="M301" s="659" t="str">
        <f>IFERROR(VLOOKUP(I301,Stock2!F:J,5,False),"")</f>
        <v/>
      </c>
      <c r="V301" s="102" t="str">
        <f t="array" ref="V301">_xlfn.XLOOKUP("Charger",Stock1!B301,Stock1!I301,"")</f>
        <v/>
      </c>
      <c r="W301" s="102" t="str">
        <f t="array" ref="W301">_xlfn.XLOOKUP(V301,Stock1!I301,Stock1!F301,"")</f>
        <v/>
      </c>
      <c r="X301" s="102" t="str">
        <f t="array" ref="X301">_xlfn.XLOOKUP(V301,Stock1!I301,Stock1!J301,"")</f>
        <v/>
      </c>
      <c r="Y301" s="102" t="str">
        <f t="array" ref="Y301">_xlfn.XLOOKUP("Screen Protector for Android Phone and Other",Stock1!B301,Stock1!I301,"")</f>
        <v/>
      </c>
      <c r="Z301" s="102" t="str">
        <f t="array" ref="Z301">_xlfn.XLOOKUP("Screen Protector for Galaxy Phone",Stock1!B301,Stock1!I301,"")</f>
        <v/>
      </c>
      <c r="AA301" s="102" t="str">
        <f t="array" ref="AA301">_xlfn.XLOOKUP("Screen Protector for Galaxy Tab",Stock1!B301,Stock1!I301,"")</f>
        <v/>
      </c>
      <c r="AB301" s="102" t="str">
        <f t="shared" si="4"/>
        <v/>
      </c>
      <c r="AC301" s="102" t="str">
        <f t="array" ref="AC301">_xlfn.XLOOKUP(AB301,Stock1!I301,Stock1!F301,"")</f>
        <v/>
      </c>
      <c r="AD301" s="102" t="str">
        <f t="array" ref="AD301">_xlfn.XLOOKUP(AB301,Stock1!I301,Stock1!J301,"")</f>
        <v/>
      </c>
      <c r="AE301" s="102" t="str">
        <f t="array" ref="AE301">_xlfn.XLOOKUP("Storage",Stock1!B301,Stock1!I301,"")</f>
        <v/>
      </c>
      <c r="AF301" s="102" t="str">
        <f t="array" ref="AF301">_xlfn.XLOOKUP(AE301,Stock1!I301,Stock1!F301,"")</f>
        <v/>
      </c>
      <c r="AG301" s="102" t="str">
        <f t="array" ref="AG301">_xlfn.XLOOKUP(AE301,Stock1!I301,Stock1!J301,"")</f>
        <v/>
      </c>
    </row>
    <row r="302">
      <c r="K302" s="660" t="str">
        <f t="array" ref="K302">IFERROR(_xlfn.XLOOKUP(I302,Incentive!B:B,Incentive!E:E,""),"")</f>
        <v/>
      </c>
      <c r="L302" s="659" t="str">
        <f>IFERROR(VLOOKUP(I302,Stock1!F:J,5,False),"")</f>
        <v/>
      </c>
      <c r="M302" s="659" t="str">
        <f>IFERROR(VLOOKUP(I302,Stock2!F:J,5,False),"")</f>
        <v/>
      </c>
      <c r="V302" s="102" t="str">
        <f t="array" ref="V302">_xlfn.XLOOKUP("Charger",Stock1!B302,Stock1!I302,"")</f>
        <v/>
      </c>
      <c r="W302" s="102" t="str">
        <f t="array" ref="W302">_xlfn.XLOOKUP(V302,Stock1!I302,Stock1!F302,"")</f>
        <v/>
      </c>
      <c r="X302" s="102" t="str">
        <f t="array" ref="X302">_xlfn.XLOOKUP(V302,Stock1!I302,Stock1!J302,"")</f>
        <v/>
      </c>
      <c r="Y302" s="102" t="str">
        <f t="array" ref="Y302">_xlfn.XLOOKUP("Screen Protector for Android Phone and Other",Stock1!B302,Stock1!I302,"")</f>
        <v/>
      </c>
      <c r="Z302" s="102" t="str">
        <f t="array" ref="Z302">_xlfn.XLOOKUP("Screen Protector for Galaxy Phone",Stock1!B302,Stock1!I302,"")</f>
        <v/>
      </c>
      <c r="AA302" s="102" t="str">
        <f t="array" ref="AA302">_xlfn.XLOOKUP("Screen Protector for Galaxy Tab",Stock1!B302,Stock1!I302,"")</f>
        <v/>
      </c>
      <c r="AB302" s="102" t="str">
        <f t="shared" si="4"/>
        <v/>
      </c>
      <c r="AC302" s="102" t="str">
        <f t="array" ref="AC302">_xlfn.XLOOKUP(AB302,Stock1!I302,Stock1!F302,"")</f>
        <v/>
      </c>
      <c r="AD302" s="102" t="str">
        <f t="array" ref="AD302">_xlfn.XLOOKUP(AB302,Stock1!I302,Stock1!J302,"")</f>
        <v/>
      </c>
      <c r="AE302" s="102" t="str">
        <f t="array" ref="AE302">_xlfn.XLOOKUP("Storage",Stock1!B302,Stock1!I302,"")</f>
        <v/>
      </c>
      <c r="AF302" s="102" t="str">
        <f t="array" ref="AF302">_xlfn.XLOOKUP(AE302,Stock1!I302,Stock1!F302,"")</f>
        <v/>
      </c>
      <c r="AG302" s="102" t="str">
        <f t="array" ref="AG302">_xlfn.XLOOKUP(AE302,Stock1!I302,Stock1!J302,"")</f>
        <v/>
      </c>
    </row>
    <row r="303">
      <c r="K303" s="660" t="str">
        <f t="array" ref="K303">IFERROR(_xlfn.XLOOKUP(I303,Incentive!B:B,Incentive!E:E,""),"")</f>
        <v/>
      </c>
      <c r="L303" s="659" t="str">
        <f>IFERROR(VLOOKUP(I303,Stock1!F:J,5,False),"")</f>
        <v/>
      </c>
      <c r="M303" s="659" t="str">
        <f>IFERROR(VLOOKUP(I303,Stock2!F:J,5,False),"")</f>
        <v/>
      </c>
      <c r="V303" s="102" t="str">
        <f t="array" ref="V303">_xlfn.XLOOKUP("Charger",Stock1!B303,Stock1!I303,"")</f>
        <v/>
      </c>
      <c r="W303" s="102" t="str">
        <f t="array" ref="W303">_xlfn.XLOOKUP(V303,Stock1!I303,Stock1!F303,"")</f>
        <v/>
      </c>
      <c r="X303" s="102" t="str">
        <f t="array" ref="X303">_xlfn.XLOOKUP(V303,Stock1!I303,Stock1!J303,"")</f>
        <v/>
      </c>
      <c r="Y303" s="102" t="str">
        <f t="array" ref="Y303">_xlfn.XLOOKUP("Screen Protector for Android Phone and Other",Stock1!B303,Stock1!I303,"")</f>
        <v/>
      </c>
      <c r="Z303" s="102" t="str">
        <f t="array" ref="Z303">_xlfn.XLOOKUP("Screen Protector for Galaxy Phone",Stock1!B303,Stock1!I303,"")</f>
        <v/>
      </c>
      <c r="AA303" s="102" t="str">
        <f t="array" ref="AA303">_xlfn.XLOOKUP("Screen Protector for Galaxy Tab",Stock1!B303,Stock1!I303,"")</f>
        <v/>
      </c>
      <c r="AB303" s="102" t="str">
        <f t="shared" si="4"/>
        <v/>
      </c>
      <c r="AC303" s="102" t="str">
        <f t="array" ref="AC303">_xlfn.XLOOKUP(AB303,Stock1!I303,Stock1!F303,"")</f>
        <v/>
      </c>
      <c r="AD303" s="102" t="str">
        <f t="array" ref="AD303">_xlfn.XLOOKUP(AB303,Stock1!I303,Stock1!J303,"")</f>
        <v/>
      </c>
      <c r="AE303" s="102" t="str">
        <f t="array" ref="AE303">_xlfn.XLOOKUP("Storage",Stock1!B303,Stock1!I303,"")</f>
        <v/>
      </c>
      <c r="AF303" s="102" t="str">
        <f t="array" ref="AF303">_xlfn.XLOOKUP(AE303,Stock1!I303,Stock1!F303,"")</f>
        <v/>
      </c>
      <c r="AG303" s="102" t="str">
        <f t="array" ref="AG303">_xlfn.XLOOKUP(AE303,Stock1!I303,Stock1!J303,"")</f>
        <v/>
      </c>
    </row>
    <row r="304">
      <c r="K304" s="660" t="str">
        <f t="array" ref="K304">IFERROR(_xlfn.XLOOKUP(I304,Incentive!B:B,Incentive!E:E,""),"")</f>
        <v/>
      </c>
      <c r="L304" s="659" t="str">
        <f>IFERROR(VLOOKUP(I304,Stock1!F:J,5,False),"")</f>
        <v/>
      </c>
      <c r="M304" s="659" t="str">
        <f>IFERROR(VLOOKUP(I304,Stock2!F:J,5,False),"")</f>
        <v/>
      </c>
      <c r="V304" s="102" t="str">
        <f t="array" ref="V304">_xlfn.XLOOKUP("Charger",Stock1!B304,Stock1!I304,"")</f>
        <v/>
      </c>
      <c r="W304" s="102" t="str">
        <f t="array" ref="W304">_xlfn.XLOOKUP(V304,Stock1!I304,Stock1!F304,"")</f>
        <v/>
      </c>
      <c r="X304" s="102" t="str">
        <f t="array" ref="X304">_xlfn.XLOOKUP(V304,Stock1!I304,Stock1!J304,"")</f>
        <v/>
      </c>
      <c r="Y304" s="102" t="str">
        <f t="array" ref="Y304">_xlfn.XLOOKUP("Screen Protector for Android Phone and Other",Stock1!B304,Stock1!I304,"")</f>
        <v/>
      </c>
      <c r="Z304" s="102" t="str">
        <f t="array" ref="Z304">_xlfn.XLOOKUP("Screen Protector for Galaxy Phone",Stock1!B304,Stock1!I304,"")</f>
        <v/>
      </c>
      <c r="AA304" s="102" t="str">
        <f t="array" ref="AA304">_xlfn.XLOOKUP("Screen Protector for Galaxy Tab",Stock1!B304,Stock1!I304,"")</f>
        <v/>
      </c>
      <c r="AB304" s="102" t="str">
        <f t="shared" si="4"/>
        <v/>
      </c>
      <c r="AC304" s="102" t="str">
        <f t="array" ref="AC304">_xlfn.XLOOKUP(AB304,Stock1!I304,Stock1!F304,"")</f>
        <v/>
      </c>
      <c r="AD304" s="102" t="str">
        <f t="array" ref="AD304">_xlfn.XLOOKUP(AB304,Stock1!I304,Stock1!J304,"")</f>
        <v/>
      </c>
      <c r="AE304" s="102" t="str">
        <f t="array" ref="AE304">_xlfn.XLOOKUP("Storage",Stock1!B304,Stock1!I304,"")</f>
        <v/>
      </c>
      <c r="AF304" s="102" t="str">
        <f t="array" ref="AF304">_xlfn.XLOOKUP(AE304,Stock1!I304,Stock1!F304,"")</f>
        <v/>
      </c>
      <c r="AG304" s="102" t="str">
        <f t="array" ref="AG304">_xlfn.XLOOKUP(AE304,Stock1!I304,Stock1!J304,"")</f>
        <v/>
      </c>
    </row>
    <row r="305">
      <c r="K305" s="660" t="str">
        <f t="array" ref="K305">IFERROR(_xlfn.XLOOKUP(I305,Incentive!B:B,Incentive!E:E,""),"")</f>
        <v/>
      </c>
      <c r="L305" s="659" t="str">
        <f>IFERROR(VLOOKUP(I305,Stock1!F:J,5,False),"")</f>
        <v/>
      </c>
      <c r="M305" s="659" t="str">
        <f>IFERROR(VLOOKUP(I305,Stock2!F:J,5,False),"")</f>
        <v/>
      </c>
      <c r="V305" s="102" t="str">
        <f t="array" ref="V305">_xlfn.XLOOKUP("Charger",Stock1!B305,Stock1!I305,"")</f>
        <v/>
      </c>
      <c r="W305" s="102" t="str">
        <f t="array" ref="W305">_xlfn.XLOOKUP(V305,Stock1!I305,Stock1!F305,"")</f>
        <v/>
      </c>
      <c r="X305" s="102" t="str">
        <f t="array" ref="X305">_xlfn.XLOOKUP(V305,Stock1!I305,Stock1!J305,"")</f>
        <v/>
      </c>
      <c r="Y305" s="102" t="str">
        <f t="array" ref="Y305">_xlfn.XLOOKUP("Screen Protector for Android Phone and Other",Stock1!B305,Stock1!I305,"")</f>
        <v/>
      </c>
      <c r="Z305" s="102" t="str">
        <f t="array" ref="Z305">_xlfn.XLOOKUP("Screen Protector for Galaxy Phone",Stock1!B305,Stock1!I305,"")</f>
        <v/>
      </c>
      <c r="AA305" s="102" t="str">
        <f t="array" ref="AA305">_xlfn.XLOOKUP("Screen Protector for Galaxy Tab",Stock1!B305,Stock1!I305,"")</f>
        <v/>
      </c>
      <c r="AB305" s="102" t="str">
        <f t="shared" si="4"/>
        <v/>
      </c>
      <c r="AC305" s="102" t="str">
        <f t="array" ref="AC305">_xlfn.XLOOKUP(AB305,Stock1!I305,Stock1!F305,"")</f>
        <v/>
      </c>
      <c r="AD305" s="102" t="str">
        <f t="array" ref="AD305">_xlfn.XLOOKUP(AB305,Stock1!I305,Stock1!J305,"")</f>
        <v/>
      </c>
      <c r="AE305" s="102" t="str">
        <f t="array" ref="AE305">_xlfn.XLOOKUP("Storage",Stock1!B305,Stock1!I305,"")</f>
        <v/>
      </c>
      <c r="AF305" s="102" t="str">
        <f t="array" ref="AF305">_xlfn.XLOOKUP(AE305,Stock1!I305,Stock1!F305,"")</f>
        <v/>
      </c>
      <c r="AG305" s="102" t="str">
        <f t="array" ref="AG305">_xlfn.XLOOKUP(AE305,Stock1!I305,Stock1!J305,"")</f>
        <v/>
      </c>
    </row>
    <row r="306">
      <c r="K306" s="660" t="str">
        <f t="array" ref="K306">IFERROR(_xlfn.XLOOKUP(I306,Incentive!B:B,Incentive!E:E,""),"")</f>
        <v/>
      </c>
      <c r="L306" s="659" t="str">
        <f>IFERROR(VLOOKUP(I306,Stock1!F:J,5,False),"")</f>
        <v/>
      </c>
      <c r="M306" s="659" t="str">
        <f>IFERROR(VLOOKUP(I306,Stock2!F:J,5,False),"")</f>
        <v/>
      </c>
      <c r="V306" s="102" t="str">
        <f t="array" ref="V306">_xlfn.XLOOKUP("Charger",Stock1!B306,Stock1!I306,"")</f>
        <v/>
      </c>
      <c r="W306" s="102" t="str">
        <f t="array" ref="W306">_xlfn.XLOOKUP(V306,Stock1!I306,Stock1!F306,"")</f>
        <v/>
      </c>
      <c r="X306" s="102" t="str">
        <f t="array" ref="X306">_xlfn.XLOOKUP(V306,Stock1!I306,Stock1!J306,"")</f>
        <v/>
      </c>
      <c r="Y306" s="102" t="str">
        <f t="array" ref="Y306">_xlfn.XLOOKUP("Screen Protector for Android Phone and Other",Stock1!B306,Stock1!I306,"")</f>
        <v/>
      </c>
      <c r="Z306" s="102" t="str">
        <f t="array" ref="Z306">_xlfn.XLOOKUP("Screen Protector for Galaxy Phone",Stock1!B306,Stock1!I306,"")</f>
        <v/>
      </c>
      <c r="AA306" s="102" t="str">
        <f t="array" ref="AA306">_xlfn.XLOOKUP("Screen Protector for Galaxy Tab",Stock1!B306,Stock1!I306,"")</f>
        <v/>
      </c>
      <c r="AB306" s="102" t="str">
        <f t="shared" si="4"/>
        <v/>
      </c>
      <c r="AC306" s="102" t="str">
        <f t="array" ref="AC306">_xlfn.XLOOKUP(AB306,Stock1!I306,Stock1!F306,"")</f>
        <v/>
      </c>
      <c r="AD306" s="102" t="str">
        <f t="array" ref="AD306">_xlfn.XLOOKUP(AB306,Stock1!I306,Stock1!J306,"")</f>
        <v/>
      </c>
      <c r="AE306" s="102" t="str">
        <f t="array" ref="AE306">_xlfn.XLOOKUP("Storage",Stock1!B306,Stock1!I306,"")</f>
        <v/>
      </c>
      <c r="AF306" s="102" t="str">
        <f t="array" ref="AF306">_xlfn.XLOOKUP(AE306,Stock1!I306,Stock1!F306,"")</f>
        <v/>
      </c>
      <c r="AG306" s="102" t="str">
        <f t="array" ref="AG306">_xlfn.XLOOKUP(AE306,Stock1!I306,Stock1!J306,"")</f>
        <v/>
      </c>
    </row>
    <row r="307">
      <c r="K307" s="660" t="str">
        <f t="array" ref="K307">IFERROR(_xlfn.XLOOKUP(I307,Incentive!B:B,Incentive!E:E,""),"")</f>
        <v/>
      </c>
      <c r="L307" s="659" t="str">
        <f>IFERROR(VLOOKUP(I307,Stock1!F:J,5,False),"")</f>
        <v/>
      </c>
      <c r="M307" s="659" t="str">
        <f>IFERROR(VLOOKUP(I307,Stock2!F:J,5,False),"")</f>
        <v/>
      </c>
      <c r="V307" s="102" t="str">
        <f t="array" ref="V307">_xlfn.XLOOKUP("Charger",Stock1!B307,Stock1!I307,"")</f>
        <v/>
      </c>
      <c r="W307" s="102" t="str">
        <f t="array" ref="W307">_xlfn.XLOOKUP(V307,Stock1!I307,Stock1!F307,"")</f>
        <v/>
      </c>
      <c r="X307" s="102" t="str">
        <f t="array" ref="X307">_xlfn.XLOOKUP(V307,Stock1!I307,Stock1!J307,"")</f>
        <v/>
      </c>
      <c r="Y307" s="102" t="str">
        <f t="array" ref="Y307">_xlfn.XLOOKUP("Screen Protector for Android Phone and Other",Stock1!B307,Stock1!I307,"")</f>
        <v/>
      </c>
      <c r="Z307" s="102" t="str">
        <f t="array" ref="Z307">_xlfn.XLOOKUP("Screen Protector for Galaxy Phone",Stock1!B307,Stock1!I307,"")</f>
        <v/>
      </c>
      <c r="AA307" s="102" t="str">
        <f t="array" ref="AA307">_xlfn.XLOOKUP("Screen Protector for Galaxy Tab",Stock1!B307,Stock1!I307,"")</f>
        <v/>
      </c>
      <c r="AB307" s="102" t="str">
        <f t="shared" si="4"/>
        <v/>
      </c>
      <c r="AC307" s="102" t="str">
        <f t="array" ref="AC307">_xlfn.XLOOKUP(AB307,Stock1!I307,Stock1!F307,"")</f>
        <v/>
      </c>
      <c r="AD307" s="102" t="str">
        <f t="array" ref="AD307">_xlfn.XLOOKUP(AB307,Stock1!I307,Stock1!J307,"")</f>
        <v/>
      </c>
      <c r="AE307" s="102" t="str">
        <f t="array" ref="AE307">_xlfn.XLOOKUP("Storage",Stock1!B307,Stock1!I307,"")</f>
        <v/>
      </c>
      <c r="AF307" s="102" t="str">
        <f t="array" ref="AF307">_xlfn.XLOOKUP(AE307,Stock1!I307,Stock1!F307,"")</f>
        <v/>
      </c>
      <c r="AG307" s="102" t="str">
        <f t="array" ref="AG307">_xlfn.XLOOKUP(AE307,Stock1!I307,Stock1!J307,"")</f>
        <v/>
      </c>
    </row>
    <row r="308">
      <c r="K308" s="660" t="str">
        <f t="array" ref="K308">IFERROR(_xlfn.XLOOKUP(I308,Incentive!B:B,Incentive!E:E,""),"")</f>
        <v/>
      </c>
      <c r="L308" s="659" t="str">
        <f>IFERROR(VLOOKUP(I308,Stock1!F:J,5,False),"")</f>
        <v/>
      </c>
      <c r="M308" s="659" t="str">
        <f>IFERROR(VLOOKUP(I308,Stock2!F:J,5,False),"")</f>
        <v/>
      </c>
      <c r="V308" s="102" t="str">
        <f t="array" ref="V308">_xlfn.XLOOKUP("Charger",Stock1!B308,Stock1!I308,"")</f>
        <v/>
      </c>
      <c r="W308" s="102" t="str">
        <f t="array" ref="W308">_xlfn.XLOOKUP(V308,Stock1!I308,Stock1!F308,"")</f>
        <v/>
      </c>
      <c r="X308" s="102" t="str">
        <f t="array" ref="X308">_xlfn.XLOOKUP(V308,Stock1!I308,Stock1!J308,"")</f>
        <v/>
      </c>
      <c r="Y308" s="102" t="str">
        <f t="array" ref="Y308">_xlfn.XLOOKUP("Screen Protector for Android Phone and Other",Stock1!B308,Stock1!I308,"")</f>
        <v/>
      </c>
      <c r="Z308" s="102" t="str">
        <f t="array" ref="Z308">_xlfn.XLOOKUP("Screen Protector for Galaxy Phone",Stock1!B308,Stock1!I308,"")</f>
        <v/>
      </c>
      <c r="AA308" s="102" t="str">
        <f t="array" ref="AA308">_xlfn.XLOOKUP("Screen Protector for Galaxy Tab",Stock1!B308,Stock1!I308,"")</f>
        <v/>
      </c>
      <c r="AB308" s="102" t="str">
        <f t="shared" si="4"/>
        <v/>
      </c>
      <c r="AC308" s="102" t="str">
        <f t="array" ref="AC308">_xlfn.XLOOKUP(AB308,Stock1!I308,Stock1!F308,"")</f>
        <v/>
      </c>
      <c r="AD308" s="102" t="str">
        <f t="array" ref="AD308">_xlfn.XLOOKUP(AB308,Stock1!I308,Stock1!J308,"")</f>
        <v/>
      </c>
      <c r="AE308" s="102" t="str">
        <f t="array" ref="AE308">_xlfn.XLOOKUP("Storage",Stock1!B308,Stock1!I308,"")</f>
        <v/>
      </c>
      <c r="AF308" s="102" t="str">
        <f t="array" ref="AF308">_xlfn.XLOOKUP(AE308,Stock1!I308,Stock1!F308,"")</f>
        <v/>
      </c>
      <c r="AG308" s="102" t="str">
        <f t="array" ref="AG308">_xlfn.XLOOKUP(AE308,Stock1!I308,Stock1!J308,"")</f>
        <v/>
      </c>
    </row>
    <row r="309">
      <c r="K309" s="660" t="str">
        <f t="array" ref="K309">IFERROR(_xlfn.XLOOKUP(I309,Incentive!B:B,Incentive!E:E,""),"")</f>
        <v/>
      </c>
      <c r="L309" s="659" t="str">
        <f>IFERROR(VLOOKUP(I309,Stock1!F:J,5,False),"")</f>
        <v/>
      </c>
      <c r="M309" s="659" t="str">
        <f>IFERROR(VLOOKUP(I309,Stock2!F:J,5,False),"")</f>
        <v/>
      </c>
      <c r="V309" s="102" t="str">
        <f t="array" ref="V309">_xlfn.XLOOKUP("Charger",Stock1!B309,Stock1!I309,"")</f>
        <v/>
      </c>
      <c r="W309" s="102" t="str">
        <f t="array" ref="W309">_xlfn.XLOOKUP(V309,Stock1!I309,Stock1!F309,"")</f>
        <v/>
      </c>
      <c r="X309" s="102" t="str">
        <f t="array" ref="X309">_xlfn.XLOOKUP(V309,Stock1!I309,Stock1!J309,"")</f>
        <v/>
      </c>
      <c r="Y309" s="102" t="str">
        <f t="array" ref="Y309">_xlfn.XLOOKUP("Screen Protector for Android Phone and Other",Stock1!B309,Stock1!I309,"")</f>
        <v/>
      </c>
      <c r="Z309" s="102" t="str">
        <f t="array" ref="Z309">_xlfn.XLOOKUP("Screen Protector for Galaxy Phone",Stock1!B309,Stock1!I309,"")</f>
        <v/>
      </c>
      <c r="AA309" s="102" t="str">
        <f t="array" ref="AA309">_xlfn.XLOOKUP("Screen Protector for Galaxy Tab",Stock1!B309,Stock1!I309,"")</f>
        <v/>
      </c>
      <c r="AB309" s="102" t="str">
        <f t="shared" si="4"/>
        <v/>
      </c>
      <c r="AC309" s="102" t="str">
        <f t="array" ref="AC309">_xlfn.XLOOKUP(AB309,Stock1!I309,Stock1!F309,"")</f>
        <v/>
      </c>
      <c r="AD309" s="102" t="str">
        <f t="array" ref="AD309">_xlfn.XLOOKUP(AB309,Stock1!I309,Stock1!J309,"")</f>
        <v/>
      </c>
      <c r="AE309" s="102" t="str">
        <f t="array" ref="AE309">_xlfn.XLOOKUP("Storage",Stock1!B309,Stock1!I309,"")</f>
        <v/>
      </c>
      <c r="AF309" s="102" t="str">
        <f t="array" ref="AF309">_xlfn.XLOOKUP(AE309,Stock1!I309,Stock1!F309,"")</f>
        <v/>
      </c>
      <c r="AG309" s="102" t="str">
        <f t="array" ref="AG309">_xlfn.XLOOKUP(AE309,Stock1!I309,Stock1!J309,"")</f>
        <v/>
      </c>
    </row>
    <row r="310">
      <c r="K310" s="660" t="str">
        <f t="array" ref="K310">IFERROR(_xlfn.XLOOKUP(I310,Incentive!B:B,Incentive!E:E,""),"")</f>
        <v/>
      </c>
      <c r="L310" s="659" t="str">
        <f>IFERROR(VLOOKUP(I310,Stock1!F:J,5,False),"")</f>
        <v/>
      </c>
      <c r="M310" s="659" t="str">
        <f>IFERROR(VLOOKUP(I310,Stock2!F:J,5,False),"")</f>
        <v/>
      </c>
      <c r="V310" s="102" t="str">
        <f t="array" ref="V310">_xlfn.XLOOKUP("Charger",Stock1!B310,Stock1!I310,"")</f>
        <v/>
      </c>
      <c r="W310" s="102" t="str">
        <f t="array" ref="W310">_xlfn.XLOOKUP(V310,Stock1!I310,Stock1!F310,"")</f>
        <v/>
      </c>
      <c r="X310" s="102" t="str">
        <f t="array" ref="X310">_xlfn.XLOOKUP(V310,Stock1!I310,Stock1!J310,"")</f>
        <v/>
      </c>
      <c r="Y310" s="102" t="str">
        <f t="array" ref="Y310">_xlfn.XLOOKUP("Screen Protector for Android Phone and Other",Stock1!B310,Stock1!I310,"")</f>
        <v/>
      </c>
      <c r="Z310" s="102" t="str">
        <f t="array" ref="Z310">_xlfn.XLOOKUP("Screen Protector for Galaxy Phone",Stock1!B310,Stock1!I310,"")</f>
        <v/>
      </c>
      <c r="AA310" s="102" t="str">
        <f t="array" ref="AA310">_xlfn.XLOOKUP("Screen Protector for Galaxy Tab",Stock1!B310,Stock1!I310,"")</f>
        <v/>
      </c>
      <c r="AB310" s="102" t="str">
        <f t="shared" si="4"/>
        <v/>
      </c>
      <c r="AC310" s="102" t="str">
        <f t="array" ref="AC310">_xlfn.XLOOKUP(AB310,Stock1!I310,Stock1!F310,"")</f>
        <v/>
      </c>
      <c r="AD310" s="102" t="str">
        <f t="array" ref="AD310">_xlfn.XLOOKUP(AB310,Stock1!I310,Stock1!J310,"")</f>
        <v/>
      </c>
      <c r="AE310" s="102" t="str">
        <f t="array" ref="AE310">_xlfn.XLOOKUP("Storage",Stock1!B310,Stock1!I310,"")</f>
        <v/>
      </c>
      <c r="AF310" s="102" t="str">
        <f t="array" ref="AF310">_xlfn.XLOOKUP(AE310,Stock1!I310,Stock1!F310,"")</f>
        <v/>
      </c>
      <c r="AG310" s="102" t="str">
        <f t="array" ref="AG310">_xlfn.XLOOKUP(AE310,Stock1!I310,Stock1!J310,"")</f>
        <v/>
      </c>
    </row>
    <row r="311">
      <c r="K311" s="660" t="str">
        <f t="array" ref="K311">IFERROR(_xlfn.XLOOKUP(I311,Incentive!B:B,Incentive!E:E,""),"")</f>
        <v/>
      </c>
      <c r="L311" s="659" t="str">
        <f>IFERROR(VLOOKUP(I311,Stock1!F:J,5,False),"")</f>
        <v/>
      </c>
      <c r="M311" s="659" t="str">
        <f>IFERROR(VLOOKUP(I311,Stock2!F:J,5,False),"")</f>
        <v/>
      </c>
      <c r="V311" s="102" t="str">
        <f t="array" ref="V311">_xlfn.XLOOKUP("Charger",Stock1!B311,Stock1!I311,"")</f>
        <v/>
      </c>
      <c r="W311" s="102" t="str">
        <f t="array" ref="W311">_xlfn.XLOOKUP(V311,Stock1!I311,Stock1!F311,"")</f>
        <v/>
      </c>
      <c r="X311" s="102" t="str">
        <f t="array" ref="X311">_xlfn.XLOOKUP(V311,Stock1!I311,Stock1!J311,"")</f>
        <v/>
      </c>
      <c r="Y311" s="102" t="str">
        <f t="array" ref="Y311">_xlfn.XLOOKUP("Screen Protector for Android Phone and Other",Stock1!B311,Stock1!I311,"")</f>
        <v/>
      </c>
      <c r="Z311" s="102" t="str">
        <f t="array" ref="Z311">_xlfn.XLOOKUP("Screen Protector for Galaxy Phone",Stock1!B311,Stock1!I311,"")</f>
        <v/>
      </c>
      <c r="AA311" s="102" t="str">
        <f t="array" ref="AA311">_xlfn.XLOOKUP("Screen Protector for Galaxy Tab",Stock1!B311,Stock1!I311,"")</f>
        <v/>
      </c>
      <c r="AB311" s="102" t="str">
        <f t="shared" si="4"/>
        <v/>
      </c>
      <c r="AC311" s="102" t="str">
        <f t="array" ref="AC311">_xlfn.XLOOKUP(AB311,Stock1!I311,Stock1!F311,"")</f>
        <v/>
      </c>
      <c r="AD311" s="102" t="str">
        <f t="array" ref="AD311">_xlfn.XLOOKUP(AB311,Stock1!I311,Stock1!J311,"")</f>
        <v/>
      </c>
      <c r="AE311" s="102" t="str">
        <f t="array" ref="AE311">_xlfn.XLOOKUP("Storage",Stock1!B311,Stock1!I311,"")</f>
        <v/>
      </c>
      <c r="AF311" s="102" t="str">
        <f t="array" ref="AF311">_xlfn.XLOOKUP(AE311,Stock1!I311,Stock1!F311,"")</f>
        <v/>
      </c>
      <c r="AG311" s="102" t="str">
        <f t="array" ref="AG311">_xlfn.XLOOKUP(AE311,Stock1!I311,Stock1!J311,"")</f>
        <v/>
      </c>
    </row>
    <row r="312">
      <c r="K312" s="660" t="str">
        <f t="array" ref="K312">IFERROR(_xlfn.XLOOKUP(I312,Incentive!B:B,Incentive!E:E,""),"")</f>
        <v/>
      </c>
      <c r="L312" s="659" t="str">
        <f>IFERROR(VLOOKUP(I312,Stock1!F:J,5,False),"")</f>
        <v/>
      </c>
      <c r="M312" s="659" t="str">
        <f>IFERROR(VLOOKUP(I312,Stock2!F:J,5,False),"")</f>
        <v/>
      </c>
      <c r="V312" s="102" t="str">
        <f t="array" ref="V312">_xlfn.XLOOKUP("Charger",Stock1!B312,Stock1!I312,"")</f>
        <v/>
      </c>
      <c r="W312" s="102" t="str">
        <f t="array" ref="W312">_xlfn.XLOOKUP(V312,Stock1!I312,Stock1!F312,"")</f>
        <v/>
      </c>
      <c r="X312" s="102" t="str">
        <f t="array" ref="X312">_xlfn.XLOOKUP(V312,Stock1!I312,Stock1!J312,"")</f>
        <v/>
      </c>
      <c r="Y312" s="102" t="str">
        <f t="array" ref="Y312">_xlfn.XLOOKUP("Screen Protector for Android Phone and Other",Stock1!B312,Stock1!I312,"")</f>
        <v/>
      </c>
      <c r="Z312" s="102" t="str">
        <f t="array" ref="Z312">_xlfn.XLOOKUP("Screen Protector for Galaxy Phone",Stock1!B312,Stock1!I312,"")</f>
        <v/>
      </c>
      <c r="AA312" s="102" t="str">
        <f t="array" ref="AA312">_xlfn.XLOOKUP("Screen Protector for Galaxy Tab",Stock1!B312,Stock1!I312,"")</f>
        <v/>
      </c>
      <c r="AB312" s="102" t="str">
        <f t="shared" si="4"/>
        <v/>
      </c>
      <c r="AC312" s="102" t="str">
        <f t="array" ref="AC312">_xlfn.XLOOKUP(AB312,Stock1!I312,Stock1!F312,"")</f>
        <v/>
      </c>
      <c r="AD312" s="102" t="str">
        <f t="array" ref="AD312">_xlfn.XLOOKUP(AB312,Stock1!I312,Stock1!J312,"")</f>
        <v/>
      </c>
      <c r="AE312" s="102" t="str">
        <f t="array" ref="AE312">_xlfn.XLOOKUP("Storage",Stock1!B312,Stock1!I312,"")</f>
        <v/>
      </c>
      <c r="AF312" s="102" t="str">
        <f t="array" ref="AF312">_xlfn.XLOOKUP(AE312,Stock1!I312,Stock1!F312,"")</f>
        <v/>
      </c>
      <c r="AG312" s="102" t="str">
        <f t="array" ref="AG312">_xlfn.XLOOKUP(AE312,Stock1!I312,Stock1!J312,"")</f>
        <v/>
      </c>
    </row>
    <row r="313">
      <c r="K313" s="660" t="str">
        <f t="array" ref="K313">IFERROR(_xlfn.XLOOKUP(I313,Incentive!B:B,Incentive!E:E,""),"")</f>
        <v/>
      </c>
      <c r="L313" s="659" t="str">
        <f>IFERROR(VLOOKUP(I313,Stock1!F:J,5,False),"")</f>
        <v/>
      </c>
      <c r="M313" s="659" t="str">
        <f>IFERROR(VLOOKUP(I313,Stock2!F:J,5,False),"")</f>
        <v/>
      </c>
      <c r="V313" s="102" t="str">
        <f t="array" ref="V313">_xlfn.XLOOKUP("Charger",Stock1!B313,Stock1!I313,"")</f>
        <v/>
      </c>
      <c r="W313" s="102" t="str">
        <f t="array" ref="W313">_xlfn.XLOOKUP(V313,Stock1!I313,Stock1!F313,"")</f>
        <v/>
      </c>
      <c r="X313" s="102" t="str">
        <f t="array" ref="X313">_xlfn.XLOOKUP(V313,Stock1!I313,Stock1!J313,"")</f>
        <v/>
      </c>
      <c r="Y313" s="102" t="str">
        <f t="array" ref="Y313">_xlfn.XLOOKUP("Screen Protector for Android Phone and Other",Stock1!B313,Stock1!I313,"")</f>
        <v/>
      </c>
      <c r="Z313" s="102" t="str">
        <f t="array" ref="Z313">_xlfn.XLOOKUP("Screen Protector for Galaxy Phone",Stock1!B313,Stock1!I313,"")</f>
        <v/>
      </c>
      <c r="AA313" s="102" t="str">
        <f t="array" ref="AA313">_xlfn.XLOOKUP("Screen Protector for Galaxy Tab",Stock1!B313,Stock1!I313,"")</f>
        <v/>
      </c>
      <c r="AB313" s="102" t="str">
        <f t="shared" si="4"/>
        <v/>
      </c>
      <c r="AC313" s="102" t="str">
        <f t="array" ref="AC313">_xlfn.XLOOKUP(AB313,Stock1!I313,Stock1!F313,"")</f>
        <v/>
      </c>
      <c r="AD313" s="102" t="str">
        <f t="array" ref="AD313">_xlfn.XLOOKUP(AB313,Stock1!I313,Stock1!J313,"")</f>
        <v/>
      </c>
      <c r="AE313" s="102" t="str">
        <f t="array" ref="AE313">_xlfn.XLOOKUP("Storage",Stock1!B313,Stock1!I313,"")</f>
        <v/>
      </c>
      <c r="AF313" s="102" t="str">
        <f t="array" ref="AF313">_xlfn.XLOOKUP(AE313,Stock1!I313,Stock1!F313,"")</f>
        <v/>
      </c>
      <c r="AG313" s="102" t="str">
        <f t="array" ref="AG313">_xlfn.XLOOKUP(AE313,Stock1!I313,Stock1!J313,"")</f>
        <v/>
      </c>
    </row>
    <row r="314">
      <c r="K314" s="660" t="str">
        <f t="array" ref="K314">IFERROR(_xlfn.XLOOKUP(I314,Incentive!B:B,Incentive!E:E,""),"")</f>
        <v/>
      </c>
      <c r="L314" s="659" t="str">
        <f>IFERROR(VLOOKUP(I314,Stock1!F:J,5,False),"")</f>
        <v/>
      </c>
      <c r="M314" s="659" t="str">
        <f>IFERROR(VLOOKUP(I314,Stock2!F:J,5,False),"")</f>
        <v/>
      </c>
      <c r="V314" s="102" t="str">
        <f t="array" ref="V314">_xlfn.XLOOKUP("Charger",Stock1!B314,Stock1!I314,"")</f>
        <v/>
      </c>
      <c r="W314" s="102" t="str">
        <f t="array" ref="W314">_xlfn.XLOOKUP(V314,Stock1!I314,Stock1!F314,"")</f>
        <v/>
      </c>
      <c r="X314" s="102" t="str">
        <f t="array" ref="X314">_xlfn.XLOOKUP(V314,Stock1!I314,Stock1!J314,"")</f>
        <v/>
      </c>
      <c r="Y314" s="102" t="str">
        <f t="array" ref="Y314">_xlfn.XLOOKUP("Screen Protector for Android Phone and Other",Stock1!B314,Stock1!I314,"")</f>
        <v/>
      </c>
      <c r="Z314" s="102" t="str">
        <f t="array" ref="Z314">_xlfn.XLOOKUP("Screen Protector for Galaxy Phone",Stock1!B314,Stock1!I314,"")</f>
        <v/>
      </c>
      <c r="AA314" s="102" t="str">
        <f t="array" ref="AA314">_xlfn.XLOOKUP("Screen Protector for Galaxy Tab",Stock1!B314,Stock1!I314,"")</f>
        <v/>
      </c>
      <c r="AB314" s="102" t="str">
        <f t="shared" si="4"/>
        <v/>
      </c>
      <c r="AC314" s="102" t="str">
        <f t="array" ref="AC314">_xlfn.XLOOKUP(AB314,Stock1!I314,Stock1!F314,"")</f>
        <v/>
      </c>
      <c r="AD314" s="102" t="str">
        <f t="array" ref="AD314">_xlfn.XLOOKUP(AB314,Stock1!I314,Stock1!J314,"")</f>
        <v/>
      </c>
      <c r="AE314" s="102" t="str">
        <f t="array" ref="AE314">_xlfn.XLOOKUP("Storage",Stock1!B314,Stock1!I314,"")</f>
        <v/>
      </c>
      <c r="AF314" s="102" t="str">
        <f t="array" ref="AF314">_xlfn.XLOOKUP(AE314,Stock1!I314,Stock1!F314,"")</f>
        <v/>
      </c>
      <c r="AG314" s="102" t="str">
        <f t="array" ref="AG314">_xlfn.XLOOKUP(AE314,Stock1!I314,Stock1!J314,"")</f>
        <v/>
      </c>
    </row>
    <row r="315">
      <c r="K315" s="660" t="str">
        <f t="array" ref="K315">IFERROR(_xlfn.XLOOKUP(I315,Incentive!B:B,Incentive!E:E,""),"")</f>
        <v/>
      </c>
      <c r="L315" s="659" t="str">
        <f>IFERROR(VLOOKUP(I315,Stock1!F:J,5,False),"")</f>
        <v/>
      </c>
      <c r="M315" s="659" t="str">
        <f>IFERROR(VLOOKUP(I315,Stock2!F:J,5,False),"")</f>
        <v/>
      </c>
      <c r="V315" s="102" t="str">
        <f t="array" ref="V315">_xlfn.XLOOKUP("Charger",Stock1!B315,Stock1!I315,"")</f>
        <v/>
      </c>
      <c r="W315" s="102" t="str">
        <f t="array" ref="W315">_xlfn.XLOOKUP(V315,Stock1!I315,Stock1!F315,"")</f>
        <v/>
      </c>
      <c r="X315" s="102" t="str">
        <f t="array" ref="X315">_xlfn.XLOOKUP(V315,Stock1!I315,Stock1!J315,"")</f>
        <v/>
      </c>
      <c r="Y315" s="102" t="str">
        <f t="array" ref="Y315">_xlfn.XLOOKUP("Screen Protector for Android Phone and Other",Stock1!B315,Stock1!I315,"")</f>
        <v/>
      </c>
      <c r="Z315" s="102" t="str">
        <f t="array" ref="Z315">_xlfn.XLOOKUP("Screen Protector for Galaxy Phone",Stock1!B315,Stock1!I315,"")</f>
        <v/>
      </c>
      <c r="AA315" s="102" t="str">
        <f t="array" ref="AA315">_xlfn.XLOOKUP("Screen Protector for Galaxy Tab",Stock1!B315,Stock1!I315,"")</f>
        <v/>
      </c>
      <c r="AB315" s="102" t="str">
        <f t="shared" si="4"/>
        <v/>
      </c>
      <c r="AC315" s="102" t="str">
        <f t="array" ref="AC315">_xlfn.XLOOKUP(AB315,Stock1!I315,Stock1!F315,"")</f>
        <v/>
      </c>
      <c r="AD315" s="102" t="str">
        <f t="array" ref="AD315">_xlfn.XLOOKUP(AB315,Stock1!I315,Stock1!J315,"")</f>
        <v/>
      </c>
      <c r="AE315" s="102" t="str">
        <f t="array" ref="AE315">_xlfn.XLOOKUP("Storage",Stock1!B315,Stock1!I315,"")</f>
        <v/>
      </c>
      <c r="AF315" s="102" t="str">
        <f t="array" ref="AF315">_xlfn.XLOOKUP(AE315,Stock1!I315,Stock1!F315,"")</f>
        <v/>
      </c>
      <c r="AG315" s="102" t="str">
        <f t="array" ref="AG315">_xlfn.XLOOKUP(AE315,Stock1!I315,Stock1!J315,"")</f>
        <v/>
      </c>
    </row>
    <row r="316">
      <c r="K316" s="660" t="str">
        <f t="array" ref="K316">IFERROR(_xlfn.XLOOKUP(I316,Incentive!B:B,Incentive!E:E,""),"")</f>
        <v/>
      </c>
      <c r="L316" s="659" t="str">
        <f>IFERROR(VLOOKUP(I316,Stock1!F:J,5,False),"")</f>
        <v/>
      </c>
      <c r="M316" s="659" t="str">
        <f>IFERROR(VLOOKUP(I316,Stock2!F:J,5,False),"")</f>
        <v/>
      </c>
      <c r="V316" s="102" t="str">
        <f t="array" ref="V316">_xlfn.XLOOKUP("Charger",Stock1!B316,Stock1!I316,"")</f>
        <v/>
      </c>
      <c r="W316" s="102" t="str">
        <f t="array" ref="W316">_xlfn.XLOOKUP(V316,Stock1!I316,Stock1!F316,"")</f>
        <v/>
      </c>
      <c r="X316" s="102" t="str">
        <f t="array" ref="X316">_xlfn.XLOOKUP(V316,Stock1!I316,Stock1!J316,"")</f>
        <v/>
      </c>
      <c r="Y316" s="102" t="str">
        <f t="array" ref="Y316">_xlfn.XLOOKUP("Screen Protector for Android Phone and Other",Stock1!B316,Stock1!I316,"")</f>
        <v/>
      </c>
      <c r="Z316" s="102" t="str">
        <f t="array" ref="Z316">_xlfn.XLOOKUP("Screen Protector for Galaxy Phone",Stock1!B316,Stock1!I316,"")</f>
        <v/>
      </c>
      <c r="AA316" s="102" t="str">
        <f t="array" ref="AA316">_xlfn.XLOOKUP("Screen Protector for Galaxy Tab",Stock1!B316,Stock1!I316,"")</f>
        <v/>
      </c>
      <c r="AB316" s="102" t="str">
        <f t="shared" si="4"/>
        <v/>
      </c>
      <c r="AC316" s="102" t="str">
        <f t="array" ref="AC316">_xlfn.XLOOKUP(AB316,Stock1!I316,Stock1!F316,"")</f>
        <v/>
      </c>
      <c r="AD316" s="102" t="str">
        <f t="array" ref="AD316">_xlfn.XLOOKUP(AB316,Stock1!I316,Stock1!J316,"")</f>
        <v/>
      </c>
      <c r="AE316" s="102" t="str">
        <f t="array" ref="AE316">_xlfn.XLOOKUP("Storage",Stock1!B316,Stock1!I316,"")</f>
        <v/>
      </c>
      <c r="AF316" s="102" t="str">
        <f t="array" ref="AF316">_xlfn.XLOOKUP(AE316,Stock1!I316,Stock1!F316,"")</f>
        <v/>
      </c>
      <c r="AG316" s="102" t="str">
        <f t="array" ref="AG316">_xlfn.XLOOKUP(AE316,Stock1!I316,Stock1!J316,"")</f>
        <v/>
      </c>
    </row>
    <row r="317">
      <c r="K317" s="660" t="str">
        <f t="array" ref="K317">IFERROR(_xlfn.XLOOKUP(I317,Incentive!B:B,Incentive!E:E,""),"")</f>
        <v/>
      </c>
      <c r="L317" s="659" t="str">
        <f>IFERROR(VLOOKUP(I317,Stock1!F:J,5,False),"")</f>
        <v/>
      </c>
      <c r="M317" s="659" t="str">
        <f>IFERROR(VLOOKUP(I317,Stock2!F:J,5,False),"")</f>
        <v/>
      </c>
      <c r="V317" s="102" t="str">
        <f t="array" ref="V317">_xlfn.XLOOKUP("Charger",Stock1!B317,Stock1!I317,"")</f>
        <v/>
      </c>
      <c r="W317" s="102" t="str">
        <f t="array" ref="W317">_xlfn.XLOOKUP(V317,Stock1!I317,Stock1!F317,"")</f>
        <v/>
      </c>
      <c r="X317" s="102" t="str">
        <f t="array" ref="X317">_xlfn.XLOOKUP(V317,Stock1!I317,Stock1!J317,"")</f>
        <v/>
      </c>
      <c r="Y317" s="102" t="str">
        <f t="array" ref="Y317">_xlfn.XLOOKUP("Screen Protector for Android Phone and Other",Stock1!B317,Stock1!I317,"")</f>
        <v/>
      </c>
      <c r="Z317" s="102" t="str">
        <f t="array" ref="Z317">_xlfn.XLOOKUP("Screen Protector for Galaxy Phone",Stock1!B317,Stock1!I317,"")</f>
        <v/>
      </c>
      <c r="AA317" s="102" t="str">
        <f t="array" ref="AA317">_xlfn.XLOOKUP("Screen Protector for Galaxy Tab",Stock1!B317,Stock1!I317,"")</f>
        <v/>
      </c>
      <c r="AB317" s="102" t="str">
        <f t="shared" si="4"/>
        <v/>
      </c>
      <c r="AC317" s="102" t="str">
        <f t="array" ref="AC317">_xlfn.XLOOKUP(AB317,Stock1!I317,Stock1!F317,"")</f>
        <v/>
      </c>
      <c r="AD317" s="102" t="str">
        <f t="array" ref="AD317">_xlfn.XLOOKUP(AB317,Stock1!I317,Stock1!J317,"")</f>
        <v/>
      </c>
      <c r="AE317" s="102" t="str">
        <f t="array" ref="AE317">_xlfn.XLOOKUP("Storage",Stock1!B317,Stock1!I317,"")</f>
        <v/>
      </c>
      <c r="AF317" s="102" t="str">
        <f t="array" ref="AF317">_xlfn.XLOOKUP(AE317,Stock1!I317,Stock1!F317,"")</f>
        <v/>
      </c>
      <c r="AG317" s="102" t="str">
        <f t="array" ref="AG317">_xlfn.XLOOKUP(AE317,Stock1!I317,Stock1!J317,"")</f>
        <v/>
      </c>
    </row>
    <row r="318">
      <c r="K318" s="660" t="str">
        <f t="array" ref="K318">IFERROR(_xlfn.XLOOKUP(I318,Incentive!B:B,Incentive!E:E,""),"")</f>
        <v/>
      </c>
      <c r="L318" s="659" t="str">
        <f>IFERROR(VLOOKUP(I318,Stock1!F:J,5,False),"")</f>
        <v/>
      </c>
      <c r="M318" s="659" t="str">
        <f>IFERROR(VLOOKUP(I318,Stock2!F:J,5,False),"")</f>
        <v/>
      </c>
      <c r="V318" s="102" t="str">
        <f t="array" ref="V318">_xlfn.XLOOKUP("Charger",Stock1!B318,Stock1!I318,"")</f>
        <v/>
      </c>
      <c r="W318" s="102" t="str">
        <f t="array" ref="W318">_xlfn.XLOOKUP(V318,Stock1!I318,Stock1!F318,"")</f>
        <v/>
      </c>
      <c r="X318" s="102" t="str">
        <f t="array" ref="X318">_xlfn.XLOOKUP(V318,Stock1!I318,Stock1!J318,"")</f>
        <v/>
      </c>
      <c r="Y318" s="102" t="str">
        <f t="array" ref="Y318">_xlfn.XLOOKUP("Screen Protector for Android Phone and Other",Stock1!B318,Stock1!I318,"")</f>
        <v/>
      </c>
      <c r="Z318" s="102" t="str">
        <f t="array" ref="Z318">_xlfn.XLOOKUP("Screen Protector for Galaxy Phone",Stock1!B318,Stock1!I318,"")</f>
        <v/>
      </c>
      <c r="AA318" s="102" t="str">
        <f t="array" ref="AA318">_xlfn.XLOOKUP("Screen Protector for Galaxy Tab",Stock1!B318,Stock1!I318,"")</f>
        <v/>
      </c>
      <c r="AB318" s="102" t="str">
        <f t="shared" si="4"/>
        <v/>
      </c>
      <c r="AC318" s="102" t="str">
        <f t="array" ref="AC318">_xlfn.XLOOKUP(AB318,Stock1!I318,Stock1!F318,"")</f>
        <v/>
      </c>
      <c r="AD318" s="102" t="str">
        <f t="array" ref="AD318">_xlfn.XLOOKUP(AB318,Stock1!I318,Stock1!J318,"")</f>
        <v/>
      </c>
      <c r="AE318" s="102" t="str">
        <f t="array" ref="AE318">_xlfn.XLOOKUP("Storage",Stock1!B318,Stock1!I318,"")</f>
        <v/>
      </c>
      <c r="AF318" s="102" t="str">
        <f t="array" ref="AF318">_xlfn.XLOOKUP(AE318,Stock1!I318,Stock1!F318,"")</f>
        <v/>
      </c>
      <c r="AG318" s="102" t="str">
        <f t="array" ref="AG318">_xlfn.XLOOKUP(AE318,Stock1!I318,Stock1!J318,"")</f>
        <v/>
      </c>
    </row>
    <row r="319">
      <c r="K319" s="660" t="str">
        <f t="array" ref="K319">IFERROR(_xlfn.XLOOKUP(I319,Incentive!B:B,Incentive!E:E,""),"")</f>
        <v/>
      </c>
      <c r="L319" s="659" t="str">
        <f>IFERROR(VLOOKUP(I319,Stock1!F:J,5,False),"")</f>
        <v/>
      </c>
      <c r="M319" s="659" t="str">
        <f>IFERROR(VLOOKUP(I319,Stock2!F:J,5,False),"")</f>
        <v/>
      </c>
      <c r="V319" s="102" t="str">
        <f t="array" ref="V319">_xlfn.XLOOKUP("Charger",Stock1!B319,Stock1!I319,"")</f>
        <v/>
      </c>
      <c r="W319" s="102" t="str">
        <f t="array" ref="W319">_xlfn.XLOOKUP(V319,Stock1!I319,Stock1!F319,"")</f>
        <v/>
      </c>
      <c r="X319" s="102" t="str">
        <f t="array" ref="X319">_xlfn.XLOOKUP(V319,Stock1!I319,Stock1!J319,"")</f>
        <v/>
      </c>
      <c r="Y319" s="102" t="str">
        <f t="array" ref="Y319">_xlfn.XLOOKUP("Screen Protector for Android Phone and Other",Stock1!B319,Stock1!I319,"")</f>
        <v/>
      </c>
      <c r="Z319" s="102" t="str">
        <f t="array" ref="Z319">_xlfn.XLOOKUP("Screen Protector for Galaxy Phone",Stock1!B319,Stock1!I319,"")</f>
        <v/>
      </c>
      <c r="AA319" s="102" t="str">
        <f t="array" ref="AA319">_xlfn.XLOOKUP("Screen Protector for Galaxy Tab",Stock1!B319,Stock1!I319,"")</f>
        <v/>
      </c>
      <c r="AB319" s="102" t="str">
        <f t="shared" si="4"/>
        <v/>
      </c>
      <c r="AC319" s="102" t="str">
        <f t="array" ref="AC319">_xlfn.XLOOKUP(AB319,Stock1!I319,Stock1!F319,"")</f>
        <v/>
      </c>
      <c r="AD319" s="102" t="str">
        <f t="array" ref="AD319">_xlfn.XLOOKUP(AB319,Stock1!I319,Stock1!J319,"")</f>
        <v/>
      </c>
      <c r="AE319" s="102" t="str">
        <f t="array" ref="AE319">_xlfn.XLOOKUP("Storage",Stock1!B319,Stock1!I319,"")</f>
        <v/>
      </c>
      <c r="AF319" s="102" t="str">
        <f t="array" ref="AF319">_xlfn.XLOOKUP(AE319,Stock1!I319,Stock1!F319,"")</f>
        <v/>
      </c>
      <c r="AG319" s="102" t="str">
        <f t="array" ref="AG319">_xlfn.XLOOKUP(AE319,Stock1!I319,Stock1!J319,"")</f>
        <v/>
      </c>
    </row>
    <row r="320">
      <c r="K320" s="660" t="str">
        <f t="array" ref="K320">IFERROR(_xlfn.XLOOKUP(I320,Incentive!B:B,Incentive!E:E,""),"")</f>
        <v/>
      </c>
      <c r="L320" s="659" t="str">
        <f>IFERROR(VLOOKUP(I320,Stock1!F:J,5,False),"")</f>
        <v/>
      </c>
      <c r="M320" s="659" t="str">
        <f>IFERROR(VLOOKUP(I320,Stock2!F:J,5,False),"")</f>
        <v/>
      </c>
      <c r="V320" s="102" t="str">
        <f t="array" ref="V320">_xlfn.XLOOKUP("Charger",Stock1!B320,Stock1!I320,"")</f>
        <v/>
      </c>
      <c r="W320" s="102" t="str">
        <f t="array" ref="W320">_xlfn.XLOOKUP(V320,Stock1!I320,Stock1!F320,"")</f>
        <v/>
      </c>
      <c r="X320" s="102" t="str">
        <f t="array" ref="X320">_xlfn.XLOOKUP(V320,Stock1!I320,Stock1!J320,"")</f>
        <v/>
      </c>
      <c r="Y320" s="102" t="str">
        <f t="array" ref="Y320">_xlfn.XLOOKUP("Screen Protector for Android Phone and Other",Stock1!B320,Stock1!I320,"")</f>
        <v/>
      </c>
      <c r="Z320" s="102" t="str">
        <f t="array" ref="Z320">_xlfn.XLOOKUP("Screen Protector for Galaxy Phone",Stock1!B320,Stock1!I320,"")</f>
        <v/>
      </c>
      <c r="AA320" s="102" t="str">
        <f t="array" ref="AA320">_xlfn.XLOOKUP("Screen Protector for Galaxy Tab",Stock1!B320,Stock1!I320,"")</f>
        <v/>
      </c>
      <c r="AB320" s="102" t="str">
        <f t="shared" si="4"/>
        <v/>
      </c>
      <c r="AC320" s="102" t="str">
        <f t="array" ref="AC320">_xlfn.XLOOKUP(AB320,Stock1!I320,Stock1!F320,"")</f>
        <v/>
      </c>
      <c r="AD320" s="102" t="str">
        <f t="array" ref="AD320">_xlfn.XLOOKUP(AB320,Stock1!I320,Stock1!J320,"")</f>
        <v/>
      </c>
      <c r="AE320" s="102" t="str">
        <f t="array" ref="AE320">_xlfn.XLOOKUP("Storage",Stock1!B320,Stock1!I320,"")</f>
        <v/>
      </c>
      <c r="AF320" s="102" t="str">
        <f t="array" ref="AF320">_xlfn.XLOOKUP(AE320,Stock1!I320,Stock1!F320,"")</f>
        <v/>
      </c>
      <c r="AG320" s="102" t="str">
        <f t="array" ref="AG320">_xlfn.XLOOKUP(AE320,Stock1!I320,Stock1!J320,"")</f>
        <v/>
      </c>
    </row>
    <row r="321">
      <c r="K321" s="660" t="str">
        <f t="array" ref="K321">IFERROR(_xlfn.XLOOKUP(I321,Incentive!B:B,Incentive!E:E,""),"")</f>
        <v/>
      </c>
      <c r="L321" s="659" t="str">
        <f>IFERROR(VLOOKUP(I321,Stock1!F:J,5,False),"")</f>
        <v/>
      </c>
      <c r="M321" s="659" t="str">
        <f>IFERROR(VLOOKUP(I321,Stock2!F:J,5,False),"")</f>
        <v/>
      </c>
      <c r="V321" s="102" t="str">
        <f t="array" ref="V321">_xlfn.XLOOKUP("Charger",Stock1!B321,Stock1!I321,"")</f>
        <v/>
      </c>
      <c r="W321" s="102" t="str">
        <f t="array" ref="W321">_xlfn.XLOOKUP(V321,Stock1!I321,Stock1!F321,"")</f>
        <v/>
      </c>
      <c r="X321" s="102" t="str">
        <f t="array" ref="X321">_xlfn.XLOOKUP(V321,Stock1!I321,Stock1!J321,"")</f>
        <v/>
      </c>
      <c r="Y321" s="102" t="str">
        <f t="array" ref="Y321">_xlfn.XLOOKUP("Screen Protector for Android Phone and Other",Stock1!B321,Stock1!I321,"")</f>
        <v/>
      </c>
      <c r="Z321" s="102" t="str">
        <f t="array" ref="Z321">_xlfn.XLOOKUP("Screen Protector for Galaxy Phone",Stock1!B321,Stock1!I321,"")</f>
        <v/>
      </c>
      <c r="AA321" s="102" t="str">
        <f t="array" ref="AA321">_xlfn.XLOOKUP("Screen Protector for Galaxy Tab",Stock1!B321,Stock1!I321,"")</f>
        <v/>
      </c>
      <c r="AB321" s="102" t="str">
        <f t="shared" si="4"/>
        <v/>
      </c>
      <c r="AC321" s="102" t="str">
        <f t="array" ref="AC321">_xlfn.XLOOKUP(AB321,Stock1!I321,Stock1!F321,"")</f>
        <v/>
      </c>
      <c r="AD321" s="102" t="str">
        <f t="array" ref="AD321">_xlfn.XLOOKUP(AB321,Stock1!I321,Stock1!J321,"")</f>
        <v/>
      </c>
      <c r="AE321" s="102" t="str">
        <f t="array" ref="AE321">_xlfn.XLOOKUP("Storage",Stock1!B321,Stock1!I321,"")</f>
        <v/>
      </c>
      <c r="AF321" s="102" t="str">
        <f t="array" ref="AF321">_xlfn.XLOOKUP(AE321,Stock1!I321,Stock1!F321,"")</f>
        <v/>
      </c>
      <c r="AG321" s="102" t="str">
        <f t="array" ref="AG321">_xlfn.XLOOKUP(AE321,Stock1!I321,Stock1!J321,"")</f>
        <v/>
      </c>
    </row>
    <row r="322">
      <c r="K322" s="660" t="str">
        <f t="array" ref="K322">IFERROR(_xlfn.XLOOKUP(I322,Incentive!B:B,Incentive!E:E,""),"")</f>
        <v/>
      </c>
      <c r="L322" s="659" t="str">
        <f>IFERROR(VLOOKUP(I322,Stock1!F:J,5,False),"")</f>
        <v/>
      </c>
      <c r="M322" s="659" t="str">
        <f>IFERROR(VLOOKUP(I322,Stock2!F:J,5,False),"")</f>
        <v/>
      </c>
      <c r="V322" s="102" t="str">
        <f t="array" ref="V322">_xlfn.XLOOKUP("Charger",Stock1!B322,Stock1!I322,"")</f>
        <v/>
      </c>
      <c r="W322" s="102" t="str">
        <f t="array" ref="W322">_xlfn.XLOOKUP(V322,Stock1!I322,Stock1!F322,"")</f>
        <v/>
      </c>
      <c r="X322" s="102" t="str">
        <f t="array" ref="X322">_xlfn.XLOOKUP(V322,Stock1!I322,Stock1!J322,"")</f>
        <v/>
      </c>
      <c r="Y322" s="102" t="str">
        <f t="array" ref="Y322">_xlfn.XLOOKUP("Screen Protector for Android Phone and Other",Stock1!B322,Stock1!I322,"")</f>
        <v/>
      </c>
      <c r="Z322" s="102" t="str">
        <f t="array" ref="Z322">_xlfn.XLOOKUP("Screen Protector for Galaxy Phone",Stock1!B322,Stock1!I322,"")</f>
        <v/>
      </c>
      <c r="AA322" s="102" t="str">
        <f t="array" ref="AA322">_xlfn.XLOOKUP("Screen Protector for Galaxy Tab",Stock1!B322,Stock1!I322,"")</f>
        <v/>
      </c>
      <c r="AB322" s="102" t="str">
        <f t="shared" si="4"/>
        <v/>
      </c>
      <c r="AC322" s="102" t="str">
        <f t="array" ref="AC322">_xlfn.XLOOKUP(AB322,Stock1!I322,Stock1!F322,"")</f>
        <v/>
      </c>
      <c r="AD322" s="102" t="str">
        <f t="array" ref="AD322">_xlfn.XLOOKUP(AB322,Stock1!I322,Stock1!J322,"")</f>
        <v/>
      </c>
      <c r="AE322" s="102" t="str">
        <f t="array" ref="AE322">_xlfn.XLOOKUP("Storage",Stock1!B322,Stock1!I322,"")</f>
        <v/>
      </c>
      <c r="AF322" s="102" t="str">
        <f t="array" ref="AF322">_xlfn.XLOOKUP(AE322,Stock1!I322,Stock1!F322,"")</f>
        <v/>
      </c>
      <c r="AG322" s="102" t="str">
        <f t="array" ref="AG322">_xlfn.XLOOKUP(AE322,Stock1!I322,Stock1!J322,"")</f>
        <v/>
      </c>
    </row>
    <row r="323">
      <c r="K323" s="660" t="str">
        <f t="array" ref="K323">IFERROR(_xlfn.XLOOKUP(I323,Incentive!B:B,Incentive!E:E,""),"")</f>
        <v/>
      </c>
      <c r="L323" s="659" t="str">
        <f>IFERROR(VLOOKUP(I323,Stock1!F:J,5,False),"")</f>
        <v/>
      </c>
      <c r="M323" s="659" t="str">
        <f>IFERROR(VLOOKUP(I323,Stock2!F:J,5,False),"")</f>
        <v/>
      </c>
      <c r="V323" s="102" t="str">
        <f t="array" ref="V323">_xlfn.XLOOKUP("Charger",Stock1!B323,Stock1!I323,"")</f>
        <v/>
      </c>
      <c r="W323" s="102" t="str">
        <f t="array" ref="W323">_xlfn.XLOOKUP(V323,Stock1!I323,Stock1!F323,"")</f>
        <v/>
      </c>
      <c r="X323" s="102" t="str">
        <f t="array" ref="X323">_xlfn.XLOOKUP(V323,Stock1!I323,Stock1!J323,"")</f>
        <v/>
      </c>
      <c r="Y323" s="102" t="str">
        <f t="array" ref="Y323">_xlfn.XLOOKUP("Screen Protector for Android Phone and Other",Stock1!B323,Stock1!I323,"")</f>
        <v/>
      </c>
      <c r="Z323" s="102" t="str">
        <f t="array" ref="Z323">_xlfn.XLOOKUP("Screen Protector for Galaxy Phone",Stock1!B323,Stock1!I323,"")</f>
        <v/>
      </c>
      <c r="AA323" s="102" t="str">
        <f t="array" ref="AA323">_xlfn.XLOOKUP("Screen Protector for Galaxy Tab",Stock1!B323,Stock1!I323,"")</f>
        <v/>
      </c>
      <c r="AB323" s="102" t="str">
        <f t="shared" si="4"/>
        <v/>
      </c>
      <c r="AC323" s="102" t="str">
        <f t="array" ref="AC323">_xlfn.XLOOKUP(AB323,Stock1!I323,Stock1!F323,"")</f>
        <v/>
      </c>
      <c r="AD323" s="102" t="str">
        <f t="array" ref="AD323">_xlfn.XLOOKUP(AB323,Stock1!I323,Stock1!J323,"")</f>
        <v/>
      </c>
      <c r="AE323" s="102" t="str">
        <f t="array" ref="AE323">_xlfn.XLOOKUP("Storage",Stock1!B323,Stock1!I323,"")</f>
        <v/>
      </c>
      <c r="AF323" s="102" t="str">
        <f t="array" ref="AF323">_xlfn.XLOOKUP(AE323,Stock1!I323,Stock1!F323,"")</f>
        <v/>
      </c>
      <c r="AG323" s="102" t="str">
        <f t="array" ref="AG323">_xlfn.XLOOKUP(AE323,Stock1!I323,Stock1!J323,"")</f>
        <v/>
      </c>
    </row>
    <row r="324">
      <c r="K324" s="660" t="str">
        <f t="array" ref="K324">IFERROR(_xlfn.XLOOKUP(I324,Incentive!B:B,Incentive!E:E,""),"")</f>
        <v/>
      </c>
      <c r="L324" s="659" t="str">
        <f>IFERROR(VLOOKUP(I324,Stock1!F:J,5,False),"")</f>
        <v/>
      </c>
      <c r="M324" s="659" t="str">
        <f>IFERROR(VLOOKUP(I324,Stock2!F:J,5,False),"")</f>
        <v/>
      </c>
      <c r="V324" s="102" t="str">
        <f t="array" ref="V324">_xlfn.XLOOKUP("Charger",Stock1!B324,Stock1!I324,"")</f>
        <v/>
      </c>
      <c r="W324" s="102" t="str">
        <f t="array" ref="W324">_xlfn.XLOOKUP(V324,Stock1!I324,Stock1!F324,"")</f>
        <v/>
      </c>
      <c r="X324" s="102" t="str">
        <f t="array" ref="X324">_xlfn.XLOOKUP(V324,Stock1!I324,Stock1!J324,"")</f>
        <v/>
      </c>
      <c r="Y324" s="102" t="str">
        <f t="array" ref="Y324">_xlfn.XLOOKUP("Screen Protector for Android Phone and Other",Stock1!B324,Stock1!I324,"")</f>
        <v/>
      </c>
      <c r="Z324" s="102" t="str">
        <f t="array" ref="Z324">_xlfn.XLOOKUP("Screen Protector for Galaxy Phone",Stock1!B324,Stock1!I324,"")</f>
        <v/>
      </c>
      <c r="AA324" s="102" t="str">
        <f t="array" ref="AA324">_xlfn.XLOOKUP("Screen Protector for Galaxy Tab",Stock1!B324,Stock1!I324,"")</f>
        <v/>
      </c>
      <c r="AB324" s="102" t="str">
        <f t="shared" si="4"/>
        <v/>
      </c>
      <c r="AC324" s="102" t="str">
        <f t="array" ref="AC324">_xlfn.XLOOKUP(AB324,Stock1!I324,Stock1!F324,"")</f>
        <v/>
      </c>
      <c r="AD324" s="102" t="str">
        <f t="array" ref="AD324">_xlfn.XLOOKUP(AB324,Stock1!I324,Stock1!J324,"")</f>
        <v/>
      </c>
      <c r="AE324" s="102" t="str">
        <f t="array" ref="AE324">_xlfn.XLOOKUP("Storage",Stock1!B324,Stock1!I324,"")</f>
        <v/>
      </c>
      <c r="AF324" s="102" t="str">
        <f t="array" ref="AF324">_xlfn.XLOOKUP(AE324,Stock1!I324,Stock1!F324,"")</f>
        <v/>
      </c>
      <c r="AG324" s="102" t="str">
        <f t="array" ref="AG324">_xlfn.XLOOKUP(AE324,Stock1!I324,Stock1!J324,"")</f>
        <v/>
      </c>
    </row>
    <row r="325">
      <c r="K325" s="660" t="str">
        <f t="array" ref="K325">IFERROR(_xlfn.XLOOKUP(I325,Incentive!B:B,Incentive!E:E,""),"")</f>
        <v/>
      </c>
      <c r="L325" s="659" t="str">
        <f>IFERROR(VLOOKUP(I325,Stock1!F:J,5,False),"")</f>
        <v/>
      </c>
      <c r="M325" s="659" t="str">
        <f>IFERROR(VLOOKUP(I325,Stock2!F:J,5,False),"")</f>
        <v/>
      </c>
      <c r="V325" s="102" t="str">
        <f t="array" ref="V325">_xlfn.XLOOKUP("Charger",Stock1!B325,Stock1!I325,"")</f>
        <v/>
      </c>
      <c r="W325" s="102" t="str">
        <f t="array" ref="W325">_xlfn.XLOOKUP(V325,Stock1!I325,Stock1!F325,"")</f>
        <v/>
      </c>
      <c r="X325" s="102" t="str">
        <f t="array" ref="X325">_xlfn.XLOOKUP(V325,Stock1!I325,Stock1!J325,"")</f>
        <v/>
      </c>
      <c r="Y325" s="102" t="str">
        <f t="array" ref="Y325">_xlfn.XLOOKUP("Screen Protector for Android Phone and Other",Stock1!B325,Stock1!I325,"")</f>
        <v/>
      </c>
      <c r="Z325" s="102" t="str">
        <f t="array" ref="Z325">_xlfn.XLOOKUP("Screen Protector for Galaxy Phone",Stock1!B325,Stock1!I325,"")</f>
        <v/>
      </c>
      <c r="AA325" s="102" t="str">
        <f t="array" ref="AA325">_xlfn.XLOOKUP("Screen Protector for Galaxy Tab",Stock1!B325,Stock1!I325,"")</f>
        <v/>
      </c>
      <c r="AB325" s="102" t="str">
        <f t="shared" si="4"/>
        <v/>
      </c>
      <c r="AC325" s="102" t="str">
        <f t="array" ref="AC325">_xlfn.XLOOKUP(AB325,Stock1!I325,Stock1!F325,"")</f>
        <v/>
      </c>
      <c r="AD325" s="102" t="str">
        <f t="array" ref="AD325">_xlfn.XLOOKUP(AB325,Stock1!I325,Stock1!J325,"")</f>
        <v/>
      </c>
      <c r="AE325" s="102" t="str">
        <f t="array" ref="AE325">_xlfn.XLOOKUP("Storage",Stock1!B325,Stock1!I325,"")</f>
        <v/>
      </c>
      <c r="AF325" s="102" t="str">
        <f t="array" ref="AF325">_xlfn.XLOOKUP(AE325,Stock1!I325,Stock1!F325,"")</f>
        <v/>
      </c>
      <c r="AG325" s="102" t="str">
        <f t="array" ref="AG325">_xlfn.XLOOKUP(AE325,Stock1!I325,Stock1!J325,"")</f>
        <v/>
      </c>
    </row>
    <row r="326">
      <c r="K326" s="660" t="str">
        <f t="array" ref="K326">IFERROR(_xlfn.XLOOKUP(I326,Incentive!B:B,Incentive!E:E,""),"")</f>
        <v/>
      </c>
      <c r="L326" s="659" t="str">
        <f>IFERROR(VLOOKUP(I326,Stock1!F:J,5,False),"")</f>
        <v/>
      </c>
      <c r="M326" s="659" t="str">
        <f>IFERROR(VLOOKUP(I326,Stock2!F:J,5,False),"")</f>
        <v/>
      </c>
      <c r="V326" s="102" t="str">
        <f t="array" ref="V326">_xlfn.XLOOKUP("Charger",Stock1!B326,Stock1!I326,"")</f>
        <v/>
      </c>
      <c r="W326" s="102" t="str">
        <f t="array" ref="W326">_xlfn.XLOOKUP(V326,Stock1!I326,Stock1!F326,"")</f>
        <v/>
      </c>
      <c r="X326" s="102" t="str">
        <f t="array" ref="X326">_xlfn.XLOOKUP(V326,Stock1!I326,Stock1!J326,"")</f>
        <v/>
      </c>
      <c r="Y326" s="102" t="str">
        <f t="array" ref="Y326">_xlfn.XLOOKUP("Screen Protector for Android Phone and Other",Stock1!B326,Stock1!I326,"")</f>
        <v/>
      </c>
      <c r="Z326" s="102" t="str">
        <f t="array" ref="Z326">_xlfn.XLOOKUP("Screen Protector for Galaxy Phone",Stock1!B326,Stock1!I326,"")</f>
        <v/>
      </c>
      <c r="AA326" s="102" t="str">
        <f t="array" ref="AA326">_xlfn.XLOOKUP("Screen Protector for Galaxy Tab",Stock1!B326,Stock1!I326,"")</f>
        <v/>
      </c>
      <c r="AB326" s="102" t="str">
        <f t="shared" si="4"/>
        <v/>
      </c>
      <c r="AC326" s="102" t="str">
        <f t="array" ref="AC326">_xlfn.XLOOKUP(AB326,Stock1!I326,Stock1!F326,"")</f>
        <v/>
      </c>
      <c r="AD326" s="102" t="str">
        <f t="array" ref="AD326">_xlfn.XLOOKUP(AB326,Stock1!I326,Stock1!J326,"")</f>
        <v/>
      </c>
      <c r="AE326" s="102" t="str">
        <f t="array" ref="AE326">_xlfn.XLOOKUP("Storage",Stock1!B326,Stock1!I326,"")</f>
        <v/>
      </c>
      <c r="AF326" s="102" t="str">
        <f t="array" ref="AF326">_xlfn.XLOOKUP(AE326,Stock1!I326,Stock1!F326,"")</f>
        <v/>
      </c>
      <c r="AG326" s="102" t="str">
        <f t="array" ref="AG326">_xlfn.XLOOKUP(AE326,Stock1!I326,Stock1!J326,"")</f>
        <v/>
      </c>
    </row>
    <row r="327">
      <c r="K327" s="660" t="str">
        <f t="array" ref="K327">IFERROR(_xlfn.XLOOKUP(I327,Incentive!B:B,Incentive!E:E,""),"")</f>
        <v/>
      </c>
      <c r="L327" s="659" t="str">
        <f>IFERROR(VLOOKUP(I327,Stock1!F:J,5,False),"")</f>
        <v/>
      </c>
      <c r="M327" s="659" t="str">
        <f>IFERROR(VLOOKUP(I327,Stock2!F:J,5,False),"")</f>
        <v/>
      </c>
      <c r="V327" s="102" t="str">
        <f t="array" ref="V327">_xlfn.XLOOKUP("Charger",Stock1!B327,Stock1!I327,"")</f>
        <v/>
      </c>
      <c r="W327" s="102" t="str">
        <f t="array" ref="W327">_xlfn.XLOOKUP(V327,Stock1!I327,Stock1!F327,"")</f>
        <v/>
      </c>
      <c r="X327" s="102" t="str">
        <f t="array" ref="X327">_xlfn.XLOOKUP(V327,Stock1!I327,Stock1!J327,"")</f>
        <v/>
      </c>
      <c r="Y327" s="102" t="str">
        <f t="array" ref="Y327">_xlfn.XLOOKUP("Screen Protector for Android Phone and Other",Stock1!B327,Stock1!I327,"")</f>
        <v/>
      </c>
      <c r="Z327" s="102" t="str">
        <f t="array" ref="Z327">_xlfn.XLOOKUP("Screen Protector for Galaxy Phone",Stock1!B327,Stock1!I327,"")</f>
        <v/>
      </c>
      <c r="AA327" s="102" t="str">
        <f t="array" ref="AA327">_xlfn.XLOOKUP("Screen Protector for Galaxy Tab",Stock1!B327,Stock1!I327,"")</f>
        <v/>
      </c>
      <c r="AB327" s="102" t="str">
        <f t="shared" si="4"/>
        <v/>
      </c>
      <c r="AC327" s="102" t="str">
        <f t="array" ref="AC327">_xlfn.XLOOKUP(AB327,Stock1!I327,Stock1!F327,"")</f>
        <v/>
      </c>
      <c r="AD327" s="102" t="str">
        <f t="array" ref="AD327">_xlfn.XLOOKUP(AB327,Stock1!I327,Stock1!J327,"")</f>
        <v/>
      </c>
      <c r="AE327" s="102" t="str">
        <f t="array" ref="AE327">_xlfn.XLOOKUP("Storage",Stock1!B327,Stock1!I327,"")</f>
        <v/>
      </c>
      <c r="AF327" s="102" t="str">
        <f t="array" ref="AF327">_xlfn.XLOOKUP(AE327,Stock1!I327,Stock1!F327,"")</f>
        <v/>
      </c>
      <c r="AG327" s="102" t="str">
        <f t="array" ref="AG327">_xlfn.XLOOKUP(AE327,Stock1!I327,Stock1!J327,"")</f>
        <v/>
      </c>
    </row>
    <row r="328">
      <c r="K328" s="660" t="str">
        <f t="array" ref="K328">IFERROR(_xlfn.XLOOKUP(I328,Incentive!B:B,Incentive!E:E,""),"")</f>
        <v/>
      </c>
      <c r="L328" s="659" t="str">
        <f>IFERROR(VLOOKUP(I328,Stock1!F:J,5,False),"")</f>
        <v/>
      </c>
      <c r="M328" s="659" t="str">
        <f>IFERROR(VLOOKUP(I328,Stock2!F:J,5,False),"")</f>
        <v/>
      </c>
      <c r="V328" s="102" t="str">
        <f t="array" ref="V328">_xlfn.XLOOKUP("Charger",Stock1!B328,Stock1!I328,"")</f>
        <v/>
      </c>
      <c r="W328" s="102" t="str">
        <f t="array" ref="W328">_xlfn.XLOOKUP(V328,Stock1!I328,Stock1!F328,"")</f>
        <v/>
      </c>
      <c r="X328" s="102" t="str">
        <f t="array" ref="X328">_xlfn.XLOOKUP(V328,Stock1!I328,Stock1!J328,"")</f>
        <v/>
      </c>
      <c r="Y328" s="102" t="str">
        <f t="array" ref="Y328">_xlfn.XLOOKUP("Screen Protector for Android Phone and Other",Stock1!B328,Stock1!I328,"")</f>
        <v/>
      </c>
      <c r="Z328" s="102" t="str">
        <f t="array" ref="Z328">_xlfn.XLOOKUP("Screen Protector for Galaxy Phone",Stock1!B328,Stock1!I328,"")</f>
        <v/>
      </c>
      <c r="AA328" s="102" t="str">
        <f t="array" ref="AA328">_xlfn.XLOOKUP("Screen Protector for Galaxy Tab",Stock1!B328,Stock1!I328,"")</f>
        <v/>
      </c>
      <c r="AB328" s="102" t="str">
        <f t="shared" si="4"/>
        <v/>
      </c>
      <c r="AC328" s="102" t="str">
        <f t="array" ref="AC328">_xlfn.XLOOKUP(AB328,Stock1!I328,Stock1!F328,"")</f>
        <v/>
      </c>
      <c r="AD328" s="102" t="str">
        <f t="array" ref="AD328">_xlfn.XLOOKUP(AB328,Stock1!I328,Stock1!J328,"")</f>
        <v/>
      </c>
      <c r="AE328" s="102" t="str">
        <f t="array" ref="AE328">_xlfn.XLOOKUP("Storage",Stock1!B328,Stock1!I328,"")</f>
        <v/>
      </c>
      <c r="AF328" s="102" t="str">
        <f t="array" ref="AF328">_xlfn.XLOOKUP(AE328,Stock1!I328,Stock1!F328,"")</f>
        <v/>
      </c>
      <c r="AG328" s="102" t="str">
        <f t="array" ref="AG328">_xlfn.XLOOKUP(AE328,Stock1!I328,Stock1!J328,"")</f>
        <v/>
      </c>
    </row>
    <row r="329">
      <c r="K329" s="660" t="str">
        <f t="array" ref="K329">IFERROR(_xlfn.XLOOKUP(I329,Incentive!B:B,Incentive!E:E,""),"")</f>
        <v/>
      </c>
      <c r="L329" s="659" t="str">
        <f>IFERROR(VLOOKUP(I329,Stock1!F:J,5,False),"")</f>
        <v/>
      </c>
      <c r="M329" s="659" t="str">
        <f>IFERROR(VLOOKUP(I329,Stock2!F:J,5,False),"")</f>
        <v/>
      </c>
      <c r="V329" s="102" t="str">
        <f t="array" ref="V329">_xlfn.XLOOKUP("Charger",Stock1!B329,Stock1!I329,"")</f>
        <v/>
      </c>
      <c r="W329" s="102" t="str">
        <f t="array" ref="W329">_xlfn.XLOOKUP(V329,Stock1!I329,Stock1!F329,"")</f>
        <v/>
      </c>
      <c r="X329" s="102" t="str">
        <f t="array" ref="X329">_xlfn.XLOOKUP(V329,Stock1!I329,Stock1!J329,"")</f>
        <v/>
      </c>
      <c r="Y329" s="102" t="str">
        <f t="array" ref="Y329">_xlfn.XLOOKUP("Screen Protector for Android Phone and Other",Stock1!B329,Stock1!I329,"")</f>
        <v/>
      </c>
      <c r="Z329" s="102" t="str">
        <f t="array" ref="Z329">_xlfn.XLOOKUP("Screen Protector for Galaxy Phone",Stock1!B329,Stock1!I329,"")</f>
        <v/>
      </c>
      <c r="AA329" s="102" t="str">
        <f t="array" ref="AA329">_xlfn.XLOOKUP("Screen Protector for Galaxy Tab",Stock1!B329,Stock1!I329,"")</f>
        <v/>
      </c>
      <c r="AB329" s="102" t="str">
        <f t="shared" si="4"/>
        <v/>
      </c>
      <c r="AC329" s="102" t="str">
        <f t="array" ref="AC329">_xlfn.XLOOKUP(AB329,Stock1!I329,Stock1!F329,"")</f>
        <v/>
      </c>
      <c r="AD329" s="102" t="str">
        <f t="array" ref="AD329">_xlfn.XLOOKUP(AB329,Stock1!I329,Stock1!J329,"")</f>
        <v/>
      </c>
      <c r="AE329" s="102" t="str">
        <f t="array" ref="AE329">_xlfn.XLOOKUP("Storage",Stock1!B329,Stock1!I329,"")</f>
        <v/>
      </c>
      <c r="AF329" s="102" t="str">
        <f t="array" ref="AF329">_xlfn.XLOOKUP(AE329,Stock1!I329,Stock1!F329,"")</f>
        <v/>
      </c>
      <c r="AG329" s="102" t="str">
        <f t="array" ref="AG329">_xlfn.XLOOKUP(AE329,Stock1!I329,Stock1!J329,"")</f>
        <v/>
      </c>
    </row>
    <row r="330">
      <c r="K330" s="660" t="str">
        <f t="array" ref="K330">IFERROR(_xlfn.XLOOKUP(I330,Incentive!B:B,Incentive!E:E,""),"")</f>
        <v/>
      </c>
      <c r="L330" s="659" t="str">
        <f>IFERROR(VLOOKUP(I330,Stock1!F:J,5,False),"")</f>
        <v/>
      </c>
      <c r="M330" s="659" t="str">
        <f>IFERROR(VLOOKUP(I330,Stock2!F:J,5,False),"")</f>
        <v/>
      </c>
      <c r="V330" s="102" t="str">
        <f t="array" ref="V330">_xlfn.XLOOKUP("Charger",Stock1!B330,Stock1!I330,"")</f>
        <v/>
      </c>
      <c r="W330" s="102" t="str">
        <f t="array" ref="W330">_xlfn.XLOOKUP(V330,Stock1!I330,Stock1!F330,"")</f>
        <v/>
      </c>
      <c r="X330" s="102" t="str">
        <f t="array" ref="X330">_xlfn.XLOOKUP(V330,Stock1!I330,Stock1!J330,"")</f>
        <v/>
      </c>
      <c r="Y330" s="102" t="str">
        <f t="array" ref="Y330">_xlfn.XLOOKUP("Screen Protector for Android Phone and Other",Stock1!B330,Stock1!I330,"")</f>
        <v/>
      </c>
      <c r="Z330" s="102" t="str">
        <f t="array" ref="Z330">_xlfn.XLOOKUP("Screen Protector for Galaxy Phone",Stock1!B330,Stock1!I330,"")</f>
        <v/>
      </c>
      <c r="AA330" s="102" t="str">
        <f t="array" ref="AA330">_xlfn.XLOOKUP("Screen Protector for Galaxy Tab",Stock1!B330,Stock1!I330,"")</f>
        <v/>
      </c>
      <c r="AB330" s="102" t="str">
        <f t="shared" si="4"/>
        <v/>
      </c>
      <c r="AC330" s="102" t="str">
        <f t="array" ref="AC330">_xlfn.XLOOKUP(AB330,Stock1!I330,Stock1!F330,"")</f>
        <v/>
      </c>
      <c r="AD330" s="102" t="str">
        <f t="array" ref="AD330">_xlfn.XLOOKUP(AB330,Stock1!I330,Stock1!J330,"")</f>
        <v/>
      </c>
      <c r="AE330" s="102" t="str">
        <f t="array" ref="AE330">_xlfn.XLOOKUP("Storage",Stock1!B330,Stock1!I330,"")</f>
        <v/>
      </c>
      <c r="AF330" s="102" t="str">
        <f t="array" ref="AF330">_xlfn.XLOOKUP(AE330,Stock1!I330,Stock1!F330,"")</f>
        <v/>
      </c>
      <c r="AG330" s="102" t="str">
        <f t="array" ref="AG330">_xlfn.XLOOKUP(AE330,Stock1!I330,Stock1!J330,"")</f>
        <v/>
      </c>
    </row>
    <row r="331">
      <c r="K331" s="660" t="str">
        <f t="array" ref="K331">IFERROR(_xlfn.XLOOKUP(I331,Incentive!B:B,Incentive!E:E,""),"")</f>
        <v/>
      </c>
      <c r="L331" s="659" t="str">
        <f>IFERROR(VLOOKUP(I331,Stock1!F:J,5,False),"")</f>
        <v/>
      </c>
      <c r="M331" s="659" t="str">
        <f>IFERROR(VLOOKUP(I331,Stock2!F:J,5,False),"")</f>
        <v/>
      </c>
      <c r="V331" s="102" t="str">
        <f t="array" ref="V331">_xlfn.XLOOKUP("Charger",Stock1!B331,Stock1!I331,"")</f>
        <v/>
      </c>
      <c r="W331" s="102" t="str">
        <f t="array" ref="W331">_xlfn.XLOOKUP(V331,Stock1!I331,Stock1!F331,"")</f>
        <v/>
      </c>
      <c r="X331" s="102" t="str">
        <f t="array" ref="X331">_xlfn.XLOOKUP(V331,Stock1!I331,Stock1!J331,"")</f>
        <v/>
      </c>
      <c r="Y331" s="102" t="str">
        <f t="array" ref="Y331">_xlfn.XLOOKUP("Screen Protector for Android Phone and Other",Stock1!B331,Stock1!I331,"")</f>
        <v/>
      </c>
      <c r="Z331" s="102" t="str">
        <f t="array" ref="Z331">_xlfn.XLOOKUP("Screen Protector for Galaxy Phone",Stock1!B331,Stock1!I331,"")</f>
        <v/>
      </c>
      <c r="AA331" s="102" t="str">
        <f t="array" ref="AA331">_xlfn.XLOOKUP("Screen Protector for Galaxy Tab",Stock1!B331,Stock1!I331,"")</f>
        <v/>
      </c>
      <c r="AB331" s="102" t="str">
        <f t="shared" si="4"/>
        <v/>
      </c>
      <c r="AC331" s="102" t="str">
        <f t="array" ref="AC331">_xlfn.XLOOKUP(AB331,Stock1!I331,Stock1!F331,"")</f>
        <v/>
      </c>
      <c r="AD331" s="102" t="str">
        <f t="array" ref="AD331">_xlfn.XLOOKUP(AB331,Stock1!I331,Stock1!J331,"")</f>
        <v/>
      </c>
      <c r="AE331" s="102" t="str">
        <f t="array" ref="AE331">_xlfn.XLOOKUP("Storage",Stock1!B331,Stock1!I331,"")</f>
        <v/>
      </c>
      <c r="AF331" s="102" t="str">
        <f t="array" ref="AF331">_xlfn.XLOOKUP(AE331,Stock1!I331,Stock1!F331,"")</f>
        <v/>
      </c>
      <c r="AG331" s="102" t="str">
        <f t="array" ref="AG331">_xlfn.XLOOKUP(AE331,Stock1!I331,Stock1!J331,"")</f>
        <v/>
      </c>
    </row>
    <row r="332">
      <c r="K332" s="660" t="str">
        <f t="array" ref="K332">IFERROR(_xlfn.XLOOKUP(I332,Incentive!B:B,Incentive!E:E,""),"")</f>
        <v/>
      </c>
      <c r="L332" s="659" t="str">
        <f>IFERROR(VLOOKUP(I332,Stock1!F:J,5,False),"")</f>
        <v/>
      </c>
      <c r="M332" s="659" t="str">
        <f>IFERROR(VLOOKUP(I332,Stock2!F:J,5,False),"")</f>
        <v/>
      </c>
      <c r="V332" s="102" t="str">
        <f t="array" ref="V332">_xlfn.XLOOKUP("Charger",Stock1!B332,Stock1!I332,"")</f>
        <v/>
      </c>
      <c r="W332" s="102" t="str">
        <f t="array" ref="W332">_xlfn.XLOOKUP(V332,Stock1!I332,Stock1!F332,"")</f>
        <v/>
      </c>
      <c r="X332" s="102" t="str">
        <f t="array" ref="X332">_xlfn.XLOOKUP(V332,Stock1!I332,Stock1!J332,"")</f>
        <v/>
      </c>
      <c r="Y332" s="102" t="str">
        <f t="array" ref="Y332">_xlfn.XLOOKUP("Screen Protector for Android Phone and Other",Stock1!B332,Stock1!I332,"")</f>
        <v/>
      </c>
      <c r="Z332" s="102" t="str">
        <f t="array" ref="Z332">_xlfn.XLOOKUP("Screen Protector for Galaxy Phone",Stock1!B332,Stock1!I332,"")</f>
        <v/>
      </c>
      <c r="AA332" s="102" t="str">
        <f t="array" ref="AA332">_xlfn.XLOOKUP("Screen Protector for Galaxy Tab",Stock1!B332,Stock1!I332,"")</f>
        <v/>
      </c>
      <c r="AB332" s="102" t="str">
        <f t="shared" si="4"/>
        <v/>
      </c>
      <c r="AC332" s="102" t="str">
        <f t="array" ref="AC332">_xlfn.XLOOKUP(AB332,Stock1!I332,Stock1!F332,"")</f>
        <v/>
      </c>
      <c r="AD332" s="102" t="str">
        <f t="array" ref="AD332">_xlfn.XLOOKUP(AB332,Stock1!I332,Stock1!J332,"")</f>
        <v/>
      </c>
      <c r="AE332" s="102" t="str">
        <f t="array" ref="AE332">_xlfn.XLOOKUP("Storage",Stock1!B332,Stock1!I332,"")</f>
        <v/>
      </c>
      <c r="AF332" s="102" t="str">
        <f t="array" ref="AF332">_xlfn.XLOOKUP(AE332,Stock1!I332,Stock1!F332,"")</f>
        <v/>
      </c>
      <c r="AG332" s="102" t="str">
        <f t="array" ref="AG332">_xlfn.XLOOKUP(AE332,Stock1!I332,Stock1!J332,"")</f>
        <v/>
      </c>
    </row>
    <row r="333">
      <c r="K333" s="660" t="str">
        <f t="array" ref="K333">IFERROR(_xlfn.XLOOKUP(I333,Incentive!B:B,Incentive!E:E,""),"")</f>
        <v/>
      </c>
      <c r="L333" s="659" t="str">
        <f>IFERROR(VLOOKUP(I333,Stock1!F:J,5,False),"")</f>
        <v/>
      </c>
      <c r="M333" s="659" t="str">
        <f>IFERROR(VLOOKUP(I333,Stock2!F:J,5,False),"")</f>
        <v/>
      </c>
      <c r="V333" s="102" t="str">
        <f t="array" ref="V333">_xlfn.XLOOKUP("Charger",Stock1!B333,Stock1!I333,"")</f>
        <v/>
      </c>
      <c r="W333" s="102" t="str">
        <f t="array" ref="W333">_xlfn.XLOOKUP(V333,Stock1!I333,Stock1!F333,"")</f>
        <v/>
      </c>
      <c r="X333" s="102" t="str">
        <f t="array" ref="X333">_xlfn.XLOOKUP(V333,Stock1!I333,Stock1!J333,"")</f>
        <v/>
      </c>
      <c r="Y333" s="102" t="str">
        <f t="array" ref="Y333">_xlfn.XLOOKUP("Screen Protector for Android Phone and Other",Stock1!B333,Stock1!I333,"")</f>
        <v/>
      </c>
      <c r="Z333" s="102" t="str">
        <f t="array" ref="Z333">_xlfn.XLOOKUP("Screen Protector for Galaxy Phone",Stock1!B333,Stock1!I333,"")</f>
        <v/>
      </c>
      <c r="AA333" s="102" t="str">
        <f t="array" ref="AA333">_xlfn.XLOOKUP("Screen Protector for Galaxy Tab",Stock1!B333,Stock1!I333,"")</f>
        <v/>
      </c>
      <c r="AB333" s="102" t="str">
        <f t="shared" si="4"/>
        <v/>
      </c>
      <c r="AC333" s="102" t="str">
        <f t="array" ref="AC333">_xlfn.XLOOKUP(AB333,Stock1!I333,Stock1!F333,"")</f>
        <v/>
      </c>
      <c r="AD333" s="102" t="str">
        <f t="array" ref="AD333">_xlfn.XLOOKUP(AB333,Stock1!I333,Stock1!J333,"")</f>
        <v/>
      </c>
      <c r="AE333" s="102" t="str">
        <f t="array" ref="AE333">_xlfn.XLOOKUP("Storage",Stock1!B333,Stock1!I333,"")</f>
        <v/>
      </c>
      <c r="AF333" s="102" t="str">
        <f t="array" ref="AF333">_xlfn.XLOOKUP(AE333,Stock1!I333,Stock1!F333,"")</f>
        <v/>
      </c>
      <c r="AG333" s="102" t="str">
        <f t="array" ref="AG333">_xlfn.XLOOKUP(AE333,Stock1!I333,Stock1!J333,"")</f>
        <v/>
      </c>
    </row>
    <row r="334">
      <c r="K334" s="660" t="str">
        <f t="array" ref="K334">IFERROR(_xlfn.XLOOKUP(I334,Incentive!B:B,Incentive!E:E,""),"")</f>
        <v/>
      </c>
      <c r="L334" s="659" t="str">
        <f>IFERROR(VLOOKUP(I334,Stock1!F:J,5,False),"")</f>
        <v/>
      </c>
      <c r="M334" s="659" t="str">
        <f>IFERROR(VLOOKUP(I334,Stock2!F:J,5,False),"")</f>
        <v/>
      </c>
      <c r="V334" s="102" t="str">
        <f t="array" ref="V334">_xlfn.XLOOKUP("Charger",Stock1!B334,Stock1!I334,"")</f>
        <v/>
      </c>
      <c r="W334" s="102" t="str">
        <f t="array" ref="W334">_xlfn.XLOOKUP(V334,Stock1!I334,Stock1!F334,"")</f>
        <v/>
      </c>
      <c r="X334" s="102" t="str">
        <f t="array" ref="X334">_xlfn.XLOOKUP(V334,Stock1!I334,Stock1!J334,"")</f>
        <v/>
      </c>
      <c r="Y334" s="102" t="str">
        <f t="array" ref="Y334">_xlfn.XLOOKUP("Screen Protector for Android Phone and Other",Stock1!B334,Stock1!I334,"")</f>
        <v/>
      </c>
      <c r="Z334" s="102" t="str">
        <f t="array" ref="Z334">_xlfn.XLOOKUP("Screen Protector for Galaxy Phone",Stock1!B334,Stock1!I334,"")</f>
        <v/>
      </c>
      <c r="AA334" s="102" t="str">
        <f t="array" ref="AA334">_xlfn.XLOOKUP("Screen Protector for Galaxy Tab",Stock1!B334,Stock1!I334,"")</f>
        <v/>
      </c>
      <c r="AB334" s="102" t="str">
        <f t="shared" si="4"/>
        <v/>
      </c>
      <c r="AC334" s="102" t="str">
        <f t="array" ref="AC334">_xlfn.XLOOKUP(AB334,Stock1!I334,Stock1!F334,"")</f>
        <v/>
      </c>
      <c r="AD334" s="102" t="str">
        <f t="array" ref="AD334">_xlfn.XLOOKUP(AB334,Stock1!I334,Stock1!J334,"")</f>
        <v/>
      </c>
      <c r="AE334" s="102" t="str">
        <f t="array" ref="AE334">_xlfn.XLOOKUP("Storage",Stock1!B334,Stock1!I334,"")</f>
        <v/>
      </c>
      <c r="AF334" s="102" t="str">
        <f t="array" ref="AF334">_xlfn.XLOOKUP(AE334,Stock1!I334,Stock1!F334,"")</f>
        <v/>
      </c>
      <c r="AG334" s="102" t="str">
        <f t="array" ref="AG334">_xlfn.XLOOKUP(AE334,Stock1!I334,Stock1!J334,"")</f>
        <v/>
      </c>
    </row>
    <row r="335">
      <c r="K335" s="660" t="str">
        <f t="array" ref="K335">IFERROR(_xlfn.XLOOKUP(I335,Incentive!B:B,Incentive!E:E,""),"")</f>
        <v/>
      </c>
      <c r="L335" s="659" t="str">
        <f>IFERROR(VLOOKUP(I335,Stock1!F:J,5,False),"")</f>
        <v/>
      </c>
      <c r="M335" s="659" t="str">
        <f>IFERROR(VLOOKUP(I335,Stock2!F:J,5,False),"")</f>
        <v/>
      </c>
      <c r="V335" s="102" t="str">
        <f t="array" ref="V335">_xlfn.XLOOKUP("Charger",Stock1!B335,Stock1!I335,"")</f>
        <v/>
      </c>
      <c r="W335" s="102" t="str">
        <f t="array" ref="W335">_xlfn.XLOOKUP(V335,Stock1!I335,Stock1!F335,"")</f>
        <v/>
      </c>
      <c r="X335" s="102" t="str">
        <f t="array" ref="X335">_xlfn.XLOOKUP(V335,Stock1!I335,Stock1!J335,"")</f>
        <v/>
      </c>
      <c r="Y335" s="102" t="str">
        <f t="array" ref="Y335">_xlfn.XLOOKUP("Screen Protector for Android Phone and Other",Stock1!B335,Stock1!I335,"")</f>
        <v/>
      </c>
      <c r="Z335" s="102" t="str">
        <f t="array" ref="Z335">_xlfn.XLOOKUP("Screen Protector for Galaxy Phone",Stock1!B335,Stock1!I335,"")</f>
        <v/>
      </c>
      <c r="AA335" s="102" t="str">
        <f t="array" ref="AA335">_xlfn.XLOOKUP("Screen Protector for Galaxy Tab",Stock1!B335,Stock1!I335,"")</f>
        <v/>
      </c>
      <c r="AB335" s="102" t="str">
        <f t="shared" si="4"/>
        <v/>
      </c>
      <c r="AC335" s="102" t="str">
        <f t="array" ref="AC335">_xlfn.XLOOKUP(AB335,Stock1!I335,Stock1!F335,"")</f>
        <v/>
      </c>
      <c r="AD335" s="102" t="str">
        <f t="array" ref="AD335">_xlfn.XLOOKUP(AB335,Stock1!I335,Stock1!J335,"")</f>
        <v/>
      </c>
      <c r="AE335" s="102" t="str">
        <f t="array" ref="AE335">_xlfn.XLOOKUP("Storage",Stock1!B335,Stock1!I335,"")</f>
        <v/>
      </c>
      <c r="AF335" s="102" t="str">
        <f t="array" ref="AF335">_xlfn.XLOOKUP(AE335,Stock1!I335,Stock1!F335,"")</f>
        <v/>
      </c>
      <c r="AG335" s="102" t="str">
        <f t="array" ref="AG335">_xlfn.XLOOKUP(AE335,Stock1!I335,Stock1!J335,"")</f>
        <v/>
      </c>
    </row>
    <row r="336">
      <c r="K336" s="660" t="str">
        <f t="array" ref="K336">IFERROR(_xlfn.XLOOKUP(I336,Incentive!B:B,Incentive!E:E,""),"")</f>
        <v/>
      </c>
      <c r="L336" s="659" t="str">
        <f>IFERROR(VLOOKUP(I336,Stock1!F:J,5,False),"")</f>
        <v/>
      </c>
      <c r="M336" s="659" t="str">
        <f>IFERROR(VLOOKUP(I336,Stock2!F:J,5,False),"")</f>
        <v/>
      </c>
      <c r="V336" s="102" t="str">
        <f t="array" ref="V336">_xlfn.XLOOKUP("Charger",Stock1!B336,Stock1!I336,"")</f>
        <v/>
      </c>
      <c r="W336" s="102" t="str">
        <f t="array" ref="W336">_xlfn.XLOOKUP(V336,Stock1!I336,Stock1!F336,"")</f>
        <v/>
      </c>
      <c r="X336" s="102" t="str">
        <f t="array" ref="X336">_xlfn.XLOOKUP(V336,Stock1!I336,Stock1!J336,"")</f>
        <v/>
      </c>
      <c r="Y336" s="102" t="str">
        <f t="array" ref="Y336">_xlfn.XLOOKUP("Screen Protector for Android Phone and Other",Stock1!B336,Stock1!I336,"")</f>
        <v/>
      </c>
      <c r="Z336" s="102" t="str">
        <f t="array" ref="Z336">_xlfn.XLOOKUP("Screen Protector for Galaxy Phone",Stock1!B336,Stock1!I336,"")</f>
        <v/>
      </c>
      <c r="AA336" s="102" t="str">
        <f t="array" ref="AA336">_xlfn.XLOOKUP("Screen Protector for Galaxy Tab",Stock1!B336,Stock1!I336,"")</f>
        <v/>
      </c>
      <c r="AB336" s="102" t="str">
        <f t="shared" si="4"/>
        <v/>
      </c>
      <c r="AC336" s="102" t="str">
        <f t="array" ref="AC336">_xlfn.XLOOKUP(AB336,Stock1!I336,Stock1!F336,"")</f>
        <v/>
      </c>
      <c r="AD336" s="102" t="str">
        <f t="array" ref="AD336">_xlfn.XLOOKUP(AB336,Stock1!I336,Stock1!J336,"")</f>
        <v/>
      </c>
      <c r="AE336" s="102" t="str">
        <f t="array" ref="AE336">_xlfn.XLOOKUP("Storage",Stock1!B336,Stock1!I336,"")</f>
        <v/>
      </c>
      <c r="AF336" s="102" t="str">
        <f t="array" ref="AF336">_xlfn.XLOOKUP(AE336,Stock1!I336,Stock1!F336,"")</f>
        <v/>
      </c>
      <c r="AG336" s="102" t="str">
        <f t="array" ref="AG336">_xlfn.XLOOKUP(AE336,Stock1!I336,Stock1!J336,"")</f>
        <v/>
      </c>
    </row>
    <row r="337">
      <c r="K337" s="660" t="str">
        <f t="array" ref="K337">IFERROR(_xlfn.XLOOKUP(I337,Incentive!B:B,Incentive!E:E,""),"")</f>
        <v/>
      </c>
      <c r="L337" s="659" t="str">
        <f>IFERROR(VLOOKUP(I337,Stock1!F:J,5,False),"")</f>
        <v/>
      </c>
      <c r="M337" s="659" t="str">
        <f>IFERROR(VLOOKUP(I337,Stock2!F:J,5,False),"")</f>
        <v/>
      </c>
      <c r="V337" s="102" t="str">
        <f t="array" ref="V337">_xlfn.XLOOKUP("Charger",Stock1!B337,Stock1!I337,"")</f>
        <v/>
      </c>
      <c r="W337" s="102" t="str">
        <f t="array" ref="W337">_xlfn.XLOOKUP(V337,Stock1!I337,Stock1!F337,"")</f>
        <v/>
      </c>
      <c r="X337" s="102" t="str">
        <f t="array" ref="X337">_xlfn.XLOOKUP(V337,Stock1!I337,Stock1!J337,"")</f>
        <v/>
      </c>
      <c r="Y337" s="102" t="str">
        <f t="array" ref="Y337">_xlfn.XLOOKUP("Screen Protector for Android Phone and Other",Stock1!B337,Stock1!I337,"")</f>
        <v/>
      </c>
      <c r="Z337" s="102" t="str">
        <f t="array" ref="Z337">_xlfn.XLOOKUP("Screen Protector for Galaxy Phone",Stock1!B337,Stock1!I337,"")</f>
        <v/>
      </c>
      <c r="AA337" s="102" t="str">
        <f t="array" ref="AA337">_xlfn.XLOOKUP("Screen Protector for Galaxy Tab",Stock1!B337,Stock1!I337,"")</f>
        <v/>
      </c>
      <c r="AB337" s="102" t="str">
        <f t="shared" si="4"/>
        <v/>
      </c>
      <c r="AC337" s="102" t="str">
        <f t="array" ref="AC337">_xlfn.XLOOKUP(AB337,Stock1!I337,Stock1!F337,"")</f>
        <v/>
      </c>
      <c r="AD337" s="102" t="str">
        <f t="array" ref="AD337">_xlfn.XLOOKUP(AB337,Stock1!I337,Stock1!J337,"")</f>
        <v/>
      </c>
      <c r="AE337" s="102" t="str">
        <f t="array" ref="AE337">_xlfn.XLOOKUP("Storage",Stock1!B337,Stock1!I337,"")</f>
        <v/>
      </c>
      <c r="AF337" s="102" t="str">
        <f t="array" ref="AF337">_xlfn.XLOOKUP(AE337,Stock1!I337,Stock1!F337,"")</f>
        <v/>
      </c>
      <c r="AG337" s="102" t="str">
        <f t="array" ref="AG337">_xlfn.XLOOKUP(AE337,Stock1!I337,Stock1!J337,"")</f>
        <v/>
      </c>
    </row>
    <row r="338">
      <c r="K338" s="660" t="str">
        <f t="array" ref="K338">IFERROR(_xlfn.XLOOKUP(I338,Incentive!B:B,Incentive!E:E,""),"")</f>
        <v/>
      </c>
      <c r="L338" s="659" t="str">
        <f>IFERROR(VLOOKUP(I338,Stock1!F:J,5,False),"")</f>
        <v/>
      </c>
      <c r="M338" s="659" t="str">
        <f>IFERROR(VLOOKUP(I338,Stock2!F:J,5,False),"")</f>
        <v/>
      </c>
      <c r="V338" s="102" t="str">
        <f t="array" ref="V338">_xlfn.XLOOKUP("Charger",Stock1!B338,Stock1!I338,"")</f>
        <v/>
      </c>
      <c r="W338" s="102" t="str">
        <f t="array" ref="W338">_xlfn.XLOOKUP(V338,Stock1!I338,Stock1!F338,"")</f>
        <v/>
      </c>
      <c r="X338" s="102" t="str">
        <f t="array" ref="X338">_xlfn.XLOOKUP(V338,Stock1!I338,Stock1!J338,"")</f>
        <v/>
      </c>
      <c r="Y338" s="102" t="str">
        <f t="array" ref="Y338">_xlfn.XLOOKUP("Screen Protector for Android Phone and Other",Stock1!B338,Stock1!I338,"")</f>
        <v/>
      </c>
      <c r="Z338" s="102" t="str">
        <f t="array" ref="Z338">_xlfn.XLOOKUP("Screen Protector for Galaxy Phone",Stock1!B338,Stock1!I338,"")</f>
        <v/>
      </c>
      <c r="AA338" s="102" t="str">
        <f t="array" ref="AA338">_xlfn.XLOOKUP("Screen Protector for Galaxy Tab",Stock1!B338,Stock1!I338,"")</f>
        <v/>
      </c>
      <c r="AB338" s="102" t="str">
        <f t="shared" si="4"/>
        <v/>
      </c>
      <c r="AC338" s="102" t="str">
        <f t="array" ref="AC338">_xlfn.XLOOKUP(AB338,Stock1!I338,Stock1!F338,"")</f>
        <v/>
      </c>
      <c r="AD338" s="102" t="str">
        <f t="array" ref="AD338">_xlfn.XLOOKUP(AB338,Stock1!I338,Stock1!J338,"")</f>
        <v/>
      </c>
      <c r="AE338" s="102" t="str">
        <f t="array" ref="AE338">_xlfn.XLOOKUP("Storage",Stock1!B338,Stock1!I338,"")</f>
        <v/>
      </c>
      <c r="AF338" s="102" t="str">
        <f t="array" ref="AF338">_xlfn.XLOOKUP(AE338,Stock1!I338,Stock1!F338,"")</f>
        <v/>
      </c>
      <c r="AG338" s="102" t="str">
        <f t="array" ref="AG338">_xlfn.XLOOKUP(AE338,Stock1!I338,Stock1!J338,"")</f>
        <v/>
      </c>
    </row>
    <row r="339">
      <c r="K339" s="660" t="str">
        <f t="array" ref="K339">IFERROR(_xlfn.XLOOKUP(I339,Incentive!B:B,Incentive!E:E,""),"")</f>
        <v/>
      </c>
      <c r="L339" s="659" t="str">
        <f>IFERROR(VLOOKUP(I339,Stock1!F:J,5,False),"")</f>
        <v/>
      </c>
      <c r="M339" s="659" t="str">
        <f>IFERROR(VLOOKUP(I339,Stock2!F:J,5,False),"")</f>
        <v/>
      </c>
      <c r="V339" s="102" t="str">
        <f t="array" ref="V339">_xlfn.XLOOKUP("Charger",Stock1!B339,Stock1!I339,"")</f>
        <v/>
      </c>
      <c r="W339" s="102" t="str">
        <f t="array" ref="W339">_xlfn.XLOOKUP(V339,Stock1!I339,Stock1!F339,"")</f>
        <v/>
      </c>
      <c r="X339" s="102" t="str">
        <f t="array" ref="X339">_xlfn.XLOOKUP(V339,Stock1!I339,Stock1!J339,"")</f>
        <v/>
      </c>
      <c r="Y339" s="102" t="str">
        <f t="array" ref="Y339">_xlfn.XLOOKUP("Screen Protector for Android Phone and Other",Stock1!B339,Stock1!I339,"")</f>
        <v/>
      </c>
      <c r="Z339" s="102" t="str">
        <f t="array" ref="Z339">_xlfn.XLOOKUP("Screen Protector for Galaxy Phone",Stock1!B339,Stock1!I339,"")</f>
        <v/>
      </c>
      <c r="AA339" s="102" t="str">
        <f t="array" ref="AA339">_xlfn.XLOOKUP("Screen Protector for Galaxy Tab",Stock1!B339,Stock1!I339,"")</f>
        <v/>
      </c>
      <c r="AB339" s="102" t="str">
        <f t="shared" si="4"/>
        <v/>
      </c>
      <c r="AC339" s="102" t="str">
        <f t="array" ref="AC339">_xlfn.XLOOKUP(AB339,Stock1!I339,Stock1!F339,"")</f>
        <v/>
      </c>
      <c r="AD339" s="102" t="str">
        <f t="array" ref="AD339">_xlfn.XLOOKUP(AB339,Stock1!I339,Stock1!J339,"")</f>
        <v/>
      </c>
      <c r="AE339" s="102" t="str">
        <f t="array" ref="AE339">_xlfn.XLOOKUP("Storage",Stock1!B339,Stock1!I339,"")</f>
        <v/>
      </c>
      <c r="AF339" s="102" t="str">
        <f t="array" ref="AF339">_xlfn.XLOOKUP(AE339,Stock1!I339,Stock1!F339,"")</f>
        <v/>
      </c>
      <c r="AG339" s="102" t="str">
        <f t="array" ref="AG339">_xlfn.XLOOKUP(AE339,Stock1!I339,Stock1!J339,"")</f>
        <v/>
      </c>
    </row>
    <row r="340">
      <c r="K340" s="660" t="str">
        <f t="array" ref="K340">IFERROR(_xlfn.XLOOKUP(I340,Incentive!B:B,Incentive!E:E,""),"")</f>
        <v/>
      </c>
      <c r="L340" s="659" t="str">
        <f>IFERROR(VLOOKUP(I340,Stock1!F:J,5,False),"")</f>
        <v/>
      </c>
      <c r="M340" s="659" t="str">
        <f>IFERROR(VLOOKUP(I340,Stock2!F:J,5,False),"")</f>
        <v/>
      </c>
      <c r="V340" s="102" t="str">
        <f t="array" ref="V340">_xlfn.XLOOKUP("Charger",Stock1!B340,Stock1!I340,"")</f>
        <v/>
      </c>
      <c r="W340" s="102" t="str">
        <f t="array" ref="W340">_xlfn.XLOOKUP(V340,Stock1!I340,Stock1!F340,"")</f>
        <v/>
      </c>
      <c r="X340" s="102" t="str">
        <f t="array" ref="X340">_xlfn.XLOOKUP(V340,Stock1!I340,Stock1!J340,"")</f>
        <v/>
      </c>
      <c r="Y340" s="102" t="str">
        <f t="array" ref="Y340">_xlfn.XLOOKUP("Screen Protector for Android Phone and Other",Stock1!B340,Stock1!I340,"")</f>
        <v/>
      </c>
      <c r="Z340" s="102" t="str">
        <f t="array" ref="Z340">_xlfn.XLOOKUP("Screen Protector for Galaxy Phone",Stock1!B340,Stock1!I340,"")</f>
        <v/>
      </c>
      <c r="AA340" s="102" t="str">
        <f t="array" ref="AA340">_xlfn.XLOOKUP("Screen Protector for Galaxy Tab",Stock1!B340,Stock1!I340,"")</f>
        <v/>
      </c>
      <c r="AB340" s="102" t="str">
        <f t="shared" si="4"/>
        <v/>
      </c>
      <c r="AC340" s="102" t="str">
        <f t="array" ref="AC340">_xlfn.XLOOKUP(AB340,Stock1!I340,Stock1!F340,"")</f>
        <v/>
      </c>
      <c r="AD340" s="102" t="str">
        <f t="array" ref="AD340">_xlfn.XLOOKUP(AB340,Stock1!I340,Stock1!J340,"")</f>
        <v/>
      </c>
      <c r="AE340" s="102" t="str">
        <f t="array" ref="AE340">_xlfn.XLOOKUP("Storage",Stock1!B340,Stock1!I340,"")</f>
        <v/>
      </c>
      <c r="AF340" s="102" t="str">
        <f t="array" ref="AF340">_xlfn.XLOOKUP(AE340,Stock1!I340,Stock1!F340,"")</f>
        <v/>
      </c>
      <c r="AG340" s="102" t="str">
        <f t="array" ref="AG340">_xlfn.XLOOKUP(AE340,Stock1!I340,Stock1!J340,"")</f>
        <v/>
      </c>
    </row>
    <row r="341">
      <c r="K341" s="660" t="str">
        <f t="array" ref="K341">IFERROR(_xlfn.XLOOKUP(I341,Incentive!B:B,Incentive!E:E,""),"")</f>
        <v/>
      </c>
      <c r="L341" s="659" t="str">
        <f>IFERROR(VLOOKUP(I341,Stock1!F:J,5,False),"")</f>
        <v/>
      </c>
      <c r="M341" s="659" t="str">
        <f>IFERROR(VLOOKUP(I341,Stock2!F:J,5,False),"")</f>
        <v/>
      </c>
      <c r="V341" s="102" t="str">
        <f t="array" ref="V341">_xlfn.XLOOKUP("Charger",Stock1!B341,Stock1!I341,"")</f>
        <v/>
      </c>
      <c r="W341" s="102" t="str">
        <f t="array" ref="W341">_xlfn.XLOOKUP(V341,Stock1!I341,Stock1!F341,"")</f>
        <v/>
      </c>
      <c r="X341" s="102" t="str">
        <f t="array" ref="X341">_xlfn.XLOOKUP(V341,Stock1!I341,Stock1!J341,"")</f>
        <v/>
      </c>
      <c r="Y341" s="102" t="str">
        <f t="array" ref="Y341">_xlfn.XLOOKUP("Screen Protector for Android Phone and Other",Stock1!B341,Stock1!I341,"")</f>
        <v/>
      </c>
      <c r="Z341" s="102" t="str">
        <f t="array" ref="Z341">_xlfn.XLOOKUP("Screen Protector for Galaxy Phone",Stock1!B341,Stock1!I341,"")</f>
        <v/>
      </c>
      <c r="AA341" s="102" t="str">
        <f t="array" ref="AA341">_xlfn.XLOOKUP("Screen Protector for Galaxy Tab",Stock1!B341,Stock1!I341,"")</f>
        <v/>
      </c>
      <c r="AB341" s="102" t="str">
        <f t="shared" si="4"/>
        <v/>
      </c>
      <c r="AC341" s="102" t="str">
        <f t="array" ref="AC341">_xlfn.XLOOKUP(AB341,Stock1!I341,Stock1!F341,"")</f>
        <v/>
      </c>
      <c r="AD341" s="102" t="str">
        <f t="array" ref="AD341">_xlfn.XLOOKUP(AB341,Stock1!I341,Stock1!J341,"")</f>
        <v/>
      </c>
      <c r="AE341" s="102" t="str">
        <f t="array" ref="AE341">_xlfn.XLOOKUP("Storage",Stock1!B341,Stock1!I341,"")</f>
        <v/>
      </c>
      <c r="AF341" s="102" t="str">
        <f t="array" ref="AF341">_xlfn.XLOOKUP(AE341,Stock1!I341,Stock1!F341,"")</f>
        <v/>
      </c>
      <c r="AG341" s="102" t="str">
        <f t="array" ref="AG341">_xlfn.XLOOKUP(AE341,Stock1!I341,Stock1!J341,"")</f>
        <v/>
      </c>
    </row>
    <row r="342">
      <c r="K342" s="660" t="str">
        <f t="array" ref="K342">IFERROR(_xlfn.XLOOKUP(I342,Incentive!B:B,Incentive!E:E,""),"")</f>
        <v/>
      </c>
      <c r="L342" s="659" t="str">
        <f>IFERROR(VLOOKUP(I342,Stock1!F:J,5,False),"")</f>
        <v/>
      </c>
      <c r="M342" s="659" t="str">
        <f>IFERROR(VLOOKUP(I342,Stock2!F:J,5,False),"")</f>
        <v/>
      </c>
      <c r="V342" s="102" t="str">
        <f t="array" ref="V342">_xlfn.XLOOKUP("Charger",Stock1!B342,Stock1!I342,"")</f>
        <v/>
      </c>
      <c r="W342" s="102" t="str">
        <f t="array" ref="W342">_xlfn.XLOOKUP(V342,Stock1!I342,Stock1!F342,"")</f>
        <v/>
      </c>
      <c r="X342" s="102" t="str">
        <f t="array" ref="X342">_xlfn.XLOOKUP(V342,Stock1!I342,Stock1!J342,"")</f>
        <v/>
      </c>
      <c r="Y342" s="102" t="str">
        <f t="array" ref="Y342">_xlfn.XLOOKUP("Screen Protector for Android Phone and Other",Stock1!B342,Stock1!I342,"")</f>
        <v/>
      </c>
      <c r="Z342" s="102" t="str">
        <f t="array" ref="Z342">_xlfn.XLOOKUP("Screen Protector for Galaxy Phone",Stock1!B342,Stock1!I342,"")</f>
        <v/>
      </c>
      <c r="AA342" s="102" t="str">
        <f t="array" ref="AA342">_xlfn.XLOOKUP("Screen Protector for Galaxy Tab",Stock1!B342,Stock1!I342,"")</f>
        <v/>
      </c>
      <c r="AB342" s="102" t="str">
        <f t="shared" si="4"/>
        <v/>
      </c>
      <c r="AC342" s="102" t="str">
        <f t="array" ref="AC342">_xlfn.XLOOKUP(AB342,Stock1!I342,Stock1!F342,"")</f>
        <v/>
      </c>
      <c r="AD342" s="102" t="str">
        <f t="array" ref="AD342">_xlfn.XLOOKUP(AB342,Stock1!I342,Stock1!J342,"")</f>
        <v/>
      </c>
      <c r="AE342" s="102" t="str">
        <f t="array" ref="AE342">_xlfn.XLOOKUP("Storage",Stock1!B342,Stock1!I342,"")</f>
        <v/>
      </c>
      <c r="AF342" s="102" t="str">
        <f t="array" ref="AF342">_xlfn.XLOOKUP(AE342,Stock1!I342,Stock1!F342,"")</f>
        <v/>
      </c>
      <c r="AG342" s="102" t="str">
        <f t="array" ref="AG342">_xlfn.XLOOKUP(AE342,Stock1!I342,Stock1!J342,"")</f>
        <v/>
      </c>
    </row>
    <row r="343">
      <c r="K343" s="660" t="str">
        <f t="array" ref="K343">IFERROR(_xlfn.XLOOKUP(I343,Incentive!B:B,Incentive!E:E,""),"")</f>
        <v/>
      </c>
      <c r="L343" s="659" t="str">
        <f>IFERROR(VLOOKUP(I343,Stock1!F:J,5,False),"")</f>
        <v/>
      </c>
      <c r="M343" s="659" t="str">
        <f>IFERROR(VLOOKUP(I343,Stock2!F:J,5,False),"")</f>
        <v/>
      </c>
      <c r="V343" s="102" t="str">
        <f t="array" ref="V343">_xlfn.XLOOKUP("Charger",Stock1!B343,Stock1!I343,"")</f>
        <v/>
      </c>
      <c r="W343" s="102" t="str">
        <f t="array" ref="W343">_xlfn.XLOOKUP(V343,Stock1!I343,Stock1!F343,"")</f>
        <v/>
      </c>
      <c r="X343" s="102" t="str">
        <f t="array" ref="X343">_xlfn.XLOOKUP(V343,Stock1!I343,Stock1!J343,"")</f>
        <v/>
      </c>
      <c r="Y343" s="102" t="str">
        <f t="array" ref="Y343">_xlfn.XLOOKUP("Screen Protector for Android Phone and Other",Stock1!B343,Stock1!I343,"")</f>
        <v/>
      </c>
      <c r="Z343" s="102" t="str">
        <f t="array" ref="Z343">_xlfn.XLOOKUP("Screen Protector for Galaxy Phone",Stock1!B343,Stock1!I343,"")</f>
        <v/>
      </c>
      <c r="AA343" s="102" t="str">
        <f t="array" ref="AA343">_xlfn.XLOOKUP("Screen Protector for Galaxy Tab",Stock1!B343,Stock1!I343,"")</f>
        <v/>
      </c>
      <c r="AB343" s="102" t="str">
        <f t="shared" si="4"/>
        <v/>
      </c>
      <c r="AC343" s="102" t="str">
        <f t="array" ref="AC343">_xlfn.XLOOKUP(AB343,Stock1!I343,Stock1!F343,"")</f>
        <v/>
      </c>
      <c r="AD343" s="102" t="str">
        <f t="array" ref="AD343">_xlfn.XLOOKUP(AB343,Stock1!I343,Stock1!J343,"")</f>
        <v/>
      </c>
      <c r="AE343" s="102" t="str">
        <f t="array" ref="AE343">_xlfn.XLOOKUP("Storage",Stock1!B343,Stock1!I343,"")</f>
        <v/>
      </c>
      <c r="AF343" s="102" t="str">
        <f t="array" ref="AF343">_xlfn.XLOOKUP(AE343,Stock1!I343,Stock1!F343,"")</f>
        <v/>
      </c>
      <c r="AG343" s="102" t="str">
        <f t="array" ref="AG343">_xlfn.XLOOKUP(AE343,Stock1!I343,Stock1!J343,"")</f>
        <v/>
      </c>
    </row>
    <row r="344">
      <c r="K344" s="660" t="str">
        <f t="array" ref="K344">IFERROR(_xlfn.XLOOKUP(I344,Incentive!B:B,Incentive!E:E,""),"")</f>
        <v/>
      </c>
      <c r="L344" s="659" t="str">
        <f>IFERROR(VLOOKUP(I344,Stock1!F:J,5,False),"")</f>
        <v/>
      </c>
      <c r="M344" s="659" t="str">
        <f>IFERROR(VLOOKUP(I344,Stock2!F:J,5,False),"")</f>
        <v/>
      </c>
      <c r="V344" s="102" t="str">
        <f t="array" ref="V344">_xlfn.XLOOKUP("Charger",Stock1!B344,Stock1!I344,"")</f>
        <v/>
      </c>
      <c r="W344" s="102" t="str">
        <f t="array" ref="W344">_xlfn.XLOOKUP(V344,Stock1!I344,Stock1!F344,"")</f>
        <v/>
      </c>
      <c r="X344" s="102" t="str">
        <f t="array" ref="X344">_xlfn.XLOOKUP(V344,Stock1!I344,Stock1!J344,"")</f>
        <v/>
      </c>
      <c r="Y344" s="102" t="str">
        <f t="array" ref="Y344">_xlfn.XLOOKUP("Screen Protector for Android Phone and Other",Stock1!B344,Stock1!I344,"")</f>
        <v/>
      </c>
      <c r="Z344" s="102" t="str">
        <f t="array" ref="Z344">_xlfn.XLOOKUP("Screen Protector for Galaxy Phone",Stock1!B344,Stock1!I344,"")</f>
        <v/>
      </c>
      <c r="AA344" s="102" t="str">
        <f t="array" ref="AA344">_xlfn.XLOOKUP("Screen Protector for Galaxy Tab",Stock1!B344,Stock1!I344,"")</f>
        <v/>
      </c>
      <c r="AB344" s="102" t="str">
        <f t="shared" si="4"/>
        <v/>
      </c>
      <c r="AC344" s="102" t="str">
        <f t="array" ref="AC344">_xlfn.XLOOKUP(AB344,Stock1!I344,Stock1!F344,"")</f>
        <v/>
      </c>
      <c r="AD344" s="102" t="str">
        <f t="array" ref="AD344">_xlfn.XLOOKUP(AB344,Stock1!I344,Stock1!J344,"")</f>
        <v/>
      </c>
      <c r="AE344" s="102" t="str">
        <f t="array" ref="AE344">_xlfn.XLOOKUP("Storage",Stock1!B344,Stock1!I344,"")</f>
        <v/>
      </c>
      <c r="AF344" s="102" t="str">
        <f t="array" ref="AF344">_xlfn.XLOOKUP(AE344,Stock1!I344,Stock1!F344,"")</f>
        <v/>
      </c>
      <c r="AG344" s="102" t="str">
        <f t="array" ref="AG344">_xlfn.XLOOKUP(AE344,Stock1!I344,Stock1!J344,"")</f>
        <v/>
      </c>
    </row>
    <row r="345">
      <c r="K345" s="660" t="str">
        <f t="array" ref="K345">IFERROR(_xlfn.XLOOKUP(I345,Incentive!B:B,Incentive!E:E,""),"")</f>
        <v/>
      </c>
      <c r="L345" s="659" t="str">
        <f>IFERROR(VLOOKUP(I345,Stock1!F:J,5,False),"")</f>
        <v/>
      </c>
      <c r="M345" s="659" t="str">
        <f>IFERROR(VLOOKUP(I345,Stock2!F:J,5,False),"")</f>
        <v/>
      </c>
      <c r="V345" s="102" t="str">
        <f t="array" ref="V345">_xlfn.XLOOKUP("Charger",Stock1!B345,Stock1!I345,"")</f>
        <v/>
      </c>
      <c r="W345" s="102" t="str">
        <f t="array" ref="W345">_xlfn.XLOOKUP(V345,Stock1!I345,Stock1!F345,"")</f>
        <v/>
      </c>
      <c r="X345" s="102" t="str">
        <f t="array" ref="X345">_xlfn.XLOOKUP(V345,Stock1!I345,Stock1!J345,"")</f>
        <v/>
      </c>
      <c r="Y345" s="102" t="str">
        <f t="array" ref="Y345">_xlfn.XLOOKUP("Screen Protector for Android Phone and Other",Stock1!B345,Stock1!I345,"")</f>
        <v/>
      </c>
      <c r="Z345" s="102" t="str">
        <f t="array" ref="Z345">_xlfn.XLOOKUP("Screen Protector for Galaxy Phone",Stock1!B345,Stock1!I345,"")</f>
        <v/>
      </c>
      <c r="AA345" s="102" t="str">
        <f t="array" ref="AA345">_xlfn.XLOOKUP("Screen Protector for Galaxy Tab",Stock1!B345,Stock1!I345,"")</f>
        <v/>
      </c>
      <c r="AB345" s="102" t="str">
        <f t="shared" si="4"/>
        <v/>
      </c>
      <c r="AC345" s="102" t="str">
        <f t="array" ref="AC345">_xlfn.XLOOKUP(AB345,Stock1!I345,Stock1!F345,"")</f>
        <v/>
      </c>
      <c r="AD345" s="102" t="str">
        <f t="array" ref="AD345">_xlfn.XLOOKUP(AB345,Stock1!I345,Stock1!J345,"")</f>
        <v/>
      </c>
      <c r="AE345" s="102" t="str">
        <f t="array" ref="AE345">_xlfn.XLOOKUP("Storage",Stock1!B345,Stock1!I345,"")</f>
        <v/>
      </c>
      <c r="AF345" s="102" t="str">
        <f t="array" ref="AF345">_xlfn.XLOOKUP(AE345,Stock1!I345,Stock1!F345,"")</f>
        <v/>
      </c>
      <c r="AG345" s="102" t="str">
        <f t="array" ref="AG345">_xlfn.XLOOKUP(AE345,Stock1!I345,Stock1!J345,"")</f>
        <v/>
      </c>
    </row>
    <row r="346">
      <c r="K346" s="660" t="str">
        <f t="array" ref="K346">IFERROR(_xlfn.XLOOKUP(I346,Incentive!B:B,Incentive!E:E,""),"")</f>
        <v/>
      </c>
      <c r="L346" s="659" t="str">
        <f>IFERROR(VLOOKUP(I346,Stock1!F:J,5,False),"")</f>
        <v/>
      </c>
      <c r="M346" s="659" t="str">
        <f>IFERROR(VLOOKUP(I346,Stock2!F:J,5,False),"")</f>
        <v/>
      </c>
      <c r="V346" s="102" t="str">
        <f t="array" ref="V346">_xlfn.XLOOKUP("Charger",Stock1!B346,Stock1!I346,"")</f>
        <v/>
      </c>
      <c r="W346" s="102" t="str">
        <f t="array" ref="W346">_xlfn.XLOOKUP(V346,Stock1!I346,Stock1!F346,"")</f>
        <v/>
      </c>
      <c r="X346" s="102" t="str">
        <f t="array" ref="X346">_xlfn.XLOOKUP(V346,Stock1!I346,Stock1!J346,"")</f>
        <v/>
      </c>
      <c r="Y346" s="102" t="str">
        <f t="array" ref="Y346">_xlfn.XLOOKUP("Screen Protector for Android Phone and Other",Stock1!B346,Stock1!I346,"")</f>
        <v/>
      </c>
      <c r="Z346" s="102" t="str">
        <f t="array" ref="Z346">_xlfn.XLOOKUP("Screen Protector for Galaxy Phone",Stock1!B346,Stock1!I346,"")</f>
        <v/>
      </c>
      <c r="AA346" s="102" t="str">
        <f t="array" ref="AA346">_xlfn.XLOOKUP("Screen Protector for Galaxy Tab",Stock1!B346,Stock1!I346,"")</f>
        <v/>
      </c>
      <c r="AB346" s="102" t="str">
        <f t="shared" si="4"/>
        <v/>
      </c>
      <c r="AC346" s="102" t="str">
        <f t="array" ref="AC346">_xlfn.XLOOKUP(AB346,Stock1!I346,Stock1!F346,"")</f>
        <v/>
      </c>
      <c r="AD346" s="102" t="str">
        <f t="array" ref="AD346">_xlfn.XLOOKUP(AB346,Stock1!I346,Stock1!J346,"")</f>
        <v/>
      </c>
      <c r="AE346" s="102" t="str">
        <f t="array" ref="AE346">_xlfn.XLOOKUP("Storage",Stock1!B346,Stock1!I346,"")</f>
        <v/>
      </c>
      <c r="AF346" s="102" t="str">
        <f t="array" ref="AF346">_xlfn.XLOOKUP(AE346,Stock1!I346,Stock1!F346,"")</f>
        <v/>
      </c>
      <c r="AG346" s="102" t="str">
        <f t="array" ref="AG346">_xlfn.XLOOKUP(AE346,Stock1!I346,Stock1!J346,"")</f>
        <v/>
      </c>
    </row>
    <row r="347">
      <c r="K347" s="660" t="str">
        <f t="array" ref="K347">IFERROR(_xlfn.XLOOKUP(I347,Incentive!B:B,Incentive!E:E,""),"")</f>
        <v/>
      </c>
      <c r="L347" s="659" t="str">
        <f>IFERROR(VLOOKUP(I347,Stock1!F:J,5,False),"")</f>
        <v/>
      </c>
      <c r="M347" s="659" t="str">
        <f>IFERROR(VLOOKUP(I347,Stock2!F:J,5,False),"")</f>
        <v/>
      </c>
      <c r="V347" s="102" t="str">
        <f t="array" ref="V347">_xlfn.XLOOKUP("Charger",Stock1!B347,Stock1!I347,"")</f>
        <v/>
      </c>
      <c r="W347" s="102" t="str">
        <f t="array" ref="W347">_xlfn.XLOOKUP(V347,Stock1!I347,Stock1!F347,"")</f>
        <v/>
      </c>
      <c r="X347" s="102" t="str">
        <f t="array" ref="X347">_xlfn.XLOOKUP(V347,Stock1!I347,Stock1!J347,"")</f>
        <v/>
      </c>
      <c r="Y347" s="102" t="str">
        <f t="array" ref="Y347">_xlfn.XLOOKUP("Screen Protector for Android Phone and Other",Stock1!B347,Stock1!I347,"")</f>
        <v/>
      </c>
      <c r="Z347" s="102" t="str">
        <f t="array" ref="Z347">_xlfn.XLOOKUP("Screen Protector for Galaxy Phone",Stock1!B347,Stock1!I347,"")</f>
        <v/>
      </c>
      <c r="AA347" s="102" t="str">
        <f t="array" ref="AA347">_xlfn.XLOOKUP("Screen Protector for Galaxy Tab",Stock1!B347,Stock1!I347,"")</f>
        <v/>
      </c>
      <c r="AB347" s="102" t="str">
        <f t="shared" si="4"/>
        <v/>
      </c>
      <c r="AC347" s="102" t="str">
        <f t="array" ref="AC347">_xlfn.XLOOKUP(AB347,Stock1!I347,Stock1!F347,"")</f>
        <v/>
      </c>
      <c r="AD347" s="102" t="str">
        <f t="array" ref="AD347">_xlfn.XLOOKUP(AB347,Stock1!I347,Stock1!J347,"")</f>
        <v/>
      </c>
      <c r="AE347" s="102" t="str">
        <f t="array" ref="AE347">_xlfn.XLOOKUP("Storage",Stock1!B347,Stock1!I347,"")</f>
        <v/>
      </c>
      <c r="AF347" s="102" t="str">
        <f t="array" ref="AF347">_xlfn.XLOOKUP(AE347,Stock1!I347,Stock1!F347,"")</f>
        <v/>
      </c>
      <c r="AG347" s="102" t="str">
        <f t="array" ref="AG347">_xlfn.XLOOKUP(AE347,Stock1!I347,Stock1!J347,"")</f>
        <v/>
      </c>
    </row>
    <row r="348">
      <c r="K348" s="660" t="str">
        <f t="array" ref="K348">IFERROR(_xlfn.XLOOKUP(I348,Incentive!B:B,Incentive!E:E,""),"")</f>
        <v/>
      </c>
      <c r="L348" s="659" t="str">
        <f>IFERROR(VLOOKUP(I348,Stock1!F:J,5,False),"")</f>
        <v/>
      </c>
      <c r="M348" s="659" t="str">
        <f>IFERROR(VLOOKUP(I348,Stock2!F:J,5,False),"")</f>
        <v/>
      </c>
      <c r="V348" s="102" t="str">
        <f t="array" ref="V348">_xlfn.XLOOKUP("Charger",Stock1!B348,Stock1!I348,"")</f>
        <v/>
      </c>
      <c r="W348" s="102" t="str">
        <f t="array" ref="W348">_xlfn.XLOOKUP(V348,Stock1!I348,Stock1!F348,"")</f>
        <v/>
      </c>
      <c r="X348" s="102" t="str">
        <f t="array" ref="X348">_xlfn.XLOOKUP(V348,Stock1!I348,Stock1!J348,"")</f>
        <v/>
      </c>
      <c r="Y348" s="102" t="str">
        <f t="array" ref="Y348">_xlfn.XLOOKUP("Screen Protector for Android Phone and Other",Stock1!B348,Stock1!I348,"")</f>
        <v/>
      </c>
      <c r="Z348" s="102" t="str">
        <f t="array" ref="Z348">_xlfn.XLOOKUP("Screen Protector for Galaxy Phone",Stock1!B348,Stock1!I348,"")</f>
        <v/>
      </c>
      <c r="AA348" s="102" t="str">
        <f t="array" ref="AA348">_xlfn.XLOOKUP("Screen Protector for Galaxy Tab",Stock1!B348,Stock1!I348,"")</f>
        <v/>
      </c>
      <c r="AB348" s="102" t="str">
        <f t="shared" si="4"/>
        <v/>
      </c>
      <c r="AC348" s="102" t="str">
        <f t="array" ref="AC348">_xlfn.XLOOKUP(AB348,Stock1!I348,Stock1!F348,"")</f>
        <v/>
      </c>
      <c r="AD348" s="102" t="str">
        <f t="array" ref="AD348">_xlfn.XLOOKUP(AB348,Stock1!I348,Stock1!J348,"")</f>
        <v/>
      </c>
      <c r="AE348" s="102" t="str">
        <f t="array" ref="AE348">_xlfn.XLOOKUP("Storage",Stock1!B348,Stock1!I348,"")</f>
        <v/>
      </c>
      <c r="AF348" s="102" t="str">
        <f t="array" ref="AF348">_xlfn.XLOOKUP(AE348,Stock1!I348,Stock1!F348,"")</f>
        <v/>
      </c>
      <c r="AG348" s="102" t="str">
        <f t="array" ref="AG348">_xlfn.XLOOKUP(AE348,Stock1!I348,Stock1!J348,"")</f>
        <v/>
      </c>
    </row>
    <row r="349">
      <c r="K349" s="660" t="str">
        <f t="array" ref="K349">IFERROR(_xlfn.XLOOKUP(I349,Incentive!B:B,Incentive!E:E,""),"")</f>
        <v/>
      </c>
      <c r="L349" s="659" t="str">
        <f>IFERROR(VLOOKUP(I349,Stock1!F:J,5,False),"")</f>
        <v/>
      </c>
      <c r="M349" s="659" t="str">
        <f>IFERROR(VLOOKUP(I349,Stock2!F:J,5,False),"")</f>
        <v/>
      </c>
      <c r="V349" s="102" t="str">
        <f t="array" ref="V349">_xlfn.XLOOKUP("Charger",Stock1!B349,Stock1!I349,"")</f>
        <v/>
      </c>
      <c r="W349" s="102" t="str">
        <f t="array" ref="W349">_xlfn.XLOOKUP(V349,Stock1!I349,Stock1!F349,"")</f>
        <v/>
      </c>
      <c r="X349" s="102" t="str">
        <f t="array" ref="X349">_xlfn.XLOOKUP(V349,Stock1!I349,Stock1!J349,"")</f>
        <v/>
      </c>
      <c r="Y349" s="102" t="str">
        <f t="array" ref="Y349">_xlfn.XLOOKUP("Screen Protector for Android Phone and Other",Stock1!B349,Stock1!I349,"")</f>
        <v/>
      </c>
      <c r="Z349" s="102" t="str">
        <f t="array" ref="Z349">_xlfn.XLOOKUP("Screen Protector for Galaxy Phone",Stock1!B349,Stock1!I349,"")</f>
        <v/>
      </c>
      <c r="AA349" s="102" t="str">
        <f t="array" ref="AA349">_xlfn.XLOOKUP("Screen Protector for Galaxy Tab",Stock1!B349,Stock1!I349,"")</f>
        <v/>
      </c>
      <c r="AB349" s="102" t="str">
        <f t="shared" si="4"/>
        <v/>
      </c>
      <c r="AC349" s="102" t="str">
        <f t="array" ref="AC349">_xlfn.XLOOKUP(AB349,Stock1!I349,Stock1!F349,"")</f>
        <v/>
      </c>
      <c r="AD349" s="102" t="str">
        <f t="array" ref="AD349">_xlfn.XLOOKUP(AB349,Stock1!I349,Stock1!J349,"")</f>
        <v/>
      </c>
      <c r="AE349" s="102" t="str">
        <f t="array" ref="AE349">_xlfn.XLOOKUP("Storage",Stock1!B349,Stock1!I349,"")</f>
        <v/>
      </c>
      <c r="AF349" s="102" t="str">
        <f t="array" ref="AF349">_xlfn.XLOOKUP(AE349,Stock1!I349,Stock1!F349,"")</f>
        <v/>
      </c>
      <c r="AG349" s="102" t="str">
        <f t="array" ref="AG349">_xlfn.XLOOKUP(AE349,Stock1!I349,Stock1!J349,"")</f>
        <v/>
      </c>
    </row>
    <row r="350">
      <c r="K350" s="660" t="str">
        <f t="array" ref="K350">IFERROR(_xlfn.XLOOKUP(I350,Incentive!B:B,Incentive!E:E,""),"")</f>
        <v/>
      </c>
      <c r="L350" s="659" t="str">
        <f>IFERROR(VLOOKUP(I350,Stock1!F:J,5,False),"")</f>
        <v/>
      </c>
      <c r="M350" s="659" t="str">
        <f>IFERROR(VLOOKUP(I350,Stock2!F:J,5,False),"")</f>
        <v/>
      </c>
      <c r="V350" s="102" t="str">
        <f t="array" ref="V350">_xlfn.XLOOKUP("Charger",Stock1!B350,Stock1!I350,"")</f>
        <v/>
      </c>
      <c r="W350" s="102" t="str">
        <f t="array" ref="W350">_xlfn.XLOOKUP(V350,Stock1!I350,Stock1!F350,"")</f>
        <v/>
      </c>
      <c r="X350" s="102" t="str">
        <f t="array" ref="X350">_xlfn.XLOOKUP(V350,Stock1!I350,Stock1!J350,"")</f>
        <v/>
      </c>
      <c r="Y350" s="102" t="str">
        <f t="array" ref="Y350">_xlfn.XLOOKUP("Screen Protector for Android Phone and Other",Stock1!B350,Stock1!I350,"")</f>
        <v/>
      </c>
      <c r="Z350" s="102" t="str">
        <f t="array" ref="Z350">_xlfn.XLOOKUP("Screen Protector for Galaxy Phone",Stock1!B350,Stock1!I350,"")</f>
        <v/>
      </c>
      <c r="AA350" s="102" t="str">
        <f t="array" ref="AA350">_xlfn.XLOOKUP("Screen Protector for Galaxy Tab",Stock1!B350,Stock1!I350,"")</f>
        <v/>
      </c>
      <c r="AB350" s="102" t="str">
        <f t="shared" si="4"/>
        <v/>
      </c>
      <c r="AC350" s="102" t="str">
        <f t="array" ref="AC350">_xlfn.XLOOKUP(AB350,Stock1!I350,Stock1!F350,"")</f>
        <v/>
      </c>
      <c r="AD350" s="102" t="str">
        <f t="array" ref="AD350">_xlfn.XLOOKUP(AB350,Stock1!I350,Stock1!J350,"")</f>
        <v/>
      </c>
      <c r="AE350" s="102" t="str">
        <f t="array" ref="AE350">_xlfn.XLOOKUP("Storage",Stock1!B350,Stock1!I350,"")</f>
        <v/>
      </c>
      <c r="AF350" s="102" t="str">
        <f t="array" ref="AF350">_xlfn.XLOOKUP(AE350,Stock1!I350,Stock1!F350,"")</f>
        <v/>
      </c>
      <c r="AG350" s="102" t="str">
        <f t="array" ref="AG350">_xlfn.XLOOKUP(AE350,Stock1!I350,Stock1!J350,"")</f>
        <v/>
      </c>
    </row>
    <row r="351">
      <c r="K351" s="660" t="str">
        <f t="array" ref="K351">IFERROR(_xlfn.XLOOKUP(I351,Incentive!B:B,Incentive!E:E,""),"")</f>
        <v/>
      </c>
      <c r="L351" s="659" t="str">
        <f>IFERROR(VLOOKUP(I351,Stock1!F:J,5,False),"")</f>
        <v/>
      </c>
      <c r="M351" s="659" t="str">
        <f>IFERROR(VLOOKUP(I351,Stock2!F:J,5,False),"")</f>
        <v/>
      </c>
      <c r="V351" s="102" t="str">
        <f t="array" ref="V351">_xlfn.XLOOKUP("Charger",Stock1!B351,Stock1!I351,"")</f>
        <v/>
      </c>
      <c r="W351" s="102" t="str">
        <f t="array" ref="W351">_xlfn.XLOOKUP(V351,Stock1!I351,Stock1!F351,"")</f>
        <v/>
      </c>
      <c r="X351" s="102" t="str">
        <f t="array" ref="X351">_xlfn.XLOOKUP(V351,Stock1!I351,Stock1!J351,"")</f>
        <v/>
      </c>
      <c r="Y351" s="102" t="str">
        <f t="array" ref="Y351">_xlfn.XLOOKUP("Screen Protector for Android Phone and Other",Stock1!B351,Stock1!I351,"")</f>
        <v/>
      </c>
      <c r="Z351" s="102" t="str">
        <f t="array" ref="Z351">_xlfn.XLOOKUP("Screen Protector for Galaxy Phone",Stock1!B351,Stock1!I351,"")</f>
        <v/>
      </c>
      <c r="AA351" s="102" t="str">
        <f t="array" ref="AA351">_xlfn.XLOOKUP("Screen Protector for Galaxy Tab",Stock1!B351,Stock1!I351,"")</f>
        <v/>
      </c>
      <c r="AB351" s="102" t="str">
        <f t="shared" si="4"/>
        <v/>
      </c>
      <c r="AC351" s="102" t="str">
        <f t="array" ref="AC351">_xlfn.XLOOKUP(AB351,Stock1!I351,Stock1!F351,"")</f>
        <v/>
      </c>
      <c r="AD351" s="102" t="str">
        <f t="array" ref="AD351">_xlfn.XLOOKUP(AB351,Stock1!I351,Stock1!J351,"")</f>
        <v/>
      </c>
      <c r="AE351" s="102" t="str">
        <f t="array" ref="AE351">_xlfn.XLOOKUP("Storage",Stock1!B351,Stock1!I351,"")</f>
        <v/>
      </c>
      <c r="AF351" s="102" t="str">
        <f t="array" ref="AF351">_xlfn.XLOOKUP(AE351,Stock1!I351,Stock1!F351,"")</f>
        <v/>
      </c>
      <c r="AG351" s="102" t="str">
        <f t="array" ref="AG351">_xlfn.XLOOKUP(AE351,Stock1!I351,Stock1!J351,"")</f>
        <v/>
      </c>
    </row>
    <row r="352">
      <c r="K352" s="660" t="str">
        <f t="array" ref="K352">IFERROR(_xlfn.XLOOKUP(I352,Incentive!B:B,Incentive!E:E,""),"")</f>
        <v/>
      </c>
      <c r="L352" s="659" t="str">
        <f>IFERROR(VLOOKUP(I352,Stock1!F:J,5,False),"")</f>
        <v/>
      </c>
      <c r="M352" s="659" t="str">
        <f>IFERROR(VLOOKUP(I352,Stock2!F:J,5,False),"")</f>
        <v/>
      </c>
      <c r="V352" s="102" t="str">
        <f t="array" ref="V352">_xlfn.XLOOKUP("Charger",Stock1!B352,Stock1!I352,"")</f>
        <v/>
      </c>
      <c r="W352" s="102" t="str">
        <f t="array" ref="W352">_xlfn.XLOOKUP(V352,Stock1!I352,Stock1!F352,"")</f>
        <v/>
      </c>
      <c r="X352" s="102" t="str">
        <f t="array" ref="X352">_xlfn.XLOOKUP(V352,Stock1!I352,Stock1!J352,"")</f>
        <v/>
      </c>
      <c r="Y352" s="102" t="str">
        <f t="array" ref="Y352">_xlfn.XLOOKUP("Screen Protector for Android Phone and Other",Stock1!B352,Stock1!I352,"")</f>
        <v/>
      </c>
      <c r="Z352" s="102" t="str">
        <f t="array" ref="Z352">_xlfn.XLOOKUP("Screen Protector for Galaxy Phone",Stock1!B352,Stock1!I352,"")</f>
        <v/>
      </c>
      <c r="AA352" s="102" t="str">
        <f t="array" ref="AA352">_xlfn.XLOOKUP("Screen Protector for Galaxy Tab",Stock1!B352,Stock1!I352,"")</f>
        <v/>
      </c>
      <c r="AB352" s="102" t="str">
        <f t="shared" si="4"/>
        <v/>
      </c>
      <c r="AC352" s="102" t="str">
        <f t="array" ref="AC352">_xlfn.XLOOKUP(AB352,Stock1!I352,Stock1!F352,"")</f>
        <v/>
      </c>
      <c r="AD352" s="102" t="str">
        <f t="array" ref="AD352">_xlfn.XLOOKUP(AB352,Stock1!I352,Stock1!J352,"")</f>
        <v/>
      </c>
      <c r="AE352" s="102" t="str">
        <f t="array" ref="AE352">_xlfn.XLOOKUP("Storage",Stock1!B352,Stock1!I352,"")</f>
        <v/>
      </c>
      <c r="AF352" s="102" t="str">
        <f t="array" ref="AF352">_xlfn.XLOOKUP(AE352,Stock1!I352,Stock1!F352,"")</f>
        <v/>
      </c>
      <c r="AG352" s="102" t="str">
        <f t="array" ref="AG352">_xlfn.XLOOKUP(AE352,Stock1!I352,Stock1!J352,"")</f>
        <v/>
      </c>
    </row>
    <row r="353">
      <c r="K353" s="660" t="str">
        <f t="array" ref="K353">IFERROR(_xlfn.XLOOKUP(I353,Incentive!B:B,Incentive!E:E,""),"")</f>
        <v/>
      </c>
      <c r="L353" s="659" t="str">
        <f>IFERROR(VLOOKUP(I353,Stock1!F:J,5,False),"")</f>
        <v/>
      </c>
      <c r="M353" s="659" t="str">
        <f>IFERROR(VLOOKUP(I353,Stock2!F:J,5,False),"")</f>
        <v/>
      </c>
      <c r="V353" s="102" t="str">
        <f t="array" ref="V353">_xlfn.XLOOKUP("Charger",Stock1!B353,Stock1!I353,"")</f>
        <v/>
      </c>
      <c r="W353" s="102" t="str">
        <f t="array" ref="W353">_xlfn.XLOOKUP(V353,Stock1!I353,Stock1!F353,"")</f>
        <v/>
      </c>
      <c r="X353" s="102" t="str">
        <f t="array" ref="X353">_xlfn.XLOOKUP(V353,Stock1!I353,Stock1!J353,"")</f>
        <v/>
      </c>
      <c r="Y353" s="102" t="str">
        <f t="array" ref="Y353">_xlfn.XLOOKUP("Screen Protector for Android Phone and Other",Stock1!B353,Stock1!I353,"")</f>
        <v/>
      </c>
      <c r="Z353" s="102" t="str">
        <f t="array" ref="Z353">_xlfn.XLOOKUP("Screen Protector for Galaxy Phone",Stock1!B353,Stock1!I353,"")</f>
        <v/>
      </c>
      <c r="AA353" s="102" t="str">
        <f t="array" ref="AA353">_xlfn.XLOOKUP("Screen Protector for Galaxy Tab",Stock1!B353,Stock1!I353,"")</f>
        <v/>
      </c>
      <c r="AB353" s="102" t="str">
        <f t="shared" si="4"/>
        <v/>
      </c>
      <c r="AC353" s="102" t="str">
        <f t="array" ref="AC353">_xlfn.XLOOKUP(AB353,Stock1!I353,Stock1!F353,"")</f>
        <v/>
      </c>
      <c r="AD353" s="102" t="str">
        <f t="array" ref="AD353">_xlfn.XLOOKUP(AB353,Stock1!I353,Stock1!J353,"")</f>
        <v/>
      </c>
      <c r="AE353" s="102" t="str">
        <f t="array" ref="AE353">_xlfn.XLOOKUP("Storage",Stock1!B353,Stock1!I353,"")</f>
        <v/>
      </c>
      <c r="AF353" s="102" t="str">
        <f t="array" ref="AF353">_xlfn.XLOOKUP(AE353,Stock1!I353,Stock1!F353,"")</f>
        <v/>
      </c>
      <c r="AG353" s="102" t="str">
        <f t="array" ref="AG353">_xlfn.XLOOKUP(AE353,Stock1!I353,Stock1!J353,"")</f>
        <v/>
      </c>
    </row>
    <row r="354">
      <c r="K354" s="660" t="str">
        <f t="array" ref="K354">IFERROR(_xlfn.XLOOKUP(I354,Incentive!B:B,Incentive!E:E,""),"")</f>
        <v/>
      </c>
      <c r="L354" s="659" t="str">
        <f>IFERROR(VLOOKUP(I354,Stock1!F:J,5,False),"")</f>
        <v/>
      </c>
      <c r="M354" s="659" t="str">
        <f>IFERROR(VLOOKUP(I354,Stock2!F:J,5,False),"")</f>
        <v/>
      </c>
      <c r="V354" s="102" t="str">
        <f t="array" ref="V354">_xlfn.XLOOKUP("Charger",Stock1!B354,Stock1!I354,"")</f>
        <v/>
      </c>
      <c r="W354" s="102" t="str">
        <f t="array" ref="W354">_xlfn.XLOOKUP(V354,Stock1!I354,Stock1!F354,"")</f>
        <v/>
      </c>
      <c r="X354" s="102" t="str">
        <f t="array" ref="X354">_xlfn.XLOOKUP(V354,Stock1!I354,Stock1!J354,"")</f>
        <v/>
      </c>
      <c r="Y354" s="102" t="str">
        <f t="array" ref="Y354">_xlfn.XLOOKUP("Screen Protector for Android Phone and Other",Stock1!B354,Stock1!I354,"")</f>
        <v/>
      </c>
      <c r="Z354" s="102" t="str">
        <f t="array" ref="Z354">_xlfn.XLOOKUP("Screen Protector for Galaxy Phone",Stock1!B354,Stock1!I354,"")</f>
        <v/>
      </c>
      <c r="AA354" s="102" t="str">
        <f t="array" ref="AA354">_xlfn.XLOOKUP("Screen Protector for Galaxy Tab",Stock1!B354,Stock1!I354,"")</f>
        <v/>
      </c>
      <c r="AB354" s="102" t="str">
        <f t="shared" si="4"/>
        <v/>
      </c>
      <c r="AC354" s="102" t="str">
        <f t="array" ref="AC354">_xlfn.XLOOKUP(AB354,Stock1!I354,Stock1!F354,"")</f>
        <v/>
      </c>
      <c r="AD354" s="102" t="str">
        <f t="array" ref="AD354">_xlfn.XLOOKUP(AB354,Stock1!I354,Stock1!J354,"")</f>
        <v/>
      </c>
      <c r="AE354" s="102" t="str">
        <f t="array" ref="AE354">_xlfn.XLOOKUP("Storage",Stock1!B354,Stock1!I354,"")</f>
        <v/>
      </c>
      <c r="AF354" s="102" t="str">
        <f t="array" ref="AF354">_xlfn.XLOOKUP(AE354,Stock1!I354,Stock1!F354,"")</f>
        <v/>
      </c>
      <c r="AG354" s="102" t="str">
        <f t="array" ref="AG354">_xlfn.XLOOKUP(AE354,Stock1!I354,Stock1!J354,"")</f>
        <v/>
      </c>
    </row>
    <row r="355">
      <c r="K355" s="660" t="str">
        <f t="array" ref="K355">IFERROR(_xlfn.XLOOKUP(I355,Incentive!B:B,Incentive!E:E,""),"")</f>
        <v/>
      </c>
      <c r="L355" s="659" t="str">
        <f>IFERROR(VLOOKUP(I355,Stock1!F:J,5,False),"")</f>
        <v/>
      </c>
      <c r="M355" s="659" t="str">
        <f>IFERROR(VLOOKUP(I355,Stock2!F:J,5,False),"")</f>
        <v/>
      </c>
      <c r="V355" s="102" t="str">
        <f t="array" ref="V355">_xlfn.XLOOKUP("Charger",Stock1!B355,Stock1!I355,"")</f>
        <v/>
      </c>
      <c r="W355" s="102" t="str">
        <f t="array" ref="W355">_xlfn.XLOOKUP(V355,Stock1!I355,Stock1!F355,"")</f>
        <v/>
      </c>
      <c r="X355" s="102" t="str">
        <f t="array" ref="X355">_xlfn.XLOOKUP(V355,Stock1!I355,Stock1!J355,"")</f>
        <v/>
      </c>
      <c r="Y355" s="102" t="str">
        <f t="array" ref="Y355">_xlfn.XLOOKUP("Screen Protector for Android Phone and Other",Stock1!B355,Stock1!I355,"")</f>
        <v/>
      </c>
      <c r="Z355" s="102" t="str">
        <f t="array" ref="Z355">_xlfn.XLOOKUP("Screen Protector for Galaxy Phone",Stock1!B355,Stock1!I355,"")</f>
        <v/>
      </c>
      <c r="AA355" s="102" t="str">
        <f t="array" ref="AA355">_xlfn.XLOOKUP("Screen Protector for Galaxy Tab",Stock1!B355,Stock1!I355,"")</f>
        <v/>
      </c>
      <c r="AB355" s="102" t="str">
        <f t="shared" si="4"/>
        <v/>
      </c>
      <c r="AC355" s="102" t="str">
        <f t="array" ref="AC355">_xlfn.XLOOKUP(AB355,Stock1!I355,Stock1!F355,"")</f>
        <v/>
      </c>
      <c r="AD355" s="102" t="str">
        <f t="array" ref="AD355">_xlfn.XLOOKUP(AB355,Stock1!I355,Stock1!J355,"")</f>
        <v/>
      </c>
      <c r="AE355" s="102" t="str">
        <f t="array" ref="AE355">_xlfn.XLOOKUP("Storage",Stock1!B355,Stock1!I355,"")</f>
        <v/>
      </c>
      <c r="AF355" s="102" t="str">
        <f t="array" ref="AF355">_xlfn.XLOOKUP(AE355,Stock1!I355,Stock1!F355,"")</f>
        <v/>
      </c>
      <c r="AG355" s="102" t="str">
        <f t="array" ref="AG355">_xlfn.XLOOKUP(AE355,Stock1!I355,Stock1!J355,"")</f>
        <v/>
      </c>
    </row>
    <row r="356">
      <c r="K356" s="660" t="str">
        <f t="array" ref="K356">IFERROR(_xlfn.XLOOKUP(I356,Incentive!B:B,Incentive!E:E,""),"")</f>
        <v/>
      </c>
      <c r="L356" s="659" t="str">
        <f>IFERROR(VLOOKUP(I356,Stock1!F:J,5,False),"")</f>
        <v/>
      </c>
      <c r="M356" s="659" t="str">
        <f>IFERROR(VLOOKUP(I356,Stock2!F:J,5,False),"")</f>
        <v/>
      </c>
      <c r="V356" s="102" t="str">
        <f t="array" ref="V356">_xlfn.XLOOKUP("Charger",Stock1!B356,Stock1!I356,"")</f>
        <v/>
      </c>
      <c r="W356" s="102" t="str">
        <f t="array" ref="W356">_xlfn.XLOOKUP(V356,Stock1!I356,Stock1!F356,"")</f>
        <v/>
      </c>
      <c r="X356" s="102" t="str">
        <f t="array" ref="X356">_xlfn.XLOOKUP(V356,Stock1!I356,Stock1!J356,"")</f>
        <v/>
      </c>
      <c r="Y356" s="102" t="str">
        <f t="array" ref="Y356">_xlfn.XLOOKUP("Screen Protector for Android Phone and Other",Stock1!B356,Stock1!I356,"")</f>
        <v/>
      </c>
      <c r="Z356" s="102" t="str">
        <f t="array" ref="Z356">_xlfn.XLOOKUP("Screen Protector for Galaxy Phone",Stock1!B356,Stock1!I356,"")</f>
        <v/>
      </c>
      <c r="AA356" s="102" t="str">
        <f t="array" ref="AA356">_xlfn.XLOOKUP("Screen Protector for Galaxy Tab",Stock1!B356,Stock1!I356,"")</f>
        <v/>
      </c>
      <c r="AB356" s="102" t="str">
        <f t="shared" si="4"/>
        <v/>
      </c>
      <c r="AC356" s="102" t="str">
        <f t="array" ref="AC356">_xlfn.XLOOKUP(AB356,Stock1!I356,Stock1!F356,"")</f>
        <v/>
      </c>
      <c r="AD356" s="102" t="str">
        <f t="array" ref="AD356">_xlfn.XLOOKUP(AB356,Stock1!I356,Stock1!J356,"")</f>
        <v/>
      </c>
      <c r="AE356" s="102" t="str">
        <f t="array" ref="AE356">_xlfn.XLOOKUP("Storage",Stock1!B356,Stock1!I356,"")</f>
        <v/>
      </c>
      <c r="AF356" s="102" t="str">
        <f t="array" ref="AF356">_xlfn.XLOOKUP(AE356,Stock1!I356,Stock1!F356,"")</f>
        <v/>
      </c>
      <c r="AG356" s="102" t="str">
        <f t="array" ref="AG356">_xlfn.XLOOKUP(AE356,Stock1!I356,Stock1!J356,"")</f>
        <v/>
      </c>
    </row>
    <row r="357">
      <c r="K357" s="660" t="str">
        <f t="array" ref="K357">IFERROR(_xlfn.XLOOKUP(I357,Incentive!B:B,Incentive!E:E,""),"")</f>
        <v/>
      </c>
      <c r="L357" s="659" t="str">
        <f>IFERROR(VLOOKUP(I357,Stock1!F:J,5,False),"")</f>
        <v/>
      </c>
      <c r="M357" s="659" t="str">
        <f>IFERROR(VLOOKUP(I357,Stock2!F:J,5,False),"")</f>
        <v/>
      </c>
      <c r="V357" s="102" t="str">
        <f t="array" ref="V357">_xlfn.XLOOKUP("Charger",Stock1!B357,Stock1!I357,"")</f>
        <v/>
      </c>
      <c r="W357" s="102" t="str">
        <f t="array" ref="W357">_xlfn.XLOOKUP(V357,Stock1!I357,Stock1!F357,"")</f>
        <v/>
      </c>
      <c r="X357" s="102" t="str">
        <f t="array" ref="X357">_xlfn.XLOOKUP(V357,Stock1!I357,Stock1!J357,"")</f>
        <v/>
      </c>
      <c r="Y357" s="102" t="str">
        <f t="array" ref="Y357">_xlfn.XLOOKUP("Screen Protector for Android Phone and Other",Stock1!B357,Stock1!I357,"")</f>
        <v/>
      </c>
      <c r="Z357" s="102" t="str">
        <f t="array" ref="Z357">_xlfn.XLOOKUP("Screen Protector for Galaxy Phone",Stock1!B357,Stock1!I357,"")</f>
        <v/>
      </c>
      <c r="AA357" s="102" t="str">
        <f t="array" ref="AA357">_xlfn.XLOOKUP("Screen Protector for Galaxy Tab",Stock1!B357,Stock1!I357,"")</f>
        <v/>
      </c>
      <c r="AB357" s="102" t="str">
        <f t="shared" si="4"/>
        <v/>
      </c>
      <c r="AC357" s="102" t="str">
        <f t="array" ref="AC357">_xlfn.XLOOKUP(AB357,Stock1!I357,Stock1!F357,"")</f>
        <v/>
      </c>
      <c r="AD357" s="102" t="str">
        <f t="array" ref="AD357">_xlfn.XLOOKUP(AB357,Stock1!I357,Stock1!J357,"")</f>
        <v/>
      </c>
      <c r="AE357" s="102" t="str">
        <f t="array" ref="AE357">_xlfn.XLOOKUP("Storage",Stock1!B357,Stock1!I357,"")</f>
        <v/>
      </c>
      <c r="AF357" s="102" t="str">
        <f t="array" ref="AF357">_xlfn.XLOOKUP(AE357,Stock1!I357,Stock1!F357,"")</f>
        <v/>
      </c>
      <c r="AG357" s="102" t="str">
        <f t="array" ref="AG357">_xlfn.XLOOKUP(AE357,Stock1!I357,Stock1!J357,"")</f>
        <v/>
      </c>
    </row>
    <row r="358">
      <c r="K358" s="660" t="str">
        <f t="array" ref="K358">IFERROR(_xlfn.XLOOKUP(I358,Incentive!B:B,Incentive!E:E,""),"")</f>
        <v/>
      </c>
      <c r="L358" s="659" t="str">
        <f>IFERROR(VLOOKUP(I358,Stock1!F:J,5,False),"")</f>
        <v/>
      </c>
      <c r="M358" s="659" t="str">
        <f>IFERROR(VLOOKUP(I358,Stock2!F:J,5,False),"")</f>
        <v/>
      </c>
      <c r="V358" s="102" t="str">
        <f t="array" ref="V358">_xlfn.XLOOKUP("Charger",Stock1!B358,Stock1!I358,"")</f>
        <v/>
      </c>
      <c r="W358" s="102" t="str">
        <f t="array" ref="W358">_xlfn.XLOOKUP(V358,Stock1!I358,Stock1!F358,"")</f>
        <v/>
      </c>
      <c r="X358" s="102" t="str">
        <f t="array" ref="X358">_xlfn.XLOOKUP(V358,Stock1!I358,Stock1!J358,"")</f>
        <v/>
      </c>
      <c r="Y358" s="102" t="str">
        <f t="array" ref="Y358">_xlfn.XLOOKUP("Screen Protector for Android Phone and Other",Stock1!B358,Stock1!I358,"")</f>
        <v/>
      </c>
      <c r="Z358" s="102" t="str">
        <f t="array" ref="Z358">_xlfn.XLOOKUP("Screen Protector for Galaxy Phone",Stock1!B358,Stock1!I358,"")</f>
        <v/>
      </c>
      <c r="AA358" s="102" t="str">
        <f t="array" ref="AA358">_xlfn.XLOOKUP("Screen Protector for Galaxy Tab",Stock1!B358,Stock1!I358,"")</f>
        <v/>
      </c>
      <c r="AB358" s="102" t="str">
        <f t="shared" si="4"/>
        <v/>
      </c>
      <c r="AC358" s="102" t="str">
        <f t="array" ref="AC358">_xlfn.XLOOKUP(AB358,Stock1!I358,Stock1!F358,"")</f>
        <v/>
      </c>
      <c r="AD358" s="102" t="str">
        <f t="array" ref="AD358">_xlfn.XLOOKUP(AB358,Stock1!I358,Stock1!J358,"")</f>
        <v/>
      </c>
      <c r="AE358" s="102" t="str">
        <f t="array" ref="AE358">_xlfn.XLOOKUP("Storage",Stock1!B358,Stock1!I358,"")</f>
        <v/>
      </c>
      <c r="AF358" s="102" t="str">
        <f t="array" ref="AF358">_xlfn.XLOOKUP(AE358,Stock1!I358,Stock1!F358,"")</f>
        <v/>
      </c>
      <c r="AG358" s="102" t="str">
        <f t="array" ref="AG358">_xlfn.XLOOKUP(AE358,Stock1!I358,Stock1!J358,"")</f>
        <v/>
      </c>
    </row>
    <row r="359">
      <c r="K359" s="660" t="str">
        <f t="array" ref="K359">IFERROR(_xlfn.XLOOKUP(I359,Incentive!B:B,Incentive!E:E,""),"")</f>
        <v/>
      </c>
      <c r="L359" s="659" t="str">
        <f>IFERROR(VLOOKUP(I359,Stock1!F:J,5,False),"")</f>
        <v/>
      </c>
      <c r="M359" s="659" t="str">
        <f>IFERROR(VLOOKUP(I359,Stock2!F:J,5,False),"")</f>
        <v/>
      </c>
      <c r="V359" s="102" t="str">
        <f t="array" ref="V359">_xlfn.XLOOKUP("Charger",Stock1!B359,Stock1!I359,"")</f>
        <v/>
      </c>
      <c r="W359" s="102" t="str">
        <f t="array" ref="W359">_xlfn.XLOOKUP(V359,Stock1!I359,Stock1!F359,"")</f>
        <v/>
      </c>
      <c r="X359" s="102" t="str">
        <f t="array" ref="X359">_xlfn.XLOOKUP(V359,Stock1!I359,Stock1!J359,"")</f>
        <v/>
      </c>
      <c r="Y359" s="102" t="str">
        <f t="array" ref="Y359">_xlfn.XLOOKUP("Screen Protector for Android Phone and Other",Stock1!B359,Stock1!I359,"")</f>
        <v/>
      </c>
      <c r="Z359" s="102" t="str">
        <f t="array" ref="Z359">_xlfn.XLOOKUP("Screen Protector for Galaxy Phone",Stock1!B359,Stock1!I359,"")</f>
        <v/>
      </c>
      <c r="AA359" s="102" t="str">
        <f t="array" ref="AA359">_xlfn.XLOOKUP("Screen Protector for Galaxy Tab",Stock1!B359,Stock1!I359,"")</f>
        <v/>
      </c>
      <c r="AB359" s="102" t="str">
        <f t="shared" si="4"/>
        <v/>
      </c>
      <c r="AC359" s="102" t="str">
        <f t="array" ref="AC359">_xlfn.XLOOKUP(AB359,Stock1!I359,Stock1!F359,"")</f>
        <v/>
      </c>
      <c r="AD359" s="102" t="str">
        <f t="array" ref="AD359">_xlfn.XLOOKUP(AB359,Stock1!I359,Stock1!J359,"")</f>
        <v/>
      </c>
      <c r="AE359" s="102" t="str">
        <f t="array" ref="AE359">_xlfn.XLOOKUP("Storage",Stock1!B359,Stock1!I359,"")</f>
        <v/>
      </c>
      <c r="AF359" s="102" t="str">
        <f t="array" ref="AF359">_xlfn.XLOOKUP(AE359,Stock1!I359,Stock1!F359,"")</f>
        <v/>
      </c>
      <c r="AG359" s="102" t="str">
        <f t="array" ref="AG359">_xlfn.XLOOKUP(AE359,Stock1!I359,Stock1!J359,"")</f>
        <v/>
      </c>
    </row>
    <row r="360">
      <c r="K360" s="660" t="str">
        <f t="array" ref="K360">IFERROR(_xlfn.XLOOKUP(I360,Incentive!B:B,Incentive!E:E,""),"")</f>
        <v/>
      </c>
      <c r="L360" s="659" t="str">
        <f>IFERROR(VLOOKUP(I360,Stock1!F:J,5,False),"")</f>
        <v/>
      </c>
      <c r="M360" s="659" t="str">
        <f>IFERROR(VLOOKUP(I360,Stock2!F:J,5,False),"")</f>
        <v/>
      </c>
      <c r="V360" s="102" t="str">
        <f t="array" ref="V360">_xlfn.XLOOKUP("Charger",Stock1!B360,Stock1!I360,"")</f>
        <v/>
      </c>
      <c r="W360" s="102" t="str">
        <f t="array" ref="W360">_xlfn.XLOOKUP(V360,Stock1!I360,Stock1!F360,"")</f>
        <v/>
      </c>
      <c r="X360" s="102" t="str">
        <f t="array" ref="X360">_xlfn.XLOOKUP(V360,Stock1!I360,Stock1!J360,"")</f>
        <v/>
      </c>
      <c r="Y360" s="102" t="str">
        <f t="array" ref="Y360">_xlfn.XLOOKUP("Screen Protector for Android Phone and Other",Stock1!B360,Stock1!I360,"")</f>
        <v/>
      </c>
      <c r="Z360" s="102" t="str">
        <f t="array" ref="Z360">_xlfn.XLOOKUP("Screen Protector for Galaxy Phone",Stock1!B360,Stock1!I360,"")</f>
        <v/>
      </c>
      <c r="AA360" s="102" t="str">
        <f t="array" ref="AA360">_xlfn.XLOOKUP("Screen Protector for Galaxy Tab",Stock1!B360,Stock1!I360,"")</f>
        <v/>
      </c>
      <c r="AB360" s="102" t="str">
        <f t="shared" si="4"/>
        <v/>
      </c>
      <c r="AC360" s="102" t="str">
        <f t="array" ref="AC360">_xlfn.XLOOKUP(AB360,Stock1!I360,Stock1!F360,"")</f>
        <v/>
      </c>
      <c r="AD360" s="102" t="str">
        <f t="array" ref="AD360">_xlfn.XLOOKUP(AB360,Stock1!I360,Stock1!J360,"")</f>
        <v/>
      </c>
      <c r="AE360" s="102" t="str">
        <f t="array" ref="AE360">_xlfn.XLOOKUP("Storage",Stock1!B360,Stock1!I360,"")</f>
        <v/>
      </c>
      <c r="AF360" s="102" t="str">
        <f t="array" ref="AF360">_xlfn.XLOOKUP(AE360,Stock1!I360,Stock1!F360,"")</f>
        <v/>
      </c>
      <c r="AG360" s="102" t="str">
        <f t="array" ref="AG360">_xlfn.XLOOKUP(AE360,Stock1!I360,Stock1!J360,"")</f>
        <v/>
      </c>
    </row>
    <row r="361">
      <c r="K361" s="660" t="str">
        <f t="array" ref="K361">IFERROR(_xlfn.XLOOKUP(I361,Incentive!B:B,Incentive!E:E,""),"")</f>
        <v/>
      </c>
      <c r="L361" s="659" t="str">
        <f>IFERROR(VLOOKUP(I361,Stock1!F:J,5,False),"")</f>
        <v/>
      </c>
      <c r="M361" s="659" t="str">
        <f>IFERROR(VLOOKUP(I361,Stock2!F:J,5,False),"")</f>
        <v/>
      </c>
      <c r="V361" s="102" t="str">
        <f t="array" ref="V361">_xlfn.XLOOKUP("Charger",Stock1!B361,Stock1!I361,"")</f>
        <v/>
      </c>
      <c r="W361" s="102" t="str">
        <f t="array" ref="W361">_xlfn.XLOOKUP(V361,Stock1!I361,Stock1!F361,"")</f>
        <v/>
      </c>
      <c r="X361" s="102" t="str">
        <f t="array" ref="X361">_xlfn.XLOOKUP(V361,Stock1!I361,Stock1!J361,"")</f>
        <v/>
      </c>
      <c r="Y361" s="102" t="str">
        <f t="array" ref="Y361">_xlfn.XLOOKUP("Screen Protector for Android Phone and Other",Stock1!B361,Stock1!I361,"")</f>
        <v/>
      </c>
      <c r="Z361" s="102" t="str">
        <f t="array" ref="Z361">_xlfn.XLOOKUP("Screen Protector for Galaxy Phone",Stock1!B361,Stock1!I361,"")</f>
        <v/>
      </c>
      <c r="AA361" s="102" t="str">
        <f t="array" ref="AA361">_xlfn.XLOOKUP("Screen Protector for Galaxy Tab",Stock1!B361,Stock1!I361,"")</f>
        <v/>
      </c>
      <c r="AB361" s="102" t="str">
        <f t="shared" si="4"/>
        <v/>
      </c>
      <c r="AC361" s="102" t="str">
        <f t="array" ref="AC361">_xlfn.XLOOKUP(AB361,Stock1!I361,Stock1!F361,"")</f>
        <v/>
      </c>
      <c r="AD361" s="102" t="str">
        <f t="array" ref="AD361">_xlfn.XLOOKUP(AB361,Stock1!I361,Stock1!J361,"")</f>
        <v/>
      </c>
      <c r="AE361" s="102" t="str">
        <f t="array" ref="AE361">_xlfn.XLOOKUP("Storage",Stock1!B361,Stock1!I361,"")</f>
        <v/>
      </c>
      <c r="AF361" s="102" t="str">
        <f t="array" ref="AF361">_xlfn.XLOOKUP(AE361,Stock1!I361,Stock1!F361,"")</f>
        <v/>
      </c>
      <c r="AG361" s="102" t="str">
        <f t="array" ref="AG361">_xlfn.XLOOKUP(AE361,Stock1!I361,Stock1!J361,"")</f>
        <v/>
      </c>
    </row>
    <row r="362">
      <c r="K362" s="660" t="str">
        <f t="array" ref="K362">IFERROR(_xlfn.XLOOKUP(I362,Incentive!B:B,Incentive!E:E,""),"")</f>
        <v/>
      </c>
      <c r="L362" s="659" t="str">
        <f>IFERROR(VLOOKUP(I362,Stock1!F:J,5,False),"")</f>
        <v/>
      </c>
      <c r="M362" s="659" t="str">
        <f>IFERROR(VLOOKUP(I362,Stock2!F:J,5,False),"")</f>
        <v/>
      </c>
      <c r="V362" s="102" t="str">
        <f t="array" ref="V362">_xlfn.XLOOKUP("Charger",Stock1!B362,Stock1!I362,"")</f>
        <v/>
      </c>
      <c r="W362" s="102" t="str">
        <f t="array" ref="W362">_xlfn.XLOOKUP(V362,Stock1!I362,Stock1!F362,"")</f>
        <v/>
      </c>
      <c r="X362" s="102" t="str">
        <f t="array" ref="X362">_xlfn.XLOOKUP(V362,Stock1!I362,Stock1!J362,"")</f>
        <v/>
      </c>
      <c r="Y362" s="102" t="str">
        <f t="array" ref="Y362">_xlfn.XLOOKUP("Screen Protector for Android Phone and Other",Stock1!B362,Stock1!I362,"")</f>
        <v/>
      </c>
      <c r="Z362" s="102" t="str">
        <f t="array" ref="Z362">_xlfn.XLOOKUP("Screen Protector for Galaxy Phone",Stock1!B362,Stock1!I362,"")</f>
        <v/>
      </c>
      <c r="AA362" s="102" t="str">
        <f t="array" ref="AA362">_xlfn.XLOOKUP("Screen Protector for Galaxy Tab",Stock1!B362,Stock1!I362,"")</f>
        <v/>
      </c>
      <c r="AB362" s="102" t="str">
        <f t="shared" si="4"/>
        <v/>
      </c>
      <c r="AC362" s="102" t="str">
        <f t="array" ref="AC362">_xlfn.XLOOKUP(AB362,Stock1!I362,Stock1!F362,"")</f>
        <v/>
      </c>
      <c r="AD362" s="102" t="str">
        <f t="array" ref="AD362">_xlfn.XLOOKUP(AB362,Stock1!I362,Stock1!J362,"")</f>
        <v/>
      </c>
      <c r="AE362" s="102" t="str">
        <f t="array" ref="AE362">_xlfn.XLOOKUP("Storage",Stock1!B362,Stock1!I362,"")</f>
        <v/>
      </c>
      <c r="AF362" s="102" t="str">
        <f t="array" ref="AF362">_xlfn.XLOOKUP(AE362,Stock1!I362,Stock1!F362,"")</f>
        <v/>
      </c>
      <c r="AG362" s="102" t="str">
        <f t="array" ref="AG362">_xlfn.XLOOKUP(AE362,Stock1!I362,Stock1!J362,"")</f>
        <v/>
      </c>
    </row>
    <row r="363">
      <c r="K363" s="660" t="str">
        <f t="array" ref="K363">IFERROR(_xlfn.XLOOKUP(I363,Incentive!B:B,Incentive!E:E,""),"")</f>
        <v/>
      </c>
      <c r="L363" s="659" t="str">
        <f>IFERROR(VLOOKUP(I363,Stock1!F:J,5,False),"")</f>
        <v/>
      </c>
      <c r="M363" s="659" t="str">
        <f>IFERROR(VLOOKUP(I363,Stock2!F:J,5,False),"")</f>
        <v/>
      </c>
      <c r="V363" s="102" t="str">
        <f t="array" ref="V363">_xlfn.XLOOKUP("Charger",Stock1!B363,Stock1!I363,"")</f>
        <v/>
      </c>
      <c r="W363" s="102" t="str">
        <f t="array" ref="W363">_xlfn.XLOOKUP(V363,Stock1!I363,Stock1!F363,"")</f>
        <v/>
      </c>
      <c r="X363" s="102" t="str">
        <f t="array" ref="X363">_xlfn.XLOOKUP(V363,Stock1!I363,Stock1!J363,"")</f>
        <v/>
      </c>
      <c r="Y363" s="102" t="str">
        <f t="array" ref="Y363">_xlfn.XLOOKUP("Screen Protector for Android Phone and Other",Stock1!B363,Stock1!I363,"")</f>
        <v/>
      </c>
      <c r="Z363" s="102" t="str">
        <f t="array" ref="Z363">_xlfn.XLOOKUP("Screen Protector for Galaxy Phone",Stock1!B363,Stock1!I363,"")</f>
        <v/>
      </c>
      <c r="AA363" s="102" t="str">
        <f t="array" ref="AA363">_xlfn.XLOOKUP("Screen Protector for Galaxy Tab",Stock1!B363,Stock1!I363,"")</f>
        <v/>
      </c>
      <c r="AB363" s="102" t="str">
        <f t="shared" si="4"/>
        <v/>
      </c>
      <c r="AC363" s="102" t="str">
        <f t="array" ref="AC363">_xlfn.XLOOKUP(AB363,Stock1!I363,Stock1!F363,"")</f>
        <v/>
      </c>
      <c r="AD363" s="102" t="str">
        <f t="array" ref="AD363">_xlfn.XLOOKUP(AB363,Stock1!I363,Stock1!J363,"")</f>
        <v/>
      </c>
      <c r="AE363" s="102" t="str">
        <f t="array" ref="AE363">_xlfn.XLOOKUP("Storage",Stock1!B363,Stock1!I363,"")</f>
        <v/>
      </c>
      <c r="AF363" s="102" t="str">
        <f t="array" ref="AF363">_xlfn.XLOOKUP(AE363,Stock1!I363,Stock1!F363,"")</f>
        <v/>
      </c>
      <c r="AG363" s="102" t="str">
        <f t="array" ref="AG363">_xlfn.XLOOKUP(AE363,Stock1!I363,Stock1!J363,"")</f>
        <v/>
      </c>
    </row>
    <row r="364">
      <c r="K364" s="660" t="str">
        <f t="array" ref="K364">IFERROR(_xlfn.XLOOKUP(I364,Incentive!B:B,Incentive!E:E,""),"")</f>
        <v/>
      </c>
      <c r="L364" s="659" t="str">
        <f>IFERROR(VLOOKUP(I364,Stock1!F:J,5,False),"")</f>
        <v/>
      </c>
      <c r="M364" s="659" t="str">
        <f>IFERROR(VLOOKUP(I364,Stock2!F:J,5,False),"")</f>
        <v/>
      </c>
      <c r="V364" s="102" t="str">
        <f t="array" ref="V364">_xlfn.XLOOKUP("Charger",Stock1!B364,Stock1!I364,"")</f>
        <v/>
      </c>
      <c r="W364" s="102" t="str">
        <f t="array" ref="W364">_xlfn.XLOOKUP(V364,Stock1!I364,Stock1!F364,"")</f>
        <v/>
      </c>
      <c r="X364" s="102" t="str">
        <f t="array" ref="X364">_xlfn.XLOOKUP(V364,Stock1!I364,Stock1!J364,"")</f>
        <v/>
      </c>
      <c r="Y364" s="102" t="str">
        <f t="array" ref="Y364">_xlfn.XLOOKUP("Screen Protector for Android Phone and Other",Stock1!B364,Stock1!I364,"")</f>
        <v/>
      </c>
      <c r="Z364" s="102" t="str">
        <f t="array" ref="Z364">_xlfn.XLOOKUP("Screen Protector for Galaxy Phone",Stock1!B364,Stock1!I364,"")</f>
        <v/>
      </c>
      <c r="AA364" s="102" t="str">
        <f t="array" ref="AA364">_xlfn.XLOOKUP("Screen Protector for Galaxy Tab",Stock1!B364,Stock1!I364,"")</f>
        <v/>
      </c>
      <c r="AB364" s="102" t="str">
        <f t="shared" si="4"/>
        <v/>
      </c>
      <c r="AC364" s="102" t="str">
        <f t="array" ref="AC364">_xlfn.XLOOKUP(AB364,Stock1!I364,Stock1!F364,"")</f>
        <v/>
      </c>
      <c r="AD364" s="102" t="str">
        <f t="array" ref="AD364">_xlfn.XLOOKUP(AB364,Stock1!I364,Stock1!J364,"")</f>
        <v/>
      </c>
      <c r="AE364" s="102" t="str">
        <f t="array" ref="AE364">_xlfn.XLOOKUP("Storage",Stock1!B364,Stock1!I364,"")</f>
        <v/>
      </c>
      <c r="AF364" s="102" t="str">
        <f t="array" ref="AF364">_xlfn.XLOOKUP(AE364,Stock1!I364,Stock1!F364,"")</f>
        <v/>
      </c>
      <c r="AG364" s="102" t="str">
        <f t="array" ref="AG364">_xlfn.XLOOKUP(AE364,Stock1!I364,Stock1!J364,"")</f>
        <v/>
      </c>
    </row>
    <row r="365">
      <c r="K365" s="660" t="str">
        <f t="array" ref="K365">IFERROR(_xlfn.XLOOKUP(I365,Incentive!B:B,Incentive!E:E,""),"")</f>
        <v/>
      </c>
      <c r="L365" s="659" t="str">
        <f>IFERROR(VLOOKUP(I365,Stock1!F:J,5,False),"")</f>
        <v/>
      </c>
      <c r="M365" s="659" t="str">
        <f>IFERROR(VLOOKUP(I365,Stock2!F:J,5,False),"")</f>
        <v/>
      </c>
      <c r="V365" s="102" t="str">
        <f t="array" ref="V365">_xlfn.XLOOKUP("Charger",Stock1!B365,Stock1!I365,"")</f>
        <v/>
      </c>
      <c r="W365" s="102" t="str">
        <f t="array" ref="W365">_xlfn.XLOOKUP(V365,Stock1!I365,Stock1!F365,"")</f>
        <v/>
      </c>
      <c r="X365" s="102" t="str">
        <f t="array" ref="X365">_xlfn.XLOOKUP(V365,Stock1!I365,Stock1!J365,"")</f>
        <v/>
      </c>
      <c r="Y365" s="102" t="str">
        <f t="array" ref="Y365">_xlfn.XLOOKUP("Screen Protector for Android Phone and Other",Stock1!B365,Stock1!I365,"")</f>
        <v/>
      </c>
      <c r="Z365" s="102" t="str">
        <f t="array" ref="Z365">_xlfn.XLOOKUP("Screen Protector for Galaxy Phone",Stock1!B365,Stock1!I365,"")</f>
        <v/>
      </c>
      <c r="AA365" s="102" t="str">
        <f t="array" ref="AA365">_xlfn.XLOOKUP("Screen Protector for Galaxy Tab",Stock1!B365,Stock1!I365,"")</f>
        <v/>
      </c>
      <c r="AB365" s="102" t="str">
        <f t="shared" si="4"/>
        <v/>
      </c>
      <c r="AC365" s="102" t="str">
        <f t="array" ref="AC365">_xlfn.XLOOKUP(AB365,Stock1!I365,Stock1!F365,"")</f>
        <v/>
      </c>
      <c r="AD365" s="102" t="str">
        <f t="array" ref="AD365">_xlfn.XLOOKUP(AB365,Stock1!I365,Stock1!J365,"")</f>
        <v/>
      </c>
      <c r="AE365" s="102" t="str">
        <f t="array" ref="AE365">_xlfn.XLOOKUP("Storage",Stock1!B365,Stock1!I365,"")</f>
        <v/>
      </c>
      <c r="AF365" s="102" t="str">
        <f t="array" ref="AF365">_xlfn.XLOOKUP(AE365,Stock1!I365,Stock1!F365,"")</f>
        <v/>
      </c>
      <c r="AG365" s="102" t="str">
        <f t="array" ref="AG365">_xlfn.XLOOKUP(AE365,Stock1!I365,Stock1!J365,"")</f>
        <v/>
      </c>
    </row>
    <row r="366">
      <c r="K366" s="660" t="str">
        <f t="array" ref="K366">IFERROR(_xlfn.XLOOKUP(I366,Incentive!B:B,Incentive!E:E,""),"")</f>
        <v/>
      </c>
      <c r="L366" s="659" t="str">
        <f>IFERROR(VLOOKUP(I366,Stock1!F:J,5,False),"")</f>
        <v/>
      </c>
      <c r="M366" s="659" t="str">
        <f>IFERROR(VLOOKUP(I366,Stock2!F:J,5,False),"")</f>
        <v/>
      </c>
      <c r="V366" s="102" t="str">
        <f t="array" ref="V366">_xlfn.XLOOKUP("Charger",Stock1!B366,Stock1!I366,"")</f>
        <v/>
      </c>
      <c r="W366" s="102" t="str">
        <f t="array" ref="W366">_xlfn.XLOOKUP(V366,Stock1!I366,Stock1!F366,"")</f>
        <v/>
      </c>
      <c r="X366" s="102" t="str">
        <f t="array" ref="X366">_xlfn.XLOOKUP(V366,Stock1!I366,Stock1!J366,"")</f>
        <v/>
      </c>
      <c r="Y366" s="102" t="str">
        <f t="array" ref="Y366">_xlfn.XLOOKUP("Screen Protector for Android Phone and Other",Stock1!B366,Stock1!I366,"")</f>
        <v/>
      </c>
      <c r="Z366" s="102" t="str">
        <f t="array" ref="Z366">_xlfn.XLOOKUP("Screen Protector for Galaxy Phone",Stock1!B366,Stock1!I366,"")</f>
        <v/>
      </c>
      <c r="AA366" s="102" t="str">
        <f t="array" ref="AA366">_xlfn.XLOOKUP("Screen Protector for Galaxy Tab",Stock1!B366,Stock1!I366,"")</f>
        <v/>
      </c>
      <c r="AB366" s="102" t="str">
        <f t="shared" si="4"/>
        <v/>
      </c>
      <c r="AC366" s="102" t="str">
        <f t="array" ref="AC366">_xlfn.XLOOKUP(AB366,Stock1!I366,Stock1!F366,"")</f>
        <v/>
      </c>
      <c r="AD366" s="102" t="str">
        <f t="array" ref="AD366">_xlfn.XLOOKUP(AB366,Stock1!I366,Stock1!J366,"")</f>
        <v/>
      </c>
      <c r="AE366" s="102" t="str">
        <f t="array" ref="AE366">_xlfn.XLOOKUP("Storage",Stock1!B366,Stock1!I366,"")</f>
        <v/>
      </c>
      <c r="AF366" s="102" t="str">
        <f t="array" ref="AF366">_xlfn.XLOOKUP(AE366,Stock1!I366,Stock1!F366,"")</f>
        <v/>
      </c>
      <c r="AG366" s="102" t="str">
        <f t="array" ref="AG366">_xlfn.XLOOKUP(AE366,Stock1!I366,Stock1!J366,"")</f>
        <v/>
      </c>
    </row>
    <row r="367">
      <c r="K367" s="660" t="str">
        <f t="array" ref="K367">IFERROR(_xlfn.XLOOKUP(I367,Incentive!B:B,Incentive!E:E,""),"")</f>
        <v/>
      </c>
      <c r="L367" s="659" t="str">
        <f>IFERROR(VLOOKUP(I367,Stock1!F:J,5,False),"")</f>
        <v/>
      </c>
      <c r="M367" s="659" t="str">
        <f>IFERROR(VLOOKUP(I367,Stock2!F:J,5,False),"")</f>
        <v/>
      </c>
      <c r="V367" s="102" t="str">
        <f t="array" ref="V367">_xlfn.XLOOKUP("Charger",Stock1!B367,Stock1!I367,"")</f>
        <v/>
      </c>
      <c r="W367" s="102" t="str">
        <f t="array" ref="W367">_xlfn.XLOOKUP(V367,Stock1!I367,Stock1!F367,"")</f>
        <v/>
      </c>
      <c r="X367" s="102" t="str">
        <f t="array" ref="X367">_xlfn.XLOOKUP(V367,Stock1!I367,Stock1!J367,"")</f>
        <v/>
      </c>
      <c r="Y367" s="102" t="str">
        <f t="array" ref="Y367">_xlfn.XLOOKUP("Screen Protector for Android Phone and Other",Stock1!B367,Stock1!I367,"")</f>
        <v/>
      </c>
      <c r="Z367" s="102" t="str">
        <f t="array" ref="Z367">_xlfn.XLOOKUP("Screen Protector for Galaxy Phone",Stock1!B367,Stock1!I367,"")</f>
        <v/>
      </c>
      <c r="AA367" s="102" t="str">
        <f t="array" ref="AA367">_xlfn.XLOOKUP("Screen Protector for Galaxy Tab",Stock1!B367,Stock1!I367,"")</f>
        <v/>
      </c>
      <c r="AB367" s="102" t="str">
        <f t="shared" si="4"/>
        <v/>
      </c>
      <c r="AC367" s="102" t="str">
        <f t="array" ref="AC367">_xlfn.XLOOKUP(AB367,Stock1!I367,Stock1!F367,"")</f>
        <v/>
      </c>
      <c r="AD367" s="102" t="str">
        <f t="array" ref="AD367">_xlfn.XLOOKUP(AB367,Stock1!I367,Stock1!J367,"")</f>
        <v/>
      </c>
      <c r="AE367" s="102" t="str">
        <f t="array" ref="AE367">_xlfn.XLOOKUP("Storage",Stock1!B367,Stock1!I367,"")</f>
        <v/>
      </c>
      <c r="AF367" s="102" t="str">
        <f t="array" ref="AF367">_xlfn.XLOOKUP(AE367,Stock1!I367,Stock1!F367,"")</f>
        <v/>
      </c>
      <c r="AG367" s="102" t="str">
        <f t="array" ref="AG367">_xlfn.XLOOKUP(AE367,Stock1!I367,Stock1!J367,"")</f>
        <v/>
      </c>
    </row>
    <row r="368">
      <c r="K368" s="660" t="str">
        <f t="array" ref="K368">IFERROR(_xlfn.XLOOKUP(I368,Incentive!B:B,Incentive!E:E,""),"")</f>
        <v/>
      </c>
      <c r="L368" s="659" t="str">
        <f>IFERROR(VLOOKUP(I368,Stock1!F:J,5,False),"")</f>
        <v/>
      </c>
      <c r="M368" s="659" t="str">
        <f>IFERROR(VLOOKUP(I368,Stock2!F:J,5,False),"")</f>
        <v/>
      </c>
      <c r="V368" s="102" t="str">
        <f t="array" ref="V368">_xlfn.XLOOKUP("Charger",Stock1!B368,Stock1!I368,"")</f>
        <v/>
      </c>
      <c r="W368" s="102" t="str">
        <f t="array" ref="W368">_xlfn.XLOOKUP(V368,Stock1!I368,Stock1!F368,"")</f>
        <v/>
      </c>
      <c r="X368" s="102" t="str">
        <f t="array" ref="X368">_xlfn.XLOOKUP(V368,Stock1!I368,Stock1!J368,"")</f>
        <v/>
      </c>
      <c r="Y368" s="102" t="str">
        <f t="array" ref="Y368">_xlfn.XLOOKUP("Screen Protector for Android Phone and Other",Stock1!B368,Stock1!I368,"")</f>
        <v/>
      </c>
      <c r="Z368" s="102" t="str">
        <f t="array" ref="Z368">_xlfn.XLOOKUP("Screen Protector for Galaxy Phone",Stock1!B368,Stock1!I368,"")</f>
        <v/>
      </c>
      <c r="AA368" s="102" t="str">
        <f t="array" ref="AA368">_xlfn.XLOOKUP("Screen Protector for Galaxy Tab",Stock1!B368,Stock1!I368,"")</f>
        <v/>
      </c>
      <c r="AB368" s="102" t="str">
        <f t="shared" si="4"/>
        <v/>
      </c>
      <c r="AC368" s="102" t="str">
        <f t="array" ref="AC368">_xlfn.XLOOKUP(AB368,Stock1!I368,Stock1!F368,"")</f>
        <v/>
      </c>
      <c r="AD368" s="102" t="str">
        <f t="array" ref="AD368">_xlfn.XLOOKUP(AB368,Stock1!I368,Stock1!J368,"")</f>
        <v/>
      </c>
      <c r="AE368" s="102" t="str">
        <f t="array" ref="AE368">_xlfn.XLOOKUP("Storage",Stock1!B368,Stock1!I368,"")</f>
        <v/>
      </c>
      <c r="AF368" s="102" t="str">
        <f t="array" ref="AF368">_xlfn.XLOOKUP(AE368,Stock1!I368,Stock1!F368,"")</f>
        <v/>
      </c>
      <c r="AG368" s="102" t="str">
        <f t="array" ref="AG368">_xlfn.XLOOKUP(AE368,Stock1!I368,Stock1!J368,"")</f>
        <v/>
      </c>
    </row>
    <row r="369">
      <c r="K369" s="660" t="str">
        <f t="array" ref="K369">IFERROR(_xlfn.XLOOKUP(I369,Incentive!B:B,Incentive!E:E,""),"")</f>
        <v/>
      </c>
      <c r="L369" s="659" t="str">
        <f>IFERROR(VLOOKUP(I369,Stock1!F:J,5,False),"")</f>
        <v/>
      </c>
      <c r="M369" s="659" t="str">
        <f>IFERROR(VLOOKUP(I369,Stock2!F:J,5,False),"")</f>
        <v/>
      </c>
      <c r="V369" s="102" t="str">
        <f t="array" ref="V369">_xlfn.XLOOKUP("Charger",Stock1!B369,Stock1!I369,"")</f>
        <v/>
      </c>
      <c r="W369" s="102" t="str">
        <f t="array" ref="W369">_xlfn.XLOOKUP(V369,Stock1!I369,Stock1!F369,"")</f>
        <v/>
      </c>
      <c r="X369" s="102" t="str">
        <f t="array" ref="X369">_xlfn.XLOOKUP(V369,Stock1!I369,Stock1!J369,"")</f>
        <v/>
      </c>
      <c r="Y369" s="102" t="str">
        <f t="array" ref="Y369">_xlfn.XLOOKUP("Screen Protector for Android Phone and Other",Stock1!B369,Stock1!I369,"")</f>
        <v/>
      </c>
      <c r="Z369" s="102" t="str">
        <f t="array" ref="Z369">_xlfn.XLOOKUP("Screen Protector for Galaxy Phone",Stock1!B369,Stock1!I369,"")</f>
        <v/>
      </c>
      <c r="AA369" s="102" t="str">
        <f t="array" ref="AA369">_xlfn.XLOOKUP("Screen Protector for Galaxy Tab",Stock1!B369,Stock1!I369,"")</f>
        <v/>
      </c>
      <c r="AB369" s="102" t="str">
        <f t="shared" si="4"/>
        <v/>
      </c>
      <c r="AC369" s="102" t="str">
        <f t="array" ref="AC369">_xlfn.XLOOKUP(AB369,Stock1!I369,Stock1!F369,"")</f>
        <v/>
      </c>
      <c r="AD369" s="102" t="str">
        <f t="array" ref="AD369">_xlfn.XLOOKUP(AB369,Stock1!I369,Stock1!J369,"")</f>
        <v/>
      </c>
      <c r="AE369" s="102" t="str">
        <f t="array" ref="AE369">_xlfn.XLOOKUP("Storage",Stock1!B369,Stock1!I369,"")</f>
        <v/>
      </c>
      <c r="AF369" s="102" t="str">
        <f t="array" ref="AF369">_xlfn.XLOOKUP(AE369,Stock1!I369,Stock1!F369,"")</f>
        <v/>
      </c>
      <c r="AG369" s="102" t="str">
        <f t="array" ref="AG369">_xlfn.XLOOKUP(AE369,Stock1!I369,Stock1!J369,"")</f>
        <v/>
      </c>
    </row>
    <row r="370">
      <c r="K370" s="660" t="str">
        <f t="array" ref="K370">IFERROR(_xlfn.XLOOKUP(I370,Incentive!B:B,Incentive!E:E,""),"")</f>
        <v/>
      </c>
      <c r="L370" s="659" t="str">
        <f>IFERROR(VLOOKUP(I370,Stock1!F:J,5,False),"")</f>
        <v/>
      </c>
      <c r="M370" s="659" t="str">
        <f>IFERROR(VLOOKUP(I370,Stock2!F:J,5,False),"")</f>
        <v/>
      </c>
      <c r="V370" s="102" t="str">
        <f t="array" ref="V370">_xlfn.XLOOKUP("Charger",Stock1!B370,Stock1!I370,"")</f>
        <v/>
      </c>
      <c r="W370" s="102" t="str">
        <f t="array" ref="W370">_xlfn.XLOOKUP(V370,Stock1!I370,Stock1!F370,"")</f>
        <v/>
      </c>
      <c r="X370" s="102" t="str">
        <f t="array" ref="X370">_xlfn.XLOOKUP(V370,Stock1!I370,Stock1!J370,"")</f>
        <v/>
      </c>
      <c r="Y370" s="102" t="str">
        <f t="array" ref="Y370">_xlfn.XLOOKUP("Screen Protector for Android Phone and Other",Stock1!B370,Stock1!I370,"")</f>
        <v/>
      </c>
      <c r="Z370" s="102" t="str">
        <f t="array" ref="Z370">_xlfn.XLOOKUP("Screen Protector for Galaxy Phone",Stock1!B370,Stock1!I370,"")</f>
        <v/>
      </c>
      <c r="AA370" s="102" t="str">
        <f t="array" ref="AA370">_xlfn.XLOOKUP("Screen Protector for Galaxy Tab",Stock1!B370,Stock1!I370,"")</f>
        <v/>
      </c>
      <c r="AB370" s="102" t="str">
        <f t="shared" si="4"/>
        <v/>
      </c>
      <c r="AC370" s="102" t="str">
        <f t="array" ref="AC370">_xlfn.XLOOKUP(AB370,Stock1!I370,Stock1!F370,"")</f>
        <v/>
      </c>
      <c r="AD370" s="102" t="str">
        <f t="array" ref="AD370">_xlfn.XLOOKUP(AB370,Stock1!I370,Stock1!J370,"")</f>
        <v/>
      </c>
      <c r="AE370" s="102" t="str">
        <f t="array" ref="AE370">_xlfn.XLOOKUP("Storage",Stock1!B370,Stock1!I370,"")</f>
        <v/>
      </c>
      <c r="AF370" s="102" t="str">
        <f t="array" ref="AF370">_xlfn.XLOOKUP(AE370,Stock1!I370,Stock1!F370,"")</f>
        <v/>
      </c>
      <c r="AG370" s="102" t="str">
        <f t="array" ref="AG370">_xlfn.XLOOKUP(AE370,Stock1!I370,Stock1!J370,"")</f>
        <v/>
      </c>
    </row>
    <row r="371">
      <c r="K371" s="660" t="str">
        <f t="array" ref="K371">IFERROR(_xlfn.XLOOKUP(I371,Incentive!B:B,Incentive!E:E,""),"")</f>
        <v/>
      </c>
      <c r="L371" s="659" t="str">
        <f>IFERROR(VLOOKUP(I371,Stock1!F:J,5,False),"")</f>
        <v/>
      </c>
      <c r="M371" s="659" t="str">
        <f>IFERROR(VLOOKUP(I371,Stock2!F:J,5,False),"")</f>
        <v/>
      </c>
      <c r="V371" s="102" t="str">
        <f t="array" ref="V371">_xlfn.XLOOKUP("Charger",Stock1!B371,Stock1!I371,"")</f>
        <v/>
      </c>
      <c r="W371" s="102" t="str">
        <f t="array" ref="W371">_xlfn.XLOOKUP(V371,Stock1!I371,Stock1!F371,"")</f>
        <v/>
      </c>
      <c r="X371" s="102" t="str">
        <f t="array" ref="X371">_xlfn.XLOOKUP(V371,Stock1!I371,Stock1!J371,"")</f>
        <v/>
      </c>
      <c r="Y371" s="102" t="str">
        <f t="array" ref="Y371">_xlfn.XLOOKUP("Screen Protector for Android Phone and Other",Stock1!B371,Stock1!I371,"")</f>
        <v/>
      </c>
      <c r="Z371" s="102" t="str">
        <f t="array" ref="Z371">_xlfn.XLOOKUP("Screen Protector for Galaxy Phone",Stock1!B371,Stock1!I371,"")</f>
        <v/>
      </c>
      <c r="AA371" s="102" t="str">
        <f t="array" ref="AA371">_xlfn.XLOOKUP("Screen Protector for Galaxy Tab",Stock1!B371,Stock1!I371,"")</f>
        <v/>
      </c>
      <c r="AB371" s="102" t="str">
        <f t="shared" si="4"/>
        <v/>
      </c>
      <c r="AC371" s="102" t="str">
        <f t="array" ref="AC371">_xlfn.XLOOKUP(AB371,Stock1!I371,Stock1!F371,"")</f>
        <v/>
      </c>
      <c r="AD371" s="102" t="str">
        <f t="array" ref="AD371">_xlfn.XLOOKUP(AB371,Stock1!I371,Stock1!J371,"")</f>
        <v/>
      </c>
      <c r="AE371" s="102" t="str">
        <f t="array" ref="AE371">_xlfn.XLOOKUP("Storage",Stock1!B371,Stock1!I371,"")</f>
        <v/>
      </c>
      <c r="AF371" s="102" t="str">
        <f t="array" ref="AF371">_xlfn.XLOOKUP(AE371,Stock1!I371,Stock1!F371,"")</f>
        <v/>
      </c>
      <c r="AG371" s="102" t="str">
        <f t="array" ref="AG371">_xlfn.XLOOKUP(AE371,Stock1!I371,Stock1!J371,"")</f>
        <v/>
      </c>
    </row>
    <row r="372">
      <c r="K372" s="660" t="str">
        <f t="array" ref="K372">IFERROR(_xlfn.XLOOKUP(I372,Incentive!B:B,Incentive!E:E,""),"")</f>
        <v/>
      </c>
      <c r="L372" s="659" t="str">
        <f>IFERROR(VLOOKUP(I372,Stock1!F:J,5,False),"")</f>
        <v/>
      </c>
      <c r="M372" s="659" t="str">
        <f>IFERROR(VLOOKUP(I372,Stock2!F:J,5,False),"")</f>
        <v/>
      </c>
      <c r="V372" s="102" t="str">
        <f t="array" ref="V372">_xlfn.XLOOKUP("Charger",Stock1!B372,Stock1!I372,"")</f>
        <v/>
      </c>
      <c r="W372" s="102" t="str">
        <f t="array" ref="W372">_xlfn.XLOOKUP(V372,Stock1!I372,Stock1!F372,"")</f>
        <v/>
      </c>
      <c r="X372" s="102" t="str">
        <f t="array" ref="X372">_xlfn.XLOOKUP(V372,Stock1!I372,Stock1!J372,"")</f>
        <v/>
      </c>
      <c r="Y372" s="102" t="str">
        <f t="array" ref="Y372">_xlfn.XLOOKUP("Screen Protector for Android Phone and Other",Stock1!B372,Stock1!I372,"")</f>
        <v/>
      </c>
      <c r="Z372" s="102" t="str">
        <f t="array" ref="Z372">_xlfn.XLOOKUP("Screen Protector for Galaxy Phone",Stock1!B372,Stock1!I372,"")</f>
        <v/>
      </c>
      <c r="AA372" s="102" t="str">
        <f t="array" ref="AA372">_xlfn.XLOOKUP("Screen Protector for Galaxy Tab",Stock1!B372,Stock1!I372,"")</f>
        <v/>
      </c>
      <c r="AB372" s="102" t="str">
        <f t="shared" si="4"/>
        <v/>
      </c>
      <c r="AC372" s="102" t="str">
        <f t="array" ref="AC372">_xlfn.XLOOKUP(AB372,Stock1!I372,Stock1!F372,"")</f>
        <v/>
      </c>
      <c r="AD372" s="102" t="str">
        <f t="array" ref="AD372">_xlfn.XLOOKUP(AB372,Stock1!I372,Stock1!J372,"")</f>
        <v/>
      </c>
      <c r="AE372" s="102" t="str">
        <f t="array" ref="AE372">_xlfn.XLOOKUP("Storage",Stock1!B372,Stock1!I372,"")</f>
        <v/>
      </c>
      <c r="AF372" s="102" t="str">
        <f t="array" ref="AF372">_xlfn.XLOOKUP(AE372,Stock1!I372,Stock1!F372,"")</f>
        <v/>
      </c>
      <c r="AG372" s="102" t="str">
        <f t="array" ref="AG372">_xlfn.XLOOKUP(AE372,Stock1!I372,Stock1!J372,"")</f>
        <v/>
      </c>
    </row>
    <row r="373">
      <c r="K373" s="660" t="str">
        <f t="array" ref="K373">IFERROR(_xlfn.XLOOKUP(I373,Incentive!B:B,Incentive!E:E,""),"")</f>
        <v/>
      </c>
      <c r="L373" s="659" t="str">
        <f>IFERROR(VLOOKUP(I373,Stock1!F:J,5,False),"")</f>
        <v/>
      </c>
      <c r="M373" s="659" t="str">
        <f>IFERROR(VLOOKUP(I373,Stock2!F:J,5,False),"")</f>
        <v/>
      </c>
      <c r="V373" s="102" t="str">
        <f t="array" ref="V373">_xlfn.XLOOKUP("Charger",Stock1!B373,Stock1!I373,"")</f>
        <v/>
      </c>
      <c r="W373" s="102" t="str">
        <f t="array" ref="W373">_xlfn.XLOOKUP(V373,Stock1!I373,Stock1!F373,"")</f>
        <v/>
      </c>
      <c r="X373" s="102" t="str">
        <f t="array" ref="X373">_xlfn.XLOOKUP(V373,Stock1!I373,Stock1!J373,"")</f>
        <v/>
      </c>
      <c r="Y373" s="102" t="str">
        <f t="array" ref="Y373">_xlfn.XLOOKUP("Screen Protector for Android Phone and Other",Stock1!B373,Stock1!I373,"")</f>
        <v/>
      </c>
      <c r="Z373" s="102" t="str">
        <f t="array" ref="Z373">_xlfn.XLOOKUP("Screen Protector for Galaxy Phone",Stock1!B373,Stock1!I373,"")</f>
        <v/>
      </c>
      <c r="AA373" s="102" t="str">
        <f t="array" ref="AA373">_xlfn.XLOOKUP("Screen Protector for Galaxy Tab",Stock1!B373,Stock1!I373,"")</f>
        <v/>
      </c>
      <c r="AB373" s="102" t="str">
        <f t="shared" si="4"/>
        <v/>
      </c>
      <c r="AC373" s="102" t="str">
        <f t="array" ref="AC373">_xlfn.XLOOKUP(AB373,Stock1!I373,Stock1!F373,"")</f>
        <v/>
      </c>
      <c r="AD373" s="102" t="str">
        <f t="array" ref="AD373">_xlfn.XLOOKUP(AB373,Stock1!I373,Stock1!J373,"")</f>
        <v/>
      </c>
      <c r="AE373" s="102" t="str">
        <f t="array" ref="AE373">_xlfn.XLOOKUP("Storage",Stock1!B373,Stock1!I373,"")</f>
        <v/>
      </c>
      <c r="AF373" s="102" t="str">
        <f t="array" ref="AF373">_xlfn.XLOOKUP(AE373,Stock1!I373,Stock1!F373,"")</f>
        <v/>
      </c>
      <c r="AG373" s="102" t="str">
        <f t="array" ref="AG373">_xlfn.XLOOKUP(AE373,Stock1!I373,Stock1!J373,"")</f>
        <v/>
      </c>
    </row>
    <row r="374">
      <c r="K374" s="660" t="str">
        <f t="array" ref="K374">IFERROR(_xlfn.XLOOKUP(I374,Incentive!B:B,Incentive!E:E,""),"")</f>
        <v/>
      </c>
      <c r="L374" s="659" t="str">
        <f>IFERROR(VLOOKUP(I374,Stock1!F:J,5,False),"")</f>
        <v/>
      </c>
      <c r="M374" s="659" t="str">
        <f>IFERROR(VLOOKUP(I374,Stock2!F:J,5,False),"")</f>
        <v/>
      </c>
      <c r="V374" s="102" t="str">
        <f t="array" ref="V374">_xlfn.XLOOKUP("Charger",Stock1!B374,Stock1!I374,"")</f>
        <v/>
      </c>
      <c r="W374" s="102" t="str">
        <f t="array" ref="W374">_xlfn.XLOOKUP(V374,Stock1!I374,Stock1!F374,"")</f>
        <v/>
      </c>
      <c r="X374" s="102" t="str">
        <f t="array" ref="X374">_xlfn.XLOOKUP(V374,Stock1!I374,Stock1!J374,"")</f>
        <v/>
      </c>
      <c r="Y374" s="102" t="str">
        <f t="array" ref="Y374">_xlfn.XLOOKUP("Screen Protector for Android Phone and Other",Stock1!B374,Stock1!I374,"")</f>
        <v/>
      </c>
      <c r="Z374" s="102" t="str">
        <f t="array" ref="Z374">_xlfn.XLOOKUP("Screen Protector for Galaxy Phone",Stock1!B374,Stock1!I374,"")</f>
        <v/>
      </c>
      <c r="AA374" s="102" t="str">
        <f t="array" ref="AA374">_xlfn.XLOOKUP("Screen Protector for Galaxy Tab",Stock1!B374,Stock1!I374,"")</f>
        <v/>
      </c>
      <c r="AB374" s="102" t="str">
        <f t="shared" si="4"/>
        <v/>
      </c>
      <c r="AC374" s="102" t="str">
        <f t="array" ref="AC374">_xlfn.XLOOKUP(AB374,Stock1!I374,Stock1!F374,"")</f>
        <v/>
      </c>
      <c r="AD374" s="102" t="str">
        <f t="array" ref="AD374">_xlfn.XLOOKUP(AB374,Stock1!I374,Stock1!J374,"")</f>
        <v/>
      </c>
      <c r="AE374" s="102" t="str">
        <f t="array" ref="AE374">_xlfn.XLOOKUP("Storage",Stock1!B374,Stock1!I374,"")</f>
        <v/>
      </c>
      <c r="AF374" s="102" t="str">
        <f t="array" ref="AF374">_xlfn.XLOOKUP(AE374,Stock1!I374,Stock1!F374,"")</f>
        <v/>
      </c>
      <c r="AG374" s="102" t="str">
        <f t="array" ref="AG374">_xlfn.XLOOKUP(AE374,Stock1!I374,Stock1!J374,"")</f>
        <v/>
      </c>
    </row>
    <row r="375">
      <c r="K375" s="660" t="str">
        <f t="array" ref="K375">IFERROR(_xlfn.XLOOKUP(I375,Incentive!B:B,Incentive!E:E,""),"")</f>
        <v/>
      </c>
      <c r="L375" s="659" t="str">
        <f>IFERROR(VLOOKUP(I375,Stock1!F:J,5,False),"")</f>
        <v/>
      </c>
      <c r="M375" s="659" t="str">
        <f>IFERROR(VLOOKUP(I375,Stock2!F:J,5,False),"")</f>
        <v/>
      </c>
      <c r="V375" s="102" t="str">
        <f t="array" ref="V375">_xlfn.XLOOKUP("Charger",Stock1!B375,Stock1!I375,"")</f>
        <v/>
      </c>
      <c r="W375" s="102" t="str">
        <f t="array" ref="W375">_xlfn.XLOOKUP(V375,Stock1!I375,Stock1!F375,"")</f>
        <v/>
      </c>
      <c r="X375" s="102" t="str">
        <f t="array" ref="X375">_xlfn.XLOOKUP(V375,Stock1!I375,Stock1!J375,"")</f>
        <v/>
      </c>
      <c r="Y375" s="102" t="str">
        <f t="array" ref="Y375">_xlfn.XLOOKUP("Screen Protector for Android Phone and Other",Stock1!B375,Stock1!I375,"")</f>
        <v/>
      </c>
      <c r="Z375" s="102" t="str">
        <f t="array" ref="Z375">_xlfn.XLOOKUP("Screen Protector for Galaxy Phone",Stock1!B375,Stock1!I375,"")</f>
        <v/>
      </c>
      <c r="AA375" s="102" t="str">
        <f t="array" ref="AA375">_xlfn.XLOOKUP("Screen Protector for Galaxy Tab",Stock1!B375,Stock1!I375,"")</f>
        <v/>
      </c>
      <c r="AB375" s="102" t="str">
        <f t="shared" si="4"/>
        <v/>
      </c>
      <c r="AC375" s="102" t="str">
        <f t="array" ref="AC375">_xlfn.XLOOKUP(AB375,Stock1!I375,Stock1!F375,"")</f>
        <v/>
      </c>
      <c r="AD375" s="102" t="str">
        <f t="array" ref="AD375">_xlfn.XLOOKUP(AB375,Stock1!I375,Stock1!J375,"")</f>
        <v/>
      </c>
      <c r="AE375" s="102" t="str">
        <f t="array" ref="AE375">_xlfn.XLOOKUP("Storage",Stock1!B375,Stock1!I375,"")</f>
        <v/>
      </c>
      <c r="AF375" s="102" t="str">
        <f t="array" ref="AF375">_xlfn.XLOOKUP(AE375,Stock1!I375,Stock1!F375,"")</f>
        <v/>
      </c>
      <c r="AG375" s="102" t="str">
        <f t="array" ref="AG375">_xlfn.XLOOKUP(AE375,Stock1!I375,Stock1!J375,"")</f>
        <v/>
      </c>
    </row>
    <row r="376">
      <c r="K376" s="660" t="str">
        <f t="array" ref="K376">IFERROR(_xlfn.XLOOKUP(I376,Incentive!B:B,Incentive!E:E,""),"")</f>
        <v/>
      </c>
      <c r="L376" s="659" t="str">
        <f>IFERROR(VLOOKUP(I376,Stock1!F:J,5,False),"")</f>
        <v/>
      </c>
      <c r="M376" s="659" t="str">
        <f>IFERROR(VLOOKUP(I376,Stock2!F:J,5,False),"")</f>
        <v/>
      </c>
      <c r="V376" s="102" t="str">
        <f t="array" ref="V376">_xlfn.XLOOKUP("Charger",Stock1!B376,Stock1!I376,"")</f>
        <v/>
      </c>
      <c r="W376" s="102" t="str">
        <f t="array" ref="W376">_xlfn.XLOOKUP(V376,Stock1!I376,Stock1!F376,"")</f>
        <v/>
      </c>
      <c r="X376" s="102" t="str">
        <f t="array" ref="X376">_xlfn.XLOOKUP(V376,Stock1!I376,Stock1!J376,"")</f>
        <v/>
      </c>
      <c r="Y376" s="102" t="str">
        <f t="array" ref="Y376">_xlfn.XLOOKUP("Screen Protector for Android Phone and Other",Stock1!B376,Stock1!I376,"")</f>
        <v/>
      </c>
      <c r="Z376" s="102" t="str">
        <f t="array" ref="Z376">_xlfn.XLOOKUP("Screen Protector for Galaxy Phone",Stock1!B376,Stock1!I376,"")</f>
        <v/>
      </c>
      <c r="AA376" s="102" t="str">
        <f t="array" ref="AA376">_xlfn.XLOOKUP("Screen Protector for Galaxy Tab",Stock1!B376,Stock1!I376,"")</f>
        <v/>
      </c>
      <c r="AB376" s="102" t="str">
        <f t="shared" si="4"/>
        <v/>
      </c>
      <c r="AC376" s="102" t="str">
        <f t="array" ref="AC376">_xlfn.XLOOKUP(AB376,Stock1!I376,Stock1!F376,"")</f>
        <v/>
      </c>
      <c r="AD376" s="102" t="str">
        <f t="array" ref="AD376">_xlfn.XLOOKUP(AB376,Stock1!I376,Stock1!J376,"")</f>
        <v/>
      </c>
      <c r="AE376" s="102" t="str">
        <f t="array" ref="AE376">_xlfn.XLOOKUP("Storage",Stock1!B376,Stock1!I376,"")</f>
        <v/>
      </c>
      <c r="AF376" s="102" t="str">
        <f t="array" ref="AF376">_xlfn.XLOOKUP(AE376,Stock1!I376,Stock1!F376,"")</f>
        <v/>
      </c>
      <c r="AG376" s="102" t="str">
        <f t="array" ref="AG376">_xlfn.XLOOKUP(AE376,Stock1!I376,Stock1!J376,"")</f>
        <v/>
      </c>
    </row>
    <row r="377">
      <c r="K377" s="660" t="str">
        <f t="array" ref="K377">IFERROR(_xlfn.XLOOKUP(I377,Incentive!B:B,Incentive!E:E,""),"")</f>
        <v/>
      </c>
      <c r="L377" s="659" t="str">
        <f>IFERROR(VLOOKUP(I377,Stock1!F:J,5,False),"")</f>
        <v/>
      </c>
      <c r="M377" s="659" t="str">
        <f>IFERROR(VLOOKUP(I377,Stock2!F:J,5,False),"")</f>
        <v/>
      </c>
      <c r="V377" s="102" t="str">
        <f t="array" ref="V377">_xlfn.XLOOKUP("Charger",Stock1!B377,Stock1!I377,"")</f>
        <v/>
      </c>
      <c r="W377" s="102" t="str">
        <f t="array" ref="W377">_xlfn.XLOOKUP(V377,Stock1!I377,Stock1!F377,"")</f>
        <v/>
      </c>
      <c r="X377" s="102" t="str">
        <f t="array" ref="X377">_xlfn.XLOOKUP(V377,Stock1!I377,Stock1!J377,"")</f>
        <v/>
      </c>
      <c r="Y377" s="102" t="str">
        <f t="array" ref="Y377">_xlfn.XLOOKUP("Screen Protector for Android Phone and Other",Stock1!B377,Stock1!I377,"")</f>
        <v/>
      </c>
      <c r="Z377" s="102" t="str">
        <f t="array" ref="Z377">_xlfn.XLOOKUP("Screen Protector for Galaxy Phone",Stock1!B377,Stock1!I377,"")</f>
        <v/>
      </c>
      <c r="AA377" s="102" t="str">
        <f t="array" ref="AA377">_xlfn.XLOOKUP("Screen Protector for Galaxy Tab",Stock1!B377,Stock1!I377,"")</f>
        <v/>
      </c>
      <c r="AB377" s="102" t="str">
        <f t="shared" si="4"/>
        <v/>
      </c>
      <c r="AC377" s="102" t="str">
        <f t="array" ref="AC377">_xlfn.XLOOKUP(AB377,Stock1!I377,Stock1!F377,"")</f>
        <v/>
      </c>
      <c r="AD377" s="102" t="str">
        <f t="array" ref="AD377">_xlfn.XLOOKUP(AB377,Stock1!I377,Stock1!J377,"")</f>
        <v/>
      </c>
      <c r="AE377" s="102" t="str">
        <f t="array" ref="AE377">_xlfn.XLOOKUP("Storage",Stock1!B377,Stock1!I377,"")</f>
        <v/>
      </c>
      <c r="AF377" s="102" t="str">
        <f t="array" ref="AF377">_xlfn.XLOOKUP(AE377,Stock1!I377,Stock1!F377,"")</f>
        <v/>
      </c>
      <c r="AG377" s="102" t="str">
        <f t="array" ref="AG377">_xlfn.XLOOKUP(AE377,Stock1!I377,Stock1!J377,"")</f>
        <v/>
      </c>
    </row>
    <row r="378">
      <c r="K378" s="660" t="str">
        <f t="array" ref="K378">IFERROR(_xlfn.XLOOKUP(I378,Incentive!B:B,Incentive!E:E,""),"")</f>
        <v/>
      </c>
      <c r="L378" s="659" t="str">
        <f>IFERROR(VLOOKUP(I378,Stock1!F:J,5,False),"")</f>
        <v/>
      </c>
      <c r="M378" s="659" t="str">
        <f>IFERROR(VLOOKUP(I378,Stock2!F:J,5,False),"")</f>
        <v/>
      </c>
      <c r="V378" s="102" t="str">
        <f t="array" ref="V378">_xlfn.XLOOKUP("Charger",Stock1!B378,Stock1!I378,"")</f>
        <v/>
      </c>
      <c r="W378" s="102" t="str">
        <f t="array" ref="W378">_xlfn.XLOOKUP(V378,Stock1!I378,Stock1!F378,"")</f>
        <v/>
      </c>
      <c r="X378" s="102" t="str">
        <f t="array" ref="X378">_xlfn.XLOOKUP(V378,Stock1!I378,Stock1!J378,"")</f>
        <v/>
      </c>
      <c r="Y378" s="102" t="str">
        <f t="array" ref="Y378">_xlfn.XLOOKUP("Screen Protector for Android Phone and Other",Stock1!B378,Stock1!I378,"")</f>
        <v/>
      </c>
      <c r="Z378" s="102" t="str">
        <f t="array" ref="Z378">_xlfn.XLOOKUP("Screen Protector for Galaxy Phone",Stock1!B378,Stock1!I378,"")</f>
        <v/>
      </c>
      <c r="AA378" s="102" t="str">
        <f t="array" ref="AA378">_xlfn.XLOOKUP("Screen Protector for Galaxy Tab",Stock1!B378,Stock1!I378,"")</f>
        <v/>
      </c>
      <c r="AB378" s="102" t="str">
        <f t="shared" si="4"/>
        <v/>
      </c>
      <c r="AC378" s="102" t="str">
        <f t="array" ref="AC378">_xlfn.XLOOKUP(AB378,Stock1!I378,Stock1!F378,"")</f>
        <v/>
      </c>
      <c r="AD378" s="102" t="str">
        <f t="array" ref="AD378">_xlfn.XLOOKUP(AB378,Stock1!I378,Stock1!J378,"")</f>
        <v/>
      </c>
      <c r="AE378" s="102" t="str">
        <f t="array" ref="AE378">_xlfn.XLOOKUP("Storage",Stock1!B378,Stock1!I378,"")</f>
        <v/>
      </c>
      <c r="AF378" s="102" t="str">
        <f t="array" ref="AF378">_xlfn.XLOOKUP(AE378,Stock1!I378,Stock1!F378,"")</f>
        <v/>
      </c>
      <c r="AG378" s="102" t="str">
        <f t="array" ref="AG378">_xlfn.XLOOKUP(AE378,Stock1!I378,Stock1!J378,"")</f>
        <v/>
      </c>
    </row>
    <row r="379">
      <c r="K379" s="660" t="str">
        <f t="array" ref="K379">IFERROR(_xlfn.XLOOKUP(I379,Incentive!B:B,Incentive!E:E,""),"")</f>
        <v/>
      </c>
      <c r="L379" s="659" t="str">
        <f>IFERROR(VLOOKUP(I379,Stock1!F:J,5,False),"")</f>
        <v/>
      </c>
      <c r="M379" s="659" t="str">
        <f>IFERROR(VLOOKUP(I379,Stock2!F:J,5,False),"")</f>
        <v/>
      </c>
      <c r="V379" s="102" t="str">
        <f t="array" ref="V379">_xlfn.XLOOKUP("Charger",Stock1!B379,Stock1!I379,"")</f>
        <v/>
      </c>
      <c r="W379" s="102" t="str">
        <f t="array" ref="W379">_xlfn.XLOOKUP(V379,Stock1!I379,Stock1!F379,"")</f>
        <v/>
      </c>
      <c r="X379" s="102" t="str">
        <f t="array" ref="X379">_xlfn.XLOOKUP(V379,Stock1!I379,Stock1!J379,"")</f>
        <v/>
      </c>
      <c r="Y379" s="102" t="str">
        <f t="array" ref="Y379">_xlfn.XLOOKUP("Screen Protector for Android Phone and Other",Stock1!B379,Stock1!I379,"")</f>
        <v/>
      </c>
      <c r="Z379" s="102" t="str">
        <f t="array" ref="Z379">_xlfn.XLOOKUP("Screen Protector for Galaxy Phone",Stock1!B379,Stock1!I379,"")</f>
        <v/>
      </c>
      <c r="AA379" s="102" t="str">
        <f t="array" ref="AA379">_xlfn.XLOOKUP("Screen Protector for Galaxy Tab",Stock1!B379,Stock1!I379,"")</f>
        <v/>
      </c>
      <c r="AB379" s="102" t="str">
        <f t="shared" si="4"/>
        <v/>
      </c>
      <c r="AC379" s="102" t="str">
        <f t="array" ref="AC379">_xlfn.XLOOKUP(AB379,Stock1!I379,Stock1!F379,"")</f>
        <v/>
      </c>
      <c r="AD379" s="102" t="str">
        <f t="array" ref="AD379">_xlfn.XLOOKUP(AB379,Stock1!I379,Stock1!J379,"")</f>
        <v/>
      </c>
      <c r="AE379" s="102" t="str">
        <f t="array" ref="AE379">_xlfn.XLOOKUP("Storage",Stock1!B379,Stock1!I379,"")</f>
        <v/>
      </c>
      <c r="AF379" s="102" t="str">
        <f t="array" ref="AF379">_xlfn.XLOOKUP(AE379,Stock1!I379,Stock1!F379,"")</f>
        <v/>
      </c>
      <c r="AG379" s="102" t="str">
        <f t="array" ref="AG379">_xlfn.XLOOKUP(AE379,Stock1!I379,Stock1!J379,"")</f>
        <v/>
      </c>
    </row>
    <row r="380">
      <c r="K380" s="660" t="str">
        <f t="array" ref="K380">IFERROR(_xlfn.XLOOKUP(I380,Incentive!B:B,Incentive!E:E,""),"")</f>
        <v/>
      </c>
      <c r="L380" s="659" t="str">
        <f>IFERROR(VLOOKUP(I380,Stock1!F:J,5,False),"")</f>
        <v/>
      </c>
      <c r="M380" s="659" t="str">
        <f>IFERROR(VLOOKUP(I380,Stock2!F:J,5,False),"")</f>
        <v/>
      </c>
      <c r="V380" s="102" t="str">
        <f t="array" ref="V380">_xlfn.XLOOKUP("Charger",Stock1!B380,Stock1!I380,"")</f>
        <v/>
      </c>
      <c r="W380" s="102" t="str">
        <f t="array" ref="W380">_xlfn.XLOOKUP(V380,Stock1!I380,Stock1!F380,"")</f>
        <v/>
      </c>
      <c r="X380" s="102" t="str">
        <f t="array" ref="X380">_xlfn.XLOOKUP(V380,Stock1!I380,Stock1!J380,"")</f>
        <v/>
      </c>
      <c r="Y380" s="102" t="str">
        <f t="array" ref="Y380">_xlfn.XLOOKUP("Screen Protector for Android Phone and Other",Stock1!B380,Stock1!I380,"")</f>
        <v/>
      </c>
      <c r="Z380" s="102" t="str">
        <f t="array" ref="Z380">_xlfn.XLOOKUP("Screen Protector for Galaxy Phone",Stock1!B380,Stock1!I380,"")</f>
        <v/>
      </c>
      <c r="AA380" s="102" t="str">
        <f t="array" ref="AA380">_xlfn.XLOOKUP("Screen Protector for Galaxy Tab",Stock1!B380,Stock1!I380,"")</f>
        <v/>
      </c>
      <c r="AB380" s="102" t="str">
        <f t="shared" si="4"/>
        <v/>
      </c>
      <c r="AC380" s="102" t="str">
        <f t="array" ref="AC380">_xlfn.XLOOKUP(AB380,Stock1!I380,Stock1!F380,"")</f>
        <v/>
      </c>
      <c r="AD380" s="102" t="str">
        <f t="array" ref="AD380">_xlfn.XLOOKUP(AB380,Stock1!I380,Stock1!J380,"")</f>
        <v/>
      </c>
      <c r="AE380" s="102" t="str">
        <f t="array" ref="AE380">_xlfn.XLOOKUP("Storage",Stock1!B380,Stock1!I380,"")</f>
        <v/>
      </c>
      <c r="AF380" s="102" t="str">
        <f t="array" ref="AF380">_xlfn.XLOOKUP(AE380,Stock1!I380,Stock1!F380,"")</f>
        <v/>
      </c>
      <c r="AG380" s="102" t="str">
        <f t="array" ref="AG380">_xlfn.XLOOKUP(AE380,Stock1!I380,Stock1!J380,"")</f>
        <v/>
      </c>
    </row>
    <row r="381">
      <c r="K381" s="660" t="str">
        <f t="array" ref="K381">IFERROR(_xlfn.XLOOKUP(I381,Incentive!B:B,Incentive!E:E,""),"")</f>
        <v/>
      </c>
      <c r="L381" s="659" t="str">
        <f>IFERROR(VLOOKUP(I381,Stock1!F:J,5,False),"")</f>
        <v/>
      </c>
      <c r="M381" s="659" t="str">
        <f>IFERROR(VLOOKUP(I381,Stock2!F:J,5,False),"")</f>
        <v/>
      </c>
      <c r="V381" s="102" t="str">
        <f t="array" ref="V381">_xlfn.XLOOKUP("Charger",Stock1!B381,Stock1!I381,"")</f>
        <v/>
      </c>
      <c r="W381" s="102" t="str">
        <f t="array" ref="W381">_xlfn.XLOOKUP(V381,Stock1!I381,Stock1!F381,"")</f>
        <v/>
      </c>
      <c r="X381" s="102" t="str">
        <f t="array" ref="X381">_xlfn.XLOOKUP(V381,Stock1!I381,Stock1!J381,"")</f>
        <v/>
      </c>
      <c r="Y381" s="102" t="str">
        <f t="array" ref="Y381">_xlfn.XLOOKUP("Screen Protector for Android Phone and Other",Stock1!B381,Stock1!I381,"")</f>
        <v/>
      </c>
      <c r="Z381" s="102" t="str">
        <f t="array" ref="Z381">_xlfn.XLOOKUP("Screen Protector for Galaxy Phone",Stock1!B381,Stock1!I381,"")</f>
        <v/>
      </c>
      <c r="AA381" s="102" t="str">
        <f t="array" ref="AA381">_xlfn.XLOOKUP("Screen Protector for Galaxy Tab",Stock1!B381,Stock1!I381,"")</f>
        <v/>
      </c>
      <c r="AB381" s="102" t="str">
        <f t="shared" si="4"/>
        <v/>
      </c>
      <c r="AC381" s="102" t="str">
        <f t="array" ref="AC381">_xlfn.XLOOKUP(AB381,Stock1!I381,Stock1!F381,"")</f>
        <v/>
      </c>
      <c r="AD381" s="102" t="str">
        <f t="array" ref="AD381">_xlfn.XLOOKUP(AB381,Stock1!I381,Stock1!J381,"")</f>
        <v/>
      </c>
      <c r="AE381" s="102" t="str">
        <f t="array" ref="AE381">_xlfn.XLOOKUP("Storage",Stock1!B381,Stock1!I381,"")</f>
        <v/>
      </c>
      <c r="AF381" s="102" t="str">
        <f t="array" ref="AF381">_xlfn.XLOOKUP(AE381,Stock1!I381,Stock1!F381,"")</f>
        <v/>
      </c>
      <c r="AG381" s="102" t="str">
        <f t="array" ref="AG381">_xlfn.XLOOKUP(AE381,Stock1!I381,Stock1!J381,"")</f>
        <v/>
      </c>
    </row>
    <row r="382">
      <c r="K382" s="660" t="str">
        <f t="array" ref="K382">IFERROR(_xlfn.XLOOKUP(I382,Incentive!B:B,Incentive!E:E,""),"")</f>
        <v/>
      </c>
      <c r="L382" s="659" t="str">
        <f>IFERROR(VLOOKUP(I382,Stock1!F:J,5,False),"")</f>
        <v/>
      </c>
      <c r="M382" s="659" t="str">
        <f>IFERROR(VLOOKUP(I382,Stock2!F:J,5,False),"")</f>
        <v/>
      </c>
      <c r="V382" s="102" t="str">
        <f t="array" ref="V382">_xlfn.XLOOKUP("Charger",Stock1!B382,Stock1!I382,"")</f>
        <v/>
      </c>
      <c r="W382" s="102" t="str">
        <f t="array" ref="W382">_xlfn.XLOOKUP(V382,Stock1!I382,Stock1!F382,"")</f>
        <v/>
      </c>
      <c r="X382" s="102" t="str">
        <f t="array" ref="X382">_xlfn.XLOOKUP(V382,Stock1!I382,Stock1!J382,"")</f>
        <v/>
      </c>
      <c r="Y382" s="102" t="str">
        <f t="array" ref="Y382">_xlfn.XLOOKUP("Screen Protector for Android Phone and Other",Stock1!B382,Stock1!I382,"")</f>
        <v/>
      </c>
      <c r="Z382" s="102" t="str">
        <f t="array" ref="Z382">_xlfn.XLOOKUP("Screen Protector for Galaxy Phone",Stock1!B382,Stock1!I382,"")</f>
        <v/>
      </c>
      <c r="AA382" s="102" t="str">
        <f t="array" ref="AA382">_xlfn.XLOOKUP("Screen Protector for Galaxy Tab",Stock1!B382,Stock1!I382,"")</f>
        <v/>
      </c>
      <c r="AB382" s="102" t="str">
        <f t="shared" si="4"/>
        <v/>
      </c>
      <c r="AC382" s="102" t="str">
        <f t="array" ref="AC382">_xlfn.XLOOKUP(AB382,Stock1!I382,Stock1!F382,"")</f>
        <v/>
      </c>
      <c r="AD382" s="102" t="str">
        <f t="array" ref="AD382">_xlfn.XLOOKUP(AB382,Stock1!I382,Stock1!J382,"")</f>
        <v/>
      </c>
      <c r="AE382" s="102" t="str">
        <f t="array" ref="AE382">_xlfn.XLOOKUP("Storage",Stock1!B382,Stock1!I382,"")</f>
        <v/>
      </c>
      <c r="AF382" s="102" t="str">
        <f t="array" ref="AF382">_xlfn.XLOOKUP(AE382,Stock1!I382,Stock1!F382,"")</f>
        <v/>
      </c>
      <c r="AG382" s="102" t="str">
        <f t="array" ref="AG382">_xlfn.XLOOKUP(AE382,Stock1!I382,Stock1!J382,"")</f>
        <v/>
      </c>
    </row>
    <row r="383">
      <c r="K383" s="660" t="str">
        <f t="array" ref="K383">IFERROR(_xlfn.XLOOKUP(I383,Incentive!B:B,Incentive!E:E,""),"")</f>
        <v/>
      </c>
      <c r="L383" s="659" t="str">
        <f>IFERROR(VLOOKUP(I383,Stock1!F:J,5,False),"")</f>
        <v/>
      </c>
      <c r="M383" s="659" t="str">
        <f>IFERROR(VLOOKUP(I383,Stock2!F:J,5,False),"")</f>
        <v/>
      </c>
      <c r="V383" s="102" t="str">
        <f t="array" ref="V383">_xlfn.XLOOKUP("Charger",Stock1!B383,Stock1!I383,"")</f>
        <v/>
      </c>
      <c r="W383" s="102" t="str">
        <f t="array" ref="W383">_xlfn.XLOOKUP(V383,Stock1!I383,Stock1!F383,"")</f>
        <v/>
      </c>
      <c r="X383" s="102" t="str">
        <f t="array" ref="X383">_xlfn.XLOOKUP(V383,Stock1!I383,Stock1!J383,"")</f>
        <v/>
      </c>
      <c r="Y383" s="102" t="str">
        <f t="array" ref="Y383">_xlfn.XLOOKUP("Screen Protector for Android Phone and Other",Stock1!B383,Stock1!I383,"")</f>
        <v/>
      </c>
      <c r="Z383" s="102" t="str">
        <f t="array" ref="Z383">_xlfn.XLOOKUP("Screen Protector for Galaxy Phone",Stock1!B383,Stock1!I383,"")</f>
        <v/>
      </c>
      <c r="AA383" s="102" t="str">
        <f t="array" ref="AA383">_xlfn.XLOOKUP("Screen Protector for Galaxy Tab",Stock1!B383,Stock1!I383,"")</f>
        <v/>
      </c>
      <c r="AB383" s="102" t="str">
        <f t="shared" si="4"/>
        <v/>
      </c>
      <c r="AC383" s="102" t="str">
        <f t="array" ref="AC383">_xlfn.XLOOKUP(AB383,Stock1!I383,Stock1!F383,"")</f>
        <v/>
      </c>
      <c r="AD383" s="102" t="str">
        <f t="array" ref="AD383">_xlfn.XLOOKUP(AB383,Stock1!I383,Stock1!J383,"")</f>
        <v/>
      </c>
      <c r="AE383" s="102" t="str">
        <f t="array" ref="AE383">_xlfn.XLOOKUP("Storage",Stock1!B383,Stock1!I383,"")</f>
        <v/>
      </c>
      <c r="AF383" s="102" t="str">
        <f t="array" ref="AF383">_xlfn.XLOOKUP(AE383,Stock1!I383,Stock1!F383,"")</f>
        <v/>
      </c>
      <c r="AG383" s="102" t="str">
        <f t="array" ref="AG383">_xlfn.XLOOKUP(AE383,Stock1!I383,Stock1!J383,"")</f>
        <v/>
      </c>
    </row>
    <row r="384">
      <c r="K384" s="660" t="str">
        <f t="array" ref="K384">IFERROR(_xlfn.XLOOKUP(I384,Incentive!B:B,Incentive!E:E,""),"")</f>
        <v/>
      </c>
      <c r="L384" s="659" t="str">
        <f>IFERROR(VLOOKUP(I384,Stock1!F:J,5,False),"")</f>
        <v/>
      </c>
      <c r="M384" s="659" t="str">
        <f>IFERROR(VLOOKUP(I384,Stock2!F:J,5,False),"")</f>
        <v/>
      </c>
      <c r="V384" s="102" t="str">
        <f t="array" ref="V384">_xlfn.XLOOKUP("Charger",Stock1!B384,Stock1!I384,"")</f>
        <v/>
      </c>
      <c r="W384" s="102" t="str">
        <f t="array" ref="W384">_xlfn.XLOOKUP(V384,Stock1!I384,Stock1!F384,"")</f>
        <v/>
      </c>
      <c r="X384" s="102" t="str">
        <f t="array" ref="X384">_xlfn.XLOOKUP(V384,Stock1!I384,Stock1!J384,"")</f>
        <v/>
      </c>
      <c r="Y384" s="102" t="str">
        <f t="array" ref="Y384">_xlfn.XLOOKUP("Screen Protector for Android Phone and Other",Stock1!B384,Stock1!I384,"")</f>
        <v/>
      </c>
      <c r="Z384" s="102" t="str">
        <f t="array" ref="Z384">_xlfn.XLOOKUP("Screen Protector for Galaxy Phone",Stock1!B384,Stock1!I384,"")</f>
        <v/>
      </c>
      <c r="AA384" s="102" t="str">
        <f t="array" ref="AA384">_xlfn.XLOOKUP("Screen Protector for Galaxy Tab",Stock1!B384,Stock1!I384,"")</f>
        <v/>
      </c>
      <c r="AB384" s="102" t="str">
        <f t="shared" si="4"/>
        <v/>
      </c>
      <c r="AC384" s="102" t="str">
        <f t="array" ref="AC384">_xlfn.XLOOKUP(AB384,Stock1!I384,Stock1!F384,"")</f>
        <v/>
      </c>
      <c r="AD384" s="102" t="str">
        <f t="array" ref="AD384">_xlfn.XLOOKUP(AB384,Stock1!I384,Stock1!J384,"")</f>
        <v/>
      </c>
      <c r="AE384" s="102" t="str">
        <f t="array" ref="AE384">_xlfn.XLOOKUP("Storage",Stock1!B384,Stock1!I384,"")</f>
        <v/>
      </c>
      <c r="AF384" s="102" t="str">
        <f t="array" ref="AF384">_xlfn.XLOOKUP(AE384,Stock1!I384,Stock1!F384,"")</f>
        <v/>
      </c>
      <c r="AG384" s="102" t="str">
        <f t="array" ref="AG384">_xlfn.XLOOKUP(AE384,Stock1!I384,Stock1!J384,"")</f>
        <v/>
      </c>
    </row>
    <row r="385">
      <c r="K385" s="660" t="str">
        <f t="array" ref="K385">IFERROR(_xlfn.XLOOKUP(I385,Incentive!B:B,Incentive!E:E,""),"")</f>
        <v/>
      </c>
      <c r="L385" s="659" t="str">
        <f>IFERROR(VLOOKUP(I385,Stock1!F:J,5,False),"")</f>
        <v/>
      </c>
      <c r="M385" s="659" t="str">
        <f>IFERROR(VLOOKUP(I385,Stock2!F:J,5,False),"")</f>
        <v/>
      </c>
      <c r="V385" s="102" t="str">
        <f t="array" ref="V385">_xlfn.XLOOKUP("Charger",Stock1!B385,Stock1!I385,"")</f>
        <v/>
      </c>
      <c r="W385" s="102" t="str">
        <f t="array" ref="W385">_xlfn.XLOOKUP(V385,Stock1!I385,Stock1!F385,"")</f>
        <v/>
      </c>
      <c r="X385" s="102" t="str">
        <f t="array" ref="X385">_xlfn.XLOOKUP(V385,Stock1!I385,Stock1!J385,"")</f>
        <v/>
      </c>
      <c r="Y385" s="102" t="str">
        <f t="array" ref="Y385">_xlfn.XLOOKUP("Screen Protector for Android Phone and Other",Stock1!B385,Stock1!I385,"")</f>
        <v/>
      </c>
      <c r="Z385" s="102" t="str">
        <f t="array" ref="Z385">_xlfn.XLOOKUP("Screen Protector for Galaxy Phone",Stock1!B385,Stock1!I385,"")</f>
        <v/>
      </c>
      <c r="AA385" s="102" t="str">
        <f t="array" ref="AA385">_xlfn.XLOOKUP("Screen Protector for Galaxy Tab",Stock1!B385,Stock1!I385,"")</f>
        <v/>
      </c>
      <c r="AB385" s="102" t="str">
        <f t="shared" si="4"/>
        <v/>
      </c>
      <c r="AC385" s="102" t="str">
        <f t="array" ref="AC385">_xlfn.XLOOKUP(AB385,Stock1!I385,Stock1!F385,"")</f>
        <v/>
      </c>
      <c r="AD385" s="102" t="str">
        <f t="array" ref="AD385">_xlfn.XLOOKUP(AB385,Stock1!I385,Stock1!J385,"")</f>
        <v/>
      </c>
      <c r="AE385" s="102" t="str">
        <f t="array" ref="AE385">_xlfn.XLOOKUP("Storage",Stock1!B385,Stock1!I385,"")</f>
        <v/>
      </c>
      <c r="AF385" s="102" t="str">
        <f t="array" ref="AF385">_xlfn.XLOOKUP(AE385,Stock1!I385,Stock1!F385,"")</f>
        <v/>
      </c>
      <c r="AG385" s="102" t="str">
        <f t="array" ref="AG385">_xlfn.XLOOKUP(AE385,Stock1!I385,Stock1!J385,"")</f>
        <v/>
      </c>
    </row>
    <row r="386">
      <c r="K386" s="660" t="str">
        <f t="array" ref="K386">IFERROR(_xlfn.XLOOKUP(I386,Incentive!B:B,Incentive!E:E,""),"")</f>
        <v/>
      </c>
      <c r="L386" s="659" t="str">
        <f>IFERROR(VLOOKUP(I386,Stock1!F:J,5,False),"")</f>
        <v/>
      </c>
      <c r="M386" s="659" t="str">
        <f>IFERROR(VLOOKUP(I386,Stock2!F:J,5,False),"")</f>
        <v/>
      </c>
      <c r="V386" s="102" t="str">
        <f t="array" ref="V386">_xlfn.XLOOKUP("Charger",Stock1!B386,Stock1!I386,"")</f>
        <v/>
      </c>
      <c r="W386" s="102" t="str">
        <f t="array" ref="W386">_xlfn.XLOOKUP(V386,Stock1!I386,Stock1!F386,"")</f>
        <v/>
      </c>
      <c r="X386" s="102" t="str">
        <f t="array" ref="X386">_xlfn.XLOOKUP(V386,Stock1!I386,Stock1!J386,"")</f>
        <v/>
      </c>
      <c r="Y386" s="102" t="str">
        <f t="array" ref="Y386">_xlfn.XLOOKUP("Screen Protector for Android Phone and Other",Stock1!B386,Stock1!I386,"")</f>
        <v/>
      </c>
      <c r="Z386" s="102" t="str">
        <f t="array" ref="Z386">_xlfn.XLOOKUP("Screen Protector for Galaxy Phone",Stock1!B386,Stock1!I386,"")</f>
        <v/>
      </c>
      <c r="AA386" s="102" t="str">
        <f t="array" ref="AA386">_xlfn.XLOOKUP("Screen Protector for Galaxy Tab",Stock1!B386,Stock1!I386,"")</f>
        <v/>
      </c>
      <c r="AB386" s="102" t="str">
        <f t="shared" si="4"/>
        <v/>
      </c>
      <c r="AC386" s="102" t="str">
        <f t="array" ref="AC386">_xlfn.XLOOKUP(AB386,Stock1!I386,Stock1!F386,"")</f>
        <v/>
      </c>
      <c r="AD386" s="102" t="str">
        <f t="array" ref="AD386">_xlfn.XLOOKUP(AB386,Stock1!I386,Stock1!J386,"")</f>
        <v/>
      </c>
      <c r="AE386" s="102" t="str">
        <f t="array" ref="AE386">_xlfn.XLOOKUP("Storage",Stock1!B386,Stock1!I386,"")</f>
        <v/>
      </c>
      <c r="AF386" s="102" t="str">
        <f t="array" ref="AF386">_xlfn.XLOOKUP(AE386,Stock1!I386,Stock1!F386,"")</f>
        <v/>
      </c>
      <c r="AG386" s="102" t="str">
        <f t="array" ref="AG386">_xlfn.XLOOKUP(AE386,Stock1!I386,Stock1!J386,"")</f>
        <v/>
      </c>
    </row>
    <row r="387">
      <c r="K387" s="660" t="str">
        <f t="array" ref="K387">IFERROR(_xlfn.XLOOKUP(I387,Incentive!B:B,Incentive!E:E,""),"")</f>
        <v/>
      </c>
      <c r="L387" s="659" t="str">
        <f>IFERROR(VLOOKUP(I387,Stock1!F:J,5,False),"")</f>
        <v/>
      </c>
      <c r="M387" s="659" t="str">
        <f>IFERROR(VLOOKUP(I387,Stock2!F:J,5,False),"")</f>
        <v/>
      </c>
      <c r="V387" s="102" t="str">
        <f t="array" ref="V387">_xlfn.XLOOKUP("Charger",Stock1!B387,Stock1!I387,"")</f>
        <v/>
      </c>
      <c r="W387" s="102" t="str">
        <f t="array" ref="W387">_xlfn.XLOOKUP(V387,Stock1!I387,Stock1!F387,"")</f>
        <v/>
      </c>
      <c r="X387" s="102" t="str">
        <f t="array" ref="X387">_xlfn.XLOOKUP(V387,Stock1!I387,Stock1!J387,"")</f>
        <v/>
      </c>
      <c r="Y387" s="102" t="str">
        <f t="array" ref="Y387">_xlfn.XLOOKUP("Screen Protector for Android Phone and Other",Stock1!B387,Stock1!I387,"")</f>
        <v/>
      </c>
      <c r="Z387" s="102" t="str">
        <f t="array" ref="Z387">_xlfn.XLOOKUP("Screen Protector for Galaxy Phone",Stock1!B387,Stock1!I387,"")</f>
        <v/>
      </c>
      <c r="AA387" s="102" t="str">
        <f t="array" ref="AA387">_xlfn.XLOOKUP("Screen Protector for Galaxy Tab",Stock1!B387,Stock1!I387,"")</f>
        <v/>
      </c>
      <c r="AB387" s="102" t="str">
        <f t="shared" si="4"/>
        <v/>
      </c>
      <c r="AC387" s="102" t="str">
        <f t="array" ref="AC387">_xlfn.XLOOKUP(AB387,Stock1!I387,Stock1!F387,"")</f>
        <v/>
      </c>
      <c r="AD387" s="102" t="str">
        <f t="array" ref="AD387">_xlfn.XLOOKUP(AB387,Stock1!I387,Stock1!J387,"")</f>
        <v/>
      </c>
      <c r="AE387" s="102" t="str">
        <f t="array" ref="AE387">_xlfn.XLOOKUP("Storage",Stock1!B387,Stock1!I387,"")</f>
        <v/>
      </c>
      <c r="AF387" s="102" t="str">
        <f t="array" ref="AF387">_xlfn.XLOOKUP(AE387,Stock1!I387,Stock1!F387,"")</f>
        <v/>
      </c>
      <c r="AG387" s="102" t="str">
        <f t="array" ref="AG387">_xlfn.XLOOKUP(AE387,Stock1!I387,Stock1!J387,"")</f>
        <v/>
      </c>
    </row>
    <row r="388">
      <c r="K388" s="660" t="str">
        <f t="array" ref="K388">IFERROR(_xlfn.XLOOKUP(I388,Incentive!B:B,Incentive!E:E,""),"")</f>
        <v/>
      </c>
      <c r="L388" s="659" t="str">
        <f>IFERROR(VLOOKUP(I388,Stock1!F:J,5,False),"")</f>
        <v/>
      </c>
      <c r="M388" s="659" t="str">
        <f>IFERROR(VLOOKUP(I388,Stock2!F:J,5,False),"")</f>
        <v/>
      </c>
      <c r="V388" s="102" t="str">
        <f t="array" ref="V388">_xlfn.XLOOKUP("Charger",Stock1!B388,Stock1!I388,"")</f>
        <v/>
      </c>
      <c r="W388" s="102" t="str">
        <f t="array" ref="W388">_xlfn.XLOOKUP(V388,Stock1!I388,Stock1!F388,"")</f>
        <v/>
      </c>
      <c r="X388" s="102" t="str">
        <f t="array" ref="X388">_xlfn.XLOOKUP(V388,Stock1!I388,Stock1!J388,"")</f>
        <v/>
      </c>
      <c r="Y388" s="102" t="str">
        <f t="array" ref="Y388">_xlfn.XLOOKUP("Screen Protector for Android Phone and Other",Stock1!B388,Stock1!I388,"")</f>
        <v/>
      </c>
      <c r="Z388" s="102" t="str">
        <f t="array" ref="Z388">_xlfn.XLOOKUP("Screen Protector for Galaxy Phone",Stock1!B388,Stock1!I388,"")</f>
        <v/>
      </c>
      <c r="AA388" s="102" t="str">
        <f t="array" ref="AA388">_xlfn.XLOOKUP("Screen Protector for Galaxy Tab",Stock1!B388,Stock1!I388,"")</f>
        <v/>
      </c>
      <c r="AB388" s="102" t="str">
        <f t="shared" si="4"/>
        <v/>
      </c>
      <c r="AC388" s="102" t="str">
        <f t="array" ref="AC388">_xlfn.XLOOKUP(AB388,Stock1!I388,Stock1!F388,"")</f>
        <v/>
      </c>
      <c r="AD388" s="102" t="str">
        <f t="array" ref="AD388">_xlfn.XLOOKUP(AB388,Stock1!I388,Stock1!J388,"")</f>
        <v/>
      </c>
      <c r="AE388" s="102" t="str">
        <f t="array" ref="AE388">_xlfn.XLOOKUP("Storage",Stock1!B388,Stock1!I388,"")</f>
        <v/>
      </c>
      <c r="AF388" s="102" t="str">
        <f t="array" ref="AF388">_xlfn.XLOOKUP(AE388,Stock1!I388,Stock1!F388,"")</f>
        <v/>
      </c>
      <c r="AG388" s="102" t="str">
        <f t="array" ref="AG388">_xlfn.XLOOKUP(AE388,Stock1!I388,Stock1!J388,"")</f>
        <v/>
      </c>
    </row>
    <row r="389">
      <c r="K389" s="660" t="str">
        <f t="array" ref="K389">IFERROR(_xlfn.XLOOKUP(I389,Incentive!B:B,Incentive!E:E,""),"")</f>
        <v/>
      </c>
      <c r="L389" s="659" t="str">
        <f>IFERROR(VLOOKUP(I389,Stock1!F:J,5,False),"")</f>
        <v/>
      </c>
      <c r="M389" s="659" t="str">
        <f>IFERROR(VLOOKUP(I389,Stock2!F:J,5,False),"")</f>
        <v/>
      </c>
      <c r="V389" s="102" t="str">
        <f t="array" ref="V389">_xlfn.XLOOKUP("Charger",Stock1!B389,Stock1!I389,"")</f>
        <v/>
      </c>
      <c r="W389" s="102" t="str">
        <f t="array" ref="W389">_xlfn.XLOOKUP(V389,Stock1!I389,Stock1!F389,"")</f>
        <v/>
      </c>
      <c r="X389" s="102" t="str">
        <f t="array" ref="X389">_xlfn.XLOOKUP(V389,Stock1!I389,Stock1!J389,"")</f>
        <v/>
      </c>
      <c r="Y389" s="102" t="str">
        <f t="array" ref="Y389">_xlfn.XLOOKUP("Screen Protector for Android Phone and Other",Stock1!B389,Stock1!I389,"")</f>
        <v/>
      </c>
      <c r="Z389" s="102" t="str">
        <f t="array" ref="Z389">_xlfn.XLOOKUP("Screen Protector for Galaxy Phone",Stock1!B389,Stock1!I389,"")</f>
        <v/>
      </c>
      <c r="AA389" s="102" t="str">
        <f t="array" ref="AA389">_xlfn.XLOOKUP("Screen Protector for Galaxy Tab",Stock1!B389,Stock1!I389,"")</f>
        <v/>
      </c>
      <c r="AB389" s="102" t="str">
        <f t="shared" si="4"/>
        <v/>
      </c>
      <c r="AC389" s="102" t="str">
        <f t="array" ref="AC389">_xlfn.XLOOKUP(AB389,Stock1!I389,Stock1!F389,"")</f>
        <v/>
      </c>
      <c r="AD389" s="102" t="str">
        <f t="array" ref="AD389">_xlfn.XLOOKUP(AB389,Stock1!I389,Stock1!J389,"")</f>
        <v/>
      </c>
      <c r="AE389" s="102" t="str">
        <f t="array" ref="AE389">_xlfn.XLOOKUP("Storage",Stock1!B389,Stock1!I389,"")</f>
        <v/>
      </c>
      <c r="AF389" s="102" t="str">
        <f t="array" ref="AF389">_xlfn.XLOOKUP(AE389,Stock1!I389,Stock1!F389,"")</f>
        <v/>
      </c>
      <c r="AG389" s="102" t="str">
        <f t="array" ref="AG389">_xlfn.XLOOKUP(AE389,Stock1!I389,Stock1!J389,"")</f>
        <v/>
      </c>
    </row>
    <row r="390">
      <c r="K390" s="660" t="str">
        <f t="array" ref="K390">IFERROR(_xlfn.XLOOKUP(I390,Incentive!B:B,Incentive!E:E,""),"")</f>
        <v/>
      </c>
      <c r="L390" s="659" t="str">
        <f>IFERROR(VLOOKUP(I390,Stock1!F:J,5,False),"")</f>
        <v/>
      </c>
      <c r="M390" s="659" t="str">
        <f>IFERROR(VLOOKUP(I390,Stock2!F:J,5,False),"")</f>
        <v/>
      </c>
      <c r="V390" s="102" t="str">
        <f t="array" ref="V390">_xlfn.XLOOKUP("Charger",Stock1!B390,Stock1!I390,"")</f>
        <v/>
      </c>
      <c r="W390" s="102" t="str">
        <f t="array" ref="W390">_xlfn.XLOOKUP(V390,Stock1!I390,Stock1!F390,"")</f>
        <v/>
      </c>
      <c r="X390" s="102" t="str">
        <f t="array" ref="X390">_xlfn.XLOOKUP(V390,Stock1!I390,Stock1!J390,"")</f>
        <v/>
      </c>
      <c r="Y390" s="102" t="str">
        <f t="array" ref="Y390">_xlfn.XLOOKUP("Screen Protector for Android Phone and Other",Stock1!B390,Stock1!I390,"")</f>
        <v/>
      </c>
      <c r="Z390" s="102" t="str">
        <f t="array" ref="Z390">_xlfn.XLOOKUP("Screen Protector for Galaxy Phone",Stock1!B390,Stock1!I390,"")</f>
        <v/>
      </c>
      <c r="AA390" s="102" t="str">
        <f t="array" ref="AA390">_xlfn.XLOOKUP("Screen Protector for Galaxy Tab",Stock1!B390,Stock1!I390,"")</f>
        <v/>
      </c>
      <c r="AB390" s="102" t="str">
        <f t="shared" si="4"/>
        <v/>
      </c>
      <c r="AC390" s="102" t="str">
        <f t="array" ref="AC390">_xlfn.XLOOKUP(AB390,Stock1!I390,Stock1!F390,"")</f>
        <v/>
      </c>
      <c r="AD390" s="102" t="str">
        <f t="array" ref="AD390">_xlfn.XLOOKUP(AB390,Stock1!I390,Stock1!J390,"")</f>
        <v/>
      </c>
      <c r="AE390" s="102" t="str">
        <f t="array" ref="AE390">_xlfn.XLOOKUP("Storage",Stock1!B390,Stock1!I390,"")</f>
        <v/>
      </c>
      <c r="AF390" s="102" t="str">
        <f t="array" ref="AF390">_xlfn.XLOOKUP(AE390,Stock1!I390,Stock1!F390,"")</f>
        <v/>
      </c>
      <c r="AG390" s="102" t="str">
        <f t="array" ref="AG390">_xlfn.XLOOKUP(AE390,Stock1!I390,Stock1!J390,"")</f>
        <v/>
      </c>
    </row>
    <row r="391">
      <c r="K391" s="660" t="str">
        <f t="array" ref="K391">IFERROR(_xlfn.XLOOKUP(I391,Incentive!B:B,Incentive!E:E,""),"")</f>
        <v/>
      </c>
      <c r="L391" s="659" t="str">
        <f>IFERROR(VLOOKUP(I391,Stock1!F:J,5,False),"")</f>
        <v/>
      </c>
      <c r="M391" s="659" t="str">
        <f>IFERROR(VLOOKUP(I391,Stock2!F:J,5,False),"")</f>
        <v/>
      </c>
      <c r="V391" s="102" t="str">
        <f t="array" ref="V391">_xlfn.XLOOKUP("Charger",Stock1!B391,Stock1!I391,"")</f>
        <v/>
      </c>
      <c r="W391" s="102" t="str">
        <f t="array" ref="W391">_xlfn.XLOOKUP(V391,Stock1!I391,Stock1!F391,"")</f>
        <v/>
      </c>
      <c r="X391" s="102" t="str">
        <f t="array" ref="X391">_xlfn.XLOOKUP(V391,Stock1!I391,Stock1!J391,"")</f>
        <v/>
      </c>
      <c r="Y391" s="102" t="str">
        <f t="array" ref="Y391">_xlfn.XLOOKUP("Screen Protector for Android Phone and Other",Stock1!B391,Stock1!I391,"")</f>
        <v/>
      </c>
      <c r="Z391" s="102" t="str">
        <f t="array" ref="Z391">_xlfn.XLOOKUP("Screen Protector for Galaxy Phone",Stock1!B391,Stock1!I391,"")</f>
        <v/>
      </c>
      <c r="AA391" s="102" t="str">
        <f t="array" ref="AA391">_xlfn.XLOOKUP("Screen Protector for Galaxy Tab",Stock1!B391,Stock1!I391,"")</f>
        <v/>
      </c>
      <c r="AB391" s="102" t="str">
        <f t="shared" si="4"/>
        <v/>
      </c>
      <c r="AC391" s="102" t="str">
        <f t="array" ref="AC391">_xlfn.XLOOKUP(AB391,Stock1!I391,Stock1!F391,"")</f>
        <v/>
      </c>
      <c r="AD391" s="102" t="str">
        <f t="array" ref="AD391">_xlfn.XLOOKUP(AB391,Stock1!I391,Stock1!J391,"")</f>
        <v/>
      </c>
      <c r="AE391" s="102" t="str">
        <f t="array" ref="AE391">_xlfn.XLOOKUP("Storage",Stock1!B391,Stock1!I391,"")</f>
        <v/>
      </c>
      <c r="AF391" s="102" t="str">
        <f t="array" ref="AF391">_xlfn.XLOOKUP(AE391,Stock1!I391,Stock1!F391,"")</f>
        <v/>
      </c>
      <c r="AG391" s="102" t="str">
        <f t="array" ref="AG391">_xlfn.XLOOKUP(AE391,Stock1!I391,Stock1!J391,"")</f>
        <v/>
      </c>
    </row>
    <row r="392">
      <c r="K392" s="660" t="str">
        <f t="array" ref="K392">IFERROR(_xlfn.XLOOKUP(I392,Incentive!B:B,Incentive!E:E,""),"")</f>
        <v/>
      </c>
      <c r="L392" s="659" t="str">
        <f>IFERROR(VLOOKUP(I392,Stock1!F:J,5,False),"")</f>
        <v/>
      </c>
      <c r="M392" s="659" t="str">
        <f>IFERROR(VLOOKUP(I392,Stock2!F:J,5,False),"")</f>
        <v/>
      </c>
      <c r="V392" s="102" t="str">
        <f t="array" ref="V392">_xlfn.XLOOKUP("Charger",Stock1!B392,Stock1!I392,"")</f>
        <v/>
      </c>
      <c r="W392" s="102" t="str">
        <f t="array" ref="W392">_xlfn.XLOOKUP(V392,Stock1!I392,Stock1!F392,"")</f>
        <v/>
      </c>
      <c r="X392" s="102" t="str">
        <f t="array" ref="X392">_xlfn.XLOOKUP(V392,Stock1!I392,Stock1!J392,"")</f>
        <v/>
      </c>
      <c r="Y392" s="102" t="str">
        <f t="array" ref="Y392">_xlfn.XLOOKUP("Screen Protector for Android Phone and Other",Stock1!B392,Stock1!I392,"")</f>
        <v/>
      </c>
      <c r="Z392" s="102" t="str">
        <f t="array" ref="Z392">_xlfn.XLOOKUP("Screen Protector for Galaxy Phone",Stock1!B392,Stock1!I392,"")</f>
        <v/>
      </c>
      <c r="AA392" s="102" t="str">
        <f t="array" ref="AA392">_xlfn.XLOOKUP("Screen Protector for Galaxy Tab",Stock1!B392,Stock1!I392,"")</f>
        <v/>
      </c>
      <c r="AB392" s="102" t="str">
        <f t="shared" si="4"/>
        <v/>
      </c>
      <c r="AC392" s="102" t="str">
        <f t="array" ref="AC392">_xlfn.XLOOKUP(AB392,Stock1!I392,Stock1!F392,"")</f>
        <v/>
      </c>
      <c r="AD392" s="102" t="str">
        <f t="array" ref="AD392">_xlfn.XLOOKUP(AB392,Stock1!I392,Stock1!J392,"")</f>
        <v/>
      </c>
      <c r="AE392" s="102" t="str">
        <f t="array" ref="AE392">_xlfn.XLOOKUP("Storage",Stock1!B392,Stock1!I392,"")</f>
        <v/>
      </c>
      <c r="AF392" s="102" t="str">
        <f t="array" ref="AF392">_xlfn.XLOOKUP(AE392,Stock1!I392,Stock1!F392,"")</f>
        <v/>
      </c>
      <c r="AG392" s="102" t="str">
        <f t="array" ref="AG392">_xlfn.XLOOKUP(AE392,Stock1!I392,Stock1!J392,"")</f>
        <v/>
      </c>
    </row>
    <row r="393">
      <c r="K393" s="660" t="str">
        <f t="array" ref="K393">IFERROR(_xlfn.XLOOKUP(I393,Incentive!B:B,Incentive!E:E,""),"")</f>
        <v/>
      </c>
      <c r="L393" s="659" t="str">
        <f>IFERROR(VLOOKUP(I393,Stock1!F:J,5,False),"")</f>
        <v/>
      </c>
      <c r="M393" s="659" t="str">
        <f>IFERROR(VLOOKUP(I393,Stock2!F:J,5,False),"")</f>
        <v/>
      </c>
      <c r="V393" s="102" t="str">
        <f t="array" ref="V393">_xlfn.XLOOKUP("Charger",Stock1!B393,Stock1!I393,"")</f>
        <v/>
      </c>
      <c r="W393" s="102" t="str">
        <f t="array" ref="W393">_xlfn.XLOOKUP(V393,Stock1!I393,Stock1!F393,"")</f>
        <v/>
      </c>
      <c r="X393" s="102" t="str">
        <f t="array" ref="X393">_xlfn.XLOOKUP(V393,Stock1!I393,Stock1!J393,"")</f>
        <v/>
      </c>
      <c r="Y393" s="102" t="str">
        <f t="array" ref="Y393">_xlfn.XLOOKUP("Screen Protector for Android Phone and Other",Stock1!B393,Stock1!I393,"")</f>
        <v/>
      </c>
      <c r="Z393" s="102" t="str">
        <f t="array" ref="Z393">_xlfn.XLOOKUP("Screen Protector for Galaxy Phone",Stock1!B393,Stock1!I393,"")</f>
        <v/>
      </c>
      <c r="AA393" s="102" t="str">
        <f t="array" ref="AA393">_xlfn.XLOOKUP("Screen Protector for Galaxy Tab",Stock1!B393,Stock1!I393,"")</f>
        <v/>
      </c>
      <c r="AB393" s="102" t="str">
        <f t="shared" si="4"/>
        <v/>
      </c>
      <c r="AC393" s="102" t="str">
        <f t="array" ref="AC393">_xlfn.XLOOKUP(AB393,Stock1!I393,Stock1!F393,"")</f>
        <v/>
      </c>
      <c r="AD393" s="102" t="str">
        <f t="array" ref="AD393">_xlfn.XLOOKUP(AB393,Stock1!I393,Stock1!J393,"")</f>
        <v/>
      </c>
      <c r="AE393" s="102" t="str">
        <f t="array" ref="AE393">_xlfn.XLOOKUP("Storage",Stock1!B393,Stock1!I393,"")</f>
        <v/>
      </c>
      <c r="AF393" s="102" t="str">
        <f t="array" ref="AF393">_xlfn.XLOOKUP(AE393,Stock1!I393,Stock1!F393,"")</f>
        <v/>
      </c>
      <c r="AG393" s="102" t="str">
        <f t="array" ref="AG393">_xlfn.XLOOKUP(AE393,Stock1!I393,Stock1!J393,"")</f>
        <v/>
      </c>
    </row>
    <row r="394">
      <c r="K394" s="660" t="str">
        <f t="array" ref="K394">IFERROR(_xlfn.XLOOKUP(I394,Incentive!B:B,Incentive!E:E,""),"")</f>
        <v/>
      </c>
      <c r="L394" s="659" t="str">
        <f>IFERROR(VLOOKUP(I394,Stock1!F:J,5,False),"")</f>
        <v/>
      </c>
      <c r="M394" s="659" t="str">
        <f>IFERROR(VLOOKUP(I394,Stock2!F:J,5,False),"")</f>
        <v/>
      </c>
      <c r="V394" s="102" t="str">
        <f t="array" ref="V394">_xlfn.XLOOKUP("Charger",Stock1!B394,Stock1!I394,"")</f>
        <v/>
      </c>
      <c r="W394" s="102" t="str">
        <f t="array" ref="W394">_xlfn.XLOOKUP(V394,Stock1!I394,Stock1!F394,"")</f>
        <v/>
      </c>
      <c r="X394" s="102" t="str">
        <f t="array" ref="X394">_xlfn.XLOOKUP(V394,Stock1!I394,Stock1!J394,"")</f>
        <v/>
      </c>
      <c r="Y394" s="102" t="str">
        <f t="array" ref="Y394">_xlfn.XLOOKUP("Screen Protector for Android Phone and Other",Stock1!B394,Stock1!I394,"")</f>
        <v/>
      </c>
      <c r="Z394" s="102" t="str">
        <f t="array" ref="Z394">_xlfn.XLOOKUP("Screen Protector for Galaxy Phone",Stock1!B394,Stock1!I394,"")</f>
        <v/>
      </c>
      <c r="AA394" s="102" t="str">
        <f t="array" ref="AA394">_xlfn.XLOOKUP("Screen Protector for Galaxy Tab",Stock1!B394,Stock1!I394,"")</f>
        <v/>
      </c>
      <c r="AB394" s="102" t="str">
        <f t="shared" si="4"/>
        <v/>
      </c>
      <c r="AC394" s="102" t="str">
        <f t="array" ref="AC394">_xlfn.XLOOKUP(AB394,Stock1!I394,Stock1!F394,"")</f>
        <v/>
      </c>
      <c r="AD394" s="102" t="str">
        <f t="array" ref="AD394">_xlfn.XLOOKUP(AB394,Stock1!I394,Stock1!J394,"")</f>
        <v/>
      </c>
      <c r="AE394" s="102" t="str">
        <f t="array" ref="AE394">_xlfn.XLOOKUP("Storage",Stock1!B394,Stock1!I394,"")</f>
        <v/>
      </c>
      <c r="AF394" s="102" t="str">
        <f t="array" ref="AF394">_xlfn.XLOOKUP(AE394,Stock1!I394,Stock1!F394,"")</f>
        <v/>
      </c>
      <c r="AG394" s="102" t="str">
        <f t="array" ref="AG394">_xlfn.XLOOKUP(AE394,Stock1!I394,Stock1!J394,"")</f>
        <v/>
      </c>
    </row>
    <row r="395">
      <c r="K395" s="660" t="str">
        <f t="array" ref="K395">IFERROR(_xlfn.XLOOKUP(I395,Incentive!B:B,Incentive!E:E,""),"")</f>
        <v/>
      </c>
      <c r="L395" s="659" t="str">
        <f>IFERROR(VLOOKUP(I395,Stock1!F:J,5,False),"")</f>
        <v/>
      </c>
      <c r="M395" s="659" t="str">
        <f>IFERROR(VLOOKUP(I395,Stock2!F:J,5,False),"")</f>
        <v/>
      </c>
      <c r="V395" s="102" t="str">
        <f t="array" ref="V395">_xlfn.XLOOKUP("Charger",Stock1!B395,Stock1!I395,"")</f>
        <v/>
      </c>
      <c r="W395" s="102" t="str">
        <f t="array" ref="W395">_xlfn.XLOOKUP(V395,Stock1!I395,Stock1!F395,"")</f>
        <v/>
      </c>
      <c r="X395" s="102" t="str">
        <f t="array" ref="X395">_xlfn.XLOOKUP(V395,Stock1!I395,Stock1!J395,"")</f>
        <v/>
      </c>
      <c r="Y395" s="102" t="str">
        <f t="array" ref="Y395">_xlfn.XLOOKUP("Screen Protector for Android Phone and Other",Stock1!B395,Stock1!I395,"")</f>
        <v/>
      </c>
      <c r="Z395" s="102" t="str">
        <f t="array" ref="Z395">_xlfn.XLOOKUP("Screen Protector for Galaxy Phone",Stock1!B395,Stock1!I395,"")</f>
        <v/>
      </c>
      <c r="AA395" s="102" t="str">
        <f t="array" ref="AA395">_xlfn.XLOOKUP("Screen Protector for Galaxy Tab",Stock1!B395,Stock1!I395,"")</f>
        <v/>
      </c>
      <c r="AB395" s="102" t="str">
        <f t="shared" si="4"/>
        <v/>
      </c>
      <c r="AC395" s="102" t="str">
        <f t="array" ref="AC395">_xlfn.XLOOKUP(AB395,Stock1!I395,Stock1!F395,"")</f>
        <v/>
      </c>
      <c r="AD395" s="102" t="str">
        <f t="array" ref="AD395">_xlfn.XLOOKUP(AB395,Stock1!I395,Stock1!J395,"")</f>
        <v/>
      </c>
      <c r="AE395" s="102" t="str">
        <f t="array" ref="AE395">_xlfn.XLOOKUP("Storage",Stock1!B395,Stock1!I395,"")</f>
        <v/>
      </c>
      <c r="AF395" s="102" t="str">
        <f t="array" ref="AF395">_xlfn.XLOOKUP(AE395,Stock1!I395,Stock1!F395,"")</f>
        <v/>
      </c>
      <c r="AG395" s="102" t="str">
        <f t="array" ref="AG395">_xlfn.XLOOKUP(AE395,Stock1!I395,Stock1!J395,"")</f>
        <v/>
      </c>
    </row>
    <row r="396">
      <c r="K396" s="660" t="str">
        <f t="array" ref="K396">IFERROR(_xlfn.XLOOKUP(I396,Incentive!B:B,Incentive!E:E,""),"")</f>
        <v/>
      </c>
      <c r="L396" s="659" t="str">
        <f>IFERROR(VLOOKUP(I396,Stock1!F:J,5,False),"")</f>
        <v/>
      </c>
      <c r="M396" s="659" t="str">
        <f>IFERROR(VLOOKUP(I396,Stock2!F:J,5,False),"")</f>
        <v/>
      </c>
      <c r="V396" s="102" t="str">
        <f t="array" ref="V396">_xlfn.XLOOKUP("Charger",Stock1!B396,Stock1!I396,"")</f>
        <v/>
      </c>
      <c r="W396" s="102" t="str">
        <f t="array" ref="W396">_xlfn.XLOOKUP(V396,Stock1!I396,Stock1!F396,"")</f>
        <v/>
      </c>
      <c r="X396" s="102" t="str">
        <f t="array" ref="X396">_xlfn.XLOOKUP(V396,Stock1!I396,Stock1!J396,"")</f>
        <v/>
      </c>
      <c r="Y396" s="102" t="str">
        <f t="array" ref="Y396">_xlfn.XLOOKUP("Screen Protector for Android Phone and Other",Stock1!B396,Stock1!I396,"")</f>
        <v/>
      </c>
      <c r="Z396" s="102" t="str">
        <f t="array" ref="Z396">_xlfn.XLOOKUP("Screen Protector for Galaxy Phone",Stock1!B396,Stock1!I396,"")</f>
        <v/>
      </c>
      <c r="AA396" s="102" t="str">
        <f t="array" ref="AA396">_xlfn.XLOOKUP("Screen Protector for Galaxy Tab",Stock1!B396,Stock1!I396,"")</f>
        <v/>
      </c>
      <c r="AB396" s="102" t="str">
        <f t="shared" si="4"/>
        <v/>
      </c>
      <c r="AC396" s="102" t="str">
        <f t="array" ref="AC396">_xlfn.XLOOKUP(AB396,Stock1!I396,Stock1!F396,"")</f>
        <v/>
      </c>
      <c r="AD396" s="102" t="str">
        <f t="array" ref="AD396">_xlfn.XLOOKUP(AB396,Stock1!I396,Stock1!J396,"")</f>
        <v/>
      </c>
      <c r="AE396" s="102" t="str">
        <f t="array" ref="AE396">_xlfn.XLOOKUP("Storage",Stock1!B396,Stock1!I396,"")</f>
        <v/>
      </c>
      <c r="AF396" s="102" t="str">
        <f t="array" ref="AF396">_xlfn.XLOOKUP(AE396,Stock1!I396,Stock1!F396,"")</f>
        <v/>
      </c>
      <c r="AG396" s="102" t="str">
        <f t="array" ref="AG396">_xlfn.XLOOKUP(AE396,Stock1!I396,Stock1!J396,"")</f>
        <v/>
      </c>
    </row>
    <row r="397">
      <c r="K397" s="660" t="str">
        <f t="array" ref="K397">IFERROR(_xlfn.XLOOKUP(I397,Incentive!B:B,Incentive!E:E,""),"")</f>
        <v/>
      </c>
      <c r="L397" s="659" t="str">
        <f>IFERROR(VLOOKUP(I397,Stock1!F:J,5,False),"")</f>
        <v/>
      </c>
      <c r="M397" s="659" t="str">
        <f>IFERROR(VLOOKUP(I397,Stock2!F:J,5,False),"")</f>
        <v/>
      </c>
      <c r="V397" s="102" t="str">
        <f t="array" ref="V397">_xlfn.XLOOKUP("Charger",Stock1!B397,Stock1!I397,"")</f>
        <v/>
      </c>
      <c r="W397" s="102" t="str">
        <f t="array" ref="W397">_xlfn.XLOOKUP(V397,Stock1!I397,Stock1!F397,"")</f>
        <v/>
      </c>
      <c r="X397" s="102" t="str">
        <f t="array" ref="X397">_xlfn.XLOOKUP(V397,Stock1!I397,Stock1!J397,"")</f>
        <v/>
      </c>
      <c r="Y397" s="102" t="str">
        <f t="array" ref="Y397">_xlfn.XLOOKUP("Screen Protector for Android Phone and Other",Stock1!B397,Stock1!I397,"")</f>
        <v/>
      </c>
      <c r="Z397" s="102" t="str">
        <f t="array" ref="Z397">_xlfn.XLOOKUP("Screen Protector for Galaxy Phone",Stock1!B397,Stock1!I397,"")</f>
        <v/>
      </c>
      <c r="AA397" s="102" t="str">
        <f t="array" ref="AA397">_xlfn.XLOOKUP("Screen Protector for Galaxy Tab",Stock1!B397,Stock1!I397,"")</f>
        <v/>
      </c>
      <c r="AB397" s="102" t="str">
        <f t="shared" si="4"/>
        <v/>
      </c>
      <c r="AC397" s="102" t="str">
        <f t="array" ref="AC397">_xlfn.XLOOKUP(AB397,Stock1!I397,Stock1!F397,"")</f>
        <v/>
      </c>
      <c r="AD397" s="102" t="str">
        <f t="array" ref="AD397">_xlfn.XLOOKUP(AB397,Stock1!I397,Stock1!J397,"")</f>
        <v/>
      </c>
      <c r="AE397" s="102" t="str">
        <f t="array" ref="AE397">_xlfn.XLOOKUP("Storage",Stock1!B397,Stock1!I397,"")</f>
        <v/>
      </c>
      <c r="AF397" s="102" t="str">
        <f t="array" ref="AF397">_xlfn.XLOOKUP(AE397,Stock1!I397,Stock1!F397,"")</f>
        <v/>
      </c>
      <c r="AG397" s="102" t="str">
        <f t="array" ref="AG397">_xlfn.XLOOKUP(AE397,Stock1!I397,Stock1!J397,"")</f>
        <v/>
      </c>
    </row>
    <row r="398">
      <c r="K398" s="660" t="str">
        <f t="array" ref="K398">IFERROR(_xlfn.XLOOKUP(I398,Incentive!B:B,Incentive!E:E,""),"")</f>
        <v/>
      </c>
      <c r="L398" s="659" t="str">
        <f>IFERROR(VLOOKUP(I398,Stock1!F:J,5,False),"")</f>
        <v/>
      </c>
      <c r="M398" s="659" t="str">
        <f>IFERROR(VLOOKUP(I398,Stock2!F:J,5,False),"")</f>
        <v/>
      </c>
      <c r="V398" s="102" t="str">
        <f t="array" ref="V398">_xlfn.XLOOKUP("Charger",Stock1!B398,Stock1!I398,"")</f>
        <v/>
      </c>
      <c r="W398" s="102" t="str">
        <f t="array" ref="W398">_xlfn.XLOOKUP(V398,Stock1!I398,Stock1!F398,"")</f>
        <v/>
      </c>
      <c r="X398" s="102" t="str">
        <f t="array" ref="X398">_xlfn.XLOOKUP(V398,Stock1!I398,Stock1!J398,"")</f>
        <v/>
      </c>
      <c r="Y398" s="102" t="str">
        <f t="array" ref="Y398">_xlfn.XLOOKUP("Screen Protector for Android Phone and Other",Stock1!B398,Stock1!I398,"")</f>
        <v/>
      </c>
      <c r="Z398" s="102" t="str">
        <f t="array" ref="Z398">_xlfn.XLOOKUP("Screen Protector for Galaxy Phone",Stock1!B398,Stock1!I398,"")</f>
        <v/>
      </c>
      <c r="AA398" s="102" t="str">
        <f t="array" ref="AA398">_xlfn.XLOOKUP("Screen Protector for Galaxy Tab",Stock1!B398,Stock1!I398,"")</f>
        <v/>
      </c>
      <c r="AB398" s="102" t="str">
        <f t="shared" si="4"/>
        <v/>
      </c>
      <c r="AC398" s="102" t="str">
        <f t="array" ref="AC398">_xlfn.XLOOKUP(AB398,Stock1!I398,Stock1!F398,"")</f>
        <v/>
      </c>
      <c r="AD398" s="102" t="str">
        <f t="array" ref="AD398">_xlfn.XLOOKUP(AB398,Stock1!I398,Stock1!J398,"")</f>
        <v/>
      </c>
      <c r="AE398" s="102" t="str">
        <f t="array" ref="AE398">_xlfn.XLOOKUP("Storage",Stock1!B398,Stock1!I398,"")</f>
        <v/>
      </c>
      <c r="AF398" s="102" t="str">
        <f t="array" ref="AF398">_xlfn.XLOOKUP(AE398,Stock1!I398,Stock1!F398,"")</f>
        <v/>
      </c>
      <c r="AG398" s="102" t="str">
        <f t="array" ref="AG398">_xlfn.XLOOKUP(AE398,Stock1!I398,Stock1!J398,"")</f>
        <v/>
      </c>
    </row>
    <row r="399">
      <c r="K399" s="660" t="str">
        <f t="array" ref="K399">IFERROR(_xlfn.XLOOKUP(I399,Incentive!B:B,Incentive!E:E,""),"")</f>
        <v/>
      </c>
      <c r="L399" s="659" t="str">
        <f>IFERROR(VLOOKUP(I399,Stock1!F:J,5,False),"")</f>
        <v/>
      </c>
      <c r="M399" s="659" t="str">
        <f>IFERROR(VLOOKUP(I399,Stock2!F:J,5,False),"")</f>
        <v/>
      </c>
      <c r="V399" s="102" t="str">
        <f t="array" ref="V399">_xlfn.XLOOKUP("Charger",Stock1!B399,Stock1!I399,"")</f>
        <v/>
      </c>
      <c r="W399" s="102" t="str">
        <f t="array" ref="W399">_xlfn.XLOOKUP(V399,Stock1!I399,Stock1!F399,"")</f>
        <v/>
      </c>
      <c r="X399" s="102" t="str">
        <f t="array" ref="X399">_xlfn.XLOOKUP(V399,Stock1!I399,Stock1!J399,"")</f>
        <v/>
      </c>
      <c r="Y399" s="102" t="str">
        <f t="array" ref="Y399">_xlfn.XLOOKUP("Screen Protector for Android Phone and Other",Stock1!B399,Stock1!I399,"")</f>
        <v/>
      </c>
      <c r="Z399" s="102" t="str">
        <f t="array" ref="Z399">_xlfn.XLOOKUP("Screen Protector for Galaxy Phone",Stock1!B399,Stock1!I399,"")</f>
        <v/>
      </c>
      <c r="AA399" s="102" t="str">
        <f t="array" ref="AA399">_xlfn.XLOOKUP("Screen Protector for Galaxy Tab",Stock1!B399,Stock1!I399,"")</f>
        <v/>
      </c>
      <c r="AB399" s="102" t="str">
        <f t="shared" si="4"/>
        <v/>
      </c>
      <c r="AC399" s="102" t="str">
        <f t="array" ref="AC399">_xlfn.XLOOKUP(AB399,Stock1!I399,Stock1!F399,"")</f>
        <v/>
      </c>
      <c r="AD399" s="102" t="str">
        <f t="array" ref="AD399">_xlfn.XLOOKUP(AB399,Stock1!I399,Stock1!J399,"")</f>
        <v/>
      </c>
      <c r="AE399" s="102" t="str">
        <f t="array" ref="AE399">_xlfn.XLOOKUP("Storage",Stock1!B399,Stock1!I399,"")</f>
        <v/>
      </c>
      <c r="AF399" s="102" t="str">
        <f t="array" ref="AF399">_xlfn.XLOOKUP(AE399,Stock1!I399,Stock1!F399,"")</f>
        <v/>
      </c>
      <c r="AG399" s="102" t="str">
        <f t="array" ref="AG399">_xlfn.XLOOKUP(AE399,Stock1!I399,Stock1!J399,"")</f>
        <v/>
      </c>
    </row>
    <row r="400">
      <c r="K400" s="660" t="str">
        <f t="array" ref="K400">IFERROR(_xlfn.XLOOKUP(I400,Incentive!B:B,Incentive!E:E,""),"")</f>
        <v/>
      </c>
      <c r="L400" s="659" t="str">
        <f>IFERROR(VLOOKUP(I400,Stock1!F:J,5,False),"")</f>
        <v/>
      </c>
      <c r="M400" s="659" t="str">
        <f>IFERROR(VLOOKUP(I400,Stock2!F:J,5,False),"")</f>
        <v/>
      </c>
      <c r="V400" s="102" t="str">
        <f t="array" ref="V400">_xlfn.XLOOKUP("Charger",Stock1!B400,Stock1!I400,"")</f>
        <v/>
      </c>
      <c r="W400" s="102" t="str">
        <f t="array" ref="W400">_xlfn.XLOOKUP(V400,Stock1!I400,Stock1!F400,"")</f>
        <v/>
      </c>
      <c r="X400" s="102" t="str">
        <f t="array" ref="X400">_xlfn.XLOOKUP(V400,Stock1!I400,Stock1!J400,"")</f>
        <v/>
      </c>
      <c r="Y400" s="102" t="str">
        <f t="array" ref="Y400">_xlfn.XLOOKUP("Screen Protector for Android Phone and Other",Stock1!B400,Stock1!I400,"")</f>
        <v/>
      </c>
      <c r="Z400" s="102" t="str">
        <f t="array" ref="Z400">_xlfn.XLOOKUP("Screen Protector for Galaxy Phone",Stock1!B400,Stock1!I400,"")</f>
        <v/>
      </c>
      <c r="AA400" s="102" t="str">
        <f t="array" ref="AA400">_xlfn.XLOOKUP("Screen Protector for Galaxy Tab",Stock1!B400,Stock1!I400,"")</f>
        <v/>
      </c>
      <c r="AB400" s="102" t="str">
        <f t="shared" si="4"/>
        <v/>
      </c>
      <c r="AC400" s="102" t="str">
        <f t="array" ref="AC400">_xlfn.XLOOKUP(AB400,Stock1!I400,Stock1!F400,"")</f>
        <v/>
      </c>
      <c r="AD400" s="102" t="str">
        <f t="array" ref="AD400">_xlfn.XLOOKUP(AB400,Stock1!I400,Stock1!J400,"")</f>
        <v/>
      </c>
      <c r="AE400" s="102" t="str">
        <f t="array" ref="AE400">_xlfn.XLOOKUP("Storage",Stock1!B400,Stock1!I400,"")</f>
        <v/>
      </c>
      <c r="AF400" s="102" t="str">
        <f t="array" ref="AF400">_xlfn.XLOOKUP(AE400,Stock1!I400,Stock1!F400,"")</f>
        <v/>
      </c>
      <c r="AG400" s="102" t="str">
        <f t="array" ref="AG400">_xlfn.XLOOKUP(AE400,Stock1!I400,Stock1!J400,"")</f>
        <v/>
      </c>
    </row>
    <row r="401">
      <c r="K401" s="660" t="str">
        <f t="array" ref="K401">IFERROR(_xlfn.XLOOKUP(I401,Incentive!B:B,Incentive!E:E,""),"")</f>
        <v/>
      </c>
      <c r="L401" s="659" t="str">
        <f>IFERROR(VLOOKUP(I401,Stock1!F:J,5,False),"")</f>
        <v/>
      </c>
      <c r="M401" s="659" t="str">
        <f>IFERROR(VLOOKUP(I401,Stock2!F:J,5,False),"")</f>
        <v/>
      </c>
      <c r="V401" s="102" t="str">
        <f t="array" ref="V401">_xlfn.XLOOKUP("Charger",Stock1!B401,Stock1!I401,"")</f>
        <v/>
      </c>
      <c r="W401" s="102" t="str">
        <f t="array" ref="W401">_xlfn.XLOOKUP(V401,Stock1!I401,Stock1!F401,"")</f>
        <v/>
      </c>
      <c r="X401" s="102" t="str">
        <f t="array" ref="X401">_xlfn.XLOOKUP(V401,Stock1!I401,Stock1!J401,"")</f>
        <v/>
      </c>
      <c r="Y401" s="102" t="str">
        <f t="array" ref="Y401">_xlfn.XLOOKUP("Screen Protector for Android Phone and Other",Stock1!B401,Stock1!I401,"")</f>
        <v/>
      </c>
      <c r="Z401" s="102" t="str">
        <f t="array" ref="Z401">_xlfn.XLOOKUP("Screen Protector for Galaxy Phone",Stock1!B401,Stock1!I401,"")</f>
        <v/>
      </c>
      <c r="AA401" s="102" t="str">
        <f t="array" ref="AA401">_xlfn.XLOOKUP("Screen Protector for Galaxy Tab",Stock1!B401,Stock1!I401,"")</f>
        <v/>
      </c>
      <c r="AB401" s="102" t="str">
        <f t="shared" si="4"/>
        <v/>
      </c>
      <c r="AC401" s="102" t="str">
        <f t="array" ref="AC401">_xlfn.XLOOKUP(AB401,Stock1!I401,Stock1!F401,"")</f>
        <v/>
      </c>
      <c r="AD401" s="102" t="str">
        <f t="array" ref="AD401">_xlfn.XLOOKUP(AB401,Stock1!I401,Stock1!J401,"")</f>
        <v/>
      </c>
      <c r="AE401" s="102" t="str">
        <f t="array" ref="AE401">_xlfn.XLOOKUP("Storage",Stock1!B401,Stock1!I401,"")</f>
        <v/>
      </c>
      <c r="AF401" s="102" t="str">
        <f t="array" ref="AF401">_xlfn.XLOOKUP(AE401,Stock1!I401,Stock1!F401,"")</f>
        <v/>
      </c>
      <c r="AG401" s="102" t="str">
        <f t="array" ref="AG401">_xlfn.XLOOKUP(AE401,Stock1!I401,Stock1!J401,"")</f>
        <v/>
      </c>
    </row>
    <row r="402">
      <c r="K402" s="660" t="str">
        <f t="array" ref="K402">IFERROR(_xlfn.XLOOKUP(I402,Incentive!B:B,Incentive!E:E,""),"")</f>
        <v/>
      </c>
      <c r="L402" s="659" t="str">
        <f>IFERROR(VLOOKUP(I402,Stock1!F:J,5,False),"")</f>
        <v/>
      </c>
      <c r="M402" s="659" t="str">
        <f>IFERROR(VLOOKUP(I402,Stock2!F:J,5,False),"")</f>
        <v/>
      </c>
      <c r="V402" s="102" t="str">
        <f t="array" ref="V402">_xlfn.XLOOKUP("Charger",Stock1!B402,Stock1!I402,"")</f>
        <v/>
      </c>
      <c r="W402" s="102" t="str">
        <f t="array" ref="W402">_xlfn.XLOOKUP(V402,Stock1!I402,Stock1!F402,"")</f>
        <v/>
      </c>
      <c r="X402" s="102" t="str">
        <f t="array" ref="X402">_xlfn.XLOOKUP(V402,Stock1!I402,Stock1!J402,"")</f>
        <v/>
      </c>
      <c r="Y402" s="102" t="str">
        <f t="array" ref="Y402">_xlfn.XLOOKUP("Screen Protector for Android Phone and Other",Stock1!B402,Stock1!I402,"")</f>
        <v/>
      </c>
      <c r="Z402" s="102" t="str">
        <f t="array" ref="Z402">_xlfn.XLOOKUP("Screen Protector for Galaxy Phone",Stock1!B402,Stock1!I402,"")</f>
        <v/>
      </c>
      <c r="AA402" s="102" t="str">
        <f t="array" ref="AA402">_xlfn.XLOOKUP("Screen Protector for Galaxy Tab",Stock1!B402,Stock1!I402,"")</f>
        <v/>
      </c>
      <c r="AB402" s="102" t="str">
        <f t="shared" si="4"/>
        <v/>
      </c>
      <c r="AC402" s="102" t="str">
        <f t="array" ref="AC402">_xlfn.XLOOKUP(AB402,Stock1!I402,Stock1!F402,"")</f>
        <v/>
      </c>
      <c r="AD402" s="102" t="str">
        <f t="array" ref="AD402">_xlfn.XLOOKUP(AB402,Stock1!I402,Stock1!J402,"")</f>
        <v/>
      </c>
      <c r="AE402" s="102" t="str">
        <f t="array" ref="AE402">_xlfn.XLOOKUP("Storage",Stock1!B402,Stock1!I402,"")</f>
        <v/>
      </c>
      <c r="AF402" s="102" t="str">
        <f t="array" ref="AF402">_xlfn.XLOOKUP(AE402,Stock1!I402,Stock1!F402,"")</f>
        <v/>
      </c>
      <c r="AG402" s="102" t="str">
        <f t="array" ref="AG402">_xlfn.XLOOKUP(AE402,Stock1!I402,Stock1!J402,"")</f>
        <v/>
      </c>
    </row>
    <row r="403">
      <c r="K403" s="660" t="str">
        <f t="array" ref="K403">IFERROR(_xlfn.XLOOKUP(I403,Incentive!B:B,Incentive!E:E,""),"")</f>
        <v/>
      </c>
      <c r="L403" s="659" t="str">
        <f>IFERROR(VLOOKUP(I403,Stock1!F:J,5,False),"")</f>
        <v/>
      </c>
      <c r="M403" s="659" t="str">
        <f>IFERROR(VLOOKUP(I403,Stock2!F:J,5,False),"")</f>
        <v/>
      </c>
      <c r="V403" s="102" t="str">
        <f t="array" ref="V403">_xlfn.XLOOKUP("Charger",Stock1!B403,Stock1!I403,"")</f>
        <v/>
      </c>
      <c r="W403" s="102" t="str">
        <f t="array" ref="W403">_xlfn.XLOOKUP(V403,Stock1!I403,Stock1!F403,"")</f>
        <v/>
      </c>
      <c r="X403" s="102" t="str">
        <f t="array" ref="X403">_xlfn.XLOOKUP(V403,Stock1!I403,Stock1!J403,"")</f>
        <v/>
      </c>
      <c r="Y403" s="102" t="str">
        <f t="array" ref="Y403">_xlfn.XLOOKUP("Screen Protector for Android Phone and Other",Stock1!B403,Stock1!I403,"")</f>
        <v/>
      </c>
      <c r="Z403" s="102" t="str">
        <f t="array" ref="Z403">_xlfn.XLOOKUP("Screen Protector for Galaxy Phone",Stock1!B403,Stock1!I403,"")</f>
        <v/>
      </c>
      <c r="AA403" s="102" t="str">
        <f t="array" ref="AA403">_xlfn.XLOOKUP("Screen Protector for Galaxy Tab",Stock1!B403,Stock1!I403,"")</f>
        <v/>
      </c>
      <c r="AB403" s="102" t="str">
        <f t="shared" si="4"/>
        <v/>
      </c>
      <c r="AC403" s="102" t="str">
        <f t="array" ref="AC403">_xlfn.XLOOKUP(AB403,Stock1!I403,Stock1!F403,"")</f>
        <v/>
      </c>
      <c r="AD403" s="102" t="str">
        <f t="array" ref="AD403">_xlfn.XLOOKUP(AB403,Stock1!I403,Stock1!J403,"")</f>
        <v/>
      </c>
      <c r="AE403" s="102" t="str">
        <f t="array" ref="AE403">_xlfn.XLOOKUP("Storage",Stock1!B403,Stock1!I403,"")</f>
        <v/>
      </c>
      <c r="AF403" s="102" t="str">
        <f t="array" ref="AF403">_xlfn.XLOOKUP(AE403,Stock1!I403,Stock1!F403,"")</f>
        <v/>
      </c>
      <c r="AG403" s="102" t="str">
        <f t="array" ref="AG403">_xlfn.XLOOKUP(AE403,Stock1!I403,Stock1!J403,"")</f>
        <v/>
      </c>
    </row>
    <row r="404">
      <c r="K404" s="660" t="str">
        <f t="array" ref="K404">IFERROR(_xlfn.XLOOKUP(I404,Incentive!B:B,Incentive!E:E,""),"")</f>
        <v/>
      </c>
      <c r="L404" s="659" t="str">
        <f>IFERROR(VLOOKUP(I404,Stock1!F:J,5,False),"")</f>
        <v/>
      </c>
      <c r="M404" s="659" t="str">
        <f>IFERROR(VLOOKUP(I404,Stock2!F:J,5,False),"")</f>
        <v/>
      </c>
      <c r="V404" s="102" t="str">
        <f t="array" ref="V404">_xlfn.XLOOKUP("Charger",Stock1!B404,Stock1!I404,"")</f>
        <v/>
      </c>
      <c r="W404" s="102" t="str">
        <f t="array" ref="W404">_xlfn.XLOOKUP(V404,Stock1!I404,Stock1!F404,"")</f>
        <v/>
      </c>
      <c r="X404" s="102" t="str">
        <f t="array" ref="X404">_xlfn.XLOOKUP(V404,Stock1!I404,Stock1!J404,"")</f>
        <v/>
      </c>
      <c r="Y404" s="102" t="str">
        <f t="array" ref="Y404">_xlfn.XLOOKUP("Screen Protector for Android Phone and Other",Stock1!B404,Stock1!I404,"")</f>
        <v/>
      </c>
      <c r="Z404" s="102" t="str">
        <f t="array" ref="Z404">_xlfn.XLOOKUP("Screen Protector for Galaxy Phone",Stock1!B404,Stock1!I404,"")</f>
        <v/>
      </c>
      <c r="AA404" s="102" t="str">
        <f t="array" ref="AA404">_xlfn.XLOOKUP("Screen Protector for Galaxy Tab",Stock1!B404,Stock1!I404,"")</f>
        <v/>
      </c>
      <c r="AB404" s="102" t="str">
        <f t="shared" si="4"/>
        <v/>
      </c>
      <c r="AC404" s="102" t="str">
        <f t="array" ref="AC404">_xlfn.XLOOKUP(AB404,Stock1!I404,Stock1!F404,"")</f>
        <v/>
      </c>
      <c r="AD404" s="102" t="str">
        <f t="array" ref="AD404">_xlfn.XLOOKUP(AB404,Stock1!I404,Stock1!J404,"")</f>
        <v/>
      </c>
      <c r="AE404" s="102" t="str">
        <f t="array" ref="AE404">_xlfn.XLOOKUP("Storage",Stock1!B404,Stock1!I404,"")</f>
        <v/>
      </c>
      <c r="AF404" s="102" t="str">
        <f t="array" ref="AF404">_xlfn.XLOOKUP(AE404,Stock1!I404,Stock1!F404,"")</f>
        <v/>
      </c>
      <c r="AG404" s="102" t="str">
        <f t="array" ref="AG404">_xlfn.XLOOKUP(AE404,Stock1!I404,Stock1!J404,"")</f>
        <v/>
      </c>
    </row>
    <row r="405">
      <c r="K405" s="660" t="str">
        <f t="array" ref="K405">IFERROR(_xlfn.XLOOKUP(I405,Incentive!B:B,Incentive!E:E,""),"")</f>
        <v/>
      </c>
      <c r="L405" s="659" t="str">
        <f>IFERROR(VLOOKUP(I405,Stock1!F:J,5,False),"")</f>
        <v/>
      </c>
      <c r="M405" s="659" t="str">
        <f>IFERROR(VLOOKUP(I405,Stock2!F:J,5,False),"")</f>
        <v/>
      </c>
      <c r="V405" s="102" t="str">
        <f t="array" ref="V405">_xlfn.XLOOKUP("Charger",Stock1!B405,Stock1!I405,"")</f>
        <v/>
      </c>
      <c r="W405" s="102" t="str">
        <f t="array" ref="W405">_xlfn.XLOOKUP(V405,Stock1!I405,Stock1!F405,"")</f>
        <v/>
      </c>
      <c r="X405" s="102" t="str">
        <f t="array" ref="X405">_xlfn.XLOOKUP(V405,Stock1!I405,Stock1!J405,"")</f>
        <v/>
      </c>
      <c r="Y405" s="102" t="str">
        <f t="array" ref="Y405">_xlfn.XLOOKUP("Screen Protector for Android Phone and Other",Stock1!B405,Stock1!I405,"")</f>
        <v/>
      </c>
      <c r="Z405" s="102" t="str">
        <f t="array" ref="Z405">_xlfn.XLOOKUP("Screen Protector for Galaxy Phone",Stock1!B405,Stock1!I405,"")</f>
        <v/>
      </c>
      <c r="AA405" s="102" t="str">
        <f t="array" ref="AA405">_xlfn.XLOOKUP("Screen Protector for Galaxy Tab",Stock1!B405,Stock1!I405,"")</f>
        <v/>
      </c>
      <c r="AB405" s="102" t="str">
        <f t="shared" si="4"/>
        <v/>
      </c>
      <c r="AC405" s="102" t="str">
        <f t="array" ref="AC405">_xlfn.XLOOKUP(AB405,Stock1!I405,Stock1!F405,"")</f>
        <v/>
      </c>
      <c r="AD405" s="102" t="str">
        <f t="array" ref="AD405">_xlfn.XLOOKUP(AB405,Stock1!I405,Stock1!J405,"")</f>
        <v/>
      </c>
      <c r="AE405" s="102" t="str">
        <f t="array" ref="AE405">_xlfn.XLOOKUP("Storage",Stock1!B405,Stock1!I405,"")</f>
        <v/>
      </c>
      <c r="AF405" s="102" t="str">
        <f t="array" ref="AF405">_xlfn.XLOOKUP(AE405,Stock1!I405,Stock1!F405,"")</f>
        <v/>
      </c>
      <c r="AG405" s="102" t="str">
        <f t="array" ref="AG405">_xlfn.XLOOKUP(AE405,Stock1!I405,Stock1!J405,"")</f>
        <v/>
      </c>
    </row>
    <row r="406">
      <c r="K406" s="660" t="str">
        <f t="array" ref="K406">IFERROR(_xlfn.XLOOKUP(I406,Incentive!B:B,Incentive!E:E,""),"")</f>
        <v/>
      </c>
      <c r="L406" s="659" t="str">
        <f>IFERROR(VLOOKUP(I406,Stock1!F:J,5,False),"")</f>
        <v/>
      </c>
      <c r="M406" s="659" t="str">
        <f>IFERROR(VLOOKUP(I406,Stock2!F:J,5,False),"")</f>
        <v/>
      </c>
      <c r="V406" s="102" t="str">
        <f t="array" ref="V406">_xlfn.XLOOKUP("Charger",Stock1!B406,Stock1!I406,"")</f>
        <v/>
      </c>
      <c r="W406" s="102" t="str">
        <f t="array" ref="W406">_xlfn.XLOOKUP(V406,Stock1!I406,Stock1!F406,"")</f>
        <v/>
      </c>
      <c r="X406" s="102" t="str">
        <f t="array" ref="X406">_xlfn.XLOOKUP(V406,Stock1!I406,Stock1!J406,"")</f>
        <v/>
      </c>
      <c r="Y406" s="102" t="str">
        <f t="array" ref="Y406">_xlfn.XLOOKUP("Screen Protector for Android Phone and Other",Stock1!B406,Stock1!I406,"")</f>
        <v/>
      </c>
      <c r="Z406" s="102" t="str">
        <f t="array" ref="Z406">_xlfn.XLOOKUP("Screen Protector for Galaxy Phone",Stock1!B406,Stock1!I406,"")</f>
        <v/>
      </c>
      <c r="AA406" s="102" t="str">
        <f t="array" ref="AA406">_xlfn.XLOOKUP("Screen Protector for Galaxy Tab",Stock1!B406,Stock1!I406,"")</f>
        <v/>
      </c>
      <c r="AB406" s="102" t="str">
        <f t="shared" si="4"/>
        <v/>
      </c>
      <c r="AC406" s="102" t="str">
        <f t="array" ref="AC406">_xlfn.XLOOKUP(AB406,Stock1!I406,Stock1!F406,"")</f>
        <v/>
      </c>
      <c r="AD406" s="102" t="str">
        <f t="array" ref="AD406">_xlfn.XLOOKUP(AB406,Stock1!I406,Stock1!J406,"")</f>
        <v/>
      </c>
      <c r="AE406" s="102" t="str">
        <f t="array" ref="AE406">_xlfn.XLOOKUP("Storage",Stock1!B406,Stock1!I406,"")</f>
        <v/>
      </c>
      <c r="AF406" s="102" t="str">
        <f t="array" ref="AF406">_xlfn.XLOOKUP(AE406,Stock1!I406,Stock1!F406,"")</f>
        <v/>
      </c>
      <c r="AG406" s="102" t="str">
        <f t="array" ref="AG406">_xlfn.XLOOKUP(AE406,Stock1!I406,Stock1!J406,"")</f>
        <v/>
      </c>
    </row>
    <row r="407">
      <c r="K407" s="660" t="str">
        <f t="array" ref="K407">IFERROR(_xlfn.XLOOKUP(I407,Incentive!B:B,Incentive!E:E,""),"")</f>
        <v/>
      </c>
      <c r="L407" s="659" t="str">
        <f>IFERROR(VLOOKUP(I407,Stock1!F:J,5,False),"")</f>
        <v/>
      </c>
      <c r="M407" s="659" t="str">
        <f>IFERROR(VLOOKUP(I407,Stock2!F:J,5,False),"")</f>
        <v/>
      </c>
      <c r="V407" s="102" t="str">
        <f t="array" ref="V407">_xlfn.XLOOKUP("Charger",Stock1!B407,Stock1!I407,"")</f>
        <v/>
      </c>
      <c r="W407" s="102" t="str">
        <f t="array" ref="W407">_xlfn.XLOOKUP(V407,Stock1!I407,Stock1!F407,"")</f>
        <v/>
      </c>
      <c r="X407" s="102" t="str">
        <f t="array" ref="X407">_xlfn.XLOOKUP(V407,Stock1!I407,Stock1!J407,"")</f>
        <v/>
      </c>
      <c r="Y407" s="102" t="str">
        <f t="array" ref="Y407">_xlfn.XLOOKUP("Screen Protector for Android Phone and Other",Stock1!B407,Stock1!I407,"")</f>
        <v/>
      </c>
      <c r="Z407" s="102" t="str">
        <f t="array" ref="Z407">_xlfn.XLOOKUP("Screen Protector for Galaxy Phone",Stock1!B407,Stock1!I407,"")</f>
        <v/>
      </c>
      <c r="AA407" s="102" t="str">
        <f t="array" ref="AA407">_xlfn.XLOOKUP("Screen Protector for Galaxy Tab",Stock1!B407,Stock1!I407,"")</f>
        <v/>
      </c>
      <c r="AB407" s="102" t="str">
        <f t="shared" si="4"/>
        <v/>
      </c>
      <c r="AC407" s="102" t="str">
        <f t="array" ref="AC407">_xlfn.XLOOKUP(AB407,Stock1!I407,Stock1!F407,"")</f>
        <v/>
      </c>
      <c r="AD407" s="102" t="str">
        <f t="array" ref="AD407">_xlfn.XLOOKUP(AB407,Stock1!I407,Stock1!J407,"")</f>
        <v/>
      </c>
      <c r="AE407" s="102" t="str">
        <f t="array" ref="AE407">_xlfn.XLOOKUP("Storage",Stock1!B407,Stock1!I407,"")</f>
        <v/>
      </c>
      <c r="AF407" s="102" t="str">
        <f t="array" ref="AF407">_xlfn.XLOOKUP(AE407,Stock1!I407,Stock1!F407,"")</f>
        <v/>
      </c>
      <c r="AG407" s="102" t="str">
        <f t="array" ref="AG407">_xlfn.XLOOKUP(AE407,Stock1!I407,Stock1!J407,"")</f>
        <v/>
      </c>
    </row>
    <row r="408">
      <c r="K408" s="660" t="str">
        <f t="array" ref="K408">IFERROR(_xlfn.XLOOKUP(I408,Incentive!B:B,Incentive!E:E,""),"")</f>
        <v/>
      </c>
      <c r="L408" s="659" t="str">
        <f>IFERROR(VLOOKUP(I408,Stock1!F:J,5,False),"")</f>
        <v/>
      </c>
      <c r="M408" s="659" t="str">
        <f>IFERROR(VLOOKUP(I408,Stock2!F:J,5,False),"")</f>
        <v/>
      </c>
      <c r="V408" s="102" t="str">
        <f t="array" ref="V408">_xlfn.XLOOKUP("Charger",Stock1!B408,Stock1!I408,"")</f>
        <v/>
      </c>
      <c r="W408" s="102" t="str">
        <f t="array" ref="W408">_xlfn.XLOOKUP(V408,Stock1!I408,Stock1!F408,"")</f>
        <v/>
      </c>
      <c r="X408" s="102" t="str">
        <f t="array" ref="X408">_xlfn.XLOOKUP(V408,Stock1!I408,Stock1!J408,"")</f>
        <v/>
      </c>
      <c r="Y408" s="102" t="str">
        <f t="array" ref="Y408">_xlfn.XLOOKUP("Screen Protector for Android Phone and Other",Stock1!B408,Stock1!I408,"")</f>
        <v/>
      </c>
      <c r="Z408" s="102" t="str">
        <f t="array" ref="Z408">_xlfn.XLOOKUP("Screen Protector for Galaxy Phone",Stock1!B408,Stock1!I408,"")</f>
        <v/>
      </c>
      <c r="AA408" s="102" t="str">
        <f t="array" ref="AA408">_xlfn.XLOOKUP("Screen Protector for Galaxy Tab",Stock1!B408,Stock1!I408,"")</f>
        <v/>
      </c>
      <c r="AB408" s="102" t="str">
        <f t="shared" si="4"/>
        <v/>
      </c>
      <c r="AC408" s="102" t="str">
        <f t="array" ref="AC408">_xlfn.XLOOKUP(AB408,Stock1!I408,Stock1!F408,"")</f>
        <v/>
      </c>
      <c r="AD408" s="102" t="str">
        <f t="array" ref="AD408">_xlfn.XLOOKUP(AB408,Stock1!I408,Stock1!J408,"")</f>
        <v/>
      </c>
      <c r="AE408" s="102" t="str">
        <f t="array" ref="AE408">_xlfn.XLOOKUP("Storage",Stock1!B408,Stock1!I408,"")</f>
        <v/>
      </c>
      <c r="AF408" s="102" t="str">
        <f t="array" ref="AF408">_xlfn.XLOOKUP(AE408,Stock1!I408,Stock1!F408,"")</f>
        <v/>
      </c>
      <c r="AG408" s="102" t="str">
        <f t="array" ref="AG408">_xlfn.XLOOKUP(AE408,Stock1!I408,Stock1!J408,"")</f>
        <v/>
      </c>
    </row>
    <row r="409">
      <c r="K409" s="660" t="str">
        <f t="array" ref="K409">IFERROR(_xlfn.XLOOKUP(I409,Incentive!B:B,Incentive!E:E,""),"")</f>
        <v/>
      </c>
      <c r="L409" s="659" t="str">
        <f>IFERROR(VLOOKUP(I409,Stock1!F:J,5,False),"")</f>
        <v/>
      </c>
      <c r="M409" s="659" t="str">
        <f>IFERROR(VLOOKUP(I409,Stock2!F:J,5,False),"")</f>
        <v/>
      </c>
      <c r="V409" s="102" t="str">
        <f t="array" ref="V409">_xlfn.XLOOKUP("Charger",Stock1!B409,Stock1!I409,"")</f>
        <v/>
      </c>
      <c r="W409" s="102" t="str">
        <f t="array" ref="W409">_xlfn.XLOOKUP(V409,Stock1!I409,Stock1!F409,"")</f>
        <v/>
      </c>
      <c r="X409" s="102" t="str">
        <f t="array" ref="X409">_xlfn.XLOOKUP(V409,Stock1!I409,Stock1!J409,"")</f>
        <v/>
      </c>
      <c r="Y409" s="102" t="str">
        <f t="array" ref="Y409">_xlfn.XLOOKUP("Screen Protector for Android Phone and Other",Stock1!B409,Stock1!I409,"")</f>
        <v/>
      </c>
      <c r="Z409" s="102" t="str">
        <f t="array" ref="Z409">_xlfn.XLOOKUP("Screen Protector for Galaxy Phone",Stock1!B409,Stock1!I409,"")</f>
        <v/>
      </c>
      <c r="AA409" s="102" t="str">
        <f t="array" ref="AA409">_xlfn.XLOOKUP("Screen Protector for Galaxy Tab",Stock1!B409,Stock1!I409,"")</f>
        <v/>
      </c>
      <c r="AB409" s="102" t="str">
        <f t="shared" si="4"/>
        <v/>
      </c>
      <c r="AC409" s="102" t="str">
        <f t="array" ref="AC409">_xlfn.XLOOKUP(AB409,Stock1!I409,Stock1!F409,"")</f>
        <v/>
      </c>
      <c r="AD409" s="102" t="str">
        <f t="array" ref="AD409">_xlfn.XLOOKUP(AB409,Stock1!I409,Stock1!J409,"")</f>
        <v/>
      </c>
      <c r="AE409" s="102" t="str">
        <f t="array" ref="AE409">_xlfn.XLOOKUP("Storage",Stock1!B409,Stock1!I409,"")</f>
        <v/>
      </c>
      <c r="AF409" s="102" t="str">
        <f t="array" ref="AF409">_xlfn.XLOOKUP(AE409,Stock1!I409,Stock1!F409,"")</f>
        <v/>
      </c>
      <c r="AG409" s="102" t="str">
        <f t="array" ref="AG409">_xlfn.XLOOKUP(AE409,Stock1!I409,Stock1!J409,"")</f>
        <v/>
      </c>
    </row>
    <row r="410">
      <c r="K410" s="660" t="str">
        <f t="array" ref="K410">IFERROR(_xlfn.XLOOKUP(I410,Incentive!B:B,Incentive!E:E,""),"")</f>
        <v/>
      </c>
      <c r="L410" s="659" t="str">
        <f>IFERROR(VLOOKUP(I410,Stock1!F:J,5,False),"")</f>
        <v/>
      </c>
      <c r="M410" s="659" t="str">
        <f>IFERROR(VLOOKUP(I410,Stock2!F:J,5,False),"")</f>
        <v/>
      </c>
      <c r="V410" s="102" t="str">
        <f t="array" ref="V410">_xlfn.XLOOKUP("Charger",Stock1!B410,Stock1!I410,"")</f>
        <v/>
      </c>
      <c r="W410" s="102" t="str">
        <f t="array" ref="W410">_xlfn.XLOOKUP(V410,Stock1!I410,Stock1!F410,"")</f>
        <v/>
      </c>
      <c r="X410" s="102" t="str">
        <f t="array" ref="X410">_xlfn.XLOOKUP(V410,Stock1!I410,Stock1!J410,"")</f>
        <v/>
      </c>
      <c r="Y410" s="102" t="str">
        <f t="array" ref="Y410">_xlfn.XLOOKUP("Screen Protector for Android Phone and Other",Stock1!B410,Stock1!I410,"")</f>
        <v/>
      </c>
      <c r="Z410" s="102" t="str">
        <f t="array" ref="Z410">_xlfn.XLOOKUP("Screen Protector for Galaxy Phone",Stock1!B410,Stock1!I410,"")</f>
        <v/>
      </c>
      <c r="AA410" s="102" t="str">
        <f t="array" ref="AA410">_xlfn.XLOOKUP("Screen Protector for Galaxy Tab",Stock1!B410,Stock1!I410,"")</f>
        <v/>
      </c>
      <c r="AB410" s="102" t="str">
        <f t="shared" si="4"/>
        <v/>
      </c>
      <c r="AC410" s="102" t="str">
        <f t="array" ref="AC410">_xlfn.XLOOKUP(AB410,Stock1!I410,Stock1!F410,"")</f>
        <v/>
      </c>
      <c r="AD410" s="102" t="str">
        <f t="array" ref="AD410">_xlfn.XLOOKUP(AB410,Stock1!I410,Stock1!J410,"")</f>
        <v/>
      </c>
      <c r="AE410" s="102" t="str">
        <f t="array" ref="AE410">_xlfn.XLOOKUP("Storage",Stock1!B410,Stock1!I410,"")</f>
        <v/>
      </c>
      <c r="AF410" s="102" t="str">
        <f t="array" ref="AF410">_xlfn.XLOOKUP(AE410,Stock1!I410,Stock1!F410,"")</f>
        <v/>
      </c>
      <c r="AG410" s="102" t="str">
        <f t="array" ref="AG410">_xlfn.XLOOKUP(AE410,Stock1!I410,Stock1!J410,"")</f>
        <v/>
      </c>
    </row>
    <row r="411">
      <c r="K411" s="660" t="str">
        <f t="array" ref="K411">IFERROR(_xlfn.XLOOKUP(I411,Incentive!B:B,Incentive!E:E,""),"")</f>
        <v/>
      </c>
      <c r="L411" s="659" t="str">
        <f>IFERROR(VLOOKUP(I411,Stock1!F:J,5,False),"")</f>
        <v/>
      </c>
      <c r="M411" s="659" t="str">
        <f>IFERROR(VLOOKUP(I411,Stock2!F:J,5,False),"")</f>
        <v/>
      </c>
      <c r="V411" s="102" t="str">
        <f t="array" ref="V411">_xlfn.XLOOKUP("Charger",Stock1!B411,Stock1!I411,"")</f>
        <v/>
      </c>
      <c r="W411" s="102" t="str">
        <f t="array" ref="W411">_xlfn.XLOOKUP(V411,Stock1!I411,Stock1!F411,"")</f>
        <v/>
      </c>
      <c r="X411" s="102" t="str">
        <f t="array" ref="X411">_xlfn.XLOOKUP(V411,Stock1!I411,Stock1!J411,"")</f>
        <v/>
      </c>
      <c r="Y411" s="102" t="str">
        <f t="array" ref="Y411">_xlfn.XLOOKUP("Screen Protector for Android Phone and Other",Stock1!B411,Stock1!I411,"")</f>
        <v/>
      </c>
      <c r="Z411" s="102" t="str">
        <f t="array" ref="Z411">_xlfn.XLOOKUP("Screen Protector for Galaxy Phone",Stock1!B411,Stock1!I411,"")</f>
        <v/>
      </c>
      <c r="AA411" s="102" t="str">
        <f t="array" ref="AA411">_xlfn.XLOOKUP("Screen Protector for Galaxy Tab",Stock1!B411,Stock1!I411,"")</f>
        <v/>
      </c>
      <c r="AB411" s="102" t="str">
        <f t="shared" si="4"/>
        <v/>
      </c>
      <c r="AC411" s="102" t="str">
        <f t="array" ref="AC411">_xlfn.XLOOKUP(AB411,Stock1!I411,Stock1!F411,"")</f>
        <v/>
      </c>
      <c r="AD411" s="102" t="str">
        <f t="array" ref="AD411">_xlfn.XLOOKUP(AB411,Stock1!I411,Stock1!J411,"")</f>
        <v/>
      </c>
      <c r="AE411" s="102" t="str">
        <f t="array" ref="AE411">_xlfn.XLOOKUP("Storage",Stock1!B411,Stock1!I411,"")</f>
        <v/>
      </c>
      <c r="AF411" s="102" t="str">
        <f t="array" ref="AF411">_xlfn.XLOOKUP(AE411,Stock1!I411,Stock1!F411,"")</f>
        <v/>
      </c>
      <c r="AG411" s="102" t="str">
        <f t="array" ref="AG411">_xlfn.XLOOKUP(AE411,Stock1!I411,Stock1!J411,"")</f>
        <v/>
      </c>
    </row>
    <row r="412">
      <c r="K412" s="660" t="str">
        <f t="array" ref="K412">IFERROR(_xlfn.XLOOKUP(I412,Incentive!B:B,Incentive!E:E,""),"")</f>
        <v/>
      </c>
      <c r="L412" s="659" t="str">
        <f>IFERROR(VLOOKUP(I412,Stock1!F:J,5,False),"")</f>
        <v/>
      </c>
      <c r="M412" s="659" t="str">
        <f>IFERROR(VLOOKUP(I412,Stock2!F:J,5,False),"")</f>
        <v/>
      </c>
      <c r="V412" s="102" t="str">
        <f t="array" ref="V412">_xlfn.XLOOKUP("Charger",Stock1!B412,Stock1!I412,"")</f>
        <v/>
      </c>
      <c r="W412" s="102" t="str">
        <f t="array" ref="W412">_xlfn.XLOOKUP(V412,Stock1!I412,Stock1!F412,"")</f>
        <v/>
      </c>
      <c r="X412" s="102" t="str">
        <f t="array" ref="X412">_xlfn.XLOOKUP(V412,Stock1!I412,Stock1!J412,"")</f>
        <v/>
      </c>
      <c r="Y412" s="102" t="str">
        <f t="array" ref="Y412">_xlfn.XLOOKUP("Screen Protector for Android Phone and Other",Stock1!B412,Stock1!I412,"")</f>
        <v/>
      </c>
      <c r="Z412" s="102" t="str">
        <f t="array" ref="Z412">_xlfn.XLOOKUP("Screen Protector for Galaxy Phone",Stock1!B412,Stock1!I412,"")</f>
        <v/>
      </c>
      <c r="AA412" s="102" t="str">
        <f t="array" ref="AA412">_xlfn.XLOOKUP("Screen Protector for Galaxy Tab",Stock1!B412,Stock1!I412,"")</f>
        <v/>
      </c>
      <c r="AB412" s="102" t="str">
        <f t="shared" si="4"/>
        <v/>
      </c>
      <c r="AC412" s="102" t="str">
        <f t="array" ref="AC412">_xlfn.XLOOKUP(AB412,Stock1!I412,Stock1!F412,"")</f>
        <v/>
      </c>
      <c r="AD412" s="102" t="str">
        <f t="array" ref="AD412">_xlfn.XLOOKUP(AB412,Stock1!I412,Stock1!J412,"")</f>
        <v/>
      </c>
      <c r="AE412" s="102" t="str">
        <f t="array" ref="AE412">_xlfn.XLOOKUP("Storage",Stock1!B412,Stock1!I412,"")</f>
        <v/>
      </c>
      <c r="AF412" s="102" t="str">
        <f t="array" ref="AF412">_xlfn.XLOOKUP(AE412,Stock1!I412,Stock1!F412,"")</f>
        <v/>
      </c>
      <c r="AG412" s="102" t="str">
        <f t="array" ref="AG412">_xlfn.XLOOKUP(AE412,Stock1!I412,Stock1!J412,"")</f>
        <v/>
      </c>
    </row>
    <row r="413">
      <c r="K413" s="660" t="str">
        <f t="array" ref="K413">IFERROR(_xlfn.XLOOKUP(I413,Incentive!B:B,Incentive!E:E,""),"")</f>
        <v/>
      </c>
      <c r="L413" s="659" t="str">
        <f>IFERROR(VLOOKUP(I413,Stock1!F:J,5,False),"")</f>
        <v/>
      </c>
      <c r="M413" s="659" t="str">
        <f>IFERROR(VLOOKUP(I413,Stock2!F:J,5,False),"")</f>
        <v/>
      </c>
      <c r="V413" s="102" t="str">
        <f t="array" ref="V413">_xlfn.XLOOKUP("Charger",Stock1!B413,Stock1!I413,"")</f>
        <v/>
      </c>
      <c r="W413" s="102" t="str">
        <f t="array" ref="W413">_xlfn.XLOOKUP(V413,Stock1!I413,Stock1!F413,"")</f>
        <v/>
      </c>
      <c r="X413" s="102" t="str">
        <f t="array" ref="X413">_xlfn.XLOOKUP(V413,Stock1!I413,Stock1!J413,"")</f>
        <v/>
      </c>
      <c r="Y413" s="102" t="str">
        <f t="array" ref="Y413">_xlfn.XLOOKUP("Screen Protector for Android Phone and Other",Stock1!B413,Stock1!I413,"")</f>
        <v/>
      </c>
      <c r="Z413" s="102" t="str">
        <f t="array" ref="Z413">_xlfn.XLOOKUP("Screen Protector for Galaxy Phone",Stock1!B413,Stock1!I413,"")</f>
        <v/>
      </c>
      <c r="AA413" s="102" t="str">
        <f t="array" ref="AA413">_xlfn.XLOOKUP("Screen Protector for Galaxy Tab",Stock1!B413,Stock1!I413,"")</f>
        <v/>
      </c>
      <c r="AB413" s="102" t="str">
        <f t="shared" si="4"/>
        <v/>
      </c>
      <c r="AC413" s="102" t="str">
        <f t="array" ref="AC413">_xlfn.XLOOKUP(AB413,Stock1!I413,Stock1!F413,"")</f>
        <v/>
      </c>
      <c r="AD413" s="102" t="str">
        <f t="array" ref="AD413">_xlfn.XLOOKUP(AB413,Stock1!I413,Stock1!J413,"")</f>
        <v/>
      </c>
      <c r="AE413" s="102" t="str">
        <f t="array" ref="AE413">_xlfn.XLOOKUP("Storage",Stock1!B413,Stock1!I413,"")</f>
        <v/>
      </c>
      <c r="AF413" s="102" t="str">
        <f t="array" ref="AF413">_xlfn.XLOOKUP(AE413,Stock1!I413,Stock1!F413,"")</f>
        <v/>
      </c>
      <c r="AG413" s="102" t="str">
        <f t="array" ref="AG413">_xlfn.XLOOKUP(AE413,Stock1!I413,Stock1!J413,"")</f>
        <v/>
      </c>
    </row>
    <row r="414">
      <c r="K414" s="660" t="str">
        <f t="array" ref="K414">IFERROR(_xlfn.XLOOKUP(I414,Incentive!B:B,Incentive!E:E,""),"")</f>
        <v/>
      </c>
      <c r="L414" s="659" t="str">
        <f>IFERROR(VLOOKUP(I414,Stock1!F:J,5,False),"")</f>
        <v/>
      </c>
      <c r="M414" s="659" t="str">
        <f>IFERROR(VLOOKUP(I414,Stock2!F:J,5,False),"")</f>
        <v/>
      </c>
      <c r="V414" s="102" t="str">
        <f t="array" ref="V414">_xlfn.XLOOKUP("Charger",Stock1!B414,Stock1!I414,"")</f>
        <v/>
      </c>
      <c r="W414" s="102" t="str">
        <f t="array" ref="W414">_xlfn.XLOOKUP(V414,Stock1!I414,Stock1!F414,"")</f>
        <v/>
      </c>
      <c r="X414" s="102" t="str">
        <f t="array" ref="X414">_xlfn.XLOOKUP(V414,Stock1!I414,Stock1!J414,"")</f>
        <v/>
      </c>
      <c r="Y414" s="102" t="str">
        <f t="array" ref="Y414">_xlfn.XLOOKUP("Screen Protector for Android Phone and Other",Stock1!B414,Stock1!I414,"")</f>
        <v/>
      </c>
      <c r="Z414" s="102" t="str">
        <f t="array" ref="Z414">_xlfn.XLOOKUP("Screen Protector for Galaxy Phone",Stock1!B414,Stock1!I414,"")</f>
        <v/>
      </c>
      <c r="AA414" s="102" t="str">
        <f t="array" ref="AA414">_xlfn.XLOOKUP("Screen Protector for Galaxy Tab",Stock1!B414,Stock1!I414,"")</f>
        <v/>
      </c>
      <c r="AB414" s="102" t="str">
        <f t="shared" si="4"/>
        <v/>
      </c>
      <c r="AC414" s="102" t="str">
        <f t="array" ref="AC414">_xlfn.XLOOKUP(AB414,Stock1!I414,Stock1!F414,"")</f>
        <v/>
      </c>
      <c r="AD414" s="102" t="str">
        <f t="array" ref="AD414">_xlfn.XLOOKUP(AB414,Stock1!I414,Stock1!J414,"")</f>
        <v/>
      </c>
      <c r="AE414" s="102" t="str">
        <f t="array" ref="AE414">_xlfn.XLOOKUP("Storage",Stock1!B414,Stock1!I414,"")</f>
        <v/>
      </c>
      <c r="AF414" s="102" t="str">
        <f t="array" ref="AF414">_xlfn.XLOOKUP(AE414,Stock1!I414,Stock1!F414,"")</f>
        <v/>
      </c>
      <c r="AG414" s="102" t="str">
        <f t="array" ref="AG414">_xlfn.XLOOKUP(AE414,Stock1!I414,Stock1!J414,"")</f>
        <v/>
      </c>
    </row>
    <row r="415">
      <c r="K415" s="660" t="str">
        <f t="array" ref="K415">IFERROR(_xlfn.XLOOKUP(I415,Incentive!B:B,Incentive!E:E,""),"")</f>
        <v/>
      </c>
      <c r="L415" s="659" t="str">
        <f>IFERROR(VLOOKUP(I415,Stock1!F:J,5,False),"")</f>
        <v/>
      </c>
      <c r="M415" s="659" t="str">
        <f>IFERROR(VLOOKUP(I415,Stock2!F:J,5,False),"")</f>
        <v/>
      </c>
      <c r="V415" s="102" t="str">
        <f t="array" ref="V415">_xlfn.XLOOKUP("Charger",Stock1!B415,Stock1!I415,"")</f>
        <v/>
      </c>
      <c r="W415" s="102" t="str">
        <f t="array" ref="W415">_xlfn.XLOOKUP(V415,Stock1!I415,Stock1!F415,"")</f>
        <v/>
      </c>
      <c r="X415" s="102" t="str">
        <f t="array" ref="X415">_xlfn.XLOOKUP(V415,Stock1!I415,Stock1!J415,"")</f>
        <v/>
      </c>
      <c r="Y415" s="102" t="str">
        <f t="array" ref="Y415">_xlfn.XLOOKUP("Screen Protector for Android Phone and Other",Stock1!B415,Stock1!I415,"")</f>
        <v/>
      </c>
      <c r="Z415" s="102" t="str">
        <f t="array" ref="Z415">_xlfn.XLOOKUP("Screen Protector for Galaxy Phone",Stock1!B415,Stock1!I415,"")</f>
        <v/>
      </c>
      <c r="AA415" s="102" t="str">
        <f t="array" ref="AA415">_xlfn.XLOOKUP("Screen Protector for Galaxy Tab",Stock1!B415,Stock1!I415,"")</f>
        <v/>
      </c>
      <c r="AB415" s="102" t="str">
        <f t="shared" si="4"/>
        <v/>
      </c>
      <c r="AC415" s="102" t="str">
        <f t="array" ref="AC415">_xlfn.XLOOKUP(AB415,Stock1!I415,Stock1!F415,"")</f>
        <v/>
      </c>
      <c r="AD415" s="102" t="str">
        <f t="array" ref="AD415">_xlfn.XLOOKUP(AB415,Stock1!I415,Stock1!J415,"")</f>
        <v/>
      </c>
      <c r="AE415" s="102" t="str">
        <f t="array" ref="AE415">_xlfn.XLOOKUP("Storage",Stock1!B415,Stock1!I415,"")</f>
        <v/>
      </c>
      <c r="AF415" s="102" t="str">
        <f t="array" ref="AF415">_xlfn.XLOOKUP(AE415,Stock1!I415,Stock1!F415,"")</f>
        <v/>
      </c>
      <c r="AG415" s="102" t="str">
        <f t="array" ref="AG415">_xlfn.XLOOKUP(AE415,Stock1!I415,Stock1!J415,"")</f>
        <v/>
      </c>
    </row>
    <row r="416">
      <c r="K416" s="660" t="str">
        <f t="array" ref="K416">IFERROR(_xlfn.XLOOKUP(I416,Incentive!B:B,Incentive!E:E,""),"")</f>
        <v/>
      </c>
      <c r="L416" s="659" t="str">
        <f>IFERROR(VLOOKUP(I416,Stock1!F:J,5,False),"")</f>
        <v/>
      </c>
      <c r="M416" s="659" t="str">
        <f>IFERROR(VLOOKUP(I416,Stock2!F:J,5,False),"")</f>
        <v/>
      </c>
      <c r="V416" s="102" t="str">
        <f t="array" ref="V416">_xlfn.XLOOKUP("Charger",Stock1!B416,Stock1!I416,"")</f>
        <v/>
      </c>
      <c r="W416" s="102" t="str">
        <f t="array" ref="W416">_xlfn.XLOOKUP(V416,Stock1!I416,Stock1!F416,"")</f>
        <v/>
      </c>
      <c r="X416" s="102" t="str">
        <f t="array" ref="X416">_xlfn.XLOOKUP(V416,Stock1!I416,Stock1!J416,"")</f>
        <v/>
      </c>
      <c r="Y416" s="102" t="str">
        <f t="array" ref="Y416">_xlfn.XLOOKUP("Screen Protector for Android Phone and Other",Stock1!B416,Stock1!I416,"")</f>
        <v/>
      </c>
      <c r="Z416" s="102" t="str">
        <f t="array" ref="Z416">_xlfn.XLOOKUP("Screen Protector for Galaxy Phone",Stock1!B416,Stock1!I416,"")</f>
        <v/>
      </c>
      <c r="AA416" s="102" t="str">
        <f t="array" ref="AA416">_xlfn.XLOOKUP("Screen Protector for Galaxy Tab",Stock1!B416,Stock1!I416,"")</f>
        <v/>
      </c>
      <c r="AB416" s="102" t="str">
        <f t="shared" si="4"/>
        <v/>
      </c>
      <c r="AC416" s="102" t="str">
        <f t="array" ref="AC416">_xlfn.XLOOKUP(AB416,Stock1!I416,Stock1!F416,"")</f>
        <v/>
      </c>
      <c r="AD416" s="102" t="str">
        <f t="array" ref="AD416">_xlfn.XLOOKUP(AB416,Stock1!I416,Stock1!J416,"")</f>
        <v/>
      </c>
      <c r="AE416" s="102" t="str">
        <f t="array" ref="AE416">_xlfn.XLOOKUP("Storage",Stock1!B416,Stock1!I416,"")</f>
        <v/>
      </c>
      <c r="AF416" s="102" t="str">
        <f t="array" ref="AF416">_xlfn.XLOOKUP(AE416,Stock1!I416,Stock1!F416,"")</f>
        <v/>
      </c>
      <c r="AG416" s="102" t="str">
        <f t="array" ref="AG416">_xlfn.XLOOKUP(AE416,Stock1!I416,Stock1!J416,"")</f>
        <v/>
      </c>
    </row>
    <row r="417">
      <c r="K417" s="660" t="str">
        <f t="array" ref="K417">IFERROR(_xlfn.XLOOKUP(I417,Incentive!B:B,Incentive!E:E,""),"")</f>
        <v/>
      </c>
      <c r="L417" s="659" t="str">
        <f>IFERROR(VLOOKUP(I417,Stock1!F:J,5,False),"")</f>
        <v/>
      </c>
      <c r="M417" s="659" t="str">
        <f>IFERROR(VLOOKUP(I417,Stock2!F:J,5,False),"")</f>
        <v/>
      </c>
      <c r="V417" s="102" t="str">
        <f t="array" ref="V417">_xlfn.XLOOKUP("Charger",Stock1!B417,Stock1!I417,"")</f>
        <v/>
      </c>
      <c r="W417" s="102" t="str">
        <f t="array" ref="W417">_xlfn.XLOOKUP(V417,Stock1!I417,Stock1!F417,"")</f>
        <v/>
      </c>
      <c r="X417" s="102" t="str">
        <f t="array" ref="X417">_xlfn.XLOOKUP(V417,Stock1!I417,Stock1!J417,"")</f>
        <v/>
      </c>
      <c r="Y417" s="102" t="str">
        <f t="array" ref="Y417">_xlfn.XLOOKUP("Screen Protector for Android Phone and Other",Stock1!B417,Stock1!I417,"")</f>
        <v/>
      </c>
      <c r="Z417" s="102" t="str">
        <f t="array" ref="Z417">_xlfn.XLOOKUP("Screen Protector for Galaxy Phone",Stock1!B417,Stock1!I417,"")</f>
        <v/>
      </c>
      <c r="AA417" s="102" t="str">
        <f t="array" ref="AA417">_xlfn.XLOOKUP("Screen Protector for Galaxy Tab",Stock1!B417,Stock1!I417,"")</f>
        <v/>
      </c>
      <c r="AB417" s="102" t="str">
        <f t="shared" si="4"/>
        <v/>
      </c>
      <c r="AC417" s="102" t="str">
        <f t="array" ref="AC417">_xlfn.XLOOKUP(AB417,Stock1!I417,Stock1!F417,"")</f>
        <v/>
      </c>
      <c r="AD417" s="102" t="str">
        <f t="array" ref="AD417">_xlfn.XLOOKUP(AB417,Stock1!I417,Stock1!J417,"")</f>
        <v/>
      </c>
      <c r="AE417" s="102" t="str">
        <f t="array" ref="AE417">_xlfn.XLOOKUP("Storage",Stock1!B417,Stock1!I417,"")</f>
        <v/>
      </c>
      <c r="AF417" s="102" t="str">
        <f t="array" ref="AF417">_xlfn.XLOOKUP(AE417,Stock1!I417,Stock1!F417,"")</f>
        <v/>
      </c>
      <c r="AG417" s="102" t="str">
        <f t="array" ref="AG417">_xlfn.XLOOKUP(AE417,Stock1!I417,Stock1!J417,"")</f>
        <v/>
      </c>
    </row>
    <row r="418">
      <c r="K418" s="660" t="str">
        <f t="array" ref="K418">IFERROR(_xlfn.XLOOKUP(I418,Incentive!B:B,Incentive!E:E,""),"")</f>
        <v/>
      </c>
      <c r="L418" s="659" t="str">
        <f>IFERROR(VLOOKUP(I418,Stock1!F:J,5,False),"")</f>
        <v/>
      </c>
      <c r="M418" s="659" t="str">
        <f>IFERROR(VLOOKUP(I418,Stock2!F:J,5,False),"")</f>
        <v/>
      </c>
      <c r="V418" s="102" t="str">
        <f t="array" ref="V418">_xlfn.XLOOKUP("Charger",Stock1!B418,Stock1!I418,"")</f>
        <v/>
      </c>
      <c r="W418" s="102" t="str">
        <f t="array" ref="W418">_xlfn.XLOOKUP(V418,Stock1!I418,Stock1!F418,"")</f>
        <v/>
      </c>
      <c r="X418" s="102" t="str">
        <f t="array" ref="X418">_xlfn.XLOOKUP(V418,Stock1!I418,Stock1!J418,"")</f>
        <v/>
      </c>
      <c r="Y418" s="102" t="str">
        <f t="array" ref="Y418">_xlfn.XLOOKUP("Screen Protector for Android Phone and Other",Stock1!B418,Stock1!I418,"")</f>
        <v/>
      </c>
      <c r="Z418" s="102" t="str">
        <f t="array" ref="Z418">_xlfn.XLOOKUP("Screen Protector for Galaxy Phone",Stock1!B418,Stock1!I418,"")</f>
        <v/>
      </c>
      <c r="AA418" s="102" t="str">
        <f t="array" ref="AA418">_xlfn.XLOOKUP("Screen Protector for Galaxy Tab",Stock1!B418,Stock1!I418,"")</f>
        <v/>
      </c>
      <c r="AB418" s="102" t="str">
        <f t="shared" si="4"/>
        <v/>
      </c>
      <c r="AC418" s="102" t="str">
        <f t="array" ref="AC418">_xlfn.XLOOKUP(AB418,Stock1!I418,Stock1!F418,"")</f>
        <v/>
      </c>
      <c r="AD418" s="102" t="str">
        <f t="array" ref="AD418">_xlfn.XLOOKUP(AB418,Stock1!I418,Stock1!J418,"")</f>
        <v/>
      </c>
      <c r="AE418" s="102" t="str">
        <f t="array" ref="AE418">_xlfn.XLOOKUP("Storage",Stock1!B418,Stock1!I418,"")</f>
        <v/>
      </c>
      <c r="AF418" s="102" t="str">
        <f t="array" ref="AF418">_xlfn.XLOOKUP(AE418,Stock1!I418,Stock1!F418,"")</f>
        <v/>
      </c>
      <c r="AG418" s="102" t="str">
        <f t="array" ref="AG418">_xlfn.XLOOKUP(AE418,Stock1!I418,Stock1!J418,"")</f>
        <v/>
      </c>
    </row>
    <row r="419">
      <c r="K419" s="660" t="str">
        <f t="array" ref="K419">IFERROR(_xlfn.XLOOKUP(I419,Incentive!B:B,Incentive!E:E,""),"")</f>
        <v/>
      </c>
      <c r="L419" s="659" t="str">
        <f>IFERROR(VLOOKUP(I419,Stock1!F:J,5,False),"")</f>
        <v/>
      </c>
      <c r="M419" s="659" t="str">
        <f>IFERROR(VLOOKUP(I419,Stock2!F:J,5,False),"")</f>
        <v/>
      </c>
      <c r="V419" s="102" t="str">
        <f t="array" ref="V419">_xlfn.XLOOKUP("Charger",Stock1!B419,Stock1!I419,"")</f>
        <v/>
      </c>
      <c r="W419" s="102" t="str">
        <f t="array" ref="W419">_xlfn.XLOOKUP(V419,Stock1!I419,Stock1!F419,"")</f>
        <v/>
      </c>
      <c r="X419" s="102" t="str">
        <f t="array" ref="X419">_xlfn.XLOOKUP(V419,Stock1!I419,Stock1!J419,"")</f>
        <v/>
      </c>
      <c r="Y419" s="102" t="str">
        <f t="array" ref="Y419">_xlfn.XLOOKUP("Screen Protector for Android Phone and Other",Stock1!B419,Stock1!I419,"")</f>
        <v/>
      </c>
      <c r="Z419" s="102" t="str">
        <f t="array" ref="Z419">_xlfn.XLOOKUP("Screen Protector for Galaxy Phone",Stock1!B419,Stock1!I419,"")</f>
        <v/>
      </c>
      <c r="AA419" s="102" t="str">
        <f t="array" ref="AA419">_xlfn.XLOOKUP("Screen Protector for Galaxy Tab",Stock1!B419,Stock1!I419,"")</f>
        <v/>
      </c>
      <c r="AB419" s="102" t="str">
        <f t="shared" si="4"/>
        <v/>
      </c>
      <c r="AC419" s="102" t="str">
        <f t="array" ref="AC419">_xlfn.XLOOKUP(AB419,Stock1!I419,Stock1!F419,"")</f>
        <v/>
      </c>
      <c r="AD419" s="102" t="str">
        <f t="array" ref="AD419">_xlfn.XLOOKUP(AB419,Stock1!I419,Stock1!J419,"")</f>
        <v/>
      </c>
      <c r="AE419" s="102" t="str">
        <f t="array" ref="AE419">_xlfn.XLOOKUP("Storage",Stock1!B419,Stock1!I419,"")</f>
        <v/>
      </c>
      <c r="AF419" s="102" t="str">
        <f t="array" ref="AF419">_xlfn.XLOOKUP(AE419,Stock1!I419,Stock1!F419,"")</f>
        <v/>
      </c>
      <c r="AG419" s="102" t="str">
        <f t="array" ref="AG419">_xlfn.XLOOKUP(AE419,Stock1!I419,Stock1!J419,"")</f>
        <v/>
      </c>
    </row>
    <row r="420">
      <c r="K420" s="660" t="str">
        <f t="array" ref="K420">IFERROR(_xlfn.XLOOKUP(I420,Incentive!B:B,Incentive!E:E,""),"")</f>
        <v/>
      </c>
      <c r="L420" s="659" t="str">
        <f>IFERROR(VLOOKUP(I420,Stock1!F:J,5,False),"")</f>
        <v/>
      </c>
      <c r="M420" s="659" t="str">
        <f>IFERROR(VLOOKUP(I420,Stock2!F:J,5,False),"")</f>
        <v/>
      </c>
      <c r="V420" s="102" t="str">
        <f t="array" ref="V420">_xlfn.XLOOKUP("Charger",Stock1!B420,Stock1!I420,"")</f>
        <v/>
      </c>
      <c r="W420" s="102" t="str">
        <f t="array" ref="W420">_xlfn.XLOOKUP(V420,Stock1!I420,Stock1!F420,"")</f>
        <v/>
      </c>
      <c r="X420" s="102" t="str">
        <f t="array" ref="X420">_xlfn.XLOOKUP(V420,Stock1!I420,Stock1!J420,"")</f>
        <v/>
      </c>
      <c r="Y420" s="102" t="str">
        <f t="array" ref="Y420">_xlfn.XLOOKUP("Screen Protector for Android Phone and Other",Stock1!B420,Stock1!I420,"")</f>
        <v/>
      </c>
      <c r="Z420" s="102" t="str">
        <f t="array" ref="Z420">_xlfn.XLOOKUP("Screen Protector for Galaxy Phone",Stock1!B420,Stock1!I420,"")</f>
        <v/>
      </c>
      <c r="AA420" s="102" t="str">
        <f t="array" ref="AA420">_xlfn.XLOOKUP("Screen Protector for Galaxy Tab",Stock1!B420,Stock1!I420,"")</f>
        <v/>
      </c>
      <c r="AB420" s="102" t="str">
        <f t="shared" si="4"/>
        <v/>
      </c>
      <c r="AC420" s="102" t="str">
        <f t="array" ref="AC420">_xlfn.XLOOKUP(AB420,Stock1!I420,Stock1!F420,"")</f>
        <v/>
      </c>
      <c r="AD420" s="102" t="str">
        <f t="array" ref="AD420">_xlfn.XLOOKUP(AB420,Stock1!I420,Stock1!J420,"")</f>
        <v/>
      </c>
      <c r="AE420" s="102" t="str">
        <f t="array" ref="AE420">_xlfn.XLOOKUP("Storage",Stock1!B420,Stock1!I420,"")</f>
        <v/>
      </c>
      <c r="AF420" s="102" t="str">
        <f t="array" ref="AF420">_xlfn.XLOOKUP(AE420,Stock1!I420,Stock1!F420,"")</f>
        <v/>
      </c>
      <c r="AG420" s="102" t="str">
        <f t="array" ref="AG420">_xlfn.XLOOKUP(AE420,Stock1!I420,Stock1!J420,"")</f>
        <v/>
      </c>
    </row>
    <row r="421">
      <c r="K421" s="660" t="str">
        <f t="array" ref="K421">IFERROR(_xlfn.XLOOKUP(I421,Incentive!B:B,Incentive!E:E,""),"")</f>
        <v/>
      </c>
      <c r="L421" s="659" t="str">
        <f>IFERROR(VLOOKUP(I421,Stock1!F:J,5,False),"")</f>
        <v/>
      </c>
      <c r="M421" s="659" t="str">
        <f>IFERROR(VLOOKUP(I421,Stock2!F:J,5,False),"")</f>
        <v/>
      </c>
      <c r="V421" s="102" t="str">
        <f t="array" ref="V421">_xlfn.XLOOKUP("Charger",Stock1!B421,Stock1!I421,"")</f>
        <v/>
      </c>
      <c r="W421" s="102" t="str">
        <f t="array" ref="W421">_xlfn.XLOOKUP(V421,Stock1!I421,Stock1!F421,"")</f>
        <v/>
      </c>
      <c r="X421" s="102" t="str">
        <f t="array" ref="X421">_xlfn.XLOOKUP(V421,Stock1!I421,Stock1!J421,"")</f>
        <v/>
      </c>
      <c r="Y421" s="102" t="str">
        <f t="array" ref="Y421">_xlfn.XLOOKUP("Screen Protector for Android Phone and Other",Stock1!B421,Stock1!I421,"")</f>
        <v/>
      </c>
      <c r="Z421" s="102" t="str">
        <f t="array" ref="Z421">_xlfn.XLOOKUP("Screen Protector for Galaxy Phone",Stock1!B421,Stock1!I421,"")</f>
        <v/>
      </c>
      <c r="AA421" s="102" t="str">
        <f t="array" ref="AA421">_xlfn.XLOOKUP("Screen Protector for Galaxy Tab",Stock1!B421,Stock1!I421,"")</f>
        <v/>
      </c>
      <c r="AB421" s="102" t="str">
        <f t="shared" si="4"/>
        <v/>
      </c>
      <c r="AC421" s="102" t="str">
        <f t="array" ref="AC421">_xlfn.XLOOKUP(AB421,Stock1!I421,Stock1!F421,"")</f>
        <v/>
      </c>
      <c r="AD421" s="102" t="str">
        <f t="array" ref="AD421">_xlfn.XLOOKUP(AB421,Stock1!I421,Stock1!J421,"")</f>
        <v/>
      </c>
      <c r="AE421" s="102" t="str">
        <f t="array" ref="AE421">_xlfn.XLOOKUP("Storage",Stock1!B421,Stock1!I421,"")</f>
        <v/>
      </c>
      <c r="AF421" s="102" t="str">
        <f t="array" ref="AF421">_xlfn.XLOOKUP(AE421,Stock1!I421,Stock1!F421,"")</f>
        <v/>
      </c>
      <c r="AG421" s="102" t="str">
        <f t="array" ref="AG421">_xlfn.XLOOKUP(AE421,Stock1!I421,Stock1!J421,"")</f>
        <v/>
      </c>
    </row>
    <row r="422">
      <c r="K422" s="660" t="str">
        <f t="array" ref="K422">IFERROR(_xlfn.XLOOKUP(I422,Incentive!B:B,Incentive!E:E,""),"")</f>
        <v/>
      </c>
      <c r="L422" s="659" t="str">
        <f>IFERROR(VLOOKUP(I422,Stock1!F:J,5,False),"")</f>
        <v/>
      </c>
      <c r="M422" s="659" t="str">
        <f>IFERROR(VLOOKUP(I422,Stock2!F:J,5,False),"")</f>
        <v/>
      </c>
      <c r="V422" s="102" t="str">
        <f t="array" ref="V422">_xlfn.XLOOKUP("Charger",Stock1!B422,Stock1!I422,"")</f>
        <v/>
      </c>
      <c r="W422" s="102" t="str">
        <f t="array" ref="W422">_xlfn.XLOOKUP(V422,Stock1!I422,Stock1!F422,"")</f>
        <v/>
      </c>
      <c r="X422" s="102" t="str">
        <f t="array" ref="X422">_xlfn.XLOOKUP(V422,Stock1!I422,Stock1!J422,"")</f>
        <v/>
      </c>
      <c r="Y422" s="102" t="str">
        <f t="array" ref="Y422">_xlfn.XLOOKUP("Screen Protector for Android Phone and Other",Stock1!B422,Stock1!I422,"")</f>
        <v/>
      </c>
      <c r="Z422" s="102" t="str">
        <f t="array" ref="Z422">_xlfn.XLOOKUP("Screen Protector for Galaxy Phone",Stock1!B422,Stock1!I422,"")</f>
        <v/>
      </c>
      <c r="AA422" s="102" t="str">
        <f t="array" ref="AA422">_xlfn.XLOOKUP("Screen Protector for Galaxy Tab",Stock1!B422,Stock1!I422,"")</f>
        <v/>
      </c>
      <c r="AB422" s="102" t="str">
        <f t="shared" si="4"/>
        <v/>
      </c>
      <c r="AC422" s="102" t="str">
        <f t="array" ref="AC422">_xlfn.XLOOKUP(AB422,Stock1!I422,Stock1!F422,"")</f>
        <v/>
      </c>
      <c r="AD422" s="102" t="str">
        <f t="array" ref="AD422">_xlfn.XLOOKUP(AB422,Stock1!I422,Stock1!J422,"")</f>
        <v/>
      </c>
      <c r="AE422" s="102" t="str">
        <f t="array" ref="AE422">_xlfn.XLOOKUP("Storage",Stock1!B422,Stock1!I422,"")</f>
        <v/>
      </c>
      <c r="AF422" s="102" t="str">
        <f t="array" ref="AF422">_xlfn.XLOOKUP(AE422,Stock1!I422,Stock1!F422,"")</f>
        <v/>
      </c>
      <c r="AG422" s="102" t="str">
        <f t="array" ref="AG422">_xlfn.XLOOKUP(AE422,Stock1!I422,Stock1!J422,"")</f>
        <v/>
      </c>
    </row>
    <row r="423">
      <c r="K423" s="660" t="str">
        <f t="array" ref="K423">IFERROR(_xlfn.XLOOKUP(I423,Incentive!B:B,Incentive!E:E,""),"")</f>
        <v/>
      </c>
      <c r="L423" s="659" t="str">
        <f>IFERROR(VLOOKUP(I423,Stock1!F:J,5,False),"")</f>
        <v/>
      </c>
      <c r="M423" s="659" t="str">
        <f>IFERROR(VLOOKUP(I423,Stock2!F:J,5,False),"")</f>
        <v/>
      </c>
      <c r="V423" s="102" t="str">
        <f t="array" ref="V423">_xlfn.XLOOKUP("Charger",Stock1!B423,Stock1!I423,"")</f>
        <v/>
      </c>
      <c r="W423" s="102" t="str">
        <f t="array" ref="W423">_xlfn.XLOOKUP(V423,Stock1!I423,Stock1!F423,"")</f>
        <v/>
      </c>
      <c r="X423" s="102" t="str">
        <f t="array" ref="X423">_xlfn.XLOOKUP(V423,Stock1!I423,Stock1!J423,"")</f>
        <v/>
      </c>
      <c r="Y423" s="102" t="str">
        <f t="array" ref="Y423">_xlfn.XLOOKUP("Screen Protector for Android Phone and Other",Stock1!B423,Stock1!I423,"")</f>
        <v/>
      </c>
      <c r="Z423" s="102" t="str">
        <f t="array" ref="Z423">_xlfn.XLOOKUP("Screen Protector for Galaxy Phone",Stock1!B423,Stock1!I423,"")</f>
        <v/>
      </c>
      <c r="AA423" s="102" t="str">
        <f t="array" ref="AA423">_xlfn.XLOOKUP("Screen Protector for Galaxy Tab",Stock1!B423,Stock1!I423,"")</f>
        <v/>
      </c>
      <c r="AB423" s="102" t="str">
        <f t="shared" si="4"/>
        <v/>
      </c>
      <c r="AC423" s="102" t="str">
        <f t="array" ref="AC423">_xlfn.XLOOKUP(AB423,Stock1!I423,Stock1!F423,"")</f>
        <v/>
      </c>
      <c r="AD423" s="102" t="str">
        <f t="array" ref="AD423">_xlfn.XLOOKUP(AB423,Stock1!I423,Stock1!J423,"")</f>
        <v/>
      </c>
      <c r="AE423" s="102" t="str">
        <f t="array" ref="AE423">_xlfn.XLOOKUP("Storage",Stock1!B423,Stock1!I423,"")</f>
        <v/>
      </c>
      <c r="AF423" s="102" t="str">
        <f t="array" ref="AF423">_xlfn.XLOOKUP(AE423,Stock1!I423,Stock1!F423,"")</f>
        <v/>
      </c>
      <c r="AG423" s="102" t="str">
        <f t="array" ref="AG423">_xlfn.XLOOKUP(AE423,Stock1!I423,Stock1!J423,"")</f>
        <v/>
      </c>
    </row>
    <row r="424">
      <c r="K424" s="660" t="str">
        <f t="array" ref="K424">IFERROR(_xlfn.XLOOKUP(I424,Incentive!B:B,Incentive!E:E,""),"")</f>
        <v/>
      </c>
      <c r="L424" s="659" t="str">
        <f>IFERROR(VLOOKUP(I424,Stock1!F:J,5,False),"")</f>
        <v/>
      </c>
      <c r="M424" s="659" t="str">
        <f>IFERROR(VLOOKUP(I424,Stock2!F:J,5,False),"")</f>
        <v/>
      </c>
      <c r="V424" s="102" t="str">
        <f t="array" ref="V424">_xlfn.XLOOKUP("Charger",Stock1!B424,Stock1!I424,"")</f>
        <v/>
      </c>
      <c r="W424" s="102" t="str">
        <f t="array" ref="W424">_xlfn.XLOOKUP(V424,Stock1!I424,Stock1!F424,"")</f>
        <v/>
      </c>
      <c r="X424" s="102" t="str">
        <f t="array" ref="X424">_xlfn.XLOOKUP(V424,Stock1!I424,Stock1!J424,"")</f>
        <v/>
      </c>
      <c r="Y424" s="102" t="str">
        <f t="array" ref="Y424">_xlfn.XLOOKUP("Screen Protector for Android Phone and Other",Stock1!B424,Stock1!I424,"")</f>
        <v/>
      </c>
      <c r="Z424" s="102" t="str">
        <f t="array" ref="Z424">_xlfn.XLOOKUP("Screen Protector for Galaxy Phone",Stock1!B424,Stock1!I424,"")</f>
        <v/>
      </c>
      <c r="AA424" s="102" t="str">
        <f t="array" ref="AA424">_xlfn.XLOOKUP("Screen Protector for Galaxy Tab",Stock1!B424,Stock1!I424,"")</f>
        <v/>
      </c>
      <c r="AB424" s="102" t="str">
        <f t="shared" si="4"/>
        <v/>
      </c>
      <c r="AC424" s="102" t="str">
        <f t="array" ref="AC424">_xlfn.XLOOKUP(AB424,Stock1!I424,Stock1!F424,"")</f>
        <v/>
      </c>
      <c r="AD424" s="102" t="str">
        <f t="array" ref="AD424">_xlfn.XLOOKUP(AB424,Stock1!I424,Stock1!J424,"")</f>
        <v/>
      </c>
      <c r="AE424" s="102" t="str">
        <f t="array" ref="AE424">_xlfn.XLOOKUP("Storage",Stock1!B424,Stock1!I424,"")</f>
        <v/>
      </c>
      <c r="AF424" s="102" t="str">
        <f t="array" ref="AF424">_xlfn.XLOOKUP(AE424,Stock1!I424,Stock1!F424,"")</f>
        <v/>
      </c>
      <c r="AG424" s="102" t="str">
        <f t="array" ref="AG424">_xlfn.XLOOKUP(AE424,Stock1!I424,Stock1!J424,"")</f>
        <v/>
      </c>
    </row>
    <row r="425">
      <c r="K425" s="660" t="str">
        <f t="array" ref="K425">IFERROR(_xlfn.XLOOKUP(I425,Incentive!B:B,Incentive!E:E,""),"")</f>
        <v/>
      </c>
      <c r="L425" s="659" t="str">
        <f>IFERROR(VLOOKUP(I425,Stock1!F:J,5,False),"")</f>
        <v/>
      </c>
      <c r="M425" s="659" t="str">
        <f>IFERROR(VLOOKUP(I425,Stock2!F:J,5,False),"")</f>
        <v/>
      </c>
      <c r="V425" s="102" t="str">
        <f t="array" ref="V425">_xlfn.XLOOKUP("Charger",Stock1!B425,Stock1!I425,"")</f>
        <v/>
      </c>
      <c r="W425" s="102" t="str">
        <f t="array" ref="W425">_xlfn.XLOOKUP(V425,Stock1!I425,Stock1!F425,"")</f>
        <v/>
      </c>
      <c r="X425" s="102" t="str">
        <f t="array" ref="X425">_xlfn.XLOOKUP(V425,Stock1!I425,Stock1!J425,"")</f>
        <v/>
      </c>
      <c r="Y425" s="102" t="str">
        <f t="array" ref="Y425">_xlfn.XLOOKUP("Screen Protector for Android Phone and Other",Stock1!B425,Stock1!I425,"")</f>
        <v/>
      </c>
      <c r="Z425" s="102" t="str">
        <f t="array" ref="Z425">_xlfn.XLOOKUP("Screen Protector for Galaxy Phone",Stock1!B425,Stock1!I425,"")</f>
        <v/>
      </c>
      <c r="AA425" s="102" t="str">
        <f t="array" ref="AA425">_xlfn.XLOOKUP("Screen Protector for Galaxy Tab",Stock1!B425,Stock1!I425,"")</f>
        <v/>
      </c>
      <c r="AB425" s="102" t="str">
        <f t="shared" si="4"/>
        <v/>
      </c>
      <c r="AC425" s="102" t="str">
        <f t="array" ref="AC425">_xlfn.XLOOKUP(AB425,Stock1!I425,Stock1!F425,"")</f>
        <v/>
      </c>
      <c r="AD425" s="102" t="str">
        <f t="array" ref="AD425">_xlfn.XLOOKUP(AB425,Stock1!I425,Stock1!J425,"")</f>
        <v/>
      </c>
      <c r="AE425" s="102" t="str">
        <f t="array" ref="AE425">_xlfn.XLOOKUP("Storage",Stock1!B425,Stock1!I425,"")</f>
        <v/>
      </c>
      <c r="AF425" s="102" t="str">
        <f t="array" ref="AF425">_xlfn.XLOOKUP(AE425,Stock1!I425,Stock1!F425,"")</f>
        <v/>
      </c>
      <c r="AG425" s="102" t="str">
        <f t="array" ref="AG425">_xlfn.XLOOKUP(AE425,Stock1!I425,Stock1!J425,"")</f>
        <v/>
      </c>
    </row>
    <row r="426">
      <c r="K426" s="660" t="str">
        <f t="array" ref="K426">IFERROR(_xlfn.XLOOKUP(I426,Incentive!B:B,Incentive!E:E,""),"")</f>
        <v/>
      </c>
      <c r="L426" s="659" t="str">
        <f>IFERROR(VLOOKUP(I426,Stock1!F:J,5,False),"")</f>
        <v/>
      </c>
      <c r="M426" s="659" t="str">
        <f>IFERROR(VLOOKUP(I426,Stock2!F:J,5,False),"")</f>
        <v/>
      </c>
      <c r="V426" s="102" t="str">
        <f t="array" ref="V426">_xlfn.XLOOKUP("Charger",Stock1!B426,Stock1!I426,"")</f>
        <v/>
      </c>
      <c r="W426" s="102" t="str">
        <f t="array" ref="W426">_xlfn.XLOOKUP(V426,Stock1!I426,Stock1!F426,"")</f>
        <v/>
      </c>
      <c r="X426" s="102" t="str">
        <f t="array" ref="X426">_xlfn.XLOOKUP(V426,Stock1!I426,Stock1!J426,"")</f>
        <v/>
      </c>
      <c r="Y426" s="102" t="str">
        <f t="array" ref="Y426">_xlfn.XLOOKUP("Screen Protector for Android Phone and Other",Stock1!B426,Stock1!I426,"")</f>
        <v/>
      </c>
      <c r="Z426" s="102" t="str">
        <f t="array" ref="Z426">_xlfn.XLOOKUP("Screen Protector for Galaxy Phone",Stock1!B426,Stock1!I426,"")</f>
        <v/>
      </c>
      <c r="AA426" s="102" t="str">
        <f t="array" ref="AA426">_xlfn.XLOOKUP("Screen Protector for Galaxy Tab",Stock1!B426,Stock1!I426,"")</f>
        <v/>
      </c>
      <c r="AB426" s="102" t="str">
        <f t="shared" si="4"/>
        <v/>
      </c>
      <c r="AC426" s="102" t="str">
        <f t="array" ref="AC426">_xlfn.XLOOKUP(AB426,Stock1!I426,Stock1!F426,"")</f>
        <v/>
      </c>
      <c r="AD426" s="102" t="str">
        <f t="array" ref="AD426">_xlfn.XLOOKUP(AB426,Stock1!I426,Stock1!J426,"")</f>
        <v/>
      </c>
      <c r="AE426" s="102" t="str">
        <f t="array" ref="AE426">_xlfn.XLOOKUP("Storage",Stock1!B426,Stock1!I426,"")</f>
        <v/>
      </c>
      <c r="AF426" s="102" t="str">
        <f t="array" ref="AF426">_xlfn.XLOOKUP(AE426,Stock1!I426,Stock1!F426,"")</f>
        <v/>
      </c>
      <c r="AG426" s="102" t="str">
        <f t="array" ref="AG426">_xlfn.XLOOKUP(AE426,Stock1!I426,Stock1!J426,"")</f>
        <v/>
      </c>
    </row>
    <row r="427">
      <c r="K427" s="660" t="str">
        <f t="array" ref="K427">IFERROR(_xlfn.XLOOKUP(I427,Incentive!B:B,Incentive!E:E,""),"")</f>
        <v/>
      </c>
      <c r="L427" s="659" t="str">
        <f>IFERROR(VLOOKUP(I427,Stock1!F:J,5,False),"")</f>
        <v/>
      </c>
      <c r="M427" s="659" t="str">
        <f>IFERROR(VLOOKUP(I427,Stock2!F:J,5,False),"")</f>
        <v/>
      </c>
      <c r="V427" s="102" t="str">
        <f t="array" ref="V427">_xlfn.XLOOKUP("Charger",Stock1!B427,Stock1!I427,"")</f>
        <v/>
      </c>
      <c r="W427" s="102" t="str">
        <f t="array" ref="W427">_xlfn.XLOOKUP(V427,Stock1!I427,Stock1!F427,"")</f>
        <v/>
      </c>
      <c r="X427" s="102" t="str">
        <f t="array" ref="X427">_xlfn.XLOOKUP(V427,Stock1!I427,Stock1!J427,"")</f>
        <v/>
      </c>
      <c r="Y427" s="102" t="str">
        <f t="array" ref="Y427">_xlfn.XLOOKUP("Screen Protector for Android Phone and Other",Stock1!B427,Stock1!I427,"")</f>
        <v/>
      </c>
      <c r="Z427" s="102" t="str">
        <f t="array" ref="Z427">_xlfn.XLOOKUP("Screen Protector for Galaxy Phone",Stock1!B427,Stock1!I427,"")</f>
        <v/>
      </c>
      <c r="AA427" s="102" t="str">
        <f t="array" ref="AA427">_xlfn.XLOOKUP("Screen Protector for Galaxy Tab",Stock1!B427,Stock1!I427,"")</f>
        <v/>
      </c>
      <c r="AB427" s="102" t="str">
        <f t="shared" si="4"/>
        <v/>
      </c>
      <c r="AC427" s="102" t="str">
        <f t="array" ref="AC427">_xlfn.XLOOKUP(AB427,Stock1!I427,Stock1!F427,"")</f>
        <v/>
      </c>
      <c r="AD427" s="102" t="str">
        <f t="array" ref="AD427">_xlfn.XLOOKUP(AB427,Stock1!I427,Stock1!J427,"")</f>
        <v/>
      </c>
      <c r="AE427" s="102" t="str">
        <f t="array" ref="AE427">_xlfn.XLOOKUP("Storage",Stock1!B427,Stock1!I427,"")</f>
        <v/>
      </c>
      <c r="AF427" s="102" t="str">
        <f t="array" ref="AF427">_xlfn.XLOOKUP(AE427,Stock1!I427,Stock1!F427,"")</f>
        <v/>
      </c>
      <c r="AG427" s="102" t="str">
        <f t="array" ref="AG427">_xlfn.XLOOKUP(AE427,Stock1!I427,Stock1!J427,"")</f>
        <v/>
      </c>
    </row>
    <row r="428">
      <c r="K428" s="660" t="str">
        <f t="array" ref="K428">IFERROR(_xlfn.XLOOKUP(I428,Incentive!B:B,Incentive!E:E,""),"")</f>
        <v/>
      </c>
      <c r="L428" s="659" t="str">
        <f>IFERROR(VLOOKUP(I428,Stock1!F:J,5,False),"")</f>
        <v/>
      </c>
      <c r="M428" s="659" t="str">
        <f>IFERROR(VLOOKUP(I428,Stock2!F:J,5,False),"")</f>
        <v/>
      </c>
      <c r="V428" s="102" t="str">
        <f t="array" ref="V428">_xlfn.XLOOKUP("Charger",Stock1!B428,Stock1!I428,"")</f>
        <v/>
      </c>
      <c r="W428" s="102" t="str">
        <f t="array" ref="W428">_xlfn.XLOOKUP(V428,Stock1!I428,Stock1!F428,"")</f>
        <v/>
      </c>
      <c r="X428" s="102" t="str">
        <f t="array" ref="X428">_xlfn.XLOOKUP(V428,Stock1!I428,Stock1!J428,"")</f>
        <v/>
      </c>
      <c r="Y428" s="102" t="str">
        <f t="array" ref="Y428">_xlfn.XLOOKUP("Screen Protector for Android Phone and Other",Stock1!B428,Stock1!I428,"")</f>
        <v/>
      </c>
      <c r="Z428" s="102" t="str">
        <f t="array" ref="Z428">_xlfn.XLOOKUP("Screen Protector for Galaxy Phone",Stock1!B428,Stock1!I428,"")</f>
        <v/>
      </c>
      <c r="AA428" s="102" t="str">
        <f t="array" ref="AA428">_xlfn.XLOOKUP("Screen Protector for Galaxy Tab",Stock1!B428,Stock1!I428,"")</f>
        <v/>
      </c>
      <c r="AB428" s="102" t="str">
        <f t="shared" si="4"/>
        <v/>
      </c>
      <c r="AC428" s="102" t="str">
        <f t="array" ref="AC428">_xlfn.XLOOKUP(AB428,Stock1!I428,Stock1!F428,"")</f>
        <v/>
      </c>
      <c r="AD428" s="102" t="str">
        <f t="array" ref="AD428">_xlfn.XLOOKUP(AB428,Stock1!I428,Stock1!J428,"")</f>
        <v/>
      </c>
      <c r="AE428" s="102" t="str">
        <f t="array" ref="AE428">_xlfn.XLOOKUP("Storage",Stock1!B428,Stock1!I428,"")</f>
        <v/>
      </c>
      <c r="AF428" s="102" t="str">
        <f t="array" ref="AF428">_xlfn.XLOOKUP(AE428,Stock1!I428,Stock1!F428,"")</f>
        <v/>
      </c>
      <c r="AG428" s="102" t="str">
        <f t="array" ref="AG428">_xlfn.XLOOKUP(AE428,Stock1!I428,Stock1!J428,"")</f>
        <v/>
      </c>
    </row>
    <row r="429">
      <c r="K429" s="660" t="str">
        <f t="array" ref="K429">IFERROR(_xlfn.XLOOKUP(I429,Incentive!B:B,Incentive!E:E,""),"")</f>
        <v/>
      </c>
      <c r="L429" s="659" t="str">
        <f>IFERROR(VLOOKUP(I429,Stock1!F:J,5,False),"")</f>
        <v/>
      </c>
      <c r="M429" s="659" t="str">
        <f>IFERROR(VLOOKUP(I429,Stock2!F:J,5,False),"")</f>
        <v/>
      </c>
      <c r="V429" s="102" t="str">
        <f t="array" ref="V429">_xlfn.XLOOKUP("Charger",Stock1!B429,Stock1!I429,"")</f>
        <v/>
      </c>
      <c r="W429" s="102" t="str">
        <f t="array" ref="W429">_xlfn.XLOOKUP(V429,Stock1!I429,Stock1!F429,"")</f>
        <v/>
      </c>
      <c r="X429" s="102" t="str">
        <f t="array" ref="X429">_xlfn.XLOOKUP(V429,Stock1!I429,Stock1!J429,"")</f>
        <v/>
      </c>
      <c r="Y429" s="102" t="str">
        <f t="array" ref="Y429">_xlfn.XLOOKUP("Screen Protector for Android Phone and Other",Stock1!B429,Stock1!I429,"")</f>
        <v/>
      </c>
      <c r="Z429" s="102" t="str">
        <f t="array" ref="Z429">_xlfn.XLOOKUP("Screen Protector for Galaxy Phone",Stock1!B429,Stock1!I429,"")</f>
        <v/>
      </c>
      <c r="AA429" s="102" t="str">
        <f t="array" ref="AA429">_xlfn.XLOOKUP("Screen Protector for Galaxy Tab",Stock1!B429,Stock1!I429,"")</f>
        <v/>
      </c>
      <c r="AB429" s="102" t="str">
        <f t="shared" si="4"/>
        <v/>
      </c>
      <c r="AC429" s="102" t="str">
        <f t="array" ref="AC429">_xlfn.XLOOKUP(AB429,Stock1!I429,Stock1!F429,"")</f>
        <v/>
      </c>
      <c r="AD429" s="102" t="str">
        <f t="array" ref="AD429">_xlfn.XLOOKUP(AB429,Stock1!I429,Stock1!J429,"")</f>
        <v/>
      </c>
      <c r="AE429" s="102" t="str">
        <f t="array" ref="AE429">_xlfn.XLOOKUP("Storage",Stock1!B429,Stock1!I429,"")</f>
        <v/>
      </c>
      <c r="AF429" s="102" t="str">
        <f t="array" ref="AF429">_xlfn.XLOOKUP(AE429,Stock1!I429,Stock1!F429,"")</f>
        <v/>
      </c>
      <c r="AG429" s="102" t="str">
        <f t="array" ref="AG429">_xlfn.XLOOKUP(AE429,Stock1!I429,Stock1!J429,"")</f>
        <v/>
      </c>
    </row>
    <row r="430">
      <c r="K430" s="660" t="str">
        <f t="array" ref="K430">IFERROR(_xlfn.XLOOKUP(I430,Incentive!B:B,Incentive!E:E,""),"")</f>
        <v/>
      </c>
      <c r="L430" s="659" t="str">
        <f>IFERROR(VLOOKUP(I430,Stock1!F:J,5,False),"")</f>
        <v/>
      </c>
      <c r="M430" s="659" t="str">
        <f>IFERROR(VLOOKUP(I430,Stock2!F:J,5,False),"")</f>
        <v/>
      </c>
      <c r="V430" s="102" t="str">
        <f t="array" ref="V430">_xlfn.XLOOKUP("Charger",Stock1!B430,Stock1!I430,"")</f>
        <v/>
      </c>
      <c r="W430" s="102" t="str">
        <f t="array" ref="W430">_xlfn.XLOOKUP(V430,Stock1!I430,Stock1!F430,"")</f>
        <v/>
      </c>
      <c r="X430" s="102" t="str">
        <f t="array" ref="X430">_xlfn.XLOOKUP(V430,Stock1!I430,Stock1!J430,"")</f>
        <v/>
      </c>
      <c r="Y430" s="102" t="str">
        <f t="array" ref="Y430">_xlfn.XLOOKUP("Screen Protector for Android Phone and Other",Stock1!B430,Stock1!I430,"")</f>
        <v/>
      </c>
      <c r="Z430" s="102" t="str">
        <f t="array" ref="Z430">_xlfn.XLOOKUP("Screen Protector for Galaxy Phone",Stock1!B430,Stock1!I430,"")</f>
        <v/>
      </c>
      <c r="AA430" s="102" t="str">
        <f t="array" ref="AA430">_xlfn.XLOOKUP("Screen Protector for Galaxy Tab",Stock1!B430,Stock1!I430,"")</f>
        <v/>
      </c>
      <c r="AB430" s="102" t="str">
        <f t="shared" si="4"/>
        <v/>
      </c>
      <c r="AC430" s="102" t="str">
        <f t="array" ref="AC430">_xlfn.XLOOKUP(AB430,Stock1!I430,Stock1!F430,"")</f>
        <v/>
      </c>
      <c r="AD430" s="102" t="str">
        <f t="array" ref="AD430">_xlfn.XLOOKUP(AB430,Stock1!I430,Stock1!J430,"")</f>
        <v/>
      </c>
      <c r="AE430" s="102" t="str">
        <f t="array" ref="AE430">_xlfn.XLOOKUP("Storage",Stock1!B430,Stock1!I430,"")</f>
        <v/>
      </c>
      <c r="AF430" s="102" t="str">
        <f t="array" ref="AF430">_xlfn.XLOOKUP(AE430,Stock1!I430,Stock1!F430,"")</f>
        <v/>
      </c>
      <c r="AG430" s="102" t="str">
        <f t="array" ref="AG430">_xlfn.XLOOKUP(AE430,Stock1!I430,Stock1!J430,"")</f>
        <v/>
      </c>
    </row>
    <row r="431">
      <c r="K431" s="660" t="str">
        <f t="array" ref="K431">IFERROR(_xlfn.XLOOKUP(I431,Incentive!B:B,Incentive!E:E,""),"")</f>
        <v/>
      </c>
      <c r="L431" s="659" t="str">
        <f>IFERROR(VLOOKUP(I431,Stock1!F:J,5,False),"")</f>
        <v/>
      </c>
      <c r="M431" s="659" t="str">
        <f>IFERROR(VLOOKUP(I431,Stock2!F:J,5,False),"")</f>
        <v/>
      </c>
      <c r="V431" s="102" t="str">
        <f t="array" ref="V431">_xlfn.XLOOKUP("Charger",Stock1!B431,Stock1!I431,"")</f>
        <v/>
      </c>
      <c r="W431" s="102" t="str">
        <f t="array" ref="W431">_xlfn.XLOOKUP(V431,Stock1!I431,Stock1!F431,"")</f>
        <v/>
      </c>
      <c r="X431" s="102" t="str">
        <f t="array" ref="X431">_xlfn.XLOOKUP(V431,Stock1!I431,Stock1!J431,"")</f>
        <v/>
      </c>
      <c r="Y431" s="102" t="str">
        <f t="array" ref="Y431">_xlfn.XLOOKUP("Screen Protector for Android Phone and Other",Stock1!B431,Stock1!I431,"")</f>
        <v/>
      </c>
      <c r="Z431" s="102" t="str">
        <f t="array" ref="Z431">_xlfn.XLOOKUP("Screen Protector for Galaxy Phone",Stock1!B431,Stock1!I431,"")</f>
        <v/>
      </c>
      <c r="AA431" s="102" t="str">
        <f t="array" ref="AA431">_xlfn.XLOOKUP("Screen Protector for Galaxy Tab",Stock1!B431,Stock1!I431,"")</f>
        <v/>
      </c>
      <c r="AB431" s="102" t="str">
        <f t="shared" si="4"/>
        <v/>
      </c>
      <c r="AC431" s="102" t="str">
        <f t="array" ref="AC431">_xlfn.XLOOKUP(AB431,Stock1!I431,Stock1!F431,"")</f>
        <v/>
      </c>
      <c r="AD431" s="102" t="str">
        <f t="array" ref="AD431">_xlfn.XLOOKUP(AB431,Stock1!I431,Stock1!J431,"")</f>
        <v/>
      </c>
      <c r="AE431" s="102" t="str">
        <f t="array" ref="AE431">_xlfn.XLOOKUP("Storage",Stock1!B431,Stock1!I431,"")</f>
        <v/>
      </c>
      <c r="AF431" s="102" t="str">
        <f t="array" ref="AF431">_xlfn.XLOOKUP(AE431,Stock1!I431,Stock1!F431,"")</f>
        <v/>
      </c>
      <c r="AG431" s="102" t="str">
        <f t="array" ref="AG431">_xlfn.XLOOKUP(AE431,Stock1!I431,Stock1!J431,"")</f>
        <v/>
      </c>
    </row>
    <row r="432">
      <c r="K432" s="660" t="str">
        <f t="array" ref="K432">IFERROR(_xlfn.XLOOKUP(I432,Incentive!B:B,Incentive!E:E,""),"")</f>
        <v/>
      </c>
      <c r="L432" s="659" t="str">
        <f>IFERROR(VLOOKUP(I432,Stock1!F:J,5,False),"")</f>
        <v/>
      </c>
      <c r="M432" s="659" t="str">
        <f>IFERROR(VLOOKUP(I432,Stock2!F:J,5,False),"")</f>
        <v/>
      </c>
      <c r="V432" s="102" t="str">
        <f t="array" ref="V432">_xlfn.XLOOKUP("Charger",Stock1!B432,Stock1!I432,"")</f>
        <v/>
      </c>
      <c r="W432" s="102" t="str">
        <f t="array" ref="W432">_xlfn.XLOOKUP(V432,Stock1!I432,Stock1!F432,"")</f>
        <v/>
      </c>
      <c r="X432" s="102" t="str">
        <f t="array" ref="X432">_xlfn.XLOOKUP(V432,Stock1!I432,Stock1!J432,"")</f>
        <v/>
      </c>
      <c r="Y432" s="102" t="str">
        <f t="array" ref="Y432">_xlfn.XLOOKUP("Screen Protector for Android Phone and Other",Stock1!B432,Stock1!I432,"")</f>
        <v/>
      </c>
      <c r="Z432" s="102" t="str">
        <f t="array" ref="Z432">_xlfn.XLOOKUP("Screen Protector for Galaxy Phone",Stock1!B432,Stock1!I432,"")</f>
        <v/>
      </c>
      <c r="AA432" s="102" t="str">
        <f t="array" ref="AA432">_xlfn.XLOOKUP("Screen Protector for Galaxy Tab",Stock1!B432,Stock1!I432,"")</f>
        <v/>
      </c>
      <c r="AB432" s="102" t="str">
        <f t="shared" si="4"/>
        <v/>
      </c>
      <c r="AC432" s="102" t="str">
        <f t="array" ref="AC432">_xlfn.XLOOKUP(AB432,Stock1!I432,Stock1!F432,"")</f>
        <v/>
      </c>
      <c r="AD432" s="102" t="str">
        <f t="array" ref="AD432">_xlfn.XLOOKUP(AB432,Stock1!I432,Stock1!J432,"")</f>
        <v/>
      </c>
      <c r="AE432" s="102" t="str">
        <f t="array" ref="AE432">_xlfn.XLOOKUP("Storage",Stock1!B432,Stock1!I432,"")</f>
        <v/>
      </c>
      <c r="AF432" s="102" t="str">
        <f t="array" ref="AF432">_xlfn.XLOOKUP(AE432,Stock1!I432,Stock1!F432,"")</f>
        <v/>
      </c>
      <c r="AG432" s="102" t="str">
        <f t="array" ref="AG432">_xlfn.XLOOKUP(AE432,Stock1!I432,Stock1!J432,"")</f>
        <v/>
      </c>
    </row>
    <row r="433">
      <c r="K433" s="660" t="str">
        <f t="array" ref="K433">IFERROR(_xlfn.XLOOKUP(I433,Incentive!B:B,Incentive!E:E,""),"")</f>
        <v/>
      </c>
      <c r="L433" s="659" t="str">
        <f>IFERROR(VLOOKUP(I433,Stock1!F:J,5,False),"")</f>
        <v/>
      </c>
      <c r="M433" s="659" t="str">
        <f>IFERROR(VLOOKUP(I433,Stock2!F:J,5,False),"")</f>
        <v/>
      </c>
      <c r="V433" s="102" t="str">
        <f t="array" ref="V433">_xlfn.XLOOKUP("Charger",Stock1!B433,Stock1!I433,"")</f>
        <v/>
      </c>
      <c r="W433" s="102" t="str">
        <f t="array" ref="W433">_xlfn.XLOOKUP(V433,Stock1!I433,Stock1!F433,"")</f>
        <v/>
      </c>
      <c r="X433" s="102" t="str">
        <f t="array" ref="X433">_xlfn.XLOOKUP(V433,Stock1!I433,Stock1!J433,"")</f>
        <v/>
      </c>
      <c r="Y433" s="102" t="str">
        <f t="array" ref="Y433">_xlfn.XLOOKUP("Screen Protector for Android Phone and Other",Stock1!B433,Stock1!I433,"")</f>
        <v/>
      </c>
      <c r="Z433" s="102" t="str">
        <f t="array" ref="Z433">_xlfn.XLOOKUP("Screen Protector for Galaxy Phone",Stock1!B433,Stock1!I433,"")</f>
        <v/>
      </c>
      <c r="AA433" s="102" t="str">
        <f t="array" ref="AA433">_xlfn.XLOOKUP("Screen Protector for Galaxy Tab",Stock1!B433,Stock1!I433,"")</f>
        <v/>
      </c>
      <c r="AB433" s="102" t="str">
        <f t="shared" si="4"/>
        <v/>
      </c>
      <c r="AC433" s="102" t="str">
        <f t="array" ref="AC433">_xlfn.XLOOKUP(AB433,Stock1!I433,Stock1!F433,"")</f>
        <v/>
      </c>
      <c r="AD433" s="102" t="str">
        <f t="array" ref="AD433">_xlfn.XLOOKUP(AB433,Stock1!I433,Stock1!J433,"")</f>
        <v/>
      </c>
      <c r="AE433" s="102" t="str">
        <f t="array" ref="AE433">_xlfn.XLOOKUP("Storage",Stock1!B433,Stock1!I433,"")</f>
        <v/>
      </c>
      <c r="AF433" s="102" t="str">
        <f t="array" ref="AF433">_xlfn.XLOOKUP(AE433,Stock1!I433,Stock1!F433,"")</f>
        <v/>
      </c>
      <c r="AG433" s="102" t="str">
        <f t="array" ref="AG433">_xlfn.XLOOKUP(AE433,Stock1!I433,Stock1!J433,"")</f>
        <v/>
      </c>
    </row>
    <row r="434">
      <c r="K434" s="660" t="str">
        <f t="array" ref="K434">IFERROR(_xlfn.XLOOKUP(I434,Incentive!B:B,Incentive!E:E,""),"")</f>
        <v/>
      </c>
      <c r="L434" s="659" t="str">
        <f>IFERROR(VLOOKUP(I434,Stock1!F:J,5,False),"")</f>
        <v/>
      </c>
      <c r="M434" s="659" t="str">
        <f>IFERROR(VLOOKUP(I434,Stock2!F:J,5,False),"")</f>
        <v/>
      </c>
      <c r="V434" s="102" t="str">
        <f t="array" ref="V434">_xlfn.XLOOKUP("Charger",Stock1!B434,Stock1!I434,"")</f>
        <v/>
      </c>
      <c r="W434" s="102" t="str">
        <f t="array" ref="W434">_xlfn.XLOOKUP(V434,Stock1!I434,Stock1!F434,"")</f>
        <v/>
      </c>
      <c r="X434" s="102" t="str">
        <f t="array" ref="X434">_xlfn.XLOOKUP(V434,Stock1!I434,Stock1!J434,"")</f>
        <v/>
      </c>
      <c r="Y434" s="102" t="str">
        <f t="array" ref="Y434">_xlfn.XLOOKUP("Screen Protector for Android Phone and Other",Stock1!B434,Stock1!I434,"")</f>
        <v/>
      </c>
      <c r="Z434" s="102" t="str">
        <f t="array" ref="Z434">_xlfn.XLOOKUP("Screen Protector for Galaxy Phone",Stock1!B434,Stock1!I434,"")</f>
        <v/>
      </c>
      <c r="AA434" s="102" t="str">
        <f t="array" ref="AA434">_xlfn.XLOOKUP("Screen Protector for Galaxy Tab",Stock1!B434,Stock1!I434,"")</f>
        <v/>
      </c>
      <c r="AB434" s="102" t="str">
        <f t="shared" si="4"/>
        <v/>
      </c>
      <c r="AC434" s="102" t="str">
        <f t="array" ref="AC434">_xlfn.XLOOKUP(AB434,Stock1!I434,Stock1!F434,"")</f>
        <v/>
      </c>
      <c r="AD434" s="102" t="str">
        <f t="array" ref="AD434">_xlfn.XLOOKUP(AB434,Stock1!I434,Stock1!J434,"")</f>
        <v/>
      </c>
      <c r="AE434" s="102" t="str">
        <f t="array" ref="AE434">_xlfn.XLOOKUP("Storage",Stock1!B434,Stock1!I434,"")</f>
        <v/>
      </c>
      <c r="AF434" s="102" t="str">
        <f t="array" ref="AF434">_xlfn.XLOOKUP(AE434,Stock1!I434,Stock1!F434,"")</f>
        <v/>
      </c>
      <c r="AG434" s="102" t="str">
        <f t="array" ref="AG434">_xlfn.XLOOKUP(AE434,Stock1!I434,Stock1!J434,"")</f>
        <v/>
      </c>
    </row>
    <row r="435">
      <c r="K435" s="660" t="str">
        <f t="array" ref="K435">IFERROR(_xlfn.XLOOKUP(I435,Incentive!B:B,Incentive!E:E,""),"")</f>
        <v/>
      </c>
      <c r="L435" s="659" t="str">
        <f>IFERROR(VLOOKUP(I435,Stock1!F:J,5,False),"")</f>
        <v/>
      </c>
      <c r="M435" s="659" t="str">
        <f>IFERROR(VLOOKUP(I435,Stock2!F:J,5,False),"")</f>
        <v/>
      </c>
      <c r="V435" s="102" t="str">
        <f t="array" ref="V435">_xlfn.XLOOKUP("Charger",Stock1!B435,Stock1!I435,"")</f>
        <v/>
      </c>
      <c r="W435" s="102" t="str">
        <f t="array" ref="W435">_xlfn.XLOOKUP(V435,Stock1!I435,Stock1!F435,"")</f>
        <v/>
      </c>
      <c r="X435" s="102" t="str">
        <f t="array" ref="X435">_xlfn.XLOOKUP(V435,Stock1!I435,Stock1!J435,"")</f>
        <v/>
      </c>
      <c r="Y435" s="102" t="str">
        <f t="array" ref="Y435">_xlfn.XLOOKUP("Screen Protector for Android Phone and Other",Stock1!B435,Stock1!I435,"")</f>
        <v/>
      </c>
      <c r="Z435" s="102" t="str">
        <f t="array" ref="Z435">_xlfn.XLOOKUP("Screen Protector for Galaxy Phone",Stock1!B435,Stock1!I435,"")</f>
        <v/>
      </c>
      <c r="AA435" s="102" t="str">
        <f t="array" ref="AA435">_xlfn.XLOOKUP("Screen Protector for Galaxy Tab",Stock1!B435,Stock1!I435,"")</f>
        <v/>
      </c>
      <c r="AB435" s="102" t="str">
        <f t="shared" si="4"/>
        <v/>
      </c>
      <c r="AC435" s="102" t="str">
        <f t="array" ref="AC435">_xlfn.XLOOKUP(AB435,Stock1!I435,Stock1!F435,"")</f>
        <v/>
      </c>
      <c r="AD435" s="102" t="str">
        <f t="array" ref="AD435">_xlfn.XLOOKUP(AB435,Stock1!I435,Stock1!J435,"")</f>
        <v/>
      </c>
      <c r="AE435" s="102" t="str">
        <f t="array" ref="AE435">_xlfn.XLOOKUP("Storage",Stock1!B435,Stock1!I435,"")</f>
        <v/>
      </c>
      <c r="AF435" s="102" t="str">
        <f t="array" ref="AF435">_xlfn.XLOOKUP(AE435,Stock1!I435,Stock1!F435,"")</f>
        <v/>
      </c>
      <c r="AG435" s="102" t="str">
        <f t="array" ref="AG435">_xlfn.XLOOKUP(AE435,Stock1!I435,Stock1!J435,"")</f>
        <v/>
      </c>
    </row>
    <row r="436">
      <c r="K436" s="660" t="str">
        <f t="array" ref="K436">IFERROR(_xlfn.XLOOKUP(I436,Incentive!B:B,Incentive!E:E,""),"")</f>
        <v/>
      </c>
      <c r="L436" s="659" t="str">
        <f>IFERROR(VLOOKUP(I436,Stock1!F:J,5,False),"")</f>
        <v/>
      </c>
      <c r="M436" s="659" t="str">
        <f>IFERROR(VLOOKUP(I436,Stock2!F:J,5,False),"")</f>
        <v/>
      </c>
      <c r="V436" s="102" t="str">
        <f t="array" ref="V436">_xlfn.XLOOKUP("Charger",Stock1!B436,Stock1!I436,"")</f>
        <v/>
      </c>
      <c r="W436" s="102" t="str">
        <f t="array" ref="W436">_xlfn.XLOOKUP(V436,Stock1!I436,Stock1!F436,"")</f>
        <v/>
      </c>
      <c r="X436" s="102" t="str">
        <f t="array" ref="X436">_xlfn.XLOOKUP(V436,Stock1!I436,Stock1!J436,"")</f>
        <v/>
      </c>
      <c r="Y436" s="102" t="str">
        <f t="array" ref="Y436">_xlfn.XLOOKUP("Screen Protector for Android Phone and Other",Stock1!B436,Stock1!I436,"")</f>
        <v/>
      </c>
      <c r="Z436" s="102" t="str">
        <f t="array" ref="Z436">_xlfn.XLOOKUP("Screen Protector for Galaxy Phone",Stock1!B436,Stock1!I436,"")</f>
        <v/>
      </c>
      <c r="AA436" s="102" t="str">
        <f t="array" ref="AA436">_xlfn.XLOOKUP("Screen Protector for Galaxy Tab",Stock1!B436,Stock1!I436,"")</f>
        <v/>
      </c>
      <c r="AB436" s="102" t="str">
        <f t="shared" si="4"/>
        <v/>
      </c>
      <c r="AC436" s="102" t="str">
        <f t="array" ref="AC436">_xlfn.XLOOKUP(AB436,Stock1!I436,Stock1!F436,"")</f>
        <v/>
      </c>
      <c r="AD436" s="102" t="str">
        <f t="array" ref="AD436">_xlfn.XLOOKUP(AB436,Stock1!I436,Stock1!J436,"")</f>
        <v/>
      </c>
      <c r="AE436" s="102" t="str">
        <f t="array" ref="AE436">_xlfn.XLOOKUP("Storage",Stock1!B436,Stock1!I436,"")</f>
        <v/>
      </c>
      <c r="AF436" s="102" t="str">
        <f t="array" ref="AF436">_xlfn.XLOOKUP(AE436,Stock1!I436,Stock1!F436,"")</f>
        <v/>
      </c>
      <c r="AG436" s="102" t="str">
        <f t="array" ref="AG436">_xlfn.XLOOKUP(AE436,Stock1!I436,Stock1!J436,"")</f>
        <v/>
      </c>
    </row>
    <row r="437">
      <c r="K437" s="660" t="str">
        <f t="array" ref="K437">IFERROR(_xlfn.XLOOKUP(I437,Incentive!B:B,Incentive!E:E,""),"")</f>
        <v/>
      </c>
      <c r="L437" s="659" t="str">
        <f>IFERROR(VLOOKUP(I437,Stock1!F:J,5,False),"")</f>
        <v/>
      </c>
      <c r="M437" s="659" t="str">
        <f>IFERROR(VLOOKUP(I437,Stock2!F:J,5,False),"")</f>
        <v/>
      </c>
      <c r="V437" s="102" t="str">
        <f t="array" ref="V437">_xlfn.XLOOKUP("Charger",Stock1!B437,Stock1!I437,"")</f>
        <v/>
      </c>
      <c r="W437" s="102" t="str">
        <f t="array" ref="W437">_xlfn.XLOOKUP(V437,Stock1!I437,Stock1!F437,"")</f>
        <v/>
      </c>
      <c r="X437" s="102" t="str">
        <f t="array" ref="X437">_xlfn.XLOOKUP(V437,Stock1!I437,Stock1!J437,"")</f>
        <v/>
      </c>
      <c r="Y437" s="102" t="str">
        <f t="array" ref="Y437">_xlfn.XLOOKUP("Screen Protector for Android Phone and Other",Stock1!B437,Stock1!I437,"")</f>
        <v/>
      </c>
      <c r="Z437" s="102" t="str">
        <f t="array" ref="Z437">_xlfn.XLOOKUP("Screen Protector for Galaxy Phone",Stock1!B437,Stock1!I437,"")</f>
        <v/>
      </c>
      <c r="AA437" s="102" t="str">
        <f t="array" ref="AA437">_xlfn.XLOOKUP("Screen Protector for Galaxy Tab",Stock1!B437,Stock1!I437,"")</f>
        <v/>
      </c>
      <c r="AB437" s="102" t="str">
        <f t="shared" si="4"/>
        <v/>
      </c>
      <c r="AC437" s="102" t="str">
        <f t="array" ref="AC437">_xlfn.XLOOKUP(AB437,Stock1!I437,Stock1!F437,"")</f>
        <v/>
      </c>
      <c r="AD437" s="102" t="str">
        <f t="array" ref="AD437">_xlfn.XLOOKUP(AB437,Stock1!I437,Stock1!J437,"")</f>
        <v/>
      </c>
      <c r="AE437" s="102" t="str">
        <f t="array" ref="AE437">_xlfn.XLOOKUP("Storage",Stock1!B437,Stock1!I437,"")</f>
        <v/>
      </c>
      <c r="AF437" s="102" t="str">
        <f t="array" ref="AF437">_xlfn.XLOOKUP(AE437,Stock1!I437,Stock1!F437,"")</f>
        <v/>
      </c>
      <c r="AG437" s="102" t="str">
        <f t="array" ref="AG437">_xlfn.XLOOKUP(AE437,Stock1!I437,Stock1!J437,"")</f>
        <v/>
      </c>
    </row>
    <row r="438">
      <c r="K438" s="660" t="str">
        <f t="array" ref="K438">IFERROR(_xlfn.XLOOKUP(I438,Incentive!B:B,Incentive!E:E,""),"")</f>
        <v/>
      </c>
      <c r="L438" s="659" t="str">
        <f>IFERROR(VLOOKUP(I438,Stock1!F:J,5,False),"")</f>
        <v/>
      </c>
      <c r="M438" s="659" t="str">
        <f>IFERROR(VLOOKUP(I438,Stock2!F:J,5,False),"")</f>
        <v/>
      </c>
      <c r="V438" s="102" t="str">
        <f t="array" ref="V438">_xlfn.XLOOKUP("Charger",Stock1!B438,Stock1!I438,"")</f>
        <v/>
      </c>
      <c r="W438" s="102" t="str">
        <f t="array" ref="W438">_xlfn.XLOOKUP(V438,Stock1!I438,Stock1!F438,"")</f>
        <v/>
      </c>
      <c r="X438" s="102" t="str">
        <f t="array" ref="X438">_xlfn.XLOOKUP(V438,Stock1!I438,Stock1!J438,"")</f>
        <v/>
      </c>
      <c r="Y438" s="102" t="str">
        <f t="array" ref="Y438">_xlfn.XLOOKUP("Screen Protector for Android Phone and Other",Stock1!B438,Stock1!I438,"")</f>
        <v/>
      </c>
      <c r="Z438" s="102" t="str">
        <f t="array" ref="Z438">_xlfn.XLOOKUP("Screen Protector for Galaxy Phone",Stock1!B438,Stock1!I438,"")</f>
        <v/>
      </c>
      <c r="AA438" s="102" t="str">
        <f t="array" ref="AA438">_xlfn.XLOOKUP("Screen Protector for Galaxy Tab",Stock1!B438,Stock1!I438,"")</f>
        <v/>
      </c>
      <c r="AB438" s="102" t="str">
        <f t="shared" si="4"/>
        <v/>
      </c>
      <c r="AC438" s="102" t="str">
        <f t="array" ref="AC438">_xlfn.XLOOKUP(AB438,Stock1!I438,Stock1!F438,"")</f>
        <v/>
      </c>
      <c r="AD438" s="102" t="str">
        <f t="array" ref="AD438">_xlfn.XLOOKUP(AB438,Stock1!I438,Stock1!J438,"")</f>
        <v/>
      </c>
      <c r="AE438" s="102" t="str">
        <f t="array" ref="AE438">_xlfn.XLOOKUP("Storage",Stock1!B438,Stock1!I438,"")</f>
        <v/>
      </c>
      <c r="AF438" s="102" t="str">
        <f t="array" ref="AF438">_xlfn.XLOOKUP(AE438,Stock1!I438,Stock1!F438,"")</f>
        <v/>
      </c>
      <c r="AG438" s="102" t="str">
        <f t="array" ref="AG438">_xlfn.XLOOKUP(AE438,Stock1!I438,Stock1!J438,"")</f>
        <v/>
      </c>
    </row>
    <row r="439">
      <c r="K439" s="660" t="str">
        <f t="array" ref="K439">IFERROR(_xlfn.XLOOKUP(I439,Incentive!B:B,Incentive!E:E,""),"")</f>
        <v/>
      </c>
      <c r="L439" s="659" t="str">
        <f>IFERROR(VLOOKUP(I439,Stock1!F:J,5,False),"")</f>
        <v/>
      </c>
      <c r="M439" s="659" t="str">
        <f>IFERROR(VLOOKUP(I439,Stock2!F:J,5,False),"")</f>
        <v/>
      </c>
      <c r="V439" s="102" t="str">
        <f t="array" ref="V439">_xlfn.XLOOKUP("Charger",Stock1!B439,Stock1!I439,"")</f>
        <v/>
      </c>
      <c r="W439" s="102" t="str">
        <f t="array" ref="W439">_xlfn.XLOOKUP(V439,Stock1!I439,Stock1!F439,"")</f>
        <v/>
      </c>
      <c r="X439" s="102" t="str">
        <f t="array" ref="X439">_xlfn.XLOOKUP(V439,Stock1!I439,Stock1!J439,"")</f>
        <v/>
      </c>
      <c r="Y439" s="102" t="str">
        <f t="array" ref="Y439">_xlfn.XLOOKUP("Screen Protector for Android Phone and Other",Stock1!B439,Stock1!I439,"")</f>
        <v/>
      </c>
      <c r="Z439" s="102" t="str">
        <f t="array" ref="Z439">_xlfn.XLOOKUP("Screen Protector for Galaxy Phone",Stock1!B439,Stock1!I439,"")</f>
        <v/>
      </c>
      <c r="AA439" s="102" t="str">
        <f t="array" ref="AA439">_xlfn.XLOOKUP("Screen Protector for Galaxy Tab",Stock1!B439,Stock1!I439,"")</f>
        <v/>
      </c>
      <c r="AB439" s="102" t="str">
        <f t="shared" si="4"/>
        <v/>
      </c>
      <c r="AC439" s="102" t="str">
        <f t="array" ref="AC439">_xlfn.XLOOKUP(AB439,Stock1!I439,Stock1!F439,"")</f>
        <v/>
      </c>
      <c r="AD439" s="102" t="str">
        <f t="array" ref="AD439">_xlfn.XLOOKUP(AB439,Stock1!I439,Stock1!J439,"")</f>
        <v/>
      </c>
      <c r="AE439" s="102" t="str">
        <f t="array" ref="AE439">_xlfn.XLOOKUP("Storage",Stock1!B439,Stock1!I439,"")</f>
        <v/>
      </c>
      <c r="AF439" s="102" t="str">
        <f t="array" ref="AF439">_xlfn.XLOOKUP(AE439,Stock1!I439,Stock1!F439,"")</f>
        <v/>
      </c>
      <c r="AG439" s="102" t="str">
        <f t="array" ref="AG439">_xlfn.XLOOKUP(AE439,Stock1!I439,Stock1!J439,"")</f>
        <v/>
      </c>
    </row>
    <row r="440">
      <c r="K440" s="660" t="str">
        <f t="array" ref="K440">IFERROR(_xlfn.XLOOKUP(I440,Incentive!B:B,Incentive!E:E,""),"")</f>
        <v/>
      </c>
      <c r="L440" s="659" t="str">
        <f>IFERROR(VLOOKUP(I440,Stock1!F:J,5,False),"")</f>
        <v/>
      </c>
      <c r="M440" s="659" t="str">
        <f>IFERROR(VLOOKUP(I440,Stock2!F:J,5,False),"")</f>
        <v/>
      </c>
      <c r="V440" s="102" t="str">
        <f t="array" ref="V440">_xlfn.XLOOKUP("Charger",Stock1!B440,Stock1!I440,"")</f>
        <v/>
      </c>
      <c r="W440" s="102" t="str">
        <f t="array" ref="W440">_xlfn.XLOOKUP(V440,Stock1!I440,Stock1!F440,"")</f>
        <v/>
      </c>
      <c r="X440" s="102" t="str">
        <f t="array" ref="X440">_xlfn.XLOOKUP(V440,Stock1!I440,Stock1!J440,"")</f>
        <v/>
      </c>
      <c r="Y440" s="102" t="str">
        <f t="array" ref="Y440">_xlfn.XLOOKUP("Screen Protector for Android Phone and Other",Stock1!B440,Stock1!I440,"")</f>
        <v/>
      </c>
      <c r="Z440" s="102" t="str">
        <f t="array" ref="Z440">_xlfn.XLOOKUP("Screen Protector for Galaxy Phone",Stock1!B440,Stock1!I440,"")</f>
        <v/>
      </c>
      <c r="AA440" s="102" t="str">
        <f t="array" ref="AA440">_xlfn.XLOOKUP("Screen Protector for Galaxy Tab",Stock1!B440,Stock1!I440,"")</f>
        <v/>
      </c>
      <c r="AB440" s="102" t="str">
        <f t="shared" si="4"/>
        <v/>
      </c>
      <c r="AC440" s="102" t="str">
        <f t="array" ref="AC440">_xlfn.XLOOKUP(AB440,Stock1!I440,Stock1!F440,"")</f>
        <v/>
      </c>
      <c r="AD440" s="102" t="str">
        <f t="array" ref="AD440">_xlfn.XLOOKUP(AB440,Stock1!I440,Stock1!J440,"")</f>
        <v/>
      </c>
      <c r="AE440" s="102" t="str">
        <f t="array" ref="AE440">_xlfn.XLOOKUP("Storage",Stock1!B440,Stock1!I440,"")</f>
        <v/>
      </c>
      <c r="AF440" s="102" t="str">
        <f t="array" ref="AF440">_xlfn.XLOOKUP(AE440,Stock1!I440,Stock1!F440,"")</f>
        <v/>
      </c>
      <c r="AG440" s="102" t="str">
        <f t="array" ref="AG440">_xlfn.XLOOKUP(AE440,Stock1!I440,Stock1!J440,"")</f>
        <v/>
      </c>
    </row>
    <row r="441">
      <c r="K441" s="660" t="str">
        <f t="array" ref="K441">IFERROR(_xlfn.XLOOKUP(I441,Incentive!B:B,Incentive!E:E,""),"")</f>
        <v/>
      </c>
      <c r="L441" s="659" t="str">
        <f>IFERROR(VLOOKUP(I441,Stock1!F:J,5,False),"")</f>
        <v/>
      </c>
      <c r="M441" s="659" t="str">
        <f>IFERROR(VLOOKUP(I441,Stock2!F:J,5,False),"")</f>
        <v/>
      </c>
      <c r="V441" s="102" t="str">
        <f t="array" ref="V441">_xlfn.XLOOKUP("Charger",Stock1!B441,Stock1!I441,"")</f>
        <v/>
      </c>
      <c r="W441" s="102" t="str">
        <f t="array" ref="W441">_xlfn.XLOOKUP(V441,Stock1!I441,Stock1!F441,"")</f>
        <v/>
      </c>
      <c r="X441" s="102" t="str">
        <f t="array" ref="X441">_xlfn.XLOOKUP(V441,Stock1!I441,Stock1!J441,"")</f>
        <v/>
      </c>
      <c r="Y441" s="102" t="str">
        <f t="array" ref="Y441">_xlfn.XLOOKUP("Screen Protector for Android Phone and Other",Stock1!B441,Stock1!I441,"")</f>
        <v/>
      </c>
      <c r="Z441" s="102" t="str">
        <f t="array" ref="Z441">_xlfn.XLOOKUP("Screen Protector for Galaxy Phone",Stock1!B441,Stock1!I441,"")</f>
        <v/>
      </c>
      <c r="AA441" s="102" t="str">
        <f t="array" ref="AA441">_xlfn.XLOOKUP("Screen Protector for Galaxy Tab",Stock1!B441,Stock1!I441,"")</f>
        <v/>
      </c>
      <c r="AB441" s="102" t="str">
        <f t="shared" si="4"/>
        <v/>
      </c>
      <c r="AC441" s="102" t="str">
        <f t="array" ref="AC441">_xlfn.XLOOKUP(AB441,Stock1!I441,Stock1!F441,"")</f>
        <v/>
      </c>
      <c r="AD441" s="102" t="str">
        <f t="array" ref="AD441">_xlfn.XLOOKUP(AB441,Stock1!I441,Stock1!J441,"")</f>
        <v/>
      </c>
      <c r="AE441" s="102" t="str">
        <f t="array" ref="AE441">_xlfn.XLOOKUP("Storage",Stock1!B441,Stock1!I441,"")</f>
        <v/>
      </c>
      <c r="AF441" s="102" t="str">
        <f t="array" ref="AF441">_xlfn.XLOOKUP(AE441,Stock1!I441,Stock1!F441,"")</f>
        <v/>
      </c>
      <c r="AG441" s="102" t="str">
        <f t="array" ref="AG441">_xlfn.XLOOKUP(AE441,Stock1!I441,Stock1!J441,"")</f>
        <v/>
      </c>
    </row>
    <row r="442">
      <c r="K442" s="660" t="str">
        <f t="array" ref="K442">IFERROR(_xlfn.XLOOKUP(I442,Incentive!B:B,Incentive!E:E,""),"")</f>
        <v/>
      </c>
      <c r="L442" s="659" t="str">
        <f>IFERROR(VLOOKUP(I442,Stock1!F:J,5,False),"")</f>
        <v/>
      </c>
      <c r="M442" s="659" t="str">
        <f>IFERROR(VLOOKUP(I442,Stock2!F:J,5,False),"")</f>
        <v/>
      </c>
      <c r="V442" s="102" t="str">
        <f t="array" ref="V442">_xlfn.XLOOKUP("Charger",Stock1!B442,Stock1!I442,"")</f>
        <v/>
      </c>
      <c r="W442" s="102" t="str">
        <f t="array" ref="W442">_xlfn.XLOOKUP(V442,Stock1!I442,Stock1!F442,"")</f>
        <v/>
      </c>
      <c r="X442" s="102" t="str">
        <f t="array" ref="X442">_xlfn.XLOOKUP(V442,Stock1!I442,Stock1!J442,"")</f>
        <v/>
      </c>
      <c r="Y442" s="102" t="str">
        <f t="array" ref="Y442">_xlfn.XLOOKUP("Screen Protector for Android Phone and Other",Stock1!B442,Stock1!I442,"")</f>
        <v/>
      </c>
      <c r="Z442" s="102" t="str">
        <f t="array" ref="Z442">_xlfn.XLOOKUP("Screen Protector for Galaxy Phone",Stock1!B442,Stock1!I442,"")</f>
        <v/>
      </c>
      <c r="AA442" s="102" t="str">
        <f t="array" ref="AA442">_xlfn.XLOOKUP("Screen Protector for Galaxy Tab",Stock1!B442,Stock1!I442,"")</f>
        <v/>
      </c>
      <c r="AB442" s="102" t="str">
        <f t="shared" si="4"/>
        <v/>
      </c>
      <c r="AC442" s="102" t="str">
        <f t="array" ref="AC442">_xlfn.XLOOKUP(AB442,Stock1!I442,Stock1!F442,"")</f>
        <v/>
      </c>
      <c r="AD442" s="102" t="str">
        <f t="array" ref="AD442">_xlfn.XLOOKUP(AB442,Stock1!I442,Stock1!J442,"")</f>
        <v/>
      </c>
      <c r="AE442" s="102" t="str">
        <f t="array" ref="AE442">_xlfn.XLOOKUP("Storage",Stock1!B442,Stock1!I442,"")</f>
        <v/>
      </c>
      <c r="AF442" s="102" t="str">
        <f t="array" ref="AF442">_xlfn.XLOOKUP(AE442,Stock1!I442,Stock1!F442,"")</f>
        <v/>
      </c>
      <c r="AG442" s="102" t="str">
        <f t="array" ref="AG442">_xlfn.XLOOKUP(AE442,Stock1!I442,Stock1!J442,"")</f>
        <v/>
      </c>
    </row>
    <row r="443">
      <c r="K443" s="660" t="str">
        <f t="array" ref="K443">IFERROR(_xlfn.XLOOKUP(I443,Incentive!B:B,Incentive!E:E,""),"")</f>
        <v/>
      </c>
      <c r="L443" s="659" t="str">
        <f>IFERROR(VLOOKUP(I443,Stock1!F:J,5,False),"")</f>
        <v/>
      </c>
      <c r="M443" s="659" t="str">
        <f>IFERROR(VLOOKUP(I443,Stock2!F:J,5,False),"")</f>
        <v/>
      </c>
      <c r="V443" s="102" t="str">
        <f t="array" ref="V443">_xlfn.XLOOKUP("Charger",Stock1!B443,Stock1!I443,"")</f>
        <v/>
      </c>
      <c r="W443" s="102" t="str">
        <f t="array" ref="W443">_xlfn.XLOOKUP(V443,Stock1!I443,Stock1!F443,"")</f>
        <v/>
      </c>
      <c r="X443" s="102" t="str">
        <f t="array" ref="X443">_xlfn.XLOOKUP(V443,Stock1!I443,Stock1!J443,"")</f>
        <v/>
      </c>
      <c r="Y443" s="102" t="str">
        <f t="array" ref="Y443">_xlfn.XLOOKUP("Screen Protector for Android Phone and Other",Stock1!B443,Stock1!I443,"")</f>
        <v/>
      </c>
      <c r="Z443" s="102" t="str">
        <f t="array" ref="Z443">_xlfn.XLOOKUP("Screen Protector for Galaxy Phone",Stock1!B443,Stock1!I443,"")</f>
        <v/>
      </c>
      <c r="AA443" s="102" t="str">
        <f t="array" ref="AA443">_xlfn.XLOOKUP("Screen Protector for Galaxy Tab",Stock1!B443,Stock1!I443,"")</f>
        <v/>
      </c>
      <c r="AB443" s="102" t="str">
        <f t="shared" si="4"/>
        <v/>
      </c>
      <c r="AC443" s="102" t="str">
        <f t="array" ref="AC443">_xlfn.XLOOKUP(AB443,Stock1!I443,Stock1!F443,"")</f>
        <v/>
      </c>
      <c r="AD443" s="102" t="str">
        <f t="array" ref="AD443">_xlfn.XLOOKUP(AB443,Stock1!I443,Stock1!J443,"")</f>
        <v/>
      </c>
      <c r="AE443" s="102" t="str">
        <f t="array" ref="AE443">_xlfn.XLOOKUP("Storage",Stock1!B443,Stock1!I443,"")</f>
        <v/>
      </c>
      <c r="AF443" s="102" t="str">
        <f t="array" ref="AF443">_xlfn.XLOOKUP(AE443,Stock1!I443,Stock1!F443,"")</f>
        <v/>
      </c>
      <c r="AG443" s="102" t="str">
        <f t="array" ref="AG443">_xlfn.XLOOKUP(AE443,Stock1!I443,Stock1!J443,"")</f>
        <v/>
      </c>
    </row>
    <row r="444">
      <c r="K444" s="660" t="str">
        <f t="array" ref="K444">IFERROR(_xlfn.XLOOKUP(I444,Incentive!B:B,Incentive!E:E,""),"")</f>
        <v/>
      </c>
      <c r="L444" s="659" t="str">
        <f>IFERROR(VLOOKUP(I444,Stock1!F:J,5,False),"")</f>
        <v/>
      </c>
      <c r="M444" s="659" t="str">
        <f>IFERROR(VLOOKUP(I444,Stock2!F:J,5,False),"")</f>
        <v/>
      </c>
      <c r="V444" s="102" t="str">
        <f t="array" ref="V444">_xlfn.XLOOKUP("Charger",Stock1!B444,Stock1!I444,"")</f>
        <v/>
      </c>
      <c r="W444" s="102" t="str">
        <f t="array" ref="W444">_xlfn.XLOOKUP(V444,Stock1!I444,Stock1!F444,"")</f>
        <v/>
      </c>
      <c r="X444" s="102" t="str">
        <f t="array" ref="X444">_xlfn.XLOOKUP(V444,Stock1!I444,Stock1!J444,"")</f>
        <v/>
      </c>
      <c r="Y444" s="102" t="str">
        <f t="array" ref="Y444">_xlfn.XLOOKUP("Screen Protector for Android Phone and Other",Stock1!B444,Stock1!I444,"")</f>
        <v/>
      </c>
      <c r="Z444" s="102" t="str">
        <f t="array" ref="Z444">_xlfn.XLOOKUP("Screen Protector for Galaxy Phone",Stock1!B444,Stock1!I444,"")</f>
        <v/>
      </c>
      <c r="AA444" s="102" t="str">
        <f t="array" ref="AA444">_xlfn.XLOOKUP("Screen Protector for Galaxy Tab",Stock1!B444,Stock1!I444,"")</f>
        <v/>
      </c>
      <c r="AB444" s="102" t="str">
        <f t="shared" si="4"/>
        <v/>
      </c>
      <c r="AC444" s="102" t="str">
        <f t="array" ref="AC444">_xlfn.XLOOKUP(AB444,Stock1!I444,Stock1!F444,"")</f>
        <v/>
      </c>
      <c r="AD444" s="102" t="str">
        <f t="array" ref="AD444">_xlfn.XLOOKUP(AB444,Stock1!I444,Stock1!J444,"")</f>
        <v/>
      </c>
      <c r="AE444" s="102" t="str">
        <f t="array" ref="AE444">_xlfn.XLOOKUP("Storage",Stock1!B444,Stock1!I444,"")</f>
        <v/>
      </c>
      <c r="AF444" s="102" t="str">
        <f t="array" ref="AF444">_xlfn.XLOOKUP(AE444,Stock1!I444,Stock1!F444,"")</f>
        <v/>
      </c>
      <c r="AG444" s="102" t="str">
        <f t="array" ref="AG444">_xlfn.XLOOKUP(AE444,Stock1!I444,Stock1!J444,"")</f>
        <v/>
      </c>
    </row>
    <row r="445">
      <c r="K445" s="660" t="str">
        <f t="array" ref="K445">IFERROR(_xlfn.XLOOKUP(I445,Incentive!B:B,Incentive!E:E,""),"")</f>
        <v/>
      </c>
      <c r="L445" s="659" t="str">
        <f>IFERROR(VLOOKUP(I445,Stock1!F:J,5,False),"")</f>
        <v/>
      </c>
      <c r="M445" s="659" t="str">
        <f>IFERROR(VLOOKUP(I445,Stock2!F:J,5,False),"")</f>
        <v/>
      </c>
      <c r="V445" s="102" t="str">
        <f t="array" ref="V445">_xlfn.XLOOKUP("Charger",Stock1!B445,Stock1!I445,"")</f>
        <v/>
      </c>
      <c r="W445" s="102" t="str">
        <f t="array" ref="W445">_xlfn.XLOOKUP(V445,Stock1!I445,Stock1!F445,"")</f>
        <v/>
      </c>
      <c r="X445" s="102" t="str">
        <f t="array" ref="X445">_xlfn.XLOOKUP(V445,Stock1!I445,Stock1!J445,"")</f>
        <v/>
      </c>
      <c r="Y445" s="102" t="str">
        <f t="array" ref="Y445">_xlfn.XLOOKUP("Screen Protector for Android Phone and Other",Stock1!B445,Stock1!I445,"")</f>
        <v/>
      </c>
      <c r="Z445" s="102" t="str">
        <f t="array" ref="Z445">_xlfn.XLOOKUP("Screen Protector for Galaxy Phone",Stock1!B445,Stock1!I445,"")</f>
        <v/>
      </c>
      <c r="AA445" s="102" t="str">
        <f t="array" ref="AA445">_xlfn.XLOOKUP("Screen Protector for Galaxy Tab",Stock1!B445,Stock1!I445,"")</f>
        <v/>
      </c>
      <c r="AB445" s="102" t="str">
        <f t="shared" si="4"/>
        <v/>
      </c>
      <c r="AC445" s="102" t="str">
        <f t="array" ref="AC445">_xlfn.XLOOKUP(AB445,Stock1!I445,Stock1!F445,"")</f>
        <v/>
      </c>
      <c r="AD445" s="102" t="str">
        <f t="array" ref="AD445">_xlfn.XLOOKUP(AB445,Stock1!I445,Stock1!J445,"")</f>
        <v/>
      </c>
      <c r="AE445" s="102" t="str">
        <f t="array" ref="AE445">_xlfn.XLOOKUP("Storage",Stock1!B445,Stock1!I445,"")</f>
        <v/>
      </c>
      <c r="AF445" s="102" t="str">
        <f t="array" ref="AF445">_xlfn.XLOOKUP(AE445,Stock1!I445,Stock1!F445,"")</f>
        <v/>
      </c>
      <c r="AG445" s="102" t="str">
        <f t="array" ref="AG445">_xlfn.XLOOKUP(AE445,Stock1!I445,Stock1!J445,"")</f>
        <v/>
      </c>
    </row>
    <row r="446">
      <c r="K446" s="660" t="str">
        <f t="array" ref="K446">IFERROR(_xlfn.XLOOKUP(I446,Incentive!B:B,Incentive!E:E,""),"")</f>
        <v/>
      </c>
      <c r="L446" s="659" t="str">
        <f>IFERROR(VLOOKUP(I446,Stock1!F:J,5,False),"")</f>
        <v/>
      </c>
      <c r="M446" s="659" t="str">
        <f>IFERROR(VLOOKUP(I446,Stock2!F:J,5,False),"")</f>
        <v/>
      </c>
      <c r="V446" s="102" t="str">
        <f t="array" ref="V446">_xlfn.XLOOKUP("Charger",Stock1!B446,Stock1!I446,"")</f>
        <v/>
      </c>
      <c r="W446" s="102" t="str">
        <f t="array" ref="W446">_xlfn.XLOOKUP(V446,Stock1!I446,Stock1!F446,"")</f>
        <v/>
      </c>
      <c r="X446" s="102" t="str">
        <f t="array" ref="X446">_xlfn.XLOOKUP(V446,Stock1!I446,Stock1!J446,"")</f>
        <v/>
      </c>
      <c r="Y446" s="102" t="str">
        <f t="array" ref="Y446">_xlfn.XLOOKUP("Screen Protector for Android Phone and Other",Stock1!B446,Stock1!I446,"")</f>
        <v/>
      </c>
      <c r="Z446" s="102" t="str">
        <f t="array" ref="Z446">_xlfn.XLOOKUP("Screen Protector for Galaxy Phone",Stock1!B446,Stock1!I446,"")</f>
        <v/>
      </c>
      <c r="AA446" s="102" t="str">
        <f t="array" ref="AA446">_xlfn.XLOOKUP("Screen Protector for Galaxy Tab",Stock1!B446,Stock1!I446,"")</f>
        <v/>
      </c>
      <c r="AB446" s="102" t="str">
        <f t="shared" si="4"/>
        <v/>
      </c>
      <c r="AC446" s="102" t="str">
        <f t="array" ref="AC446">_xlfn.XLOOKUP(AB446,Stock1!I446,Stock1!F446,"")</f>
        <v/>
      </c>
      <c r="AD446" s="102" t="str">
        <f t="array" ref="AD446">_xlfn.XLOOKUP(AB446,Stock1!I446,Stock1!J446,"")</f>
        <v/>
      </c>
      <c r="AE446" s="102" t="str">
        <f t="array" ref="AE446">_xlfn.XLOOKUP("Storage",Stock1!B446,Stock1!I446,"")</f>
        <v/>
      </c>
      <c r="AF446" s="102" t="str">
        <f t="array" ref="AF446">_xlfn.XLOOKUP(AE446,Stock1!I446,Stock1!F446,"")</f>
        <v/>
      </c>
      <c r="AG446" s="102" t="str">
        <f t="array" ref="AG446">_xlfn.XLOOKUP(AE446,Stock1!I446,Stock1!J446,"")</f>
        <v/>
      </c>
    </row>
    <row r="447">
      <c r="K447" s="660" t="str">
        <f t="array" ref="K447">IFERROR(_xlfn.XLOOKUP(I447,Incentive!B:B,Incentive!E:E,""),"")</f>
        <v/>
      </c>
      <c r="L447" s="659" t="str">
        <f>IFERROR(VLOOKUP(I447,Stock1!F:J,5,False),"")</f>
        <v/>
      </c>
      <c r="M447" s="659" t="str">
        <f>IFERROR(VLOOKUP(I447,Stock2!F:J,5,False),"")</f>
        <v/>
      </c>
      <c r="V447" s="102" t="str">
        <f t="array" ref="V447">_xlfn.XLOOKUP("Charger",Stock1!B447,Stock1!I447,"")</f>
        <v/>
      </c>
      <c r="W447" s="102" t="str">
        <f t="array" ref="W447">_xlfn.XLOOKUP(V447,Stock1!I447,Stock1!F447,"")</f>
        <v/>
      </c>
      <c r="X447" s="102" t="str">
        <f t="array" ref="X447">_xlfn.XLOOKUP(V447,Stock1!I447,Stock1!J447,"")</f>
        <v/>
      </c>
      <c r="Y447" s="102" t="str">
        <f t="array" ref="Y447">_xlfn.XLOOKUP("Screen Protector for Android Phone and Other",Stock1!B447,Stock1!I447,"")</f>
        <v/>
      </c>
      <c r="Z447" s="102" t="str">
        <f t="array" ref="Z447">_xlfn.XLOOKUP("Screen Protector for Galaxy Phone",Stock1!B447,Stock1!I447,"")</f>
        <v/>
      </c>
      <c r="AA447" s="102" t="str">
        <f t="array" ref="AA447">_xlfn.XLOOKUP("Screen Protector for Galaxy Tab",Stock1!B447,Stock1!I447,"")</f>
        <v/>
      </c>
      <c r="AB447" s="102" t="str">
        <f t="shared" si="4"/>
        <v/>
      </c>
      <c r="AC447" s="102" t="str">
        <f t="array" ref="AC447">_xlfn.XLOOKUP(AB447,Stock1!I447,Stock1!F447,"")</f>
        <v/>
      </c>
      <c r="AD447" s="102" t="str">
        <f t="array" ref="AD447">_xlfn.XLOOKUP(AB447,Stock1!I447,Stock1!J447,"")</f>
        <v/>
      </c>
      <c r="AE447" s="102" t="str">
        <f t="array" ref="AE447">_xlfn.XLOOKUP("Storage",Stock1!B447,Stock1!I447,"")</f>
        <v/>
      </c>
      <c r="AF447" s="102" t="str">
        <f t="array" ref="AF447">_xlfn.XLOOKUP(AE447,Stock1!I447,Stock1!F447,"")</f>
        <v/>
      </c>
      <c r="AG447" s="102" t="str">
        <f t="array" ref="AG447">_xlfn.XLOOKUP(AE447,Stock1!I447,Stock1!J447,"")</f>
        <v/>
      </c>
    </row>
    <row r="448">
      <c r="K448" s="660" t="str">
        <f t="array" ref="K448">IFERROR(_xlfn.XLOOKUP(I448,Incentive!B:B,Incentive!E:E,""),"")</f>
        <v/>
      </c>
      <c r="L448" s="659" t="str">
        <f>IFERROR(VLOOKUP(I448,Stock1!F:J,5,False),"")</f>
        <v/>
      </c>
      <c r="M448" s="659" t="str">
        <f>IFERROR(VLOOKUP(I448,Stock2!F:J,5,False),"")</f>
        <v/>
      </c>
      <c r="V448" s="102" t="str">
        <f t="array" ref="V448">_xlfn.XLOOKUP("Charger",Stock1!B448,Stock1!I448,"")</f>
        <v/>
      </c>
      <c r="W448" s="102" t="str">
        <f t="array" ref="W448">_xlfn.XLOOKUP(V448,Stock1!I448,Stock1!F448,"")</f>
        <v/>
      </c>
      <c r="X448" s="102" t="str">
        <f t="array" ref="X448">_xlfn.XLOOKUP(V448,Stock1!I448,Stock1!J448,"")</f>
        <v/>
      </c>
      <c r="Y448" s="102" t="str">
        <f t="array" ref="Y448">_xlfn.XLOOKUP("Screen Protector for Android Phone and Other",Stock1!B448,Stock1!I448,"")</f>
        <v/>
      </c>
      <c r="Z448" s="102" t="str">
        <f t="array" ref="Z448">_xlfn.XLOOKUP("Screen Protector for Galaxy Phone",Stock1!B448,Stock1!I448,"")</f>
        <v/>
      </c>
      <c r="AA448" s="102" t="str">
        <f t="array" ref="AA448">_xlfn.XLOOKUP("Screen Protector for Galaxy Tab",Stock1!B448,Stock1!I448,"")</f>
        <v/>
      </c>
      <c r="AB448" s="102" t="str">
        <f t="shared" si="4"/>
        <v/>
      </c>
      <c r="AC448" s="102" t="str">
        <f t="array" ref="AC448">_xlfn.XLOOKUP(AB448,Stock1!I448,Stock1!F448,"")</f>
        <v/>
      </c>
      <c r="AD448" s="102" t="str">
        <f t="array" ref="AD448">_xlfn.XLOOKUP(AB448,Stock1!I448,Stock1!J448,"")</f>
        <v/>
      </c>
      <c r="AE448" s="102" t="str">
        <f t="array" ref="AE448">_xlfn.XLOOKUP("Storage",Stock1!B448,Stock1!I448,"")</f>
        <v/>
      </c>
      <c r="AF448" s="102" t="str">
        <f t="array" ref="AF448">_xlfn.XLOOKUP(AE448,Stock1!I448,Stock1!F448,"")</f>
        <v/>
      </c>
      <c r="AG448" s="102" t="str">
        <f t="array" ref="AG448">_xlfn.XLOOKUP(AE448,Stock1!I448,Stock1!J448,"")</f>
        <v/>
      </c>
    </row>
    <row r="449">
      <c r="K449" s="660" t="str">
        <f t="array" ref="K449">IFERROR(_xlfn.XLOOKUP(I449,Incentive!B:B,Incentive!E:E,""),"")</f>
        <v/>
      </c>
      <c r="L449" s="659" t="str">
        <f>IFERROR(VLOOKUP(I449,Stock1!F:J,5,False),"")</f>
        <v/>
      </c>
      <c r="M449" s="659" t="str">
        <f>IFERROR(VLOOKUP(I449,Stock2!F:J,5,False),"")</f>
        <v/>
      </c>
      <c r="V449" s="102" t="str">
        <f t="array" ref="V449">_xlfn.XLOOKUP("Charger",Stock1!B449,Stock1!I449,"")</f>
        <v/>
      </c>
      <c r="W449" s="102" t="str">
        <f t="array" ref="W449">_xlfn.XLOOKUP(V449,Stock1!I449,Stock1!F449,"")</f>
        <v/>
      </c>
      <c r="X449" s="102" t="str">
        <f t="array" ref="X449">_xlfn.XLOOKUP(V449,Stock1!I449,Stock1!J449,"")</f>
        <v/>
      </c>
      <c r="Y449" s="102" t="str">
        <f t="array" ref="Y449">_xlfn.XLOOKUP("Screen Protector for Android Phone and Other",Stock1!B449,Stock1!I449,"")</f>
        <v/>
      </c>
      <c r="Z449" s="102" t="str">
        <f t="array" ref="Z449">_xlfn.XLOOKUP("Screen Protector for Galaxy Phone",Stock1!B449,Stock1!I449,"")</f>
        <v/>
      </c>
      <c r="AA449" s="102" t="str">
        <f t="array" ref="AA449">_xlfn.XLOOKUP("Screen Protector for Galaxy Tab",Stock1!B449,Stock1!I449,"")</f>
        <v/>
      </c>
      <c r="AB449" s="102" t="str">
        <f t="shared" si="4"/>
        <v/>
      </c>
      <c r="AC449" s="102" t="str">
        <f t="array" ref="AC449">_xlfn.XLOOKUP(AB449,Stock1!I449,Stock1!F449,"")</f>
        <v/>
      </c>
      <c r="AD449" s="102" t="str">
        <f t="array" ref="AD449">_xlfn.XLOOKUP(AB449,Stock1!I449,Stock1!J449,"")</f>
        <v/>
      </c>
      <c r="AE449" s="102" t="str">
        <f t="array" ref="AE449">_xlfn.XLOOKUP("Storage",Stock1!B449,Stock1!I449,"")</f>
        <v/>
      </c>
      <c r="AF449" s="102" t="str">
        <f t="array" ref="AF449">_xlfn.XLOOKUP(AE449,Stock1!I449,Stock1!F449,"")</f>
        <v/>
      </c>
      <c r="AG449" s="102" t="str">
        <f t="array" ref="AG449">_xlfn.XLOOKUP(AE449,Stock1!I449,Stock1!J449,"")</f>
        <v/>
      </c>
    </row>
    <row r="450">
      <c r="K450" s="660" t="str">
        <f t="array" ref="K450">IFERROR(_xlfn.XLOOKUP(I450,Incentive!B:B,Incentive!E:E,""),"")</f>
        <v/>
      </c>
      <c r="L450" s="659" t="str">
        <f>IFERROR(VLOOKUP(I450,Stock1!F:J,5,False),"")</f>
        <v/>
      </c>
      <c r="M450" s="659" t="str">
        <f>IFERROR(VLOOKUP(I450,Stock2!F:J,5,False),"")</f>
        <v/>
      </c>
      <c r="V450" s="102" t="str">
        <f t="array" ref="V450">_xlfn.XLOOKUP("Charger",Stock1!B450,Stock1!I450,"")</f>
        <v/>
      </c>
      <c r="W450" s="102" t="str">
        <f t="array" ref="W450">_xlfn.XLOOKUP(V450,Stock1!I450,Stock1!F450,"")</f>
        <v/>
      </c>
      <c r="X450" s="102" t="str">
        <f t="array" ref="X450">_xlfn.XLOOKUP(V450,Stock1!I450,Stock1!J450,"")</f>
        <v/>
      </c>
      <c r="Y450" s="102" t="str">
        <f t="array" ref="Y450">_xlfn.XLOOKUP("Screen Protector for Android Phone and Other",Stock1!B450,Stock1!I450,"")</f>
        <v/>
      </c>
      <c r="Z450" s="102" t="str">
        <f t="array" ref="Z450">_xlfn.XLOOKUP("Screen Protector for Galaxy Phone",Stock1!B450,Stock1!I450,"")</f>
        <v/>
      </c>
      <c r="AA450" s="102" t="str">
        <f t="array" ref="AA450">_xlfn.XLOOKUP("Screen Protector for Galaxy Tab",Stock1!B450,Stock1!I450,"")</f>
        <v/>
      </c>
      <c r="AB450" s="102" t="str">
        <f t="shared" si="4"/>
        <v/>
      </c>
      <c r="AC450" s="102" t="str">
        <f t="array" ref="AC450">_xlfn.XLOOKUP(AB450,Stock1!I450,Stock1!F450,"")</f>
        <v/>
      </c>
      <c r="AD450" s="102" t="str">
        <f t="array" ref="AD450">_xlfn.XLOOKUP(AB450,Stock1!I450,Stock1!J450,"")</f>
        <v/>
      </c>
      <c r="AE450" s="102" t="str">
        <f t="array" ref="AE450">_xlfn.XLOOKUP("Storage",Stock1!B450,Stock1!I450,"")</f>
        <v/>
      </c>
      <c r="AF450" s="102" t="str">
        <f t="array" ref="AF450">_xlfn.XLOOKUP(AE450,Stock1!I450,Stock1!F450,"")</f>
        <v/>
      </c>
      <c r="AG450" s="102" t="str">
        <f t="array" ref="AG450">_xlfn.XLOOKUP(AE450,Stock1!I450,Stock1!J450,"")</f>
        <v/>
      </c>
    </row>
    <row r="451">
      <c r="K451" s="660" t="str">
        <f t="array" ref="K451">IFERROR(_xlfn.XLOOKUP(I451,Incentive!B:B,Incentive!E:E,""),"")</f>
        <v/>
      </c>
      <c r="L451" s="659" t="str">
        <f>IFERROR(VLOOKUP(I451,Stock1!F:J,5,False),"")</f>
        <v/>
      </c>
      <c r="M451" s="659" t="str">
        <f>IFERROR(VLOOKUP(I451,Stock2!F:J,5,False),"")</f>
        <v/>
      </c>
      <c r="V451" s="102" t="str">
        <f t="array" ref="V451">_xlfn.XLOOKUP("Charger",Stock1!B451,Stock1!I451,"")</f>
        <v/>
      </c>
      <c r="W451" s="102" t="str">
        <f t="array" ref="W451">_xlfn.XLOOKUP(V451,Stock1!I451,Stock1!F451,"")</f>
        <v/>
      </c>
      <c r="X451" s="102" t="str">
        <f t="array" ref="X451">_xlfn.XLOOKUP(V451,Stock1!I451,Stock1!J451,"")</f>
        <v/>
      </c>
      <c r="Y451" s="102" t="str">
        <f t="array" ref="Y451">_xlfn.XLOOKUP("Screen Protector for Android Phone and Other",Stock1!B451,Stock1!I451,"")</f>
        <v/>
      </c>
      <c r="Z451" s="102" t="str">
        <f t="array" ref="Z451">_xlfn.XLOOKUP("Screen Protector for Galaxy Phone",Stock1!B451,Stock1!I451,"")</f>
        <v/>
      </c>
      <c r="AA451" s="102" t="str">
        <f t="array" ref="AA451">_xlfn.XLOOKUP("Screen Protector for Galaxy Tab",Stock1!B451,Stock1!I451,"")</f>
        <v/>
      </c>
      <c r="AB451" s="102" t="str">
        <f t="shared" si="4"/>
        <v/>
      </c>
      <c r="AC451" s="102" t="str">
        <f t="array" ref="AC451">_xlfn.XLOOKUP(AB451,Stock1!I451,Stock1!F451,"")</f>
        <v/>
      </c>
      <c r="AD451" s="102" t="str">
        <f t="array" ref="AD451">_xlfn.XLOOKUP(AB451,Stock1!I451,Stock1!J451,"")</f>
        <v/>
      </c>
      <c r="AE451" s="102" t="str">
        <f t="array" ref="AE451">_xlfn.XLOOKUP("Storage",Stock1!B451,Stock1!I451,"")</f>
        <v/>
      </c>
      <c r="AF451" s="102" t="str">
        <f t="array" ref="AF451">_xlfn.XLOOKUP(AE451,Stock1!I451,Stock1!F451,"")</f>
        <v/>
      </c>
      <c r="AG451" s="102" t="str">
        <f t="array" ref="AG451">_xlfn.XLOOKUP(AE451,Stock1!I451,Stock1!J451,"")</f>
        <v/>
      </c>
    </row>
    <row r="452">
      <c r="K452" s="660" t="str">
        <f t="array" ref="K452">IFERROR(_xlfn.XLOOKUP(I452,Incentive!B:B,Incentive!E:E,""),"")</f>
        <v/>
      </c>
      <c r="L452" s="659" t="str">
        <f>IFERROR(VLOOKUP(I452,Stock1!F:J,5,False),"")</f>
        <v/>
      </c>
      <c r="M452" s="659" t="str">
        <f>IFERROR(VLOOKUP(I452,Stock2!F:J,5,False),"")</f>
        <v/>
      </c>
      <c r="V452" s="102" t="str">
        <f t="array" ref="V452">_xlfn.XLOOKUP("Charger",Stock1!B452,Stock1!I452,"")</f>
        <v/>
      </c>
      <c r="W452" s="102" t="str">
        <f t="array" ref="W452">_xlfn.XLOOKUP(V452,Stock1!I452,Stock1!F452,"")</f>
        <v/>
      </c>
      <c r="X452" s="102" t="str">
        <f t="array" ref="X452">_xlfn.XLOOKUP(V452,Stock1!I452,Stock1!J452,"")</f>
        <v/>
      </c>
      <c r="Y452" s="102" t="str">
        <f t="array" ref="Y452">_xlfn.XLOOKUP("Screen Protector for Android Phone and Other",Stock1!B452,Stock1!I452,"")</f>
        <v/>
      </c>
      <c r="Z452" s="102" t="str">
        <f t="array" ref="Z452">_xlfn.XLOOKUP("Screen Protector for Galaxy Phone",Stock1!B452,Stock1!I452,"")</f>
        <v/>
      </c>
      <c r="AA452" s="102" t="str">
        <f t="array" ref="AA452">_xlfn.XLOOKUP("Screen Protector for Galaxy Tab",Stock1!B452,Stock1!I452,"")</f>
        <v/>
      </c>
      <c r="AB452" s="102" t="str">
        <f t="shared" si="4"/>
        <v/>
      </c>
      <c r="AC452" s="102" t="str">
        <f t="array" ref="AC452">_xlfn.XLOOKUP(AB452,Stock1!I452,Stock1!F452,"")</f>
        <v/>
      </c>
      <c r="AD452" s="102" t="str">
        <f t="array" ref="AD452">_xlfn.XLOOKUP(AB452,Stock1!I452,Stock1!J452,"")</f>
        <v/>
      </c>
      <c r="AE452" s="102" t="str">
        <f t="array" ref="AE452">_xlfn.XLOOKUP("Storage",Stock1!B452,Stock1!I452,"")</f>
        <v/>
      </c>
      <c r="AF452" s="102" t="str">
        <f t="array" ref="AF452">_xlfn.XLOOKUP(AE452,Stock1!I452,Stock1!F452,"")</f>
        <v/>
      </c>
      <c r="AG452" s="102" t="str">
        <f t="array" ref="AG452">_xlfn.XLOOKUP(AE452,Stock1!I452,Stock1!J452,"")</f>
        <v/>
      </c>
    </row>
    <row r="453">
      <c r="K453" s="660" t="str">
        <f t="array" ref="K453">IFERROR(_xlfn.XLOOKUP(I453,Incentive!B:B,Incentive!E:E,""),"")</f>
        <v/>
      </c>
      <c r="L453" s="659" t="str">
        <f>IFERROR(VLOOKUP(I453,Stock1!F:J,5,False),"")</f>
        <v/>
      </c>
      <c r="M453" s="659" t="str">
        <f>IFERROR(VLOOKUP(I453,Stock2!F:J,5,False),"")</f>
        <v/>
      </c>
      <c r="V453" s="102" t="str">
        <f t="array" ref="V453">_xlfn.XLOOKUP("Charger",Stock1!B453,Stock1!I453,"")</f>
        <v/>
      </c>
      <c r="W453" s="102" t="str">
        <f t="array" ref="W453">_xlfn.XLOOKUP(V453,Stock1!I453,Stock1!F453,"")</f>
        <v/>
      </c>
      <c r="X453" s="102" t="str">
        <f t="array" ref="X453">_xlfn.XLOOKUP(V453,Stock1!I453,Stock1!J453,"")</f>
        <v/>
      </c>
      <c r="Y453" s="102" t="str">
        <f t="array" ref="Y453">_xlfn.XLOOKUP("Screen Protector for Android Phone and Other",Stock1!B453,Stock1!I453,"")</f>
        <v/>
      </c>
      <c r="Z453" s="102" t="str">
        <f t="array" ref="Z453">_xlfn.XLOOKUP("Screen Protector for Galaxy Phone",Stock1!B453,Stock1!I453,"")</f>
        <v/>
      </c>
      <c r="AA453" s="102" t="str">
        <f t="array" ref="AA453">_xlfn.XLOOKUP("Screen Protector for Galaxy Tab",Stock1!B453,Stock1!I453,"")</f>
        <v/>
      </c>
      <c r="AB453" s="102" t="str">
        <f t="shared" si="4"/>
        <v/>
      </c>
      <c r="AC453" s="102" t="str">
        <f t="array" ref="AC453">_xlfn.XLOOKUP(AB453,Stock1!I453,Stock1!F453,"")</f>
        <v/>
      </c>
      <c r="AD453" s="102" t="str">
        <f t="array" ref="AD453">_xlfn.XLOOKUP(AB453,Stock1!I453,Stock1!J453,"")</f>
        <v/>
      </c>
      <c r="AE453" s="102" t="str">
        <f t="array" ref="AE453">_xlfn.XLOOKUP("Storage",Stock1!B453,Stock1!I453,"")</f>
        <v/>
      </c>
      <c r="AF453" s="102" t="str">
        <f t="array" ref="AF453">_xlfn.XLOOKUP(AE453,Stock1!I453,Stock1!F453,"")</f>
        <v/>
      </c>
      <c r="AG453" s="102" t="str">
        <f t="array" ref="AG453">_xlfn.XLOOKUP(AE453,Stock1!I453,Stock1!J453,"")</f>
        <v/>
      </c>
    </row>
    <row r="454">
      <c r="K454" s="660" t="str">
        <f t="array" ref="K454">IFERROR(_xlfn.XLOOKUP(I454,Incentive!B:B,Incentive!E:E,""),"")</f>
        <v/>
      </c>
      <c r="L454" s="659" t="str">
        <f>IFERROR(VLOOKUP(I454,Stock1!F:J,5,False),"")</f>
        <v/>
      </c>
      <c r="M454" s="659" t="str">
        <f>IFERROR(VLOOKUP(I454,Stock2!F:J,5,False),"")</f>
        <v/>
      </c>
      <c r="V454" s="102" t="str">
        <f t="array" ref="V454">_xlfn.XLOOKUP("Charger",Stock1!B454,Stock1!I454,"")</f>
        <v/>
      </c>
      <c r="W454" s="102" t="str">
        <f t="array" ref="W454">_xlfn.XLOOKUP(V454,Stock1!I454,Stock1!F454,"")</f>
        <v/>
      </c>
      <c r="X454" s="102" t="str">
        <f t="array" ref="X454">_xlfn.XLOOKUP(V454,Stock1!I454,Stock1!J454,"")</f>
        <v/>
      </c>
      <c r="Y454" s="102" t="str">
        <f t="array" ref="Y454">_xlfn.XLOOKUP("Screen Protector for Android Phone and Other",Stock1!B454,Stock1!I454,"")</f>
        <v/>
      </c>
      <c r="Z454" s="102" t="str">
        <f t="array" ref="Z454">_xlfn.XLOOKUP("Screen Protector for Galaxy Phone",Stock1!B454,Stock1!I454,"")</f>
        <v/>
      </c>
      <c r="AA454" s="102" t="str">
        <f t="array" ref="AA454">_xlfn.XLOOKUP("Screen Protector for Galaxy Tab",Stock1!B454,Stock1!I454,"")</f>
        <v/>
      </c>
      <c r="AB454" s="102" t="str">
        <f t="shared" si="4"/>
        <v/>
      </c>
      <c r="AC454" s="102" t="str">
        <f t="array" ref="AC454">_xlfn.XLOOKUP(AB454,Stock1!I454,Stock1!F454,"")</f>
        <v/>
      </c>
      <c r="AD454" s="102" t="str">
        <f t="array" ref="AD454">_xlfn.XLOOKUP(AB454,Stock1!I454,Stock1!J454,"")</f>
        <v/>
      </c>
      <c r="AE454" s="102" t="str">
        <f t="array" ref="AE454">_xlfn.XLOOKUP("Storage",Stock1!B454,Stock1!I454,"")</f>
        <v/>
      </c>
      <c r="AF454" s="102" t="str">
        <f t="array" ref="AF454">_xlfn.XLOOKUP(AE454,Stock1!I454,Stock1!F454,"")</f>
        <v/>
      </c>
      <c r="AG454" s="102" t="str">
        <f t="array" ref="AG454">_xlfn.XLOOKUP(AE454,Stock1!I454,Stock1!J454,"")</f>
        <v/>
      </c>
    </row>
    <row r="455">
      <c r="K455" s="660" t="str">
        <f t="array" ref="K455">IFERROR(_xlfn.XLOOKUP(I455,Incentive!B:B,Incentive!E:E,""),"")</f>
        <v/>
      </c>
      <c r="L455" s="659" t="str">
        <f>IFERROR(VLOOKUP(I455,Stock1!F:J,5,False),"")</f>
        <v/>
      </c>
      <c r="M455" s="659" t="str">
        <f>IFERROR(VLOOKUP(I455,Stock2!F:J,5,False),"")</f>
        <v/>
      </c>
      <c r="V455" s="102" t="str">
        <f t="array" ref="V455">_xlfn.XLOOKUP("Charger",Stock1!B455,Stock1!I455,"")</f>
        <v/>
      </c>
      <c r="W455" s="102" t="str">
        <f t="array" ref="W455">_xlfn.XLOOKUP(V455,Stock1!I455,Stock1!F455,"")</f>
        <v/>
      </c>
      <c r="X455" s="102" t="str">
        <f t="array" ref="X455">_xlfn.XLOOKUP(V455,Stock1!I455,Stock1!J455,"")</f>
        <v/>
      </c>
      <c r="Y455" s="102" t="str">
        <f t="array" ref="Y455">_xlfn.XLOOKUP("Screen Protector for Android Phone and Other",Stock1!B455,Stock1!I455,"")</f>
        <v/>
      </c>
      <c r="Z455" s="102" t="str">
        <f t="array" ref="Z455">_xlfn.XLOOKUP("Screen Protector for Galaxy Phone",Stock1!B455,Stock1!I455,"")</f>
        <v/>
      </c>
      <c r="AA455" s="102" t="str">
        <f t="array" ref="AA455">_xlfn.XLOOKUP("Screen Protector for Galaxy Tab",Stock1!B455,Stock1!I455,"")</f>
        <v/>
      </c>
      <c r="AB455" s="102" t="str">
        <f t="shared" si="4"/>
        <v/>
      </c>
      <c r="AC455" s="102" t="str">
        <f t="array" ref="AC455">_xlfn.XLOOKUP(AB455,Stock1!I455,Stock1!F455,"")</f>
        <v/>
      </c>
      <c r="AD455" s="102" t="str">
        <f t="array" ref="AD455">_xlfn.XLOOKUP(AB455,Stock1!I455,Stock1!J455,"")</f>
        <v/>
      </c>
      <c r="AE455" s="102" t="str">
        <f t="array" ref="AE455">_xlfn.XLOOKUP("Storage",Stock1!B455,Stock1!I455,"")</f>
        <v/>
      </c>
      <c r="AF455" s="102" t="str">
        <f t="array" ref="AF455">_xlfn.XLOOKUP(AE455,Stock1!I455,Stock1!F455,"")</f>
        <v/>
      </c>
      <c r="AG455" s="102" t="str">
        <f t="array" ref="AG455">_xlfn.XLOOKUP(AE455,Stock1!I455,Stock1!J455,"")</f>
        <v/>
      </c>
    </row>
    <row r="456">
      <c r="K456" s="660" t="str">
        <f t="array" ref="K456">IFERROR(_xlfn.XLOOKUP(I456,Incentive!B:B,Incentive!E:E,""),"")</f>
        <v/>
      </c>
      <c r="L456" s="659" t="str">
        <f>IFERROR(VLOOKUP(I456,Stock1!F:J,5,False),"")</f>
        <v/>
      </c>
      <c r="M456" s="659" t="str">
        <f>IFERROR(VLOOKUP(I456,Stock2!F:J,5,False),"")</f>
        <v/>
      </c>
      <c r="V456" s="102" t="str">
        <f t="array" ref="V456">_xlfn.XLOOKUP("Charger",Stock1!B456,Stock1!I456,"")</f>
        <v/>
      </c>
      <c r="W456" s="102" t="str">
        <f t="array" ref="W456">_xlfn.XLOOKUP(V456,Stock1!I456,Stock1!F456,"")</f>
        <v/>
      </c>
      <c r="X456" s="102" t="str">
        <f t="array" ref="X456">_xlfn.XLOOKUP(V456,Stock1!I456,Stock1!J456,"")</f>
        <v/>
      </c>
      <c r="Y456" s="102" t="str">
        <f t="array" ref="Y456">_xlfn.XLOOKUP("Screen Protector for Android Phone and Other",Stock1!B456,Stock1!I456,"")</f>
        <v/>
      </c>
      <c r="Z456" s="102" t="str">
        <f t="array" ref="Z456">_xlfn.XLOOKUP("Screen Protector for Galaxy Phone",Stock1!B456,Stock1!I456,"")</f>
        <v/>
      </c>
      <c r="AA456" s="102" t="str">
        <f t="array" ref="AA456">_xlfn.XLOOKUP("Screen Protector for Galaxy Tab",Stock1!B456,Stock1!I456,"")</f>
        <v/>
      </c>
      <c r="AB456" s="102" t="str">
        <f t="shared" si="4"/>
        <v/>
      </c>
      <c r="AC456" s="102" t="str">
        <f t="array" ref="AC456">_xlfn.XLOOKUP(AB456,Stock1!I456,Stock1!F456,"")</f>
        <v/>
      </c>
      <c r="AD456" s="102" t="str">
        <f t="array" ref="AD456">_xlfn.XLOOKUP(AB456,Stock1!I456,Stock1!J456,"")</f>
        <v/>
      </c>
      <c r="AE456" s="102" t="str">
        <f t="array" ref="AE456">_xlfn.XLOOKUP("Storage",Stock1!B456,Stock1!I456,"")</f>
        <v/>
      </c>
      <c r="AF456" s="102" t="str">
        <f t="array" ref="AF456">_xlfn.XLOOKUP(AE456,Stock1!I456,Stock1!F456,"")</f>
        <v/>
      </c>
      <c r="AG456" s="102" t="str">
        <f t="array" ref="AG456">_xlfn.XLOOKUP(AE456,Stock1!I456,Stock1!J456,"")</f>
        <v/>
      </c>
    </row>
    <row r="457">
      <c r="K457" s="660" t="str">
        <f t="array" ref="K457">IFERROR(_xlfn.XLOOKUP(I457,Incentive!B:B,Incentive!E:E,""),"")</f>
        <v/>
      </c>
      <c r="L457" s="659" t="str">
        <f>IFERROR(VLOOKUP(I457,Stock1!F:J,5,False),"")</f>
        <v/>
      </c>
      <c r="M457" s="659" t="str">
        <f>IFERROR(VLOOKUP(I457,Stock2!F:J,5,False),"")</f>
        <v/>
      </c>
      <c r="V457" s="102" t="str">
        <f t="array" ref="V457">_xlfn.XLOOKUP("Charger",Stock1!B457,Stock1!I457,"")</f>
        <v/>
      </c>
      <c r="W457" s="102" t="str">
        <f t="array" ref="W457">_xlfn.XLOOKUP(V457,Stock1!I457,Stock1!F457,"")</f>
        <v/>
      </c>
      <c r="X457" s="102" t="str">
        <f t="array" ref="X457">_xlfn.XLOOKUP(V457,Stock1!I457,Stock1!J457,"")</f>
        <v/>
      </c>
      <c r="Y457" s="102" t="str">
        <f t="array" ref="Y457">_xlfn.XLOOKUP("Screen Protector for Android Phone and Other",Stock1!B457,Stock1!I457,"")</f>
        <v/>
      </c>
      <c r="Z457" s="102" t="str">
        <f t="array" ref="Z457">_xlfn.XLOOKUP("Screen Protector for Galaxy Phone",Stock1!B457,Stock1!I457,"")</f>
        <v/>
      </c>
      <c r="AA457" s="102" t="str">
        <f t="array" ref="AA457">_xlfn.XLOOKUP("Screen Protector for Galaxy Tab",Stock1!B457,Stock1!I457,"")</f>
        <v/>
      </c>
      <c r="AB457" s="102" t="str">
        <f t="shared" si="4"/>
        <v/>
      </c>
      <c r="AC457" s="102" t="str">
        <f t="array" ref="AC457">_xlfn.XLOOKUP(AB457,Stock1!I457,Stock1!F457,"")</f>
        <v/>
      </c>
      <c r="AD457" s="102" t="str">
        <f t="array" ref="AD457">_xlfn.XLOOKUP(AB457,Stock1!I457,Stock1!J457,"")</f>
        <v/>
      </c>
      <c r="AE457" s="102" t="str">
        <f t="array" ref="AE457">_xlfn.XLOOKUP("Storage",Stock1!B457,Stock1!I457,"")</f>
        <v/>
      </c>
      <c r="AF457" s="102" t="str">
        <f t="array" ref="AF457">_xlfn.XLOOKUP(AE457,Stock1!I457,Stock1!F457,"")</f>
        <v/>
      </c>
      <c r="AG457" s="102" t="str">
        <f t="array" ref="AG457">_xlfn.XLOOKUP(AE457,Stock1!I457,Stock1!J457,"")</f>
        <v/>
      </c>
    </row>
    <row r="458">
      <c r="K458" s="660" t="str">
        <f t="array" ref="K458">IFERROR(_xlfn.XLOOKUP(I458,Incentive!B:B,Incentive!E:E,""),"")</f>
        <v/>
      </c>
      <c r="L458" s="659" t="str">
        <f>IFERROR(VLOOKUP(I458,Stock1!F:J,5,False),"")</f>
        <v/>
      </c>
      <c r="M458" s="659" t="str">
        <f>IFERROR(VLOOKUP(I458,Stock2!F:J,5,False),"")</f>
        <v/>
      </c>
      <c r="V458" s="102" t="str">
        <f t="array" ref="V458">_xlfn.XLOOKUP("Charger",Stock1!B458,Stock1!I458,"")</f>
        <v/>
      </c>
      <c r="W458" s="102" t="str">
        <f t="array" ref="W458">_xlfn.XLOOKUP(V458,Stock1!I458,Stock1!F458,"")</f>
        <v/>
      </c>
      <c r="X458" s="102" t="str">
        <f t="array" ref="X458">_xlfn.XLOOKUP(V458,Stock1!I458,Stock1!J458,"")</f>
        <v/>
      </c>
      <c r="Y458" s="102" t="str">
        <f t="array" ref="Y458">_xlfn.XLOOKUP("Screen Protector for Android Phone and Other",Stock1!B458,Stock1!I458,"")</f>
        <v/>
      </c>
      <c r="Z458" s="102" t="str">
        <f t="array" ref="Z458">_xlfn.XLOOKUP("Screen Protector for Galaxy Phone",Stock1!B458,Stock1!I458,"")</f>
        <v/>
      </c>
      <c r="AA458" s="102" t="str">
        <f t="array" ref="AA458">_xlfn.XLOOKUP("Screen Protector for Galaxy Tab",Stock1!B458,Stock1!I458,"")</f>
        <v/>
      </c>
      <c r="AB458" s="102" t="str">
        <f t="shared" si="4"/>
        <v/>
      </c>
      <c r="AC458" s="102" t="str">
        <f t="array" ref="AC458">_xlfn.XLOOKUP(AB458,Stock1!I458,Stock1!F458,"")</f>
        <v/>
      </c>
      <c r="AD458" s="102" t="str">
        <f t="array" ref="AD458">_xlfn.XLOOKUP(AB458,Stock1!I458,Stock1!J458,"")</f>
        <v/>
      </c>
      <c r="AE458" s="102" t="str">
        <f t="array" ref="AE458">_xlfn.XLOOKUP("Storage",Stock1!B458,Stock1!I458,"")</f>
        <v/>
      </c>
      <c r="AF458" s="102" t="str">
        <f t="array" ref="AF458">_xlfn.XLOOKUP(AE458,Stock1!I458,Stock1!F458,"")</f>
        <v/>
      </c>
      <c r="AG458" s="102" t="str">
        <f t="array" ref="AG458">_xlfn.XLOOKUP(AE458,Stock1!I458,Stock1!J458,"")</f>
        <v/>
      </c>
    </row>
    <row r="459">
      <c r="K459" s="660" t="str">
        <f t="array" ref="K459">IFERROR(_xlfn.XLOOKUP(I459,Incentive!B:B,Incentive!E:E,""),"")</f>
        <v/>
      </c>
      <c r="L459" s="659" t="str">
        <f>IFERROR(VLOOKUP(I459,Stock1!F:J,5,False),"")</f>
        <v/>
      </c>
      <c r="M459" s="659" t="str">
        <f>IFERROR(VLOOKUP(I459,Stock2!F:J,5,False),"")</f>
        <v/>
      </c>
      <c r="V459" s="102" t="str">
        <f t="array" ref="V459">_xlfn.XLOOKUP("Charger",Stock1!B459,Stock1!I459,"")</f>
        <v/>
      </c>
      <c r="W459" s="102" t="str">
        <f t="array" ref="W459">_xlfn.XLOOKUP(V459,Stock1!I459,Stock1!F459,"")</f>
        <v/>
      </c>
      <c r="X459" s="102" t="str">
        <f t="array" ref="X459">_xlfn.XLOOKUP(V459,Stock1!I459,Stock1!J459,"")</f>
        <v/>
      </c>
      <c r="Y459" s="102" t="str">
        <f t="array" ref="Y459">_xlfn.XLOOKUP("Screen Protector for Android Phone and Other",Stock1!B459,Stock1!I459,"")</f>
        <v/>
      </c>
      <c r="Z459" s="102" t="str">
        <f t="array" ref="Z459">_xlfn.XLOOKUP("Screen Protector for Galaxy Phone",Stock1!B459,Stock1!I459,"")</f>
        <v/>
      </c>
      <c r="AA459" s="102" t="str">
        <f t="array" ref="AA459">_xlfn.XLOOKUP("Screen Protector for Galaxy Tab",Stock1!B459,Stock1!I459,"")</f>
        <v/>
      </c>
      <c r="AB459" s="102" t="str">
        <f t="shared" si="4"/>
        <v/>
      </c>
      <c r="AC459" s="102" t="str">
        <f t="array" ref="AC459">_xlfn.XLOOKUP(AB459,Stock1!I459,Stock1!F459,"")</f>
        <v/>
      </c>
      <c r="AD459" s="102" t="str">
        <f t="array" ref="AD459">_xlfn.XLOOKUP(AB459,Stock1!I459,Stock1!J459,"")</f>
        <v/>
      </c>
      <c r="AE459" s="102" t="str">
        <f t="array" ref="AE459">_xlfn.XLOOKUP("Storage",Stock1!B459,Stock1!I459,"")</f>
        <v/>
      </c>
      <c r="AF459" s="102" t="str">
        <f t="array" ref="AF459">_xlfn.XLOOKUP(AE459,Stock1!I459,Stock1!F459,"")</f>
        <v/>
      </c>
      <c r="AG459" s="102" t="str">
        <f t="array" ref="AG459">_xlfn.XLOOKUP(AE459,Stock1!I459,Stock1!J459,"")</f>
        <v/>
      </c>
    </row>
    <row r="460">
      <c r="K460" s="660" t="str">
        <f t="array" ref="K460">IFERROR(_xlfn.XLOOKUP(I460,Incentive!B:B,Incentive!E:E,""),"")</f>
        <v/>
      </c>
      <c r="L460" s="659" t="str">
        <f>IFERROR(VLOOKUP(I460,Stock1!F:J,5,False),"")</f>
        <v/>
      </c>
      <c r="M460" s="659" t="str">
        <f>IFERROR(VLOOKUP(I460,Stock2!F:J,5,False),"")</f>
        <v/>
      </c>
      <c r="V460" s="102" t="str">
        <f t="array" ref="V460">_xlfn.XLOOKUP("Charger",Stock1!B460,Stock1!I460,"")</f>
        <v/>
      </c>
      <c r="W460" s="102" t="str">
        <f t="array" ref="W460">_xlfn.XLOOKUP(V460,Stock1!I460,Stock1!F460,"")</f>
        <v/>
      </c>
      <c r="X460" s="102" t="str">
        <f t="array" ref="X460">_xlfn.XLOOKUP(V460,Stock1!I460,Stock1!J460,"")</f>
        <v/>
      </c>
      <c r="Y460" s="102" t="str">
        <f t="array" ref="Y460">_xlfn.XLOOKUP("Screen Protector for Android Phone and Other",Stock1!B460,Stock1!I460,"")</f>
        <v/>
      </c>
      <c r="Z460" s="102" t="str">
        <f t="array" ref="Z460">_xlfn.XLOOKUP("Screen Protector for Galaxy Phone",Stock1!B460,Stock1!I460,"")</f>
        <v/>
      </c>
      <c r="AA460" s="102" t="str">
        <f t="array" ref="AA460">_xlfn.XLOOKUP("Screen Protector for Galaxy Tab",Stock1!B460,Stock1!I460,"")</f>
        <v/>
      </c>
      <c r="AB460" s="102" t="str">
        <f t="shared" si="4"/>
        <v/>
      </c>
      <c r="AC460" s="102" t="str">
        <f t="array" ref="AC460">_xlfn.XLOOKUP(AB460,Stock1!I460,Stock1!F460,"")</f>
        <v/>
      </c>
      <c r="AD460" s="102" t="str">
        <f t="array" ref="AD460">_xlfn.XLOOKUP(AB460,Stock1!I460,Stock1!J460,"")</f>
        <v/>
      </c>
      <c r="AE460" s="102" t="str">
        <f t="array" ref="AE460">_xlfn.XLOOKUP("Storage",Stock1!B460,Stock1!I460,"")</f>
        <v/>
      </c>
      <c r="AF460" s="102" t="str">
        <f t="array" ref="AF460">_xlfn.XLOOKUP(AE460,Stock1!I460,Stock1!F460,"")</f>
        <v/>
      </c>
      <c r="AG460" s="102" t="str">
        <f t="array" ref="AG460">_xlfn.XLOOKUP(AE460,Stock1!I460,Stock1!J460,"")</f>
        <v/>
      </c>
    </row>
    <row r="461">
      <c r="K461" s="660" t="str">
        <f t="array" ref="K461">IFERROR(_xlfn.XLOOKUP(I461,Incentive!B:B,Incentive!E:E,""),"")</f>
        <v/>
      </c>
      <c r="L461" s="659" t="str">
        <f>IFERROR(VLOOKUP(I461,Stock1!F:J,5,False),"")</f>
        <v/>
      </c>
      <c r="M461" s="659" t="str">
        <f>IFERROR(VLOOKUP(I461,Stock2!F:J,5,False),"")</f>
        <v/>
      </c>
      <c r="V461" s="102" t="str">
        <f t="array" ref="V461">_xlfn.XLOOKUP("Charger",Stock1!B461,Stock1!I461,"")</f>
        <v/>
      </c>
      <c r="W461" s="102" t="str">
        <f t="array" ref="W461">_xlfn.XLOOKUP(V461,Stock1!I461,Stock1!F461,"")</f>
        <v/>
      </c>
      <c r="X461" s="102" t="str">
        <f t="array" ref="X461">_xlfn.XLOOKUP(V461,Stock1!I461,Stock1!J461,"")</f>
        <v/>
      </c>
      <c r="Y461" s="102" t="str">
        <f t="array" ref="Y461">_xlfn.XLOOKUP("Screen Protector for Android Phone and Other",Stock1!B461,Stock1!I461,"")</f>
        <v/>
      </c>
      <c r="Z461" s="102" t="str">
        <f t="array" ref="Z461">_xlfn.XLOOKUP("Screen Protector for Galaxy Phone",Stock1!B461,Stock1!I461,"")</f>
        <v/>
      </c>
      <c r="AA461" s="102" t="str">
        <f t="array" ref="AA461">_xlfn.XLOOKUP("Screen Protector for Galaxy Tab",Stock1!B461,Stock1!I461,"")</f>
        <v/>
      </c>
      <c r="AB461" s="102" t="str">
        <f t="shared" si="4"/>
        <v/>
      </c>
      <c r="AC461" s="102" t="str">
        <f t="array" ref="AC461">_xlfn.XLOOKUP(AB461,Stock1!I461,Stock1!F461,"")</f>
        <v/>
      </c>
      <c r="AD461" s="102" t="str">
        <f t="array" ref="AD461">_xlfn.XLOOKUP(AB461,Stock1!I461,Stock1!J461,"")</f>
        <v/>
      </c>
      <c r="AE461" s="102" t="str">
        <f t="array" ref="AE461">_xlfn.XLOOKUP("Storage",Stock1!B461,Stock1!I461,"")</f>
        <v/>
      </c>
      <c r="AF461" s="102" t="str">
        <f t="array" ref="AF461">_xlfn.XLOOKUP(AE461,Stock1!I461,Stock1!F461,"")</f>
        <v/>
      </c>
      <c r="AG461" s="102" t="str">
        <f t="array" ref="AG461">_xlfn.XLOOKUP(AE461,Stock1!I461,Stock1!J461,"")</f>
        <v/>
      </c>
    </row>
    <row r="462">
      <c r="K462" s="660" t="str">
        <f t="array" ref="K462">IFERROR(_xlfn.XLOOKUP(I462,Incentive!B:B,Incentive!E:E,""),"")</f>
        <v/>
      </c>
      <c r="L462" s="659" t="str">
        <f>IFERROR(VLOOKUP(I462,Stock1!F:J,5,False),"")</f>
        <v/>
      </c>
      <c r="M462" s="659" t="str">
        <f>IFERROR(VLOOKUP(I462,Stock2!F:J,5,False),"")</f>
        <v/>
      </c>
      <c r="V462" s="102" t="str">
        <f t="array" ref="V462">_xlfn.XLOOKUP("Charger",Stock1!B462,Stock1!I462,"")</f>
        <v/>
      </c>
      <c r="W462" s="102" t="str">
        <f t="array" ref="W462">_xlfn.XLOOKUP(V462,Stock1!I462,Stock1!F462,"")</f>
        <v/>
      </c>
      <c r="X462" s="102" t="str">
        <f t="array" ref="X462">_xlfn.XLOOKUP(V462,Stock1!I462,Stock1!J462,"")</f>
        <v/>
      </c>
      <c r="Y462" s="102" t="str">
        <f t="array" ref="Y462">_xlfn.XLOOKUP("Screen Protector for Android Phone and Other",Stock1!B462,Stock1!I462,"")</f>
        <v/>
      </c>
      <c r="Z462" s="102" t="str">
        <f t="array" ref="Z462">_xlfn.XLOOKUP("Screen Protector for Galaxy Phone",Stock1!B462,Stock1!I462,"")</f>
        <v/>
      </c>
      <c r="AA462" s="102" t="str">
        <f t="array" ref="AA462">_xlfn.XLOOKUP("Screen Protector for Galaxy Tab",Stock1!B462,Stock1!I462,"")</f>
        <v/>
      </c>
      <c r="AB462" s="102" t="str">
        <f t="shared" si="4"/>
        <v/>
      </c>
      <c r="AC462" s="102" t="str">
        <f t="array" ref="AC462">_xlfn.XLOOKUP(AB462,Stock1!I462,Stock1!F462,"")</f>
        <v/>
      </c>
      <c r="AD462" s="102" t="str">
        <f t="array" ref="AD462">_xlfn.XLOOKUP(AB462,Stock1!I462,Stock1!J462,"")</f>
        <v/>
      </c>
      <c r="AE462" s="102" t="str">
        <f t="array" ref="AE462">_xlfn.XLOOKUP("Storage",Stock1!B462,Stock1!I462,"")</f>
        <v/>
      </c>
      <c r="AF462" s="102" t="str">
        <f t="array" ref="AF462">_xlfn.XLOOKUP(AE462,Stock1!I462,Stock1!F462,"")</f>
        <v/>
      </c>
      <c r="AG462" s="102" t="str">
        <f t="array" ref="AG462">_xlfn.XLOOKUP(AE462,Stock1!I462,Stock1!J462,"")</f>
        <v/>
      </c>
    </row>
    <row r="463">
      <c r="K463" s="660" t="str">
        <f t="array" ref="K463">IFERROR(_xlfn.XLOOKUP(I463,Incentive!B:B,Incentive!E:E,""),"")</f>
        <v/>
      </c>
      <c r="L463" s="659" t="str">
        <f>IFERROR(VLOOKUP(I463,Stock1!F:J,5,False),"")</f>
        <v/>
      </c>
      <c r="M463" s="659" t="str">
        <f>IFERROR(VLOOKUP(I463,Stock2!F:J,5,False),"")</f>
        <v/>
      </c>
      <c r="V463" s="102" t="str">
        <f t="array" ref="V463">_xlfn.XLOOKUP("Charger",Stock1!B463,Stock1!I463,"")</f>
        <v/>
      </c>
      <c r="W463" s="102" t="str">
        <f t="array" ref="W463">_xlfn.XLOOKUP(V463,Stock1!I463,Stock1!F463,"")</f>
        <v/>
      </c>
      <c r="X463" s="102" t="str">
        <f t="array" ref="X463">_xlfn.XLOOKUP(V463,Stock1!I463,Stock1!J463,"")</f>
        <v/>
      </c>
      <c r="Y463" s="102" t="str">
        <f t="array" ref="Y463">_xlfn.XLOOKUP("Screen Protector for Android Phone and Other",Stock1!B463,Stock1!I463,"")</f>
        <v/>
      </c>
      <c r="Z463" s="102" t="str">
        <f t="array" ref="Z463">_xlfn.XLOOKUP("Screen Protector for Galaxy Phone",Stock1!B463,Stock1!I463,"")</f>
        <v/>
      </c>
      <c r="AA463" s="102" t="str">
        <f t="array" ref="AA463">_xlfn.XLOOKUP("Screen Protector for Galaxy Tab",Stock1!B463,Stock1!I463,"")</f>
        <v/>
      </c>
      <c r="AB463" s="102" t="str">
        <f t="shared" si="4"/>
        <v/>
      </c>
      <c r="AC463" s="102" t="str">
        <f t="array" ref="AC463">_xlfn.XLOOKUP(AB463,Stock1!I463,Stock1!F463,"")</f>
        <v/>
      </c>
      <c r="AD463" s="102" t="str">
        <f t="array" ref="AD463">_xlfn.XLOOKUP(AB463,Stock1!I463,Stock1!J463,"")</f>
        <v/>
      </c>
      <c r="AE463" s="102" t="str">
        <f t="array" ref="AE463">_xlfn.XLOOKUP("Storage",Stock1!B463,Stock1!I463,"")</f>
        <v/>
      </c>
      <c r="AF463" s="102" t="str">
        <f t="array" ref="AF463">_xlfn.XLOOKUP(AE463,Stock1!I463,Stock1!F463,"")</f>
        <v/>
      </c>
      <c r="AG463" s="102" t="str">
        <f t="array" ref="AG463">_xlfn.XLOOKUP(AE463,Stock1!I463,Stock1!J463,"")</f>
        <v/>
      </c>
    </row>
    <row r="464">
      <c r="K464" s="660" t="str">
        <f t="array" ref="K464">IFERROR(_xlfn.XLOOKUP(I464,Incentive!B:B,Incentive!E:E,""),"")</f>
        <v/>
      </c>
      <c r="L464" s="659" t="str">
        <f>IFERROR(VLOOKUP(I464,Stock1!F:J,5,False),"")</f>
        <v/>
      </c>
      <c r="M464" s="659" t="str">
        <f>IFERROR(VLOOKUP(I464,Stock2!F:J,5,False),"")</f>
        <v/>
      </c>
      <c r="V464" s="102" t="str">
        <f t="array" ref="V464">_xlfn.XLOOKUP("Charger",Stock1!B464,Stock1!I464,"")</f>
        <v/>
      </c>
      <c r="W464" s="102" t="str">
        <f t="array" ref="W464">_xlfn.XLOOKUP(V464,Stock1!I464,Stock1!F464,"")</f>
        <v/>
      </c>
      <c r="X464" s="102" t="str">
        <f t="array" ref="X464">_xlfn.XLOOKUP(V464,Stock1!I464,Stock1!J464,"")</f>
        <v/>
      </c>
      <c r="Y464" s="102" t="str">
        <f t="array" ref="Y464">_xlfn.XLOOKUP("Screen Protector for Android Phone and Other",Stock1!B464,Stock1!I464,"")</f>
        <v/>
      </c>
      <c r="Z464" s="102" t="str">
        <f t="array" ref="Z464">_xlfn.XLOOKUP("Screen Protector for Galaxy Phone",Stock1!B464,Stock1!I464,"")</f>
        <v/>
      </c>
      <c r="AA464" s="102" t="str">
        <f t="array" ref="AA464">_xlfn.XLOOKUP("Screen Protector for Galaxy Tab",Stock1!B464,Stock1!I464,"")</f>
        <v/>
      </c>
      <c r="AB464" s="102" t="str">
        <f t="shared" si="4"/>
        <v/>
      </c>
      <c r="AC464" s="102" t="str">
        <f t="array" ref="AC464">_xlfn.XLOOKUP(AB464,Stock1!I464,Stock1!F464,"")</f>
        <v/>
      </c>
      <c r="AD464" s="102" t="str">
        <f t="array" ref="AD464">_xlfn.XLOOKUP(AB464,Stock1!I464,Stock1!J464,"")</f>
        <v/>
      </c>
      <c r="AE464" s="102" t="str">
        <f t="array" ref="AE464">_xlfn.XLOOKUP("Storage",Stock1!B464,Stock1!I464,"")</f>
        <v/>
      </c>
      <c r="AF464" s="102" t="str">
        <f t="array" ref="AF464">_xlfn.XLOOKUP(AE464,Stock1!I464,Stock1!F464,"")</f>
        <v/>
      </c>
      <c r="AG464" s="102" t="str">
        <f t="array" ref="AG464">_xlfn.XLOOKUP(AE464,Stock1!I464,Stock1!J464,"")</f>
        <v/>
      </c>
    </row>
    <row r="465">
      <c r="K465" s="660" t="str">
        <f t="array" ref="K465">IFERROR(_xlfn.XLOOKUP(I465,Incentive!B:B,Incentive!E:E,""),"")</f>
        <v/>
      </c>
      <c r="L465" s="659" t="str">
        <f>IFERROR(VLOOKUP(I465,Stock1!F:J,5,False),"")</f>
        <v/>
      </c>
      <c r="M465" s="659" t="str">
        <f>IFERROR(VLOOKUP(I465,Stock2!F:J,5,False),"")</f>
        <v/>
      </c>
      <c r="V465" s="102" t="str">
        <f t="array" ref="V465">_xlfn.XLOOKUP("Charger",Stock1!B465,Stock1!I465,"")</f>
        <v/>
      </c>
      <c r="W465" s="102" t="str">
        <f t="array" ref="W465">_xlfn.XLOOKUP(V465,Stock1!I465,Stock1!F465,"")</f>
        <v/>
      </c>
      <c r="X465" s="102" t="str">
        <f t="array" ref="X465">_xlfn.XLOOKUP(V465,Stock1!I465,Stock1!J465,"")</f>
        <v/>
      </c>
      <c r="Y465" s="102" t="str">
        <f t="array" ref="Y465">_xlfn.XLOOKUP("Screen Protector for Android Phone and Other",Stock1!B465,Stock1!I465,"")</f>
        <v/>
      </c>
      <c r="Z465" s="102" t="str">
        <f t="array" ref="Z465">_xlfn.XLOOKUP("Screen Protector for Galaxy Phone",Stock1!B465,Stock1!I465,"")</f>
        <v/>
      </c>
      <c r="AA465" s="102" t="str">
        <f t="array" ref="AA465">_xlfn.XLOOKUP("Screen Protector for Galaxy Tab",Stock1!B465,Stock1!I465,"")</f>
        <v/>
      </c>
      <c r="AB465" s="102" t="str">
        <f t="shared" si="4"/>
        <v/>
      </c>
      <c r="AC465" s="102" t="str">
        <f t="array" ref="AC465">_xlfn.XLOOKUP(AB465,Stock1!I465,Stock1!F465,"")</f>
        <v/>
      </c>
      <c r="AD465" s="102" t="str">
        <f t="array" ref="AD465">_xlfn.XLOOKUP(AB465,Stock1!I465,Stock1!J465,"")</f>
        <v/>
      </c>
      <c r="AE465" s="102" t="str">
        <f t="array" ref="AE465">_xlfn.XLOOKUP("Storage",Stock1!B465,Stock1!I465,"")</f>
        <v/>
      </c>
      <c r="AF465" s="102" t="str">
        <f t="array" ref="AF465">_xlfn.XLOOKUP(AE465,Stock1!I465,Stock1!F465,"")</f>
        <v/>
      </c>
      <c r="AG465" s="102" t="str">
        <f t="array" ref="AG465">_xlfn.XLOOKUP(AE465,Stock1!I465,Stock1!J465,"")</f>
        <v/>
      </c>
    </row>
    <row r="466">
      <c r="K466" s="660" t="str">
        <f t="array" ref="K466">IFERROR(_xlfn.XLOOKUP(I466,Incentive!B:B,Incentive!E:E,""),"")</f>
        <v/>
      </c>
      <c r="L466" s="659" t="str">
        <f>IFERROR(VLOOKUP(I466,Stock1!F:J,5,False),"")</f>
        <v/>
      </c>
      <c r="M466" s="659" t="str">
        <f>IFERROR(VLOOKUP(I466,Stock2!F:J,5,False),"")</f>
        <v/>
      </c>
      <c r="V466" s="102" t="str">
        <f t="array" ref="V466">_xlfn.XLOOKUP("Charger",Stock1!B466,Stock1!I466,"")</f>
        <v/>
      </c>
      <c r="W466" s="102" t="str">
        <f t="array" ref="W466">_xlfn.XLOOKUP(V466,Stock1!I466,Stock1!F466,"")</f>
        <v/>
      </c>
      <c r="X466" s="102" t="str">
        <f t="array" ref="X466">_xlfn.XLOOKUP(V466,Stock1!I466,Stock1!J466,"")</f>
        <v/>
      </c>
      <c r="Y466" s="102" t="str">
        <f t="array" ref="Y466">_xlfn.XLOOKUP("Screen Protector for Android Phone and Other",Stock1!B466,Stock1!I466,"")</f>
        <v/>
      </c>
      <c r="Z466" s="102" t="str">
        <f t="array" ref="Z466">_xlfn.XLOOKUP("Screen Protector for Galaxy Phone",Stock1!B466,Stock1!I466,"")</f>
        <v/>
      </c>
      <c r="AA466" s="102" t="str">
        <f t="array" ref="AA466">_xlfn.XLOOKUP("Screen Protector for Galaxy Tab",Stock1!B466,Stock1!I466,"")</f>
        <v/>
      </c>
      <c r="AB466" s="102" t="str">
        <f t="shared" si="4"/>
        <v/>
      </c>
      <c r="AC466" s="102" t="str">
        <f t="array" ref="AC466">_xlfn.XLOOKUP(AB466,Stock1!I466,Stock1!F466,"")</f>
        <v/>
      </c>
      <c r="AD466" s="102" t="str">
        <f t="array" ref="AD466">_xlfn.XLOOKUP(AB466,Stock1!I466,Stock1!J466,"")</f>
        <v/>
      </c>
      <c r="AE466" s="102" t="str">
        <f t="array" ref="AE466">_xlfn.XLOOKUP("Storage",Stock1!B466,Stock1!I466,"")</f>
        <v/>
      </c>
      <c r="AF466" s="102" t="str">
        <f t="array" ref="AF466">_xlfn.XLOOKUP(AE466,Stock1!I466,Stock1!F466,"")</f>
        <v/>
      </c>
      <c r="AG466" s="102" t="str">
        <f t="array" ref="AG466">_xlfn.XLOOKUP(AE466,Stock1!I466,Stock1!J466,"")</f>
        <v/>
      </c>
    </row>
    <row r="467">
      <c r="K467" s="660" t="str">
        <f t="array" ref="K467">IFERROR(_xlfn.XLOOKUP(I467,Incentive!B:B,Incentive!E:E,""),"")</f>
        <v/>
      </c>
      <c r="L467" s="659" t="str">
        <f>IFERROR(VLOOKUP(I467,Stock1!F:J,5,False),"")</f>
        <v/>
      </c>
      <c r="M467" s="659" t="str">
        <f>IFERROR(VLOOKUP(I467,Stock2!F:J,5,False),"")</f>
        <v/>
      </c>
      <c r="V467" s="102" t="str">
        <f t="array" ref="V467">_xlfn.XLOOKUP("Charger",Stock1!B467,Stock1!I467,"")</f>
        <v/>
      </c>
      <c r="W467" s="102" t="str">
        <f t="array" ref="W467">_xlfn.XLOOKUP(V467,Stock1!I467,Stock1!F467,"")</f>
        <v/>
      </c>
      <c r="X467" s="102" t="str">
        <f t="array" ref="X467">_xlfn.XLOOKUP(V467,Stock1!I467,Stock1!J467,"")</f>
        <v/>
      </c>
      <c r="Y467" s="102" t="str">
        <f t="array" ref="Y467">_xlfn.XLOOKUP("Screen Protector for Android Phone and Other",Stock1!B467,Stock1!I467,"")</f>
        <v/>
      </c>
      <c r="Z467" s="102" t="str">
        <f t="array" ref="Z467">_xlfn.XLOOKUP("Screen Protector for Galaxy Phone",Stock1!B467,Stock1!I467,"")</f>
        <v/>
      </c>
      <c r="AA467" s="102" t="str">
        <f t="array" ref="AA467">_xlfn.XLOOKUP("Screen Protector for Galaxy Tab",Stock1!B467,Stock1!I467,"")</f>
        <v/>
      </c>
      <c r="AB467" s="102" t="str">
        <f t="shared" si="4"/>
        <v/>
      </c>
      <c r="AC467" s="102" t="str">
        <f t="array" ref="AC467">_xlfn.XLOOKUP(AB467,Stock1!I467,Stock1!F467,"")</f>
        <v/>
      </c>
      <c r="AD467" s="102" t="str">
        <f t="array" ref="AD467">_xlfn.XLOOKUP(AB467,Stock1!I467,Stock1!J467,"")</f>
        <v/>
      </c>
      <c r="AE467" s="102" t="str">
        <f t="array" ref="AE467">_xlfn.XLOOKUP("Storage",Stock1!B467,Stock1!I467,"")</f>
        <v/>
      </c>
      <c r="AF467" s="102" t="str">
        <f t="array" ref="AF467">_xlfn.XLOOKUP(AE467,Stock1!I467,Stock1!F467,"")</f>
        <v/>
      </c>
      <c r="AG467" s="102" t="str">
        <f t="array" ref="AG467">_xlfn.XLOOKUP(AE467,Stock1!I467,Stock1!J467,"")</f>
        <v/>
      </c>
    </row>
    <row r="468">
      <c r="K468" s="660" t="str">
        <f t="array" ref="K468">IFERROR(_xlfn.XLOOKUP(I468,Incentive!B:B,Incentive!E:E,""),"")</f>
        <v/>
      </c>
      <c r="L468" s="659" t="str">
        <f>IFERROR(VLOOKUP(I468,Stock1!F:J,5,False),"")</f>
        <v/>
      </c>
      <c r="M468" s="659" t="str">
        <f>IFERROR(VLOOKUP(I468,Stock2!F:J,5,False),"")</f>
        <v/>
      </c>
      <c r="V468" s="102" t="str">
        <f t="array" ref="V468">_xlfn.XLOOKUP("Charger",Stock1!B468,Stock1!I468,"")</f>
        <v/>
      </c>
      <c r="W468" s="102" t="str">
        <f t="array" ref="W468">_xlfn.XLOOKUP(V468,Stock1!I468,Stock1!F468,"")</f>
        <v/>
      </c>
      <c r="X468" s="102" t="str">
        <f t="array" ref="X468">_xlfn.XLOOKUP(V468,Stock1!I468,Stock1!J468,"")</f>
        <v/>
      </c>
      <c r="Y468" s="102" t="str">
        <f t="array" ref="Y468">_xlfn.XLOOKUP("Screen Protector for Android Phone and Other",Stock1!B468,Stock1!I468,"")</f>
        <v/>
      </c>
      <c r="Z468" s="102" t="str">
        <f t="array" ref="Z468">_xlfn.XLOOKUP("Screen Protector for Galaxy Phone",Stock1!B468,Stock1!I468,"")</f>
        <v/>
      </c>
      <c r="AA468" s="102" t="str">
        <f t="array" ref="AA468">_xlfn.XLOOKUP("Screen Protector for Galaxy Tab",Stock1!B468,Stock1!I468,"")</f>
        <v/>
      </c>
      <c r="AB468" s="102" t="str">
        <f t="shared" si="4"/>
        <v/>
      </c>
      <c r="AC468" s="102" t="str">
        <f t="array" ref="AC468">_xlfn.XLOOKUP(AB468,Stock1!I468,Stock1!F468,"")</f>
        <v/>
      </c>
      <c r="AD468" s="102" t="str">
        <f t="array" ref="AD468">_xlfn.XLOOKUP(AB468,Stock1!I468,Stock1!J468,"")</f>
        <v/>
      </c>
      <c r="AE468" s="102" t="str">
        <f t="array" ref="AE468">_xlfn.XLOOKUP("Storage",Stock1!B468,Stock1!I468,"")</f>
        <v/>
      </c>
      <c r="AF468" s="102" t="str">
        <f t="array" ref="AF468">_xlfn.XLOOKUP(AE468,Stock1!I468,Stock1!F468,"")</f>
        <v/>
      </c>
      <c r="AG468" s="102" t="str">
        <f t="array" ref="AG468">_xlfn.XLOOKUP(AE468,Stock1!I468,Stock1!J468,"")</f>
        <v/>
      </c>
    </row>
    <row r="469">
      <c r="K469" s="660" t="str">
        <f t="array" ref="K469">IFERROR(_xlfn.XLOOKUP(I469,Incentive!B:B,Incentive!E:E,""),"")</f>
        <v/>
      </c>
      <c r="L469" s="659" t="str">
        <f>IFERROR(VLOOKUP(I469,Stock1!F:J,5,False),"")</f>
        <v/>
      </c>
      <c r="M469" s="659" t="str">
        <f>IFERROR(VLOOKUP(I469,Stock2!F:J,5,False),"")</f>
        <v/>
      </c>
      <c r="V469" s="102" t="str">
        <f t="array" ref="V469">_xlfn.XLOOKUP("Charger",Stock1!B469,Stock1!I469,"")</f>
        <v/>
      </c>
      <c r="W469" s="102" t="str">
        <f t="array" ref="W469">_xlfn.XLOOKUP(V469,Stock1!I469,Stock1!F469,"")</f>
        <v/>
      </c>
      <c r="X469" s="102" t="str">
        <f t="array" ref="X469">_xlfn.XLOOKUP(V469,Stock1!I469,Stock1!J469,"")</f>
        <v/>
      </c>
      <c r="Y469" s="102" t="str">
        <f t="array" ref="Y469">_xlfn.XLOOKUP("Screen Protector for Android Phone and Other",Stock1!B469,Stock1!I469,"")</f>
        <v/>
      </c>
      <c r="Z469" s="102" t="str">
        <f t="array" ref="Z469">_xlfn.XLOOKUP("Screen Protector for Galaxy Phone",Stock1!B469,Stock1!I469,"")</f>
        <v/>
      </c>
      <c r="AA469" s="102" t="str">
        <f t="array" ref="AA469">_xlfn.XLOOKUP("Screen Protector for Galaxy Tab",Stock1!B469,Stock1!I469,"")</f>
        <v/>
      </c>
      <c r="AB469" s="102" t="str">
        <f t="shared" si="4"/>
        <v/>
      </c>
      <c r="AC469" s="102" t="str">
        <f t="array" ref="AC469">_xlfn.XLOOKUP(AB469,Stock1!I469,Stock1!F469,"")</f>
        <v/>
      </c>
      <c r="AD469" s="102" t="str">
        <f t="array" ref="AD469">_xlfn.XLOOKUP(AB469,Stock1!I469,Stock1!J469,"")</f>
        <v/>
      </c>
      <c r="AE469" s="102" t="str">
        <f t="array" ref="AE469">_xlfn.XLOOKUP("Storage",Stock1!B469,Stock1!I469,"")</f>
        <v/>
      </c>
      <c r="AF469" s="102" t="str">
        <f t="array" ref="AF469">_xlfn.XLOOKUP(AE469,Stock1!I469,Stock1!F469,"")</f>
        <v/>
      </c>
      <c r="AG469" s="102" t="str">
        <f t="array" ref="AG469">_xlfn.XLOOKUP(AE469,Stock1!I469,Stock1!J469,"")</f>
        <v/>
      </c>
    </row>
    <row r="470">
      <c r="K470" s="660" t="str">
        <f t="array" ref="K470">IFERROR(_xlfn.XLOOKUP(I470,Incentive!B:B,Incentive!E:E,""),"")</f>
        <v/>
      </c>
      <c r="L470" s="659" t="str">
        <f>IFERROR(VLOOKUP(I470,Stock1!F:J,5,False),"")</f>
        <v/>
      </c>
      <c r="M470" s="659" t="str">
        <f>IFERROR(VLOOKUP(I470,Stock2!F:J,5,False),"")</f>
        <v/>
      </c>
      <c r="V470" s="102" t="str">
        <f t="array" ref="V470">_xlfn.XLOOKUP("Charger",Stock1!B470,Stock1!I470,"")</f>
        <v/>
      </c>
      <c r="W470" s="102" t="str">
        <f t="array" ref="W470">_xlfn.XLOOKUP(V470,Stock1!I470,Stock1!F470,"")</f>
        <v/>
      </c>
      <c r="X470" s="102" t="str">
        <f t="array" ref="X470">_xlfn.XLOOKUP(V470,Stock1!I470,Stock1!J470,"")</f>
        <v/>
      </c>
      <c r="Y470" s="102" t="str">
        <f t="array" ref="Y470">_xlfn.XLOOKUP("Screen Protector for Android Phone and Other",Stock1!B470,Stock1!I470,"")</f>
        <v/>
      </c>
      <c r="Z470" s="102" t="str">
        <f t="array" ref="Z470">_xlfn.XLOOKUP("Screen Protector for Galaxy Phone",Stock1!B470,Stock1!I470,"")</f>
        <v/>
      </c>
      <c r="AA470" s="102" t="str">
        <f t="array" ref="AA470">_xlfn.XLOOKUP("Screen Protector for Galaxy Tab",Stock1!B470,Stock1!I470,"")</f>
        <v/>
      </c>
      <c r="AB470" s="102" t="str">
        <f t="shared" si="4"/>
        <v/>
      </c>
      <c r="AC470" s="102" t="str">
        <f t="array" ref="AC470">_xlfn.XLOOKUP(AB470,Stock1!I470,Stock1!F470,"")</f>
        <v/>
      </c>
      <c r="AD470" s="102" t="str">
        <f t="array" ref="AD470">_xlfn.XLOOKUP(AB470,Stock1!I470,Stock1!J470,"")</f>
        <v/>
      </c>
      <c r="AE470" s="102" t="str">
        <f t="array" ref="AE470">_xlfn.XLOOKUP("Storage",Stock1!B470,Stock1!I470,"")</f>
        <v/>
      </c>
      <c r="AF470" s="102" t="str">
        <f t="array" ref="AF470">_xlfn.XLOOKUP(AE470,Stock1!I470,Stock1!F470,"")</f>
        <v/>
      </c>
      <c r="AG470" s="102" t="str">
        <f t="array" ref="AG470">_xlfn.XLOOKUP(AE470,Stock1!I470,Stock1!J470,"")</f>
        <v/>
      </c>
    </row>
    <row r="471">
      <c r="K471" s="660" t="str">
        <f t="array" ref="K471">IFERROR(_xlfn.XLOOKUP(I471,Incentive!B:B,Incentive!E:E,""),"")</f>
        <v/>
      </c>
      <c r="L471" s="659" t="str">
        <f>IFERROR(VLOOKUP(I471,Stock1!F:J,5,False),"")</f>
        <v/>
      </c>
      <c r="M471" s="659" t="str">
        <f>IFERROR(VLOOKUP(I471,Stock2!F:J,5,False),"")</f>
        <v/>
      </c>
      <c r="V471" s="102" t="str">
        <f t="array" ref="V471">_xlfn.XLOOKUP("Charger",Stock1!B471,Stock1!I471,"")</f>
        <v/>
      </c>
      <c r="W471" s="102" t="str">
        <f t="array" ref="W471">_xlfn.XLOOKUP(V471,Stock1!I471,Stock1!F471,"")</f>
        <v/>
      </c>
      <c r="X471" s="102" t="str">
        <f t="array" ref="X471">_xlfn.XLOOKUP(V471,Stock1!I471,Stock1!J471,"")</f>
        <v/>
      </c>
      <c r="Y471" s="102" t="str">
        <f t="array" ref="Y471">_xlfn.XLOOKUP("Screen Protector for Android Phone and Other",Stock1!B471,Stock1!I471,"")</f>
        <v/>
      </c>
      <c r="Z471" s="102" t="str">
        <f t="array" ref="Z471">_xlfn.XLOOKUP("Screen Protector for Galaxy Phone",Stock1!B471,Stock1!I471,"")</f>
        <v/>
      </c>
      <c r="AA471" s="102" t="str">
        <f t="array" ref="AA471">_xlfn.XLOOKUP("Screen Protector for Galaxy Tab",Stock1!B471,Stock1!I471,"")</f>
        <v/>
      </c>
      <c r="AB471" s="102" t="str">
        <f t="shared" si="4"/>
        <v/>
      </c>
      <c r="AC471" s="102" t="str">
        <f t="array" ref="AC471">_xlfn.XLOOKUP(AB471,Stock1!I471,Stock1!F471,"")</f>
        <v/>
      </c>
      <c r="AD471" s="102" t="str">
        <f t="array" ref="AD471">_xlfn.XLOOKUP(AB471,Stock1!I471,Stock1!J471,"")</f>
        <v/>
      </c>
      <c r="AE471" s="102" t="str">
        <f t="array" ref="AE471">_xlfn.XLOOKUP("Storage",Stock1!B471,Stock1!I471,"")</f>
        <v/>
      </c>
      <c r="AF471" s="102" t="str">
        <f t="array" ref="AF471">_xlfn.XLOOKUP(AE471,Stock1!I471,Stock1!F471,"")</f>
        <v/>
      </c>
      <c r="AG471" s="102" t="str">
        <f t="array" ref="AG471">_xlfn.XLOOKUP(AE471,Stock1!I471,Stock1!J471,"")</f>
        <v/>
      </c>
    </row>
    <row r="472">
      <c r="K472" s="660" t="str">
        <f t="array" ref="K472">IFERROR(_xlfn.XLOOKUP(I472,Incentive!B:B,Incentive!E:E,""),"")</f>
        <v/>
      </c>
      <c r="L472" s="659" t="str">
        <f>IFERROR(VLOOKUP(I472,Stock1!F:J,5,False),"")</f>
        <v/>
      </c>
      <c r="M472" s="659" t="str">
        <f>IFERROR(VLOOKUP(I472,Stock2!F:J,5,False),"")</f>
        <v/>
      </c>
      <c r="V472" s="102" t="str">
        <f t="array" ref="V472">_xlfn.XLOOKUP("Charger",Stock1!B472,Stock1!I472,"")</f>
        <v/>
      </c>
      <c r="W472" s="102" t="str">
        <f t="array" ref="W472">_xlfn.XLOOKUP(V472,Stock1!I472,Stock1!F472,"")</f>
        <v/>
      </c>
      <c r="X472" s="102" t="str">
        <f t="array" ref="X472">_xlfn.XLOOKUP(V472,Stock1!I472,Stock1!J472,"")</f>
        <v/>
      </c>
      <c r="Y472" s="102" t="str">
        <f t="array" ref="Y472">_xlfn.XLOOKUP("Screen Protector for Android Phone and Other",Stock1!B472,Stock1!I472,"")</f>
        <v/>
      </c>
      <c r="Z472" s="102" t="str">
        <f t="array" ref="Z472">_xlfn.XLOOKUP("Screen Protector for Galaxy Phone",Stock1!B472,Stock1!I472,"")</f>
        <v/>
      </c>
      <c r="AA472" s="102" t="str">
        <f t="array" ref="AA472">_xlfn.XLOOKUP("Screen Protector for Galaxy Tab",Stock1!B472,Stock1!I472,"")</f>
        <v/>
      </c>
      <c r="AB472" s="102" t="str">
        <f t="shared" si="4"/>
        <v/>
      </c>
      <c r="AC472" s="102" t="str">
        <f t="array" ref="AC472">_xlfn.XLOOKUP(AB472,Stock1!I472,Stock1!F472,"")</f>
        <v/>
      </c>
      <c r="AD472" s="102" t="str">
        <f t="array" ref="AD472">_xlfn.XLOOKUP(AB472,Stock1!I472,Stock1!J472,"")</f>
        <v/>
      </c>
      <c r="AE472" s="102" t="str">
        <f t="array" ref="AE472">_xlfn.XLOOKUP("Storage",Stock1!B472,Stock1!I472,"")</f>
        <v/>
      </c>
      <c r="AF472" s="102" t="str">
        <f t="array" ref="AF472">_xlfn.XLOOKUP(AE472,Stock1!I472,Stock1!F472,"")</f>
        <v/>
      </c>
      <c r="AG472" s="102" t="str">
        <f t="array" ref="AG472">_xlfn.XLOOKUP(AE472,Stock1!I472,Stock1!J472,"")</f>
        <v/>
      </c>
    </row>
    <row r="473">
      <c r="K473" s="660" t="str">
        <f t="array" ref="K473">IFERROR(_xlfn.XLOOKUP(I473,Incentive!B:B,Incentive!E:E,""),"")</f>
        <v/>
      </c>
      <c r="L473" s="659" t="str">
        <f>IFERROR(VLOOKUP(I473,Stock1!F:J,5,False),"")</f>
        <v/>
      </c>
      <c r="M473" s="659" t="str">
        <f>IFERROR(VLOOKUP(I473,Stock2!F:J,5,False),"")</f>
        <v/>
      </c>
      <c r="V473" s="102" t="str">
        <f t="array" ref="V473">_xlfn.XLOOKUP("Charger",Stock1!B473,Stock1!I473,"")</f>
        <v/>
      </c>
      <c r="W473" s="102" t="str">
        <f t="array" ref="W473">_xlfn.XLOOKUP(V473,Stock1!I473,Stock1!F473,"")</f>
        <v/>
      </c>
      <c r="X473" s="102" t="str">
        <f t="array" ref="X473">_xlfn.XLOOKUP(V473,Stock1!I473,Stock1!J473,"")</f>
        <v/>
      </c>
      <c r="Y473" s="102" t="str">
        <f t="array" ref="Y473">_xlfn.XLOOKUP("Screen Protector for Android Phone and Other",Stock1!B473,Stock1!I473,"")</f>
        <v/>
      </c>
      <c r="Z473" s="102" t="str">
        <f t="array" ref="Z473">_xlfn.XLOOKUP("Screen Protector for Galaxy Phone",Stock1!B473,Stock1!I473,"")</f>
        <v/>
      </c>
      <c r="AA473" s="102" t="str">
        <f t="array" ref="AA473">_xlfn.XLOOKUP("Screen Protector for Galaxy Tab",Stock1!B473,Stock1!I473,"")</f>
        <v/>
      </c>
      <c r="AB473" s="102" t="str">
        <f t="shared" si="4"/>
        <v/>
      </c>
      <c r="AC473" s="102" t="str">
        <f t="array" ref="AC473">_xlfn.XLOOKUP(AB473,Stock1!I473,Stock1!F473,"")</f>
        <v/>
      </c>
      <c r="AD473" s="102" t="str">
        <f t="array" ref="AD473">_xlfn.XLOOKUP(AB473,Stock1!I473,Stock1!J473,"")</f>
        <v/>
      </c>
      <c r="AE473" s="102" t="str">
        <f t="array" ref="AE473">_xlfn.XLOOKUP("Storage",Stock1!B473,Stock1!I473,"")</f>
        <v/>
      </c>
      <c r="AF473" s="102" t="str">
        <f t="array" ref="AF473">_xlfn.XLOOKUP(AE473,Stock1!I473,Stock1!F473,"")</f>
        <v/>
      </c>
      <c r="AG473" s="102" t="str">
        <f t="array" ref="AG473">_xlfn.XLOOKUP(AE473,Stock1!I473,Stock1!J473,"")</f>
        <v/>
      </c>
    </row>
    <row r="474">
      <c r="K474" s="660" t="str">
        <f t="array" ref="K474">IFERROR(_xlfn.XLOOKUP(I474,Incentive!B:B,Incentive!E:E,""),"")</f>
        <v/>
      </c>
      <c r="L474" s="659" t="str">
        <f>IFERROR(VLOOKUP(I474,Stock1!F:J,5,False),"")</f>
        <v/>
      </c>
      <c r="M474" s="659" t="str">
        <f>IFERROR(VLOOKUP(I474,Stock2!F:J,5,False),"")</f>
        <v/>
      </c>
      <c r="V474" s="102" t="str">
        <f t="array" ref="V474">_xlfn.XLOOKUP("Charger",Stock1!B474,Stock1!I474,"")</f>
        <v/>
      </c>
      <c r="W474" s="102" t="str">
        <f t="array" ref="W474">_xlfn.XLOOKUP(V474,Stock1!I474,Stock1!F474,"")</f>
        <v/>
      </c>
      <c r="X474" s="102" t="str">
        <f t="array" ref="X474">_xlfn.XLOOKUP(V474,Stock1!I474,Stock1!J474,"")</f>
        <v/>
      </c>
      <c r="Y474" s="102" t="str">
        <f t="array" ref="Y474">_xlfn.XLOOKUP("Screen Protector for Android Phone and Other",Stock1!B474,Stock1!I474,"")</f>
        <v/>
      </c>
      <c r="Z474" s="102" t="str">
        <f t="array" ref="Z474">_xlfn.XLOOKUP("Screen Protector for Galaxy Phone",Stock1!B474,Stock1!I474,"")</f>
        <v/>
      </c>
      <c r="AA474" s="102" t="str">
        <f t="array" ref="AA474">_xlfn.XLOOKUP("Screen Protector for Galaxy Tab",Stock1!B474,Stock1!I474,"")</f>
        <v/>
      </c>
      <c r="AB474" s="102" t="str">
        <f t="shared" si="4"/>
        <v/>
      </c>
      <c r="AC474" s="102" t="str">
        <f t="array" ref="AC474">_xlfn.XLOOKUP(AB474,Stock1!I474,Stock1!F474,"")</f>
        <v/>
      </c>
      <c r="AD474" s="102" t="str">
        <f t="array" ref="AD474">_xlfn.XLOOKUP(AB474,Stock1!I474,Stock1!J474,"")</f>
        <v/>
      </c>
      <c r="AE474" s="102" t="str">
        <f t="array" ref="AE474">_xlfn.XLOOKUP("Storage",Stock1!B474,Stock1!I474,"")</f>
        <v/>
      </c>
      <c r="AF474" s="102" t="str">
        <f t="array" ref="AF474">_xlfn.XLOOKUP(AE474,Stock1!I474,Stock1!F474,"")</f>
        <v/>
      </c>
      <c r="AG474" s="102" t="str">
        <f t="array" ref="AG474">_xlfn.XLOOKUP(AE474,Stock1!I474,Stock1!J474,"")</f>
        <v/>
      </c>
    </row>
    <row r="475">
      <c r="K475" s="660" t="str">
        <f t="array" ref="K475">IFERROR(_xlfn.XLOOKUP(I475,Incentive!B:B,Incentive!E:E,""),"")</f>
        <v/>
      </c>
      <c r="L475" s="659" t="str">
        <f>IFERROR(VLOOKUP(I475,Stock1!F:J,5,False),"")</f>
        <v/>
      </c>
      <c r="M475" s="659" t="str">
        <f>IFERROR(VLOOKUP(I475,Stock2!F:J,5,False),"")</f>
        <v/>
      </c>
      <c r="V475" s="102" t="str">
        <f t="array" ref="V475">_xlfn.XLOOKUP("Charger",Stock1!B475,Stock1!I475,"")</f>
        <v/>
      </c>
      <c r="W475" s="102" t="str">
        <f t="array" ref="W475">_xlfn.XLOOKUP(V475,Stock1!I475,Stock1!F475,"")</f>
        <v/>
      </c>
      <c r="X475" s="102" t="str">
        <f t="array" ref="X475">_xlfn.XLOOKUP(V475,Stock1!I475,Stock1!J475,"")</f>
        <v/>
      </c>
      <c r="Y475" s="102" t="str">
        <f t="array" ref="Y475">_xlfn.XLOOKUP("Screen Protector for Android Phone and Other",Stock1!B475,Stock1!I475,"")</f>
        <v/>
      </c>
      <c r="Z475" s="102" t="str">
        <f t="array" ref="Z475">_xlfn.XLOOKUP("Screen Protector for Galaxy Phone",Stock1!B475,Stock1!I475,"")</f>
        <v/>
      </c>
      <c r="AA475" s="102" t="str">
        <f t="array" ref="AA475">_xlfn.XLOOKUP("Screen Protector for Galaxy Tab",Stock1!B475,Stock1!I475,"")</f>
        <v/>
      </c>
      <c r="AB475" s="102" t="str">
        <f t="shared" si="4"/>
        <v/>
      </c>
      <c r="AC475" s="102" t="str">
        <f t="array" ref="AC475">_xlfn.XLOOKUP(AB475,Stock1!I475,Stock1!F475,"")</f>
        <v/>
      </c>
      <c r="AD475" s="102" t="str">
        <f t="array" ref="AD475">_xlfn.XLOOKUP(AB475,Stock1!I475,Stock1!J475,"")</f>
        <v/>
      </c>
      <c r="AE475" s="102" t="str">
        <f t="array" ref="AE475">_xlfn.XLOOKUP("Storage",Stock1!B475,Stock1!I475,"")</f>
        <v/>
      </c>
      <c r="AF475" s="102" t="str">
        <f t="array" ref="AF475">_xlfn.XLOOKUP(AE475,Stock1!I475,Stock1!F475,"")</f>
        <v/>
      </c>
      <c r="AG475" s="102" t="str">
        <f t="array" ref="AG475">_xlfn.XLOOKUP(AE475,Stock1!I475,Stock1!J475,"")</f>
        <v/>
      </c>
    </row>
    <row r="476">
      <c r="K476" s="660" t="str">
        <f t="array" ref="K476">IFERROR(_xlfn.XLOOKUP(I476,Incentive!B:B,Incentive!E:E,""),"")</f>
        <v/>
      </c>
      <c r="L476" s="659" t="str">
        <f>IFERROR(VLOOKUP(I476,Stock1!F:J,5,False),"")</f>
        <v/>
      </c>
      <c r="M476" s="659" t="str">
        <f>IFERROR(VLOOKUP(I476,Stock2!F:J,5,False),"")</f>
        <v/>
      </c>
      <c r="V476" s="102" t="str">
        <f t="array" ref="V476">_xlfn.XLOOKUP("Charger",Stock1!B476,Stock1!I476,"")</f>
        <v/>
      </c>
      <c r="W476" s="102" t="str">
        <f t="array" ref="W476">_xlfn.XLOOKUP(V476,Stock1!I476,Stock1!F476,"")</f>
        <v/>
      </c>
      <c r="X476" s="102" t="str">
        <f t="array" ref="X476">_xlfn.XLOOKUP(V476,Stock1!I476,Stock1!J476,"")</f>
        <v/>
      </c>
      <c r="Y476" s="102" t="str">
        <f t="array" ref="Y476">_xlfn.XLOOKUP("Screen Protector for Android Phone and Other",Stock1!B476,Stock1!I476,"")</f>
        <v/>
      </c>
      <c r="Z476" s="102" t="str">
        <f t="array" ref="Z476">_xlfn.XLOOKUP("Screen Protector for Galaxy Phone",Stock1!B476,Stock1!I476,"")</f>
        <v/>
      </c>
      <c r="AA476" s="102" t="str">
        <f t="array" ref="AA476">_xlfn.XLOOKUP("Screen Protector for Galaxy Tab",Stock1!B476,Stock1!I476,"")</f>
        <v/>
      </c>
      <c r="AB476" s="102" t="str">
        <f t="shared" si="4"/>
        <v/>
      </c>
      <c r="AC476" s="102" t="str">
        <f t="array" ref="AC476">_xlfn.XLOOKUP(AB476,Stock1!I476,Stock1!F476,"")</f>
        <v/>
      </c>
      <c r="AD476" s="102" t="str">
        <f t="array" ref="AD476">_xlfn.XLOOKUP(AB476,Stock1!I476,Stock1!J476,"")</f>
        <v/>
      </c>
      <c r="AE476" s="102" t="str">
        <f t="array" ref="AE476">_xlfn.XLOOKUP("Storage",Stock1!B476,Stock1!I476,"")</f>
        <v/>
      </c>
      <c r="AF476" s="102" t="str">
        <f t="array" ref="AF476">_xlfn.XLOOKUP(AE476,Stock1!I476,Stock1!F476,"")</f>
        <v/>
      </c>
      <c r="AG476" s="102" t="str">
        <f t="array" ref="AG476">_xlfn.XLOOKUP(AE476,Stock1!I476,Stock1!J476,"")</f>
        <v/>
      </c>
    </row>
    <row r="477">
      <c r="K477" s="660" t="str">
        <f t="array" ref="K477">IFERROR(_xlfn.XLOOKUP(I477,Incentive!B:B,Incentive!E:E,""),"")</f>
        <v/>
      </c>
      <c r="L477" s="659" t="str">
        <f>IFERROR(VLOOKUP(I477,Stock1!F:J,5,False),"")</f>
        <v/>
      </c>
      <c r="M477" s="659" t="str">
        <f>IFERROR(VLOOKUP(I477,Stock2!F:J,5,False),"")</f>
        <v/>
      </c>
      <c r="V477" s="102" t="str">
        <f t="array" ref="V477">_xlfn.XLOOKUP("Charger",Stock1!B477,Stock1!I477,"")</f>
        <v/>
      </c>
      <c r="W477" s="102" t="str">
        <f t="array" ref="W477">_xlfn.XLOOKUP(V477,Stock1!I477,Stock1!F477,"")</f>
        <v/>
      </c>
      <c r="X477" s="102" t="str">
        <f t="array" ref="X477">_xlfn.XLOOKUP(V477,Stock1!I477,Stock1!J477,"")</f>
        <v/>
      </c>
      <c r="Y477" s="102" t="str">
        <f t="array" ref="Y477">_xlfn.XLOOKUP("Screen Protector for Android Phone and Other",Stock1!B477,Stock1!I477,"")</f>
        <v/>
      </c>
      <c r="Z477" s="102" t="str">
        <f t="array" ref="Z477">_xlfn.XLOOKUP("Screen Protector for Galaxy Phone",Stock1!B477,Stock1!I477,"")</f>
        <v/>
      </c>
      <c r="AA477" s="102" t="str">
        <f t="array" ref="AA477">_xlfn.XLOOKUP("Screen Protector for Galaxy Tab",Stock1!B477,Stock1!I477,"")</f>
        <v/>
      </c>
      <c r="AB477" s="102" t="str">
        <f t="shared" si="4"/>
        <v/>
      </c>
      <c r="AC477" s="102" t="str">
        <f t="array" ref="AC477">_xlfn.XLOOKUP(AB477,Stock1!I477,Stock1!F477,"")</f>
        <v/>
      </c>
      <c r="AD477" s="102" t="str">
        <f t="array" ref="AD477">_xlfn.XLOOKUP(AB477,Stock1!I477,Stock1!J477,"")</f>
        <v/>
      </c>
      <c r="AE477" s="102" t="str">
        <f t="array" ref="AE477">_xlfn.XLOOKUP("Storage",Stock1!B477,Stock1!I477,"")</f>
        <v/>
      </c>
      <c r="AF477" s="102" t="str">
        <f t="array" ref="AF477">_xlfn.XLOOKUP(AE477,Stock1!I477,Stock1!F477,"")</f>
        <v/>
      </c>
      <c r="AG477" s="102" t="str">
        <f t="array" ref="AG477">_xlfn.XLOOKUP(AE477,Stock1!I477,Stock1!J477,"")</f>
        <v/>
      </c>
    </row>
    <row r="478">
      <c r="K478" s="660" t="str">
        <f t="array" ref="K478">IFERROR(_xlfn.XLOOKUP(I478,Incentive!B:B,Incentive!E:E,""),"")</f>
        <v/>
      </c>
      <c r="L478" s="659" t="str">
        <f>IFERROR(VLOOKUP(I478,Stock1!F:J,5,False),"")</f>
        <v/>
      </c>
      <c r="M478" s="659" t="str">
        <f>IFERROR(VLOOKUP(I478,Stock2!F:J,5,False),"")</f>
        <v/>
      </c>
      <c r="V478" s="102" t="str">
        <f t="array" ref="V478">_xlfn.XLOOKUP("Charger",Stock1!B478,Stock1!I478,"")</f>
        <v/>
      </c>
      <c r="W478" s="102" t="str">
        <f t="array" ref="W478">_xlfn.XLOOKUP(V478,Stock1!I478,Stock1!F478,"")</f>
        <v/>
      </c>
      <c r="X478" s="102" t="str">
        <f t="array" ref="X478">_xlfn.XLOOKUP(V478,Stock1!I478,Stock1!J478,"")</f>
        <v/>
      </c>
      <c r="Y478" s="102" t="str">
        <f t="array" ref="Y478">_xlfn.XLOOKUP("Screen Protector for Android Phone and Other",Stock1!B478,Stock1!I478,"")</f>
        <v/>
      </c>
      <c r="Z478" s="102" t="str">
        <f t="array" ref="Z478">_xlfn.XLOOKUP("Screen Protector for Galaxy Phone",Stock1!B478,Stock1!I478,"")</f>
        <v/>
      </c>
      <c r="AA478" s="102" t="str">
        <f t="array" ref="AA478">_xlfn.XLOOKUP("Screen Protector for Galaxy Tab",Stock1!B478,Stock1!I478,"")</f>
        <v/>
      </c>
      <c r="AB478" s="102" t="str">
        <f t="shared" si="4"/>
        <v/>
      </c>
      <c r="AC478" s="102" t="str">
        <f t="array" ref="AC478">_xlfn.XLOOKUP(AB478,Stock1!I478,Stock1!F478,"")</f>
        <v/>
      </c>
      <c r="AD478" s="102" t="str">
        <f t="array" ref="AD478">_xlfn.XLOOKUP(AB478,Stock1!I478,Stock1!J478,"")</f>
        <v/>
      </c>
      <c r="AE478" s="102" t="str">
        <f t="array" ref="AE478">_xlfn.XLOOKUP("Storage",Stock1!B478,Stock1!I478,"")</f>
        <v/>
      </c>
      <c r="AF478" s="102" t="str">
        <f t="array" ref="AF478">_xlfn.XLOOKUP(AE478,Stock1!I478,Stock1!F478,"")</f>
        <v/>
      </c>
      <c r="AG478" s="102" t="str">
        <f t="array" ref="AG478">_xlfn.XLOOKUP(AE478,Stock1!I478,Stock1!J478,"")</f>
        <v/>
      </c>
    </row>
    <row r="479">
      <c r="K479" s="660" t="str">
        <f t="array" ref="K479">IFERROR(_xlfn.XLOOKUP(I479,Incentive!B:B,Incentive!E:E,""),"")</f>
        <v/>
      </c>
      <c r="L479" s="659" t="str">
        <f>IFERROR(VLOOKUP(I479,Stock1!F:J,5,False),"")</f>
        <v/>
      </c>
      <c r="M479" s="659" t="str">
        <f>IFERROR(VLOOKUP(I479,Stock2!F:J,5,False),"")</f>
        <v/>
      </c>
      <c r="V479" s="102" t="str">
        <f t="array" ref="V479">_xlfn.XLOOKUP("Charger",Stock1!B479,Stock1!I479,"")</f>
        <v/>
      </c>
      <c r="W479" s="102" t="str">
        <f t="array" ref="W479">_xlfn.XLOOKUP(V479,Stock1!I479,Stock1!F479,"")</f>
        <v/>
      </c>
      <c r="X479" s="102" t="str">
        <f t="array" ref="X479">_xlfn.XLOOKUP(V479,Stock1!I479,Stock1!J479,"")</f>
        <v/>
      </c>
      <c r="Y479" s="102" t="str">
        <f t="array" ref="Y479">_xlfn.XLOOKUP("Screen Protector for Android Phone and Other",Stock1!B479,Stock1!I479,"")</f>
        <v/>
      </c>
      <c r="Z479" s="102" t="str">
        <f t="array" ref="Z479">_xlfn.XLOOKUP("Screen Protector for Galaxy Phone",Stock1!B479,Stock1!I479,"")</f>
        <v/>
      </c>
      <c r="AA479" s="102" t="str">
        <f t="array" ref="AA479">_xlfn.XLOOKUP("Screen Protector for Galaxy Tab",Stock1!B479,Stock1!I479,"")</f>
        <v/>
      </c>
      <c r="AB479" s="102" t="str">
        <f t="shared" si="4"/>
        <v/>
      </c>
      <c r="AC479" s="102" t="str">
        <f t="array" ref="AC479">_xlfn.XLOOKUP(AB479,Stock1!I479,Stock1!F479,"")</f>
        <v/>
      </c>
      <c r="AD479" s="102" t="str">
        <f t="array" ref="AD479">_xlfn.XLOOKUP(AB479,Stock1!I479,Stock1!J479,"")</f>
        <v/>
      </c>
      <c r="AE479" s="102" t="str">
        <f t="array" ref="AE479">_xlfn.XLOOKUP("Storage",Stock1!B479,Stock1!I479,"")</f>
        <v/>
      </c>
      <c r="AF479" s="102" t="str">
        <f t="array" ref="AF479">_xlfn.XLOOKUP(AE479,Stock1!I479,Stock1!F479,"")</f>
        <v/>
      </c>
      <c r="AG479" s="102" t="str">
        <f t="array" ref="AG479">_xlfn.XLOOKUP(AE479,Stock1!I479,Stock1!J479,"")</f>
        <v/>
      </c>
    </row>
    <row r="480">
      <c r="K480" s="660" t="str">
        <f t="array" ref="K480">IFERROR(_xlfn.XLOOKUP(I480,Incentive!B:B,Incentive!E:E,""),"")</f>
        <v/>
      </c>
      <c r="L480" s="659" t="str">
        <f>IFERROR(VLOOKUP(I480,Stock1!F:J,5,False),"")</f>
        <v/>
      </c>
      <c r="M480" s="659" t="str">
        <f>IFERROR(VLOOKUP(I480,Stock2!F:J,5,False),"")</f>
        <v/>
      </c>
      <c r="V480" s="102" t="str">
        <f t="array" ref="V480">_xlfn.XLOOKUP("Charger",Stock1!B480,Stock1!I480,"")</f>
        <v/>
      </c>
      <c r="W480" s="102" t="str">
        <f t="array" ref="W480">_xlfn.XLOOKUP(V480,Stock1!I480,Stock1!F480,"")</f>
        <v/>
      </c>
      <c r="X480" s="102" t="str">
        <f t="array" ref="X480">_xlfn.XLOOKUP(V480,Stock1!I480,Stock1!J480,"")</f>
        <v/>
      </c>
      <c r="Y480" s="102" t="str">
        <f t="array" ref="Y480">_xlfn.XLOOKUP("Screen Protector for Android Phone and Other",Stock1!B480,Stock1!I480,"")</f>
        <v/>
      </c>
      <c r="Z480" s="102" t="str">
        <f t="array" ref="Z480">_xlfn.XLOOKUP("Screen Protector for Galaxy Phone",Stock1!B480,Stock1!I480,"")</f>
        <v/>
      </c>
      <c r="AA480" s="102" t="str">
        <f t="array" ref="AA480">_xlfn.XLOOKUP("Screen Protector for Galaxy Tab",Stock1!B480,Stock1!I480,"")</f>
        <v/>
      </c>
      <c r="AB480" s="102" t="str">
        <f t="shared" si="4"/>
        <v/>
      </c>
      <c r="AC480" s="102" t="str">
        <f t="array" ref="AC480">_xlfn.XLOOKUP(AB480,Stock1!I480,Stock1!F480,"")</f>
        <v/>
      </c>
      <c r="AD480" s="102" t="str">
        <f t="array" ref="AD480">_xlfn.XLOOKUP(AB480,Stock1!I480,Stock1!J480,"")</f>
        <v/>
      </c>
      <c r="AE480" s="102" t="str">
        <f t="array" ref="AE480">_xlfn.XLOOKUP("Storage",Stock1!B480,Stock1!I480,"")</f>
        <v/>
      </c>
      <c r="AF480" s="102" t="str">
        <f t="array" ref="AF480">_xlfn.XLOOKUP(AE480,Stock1!I480,Stock1!F480,"")</f>
        <v/>
      </c>
      <c r="AG480" s="102" t="str">
        <f t="array" ref="AG480">_xlfn.XLOOKUP(AE480,Stock1!I480,Stock1!J480,"")</f>
        <v/>
      </c>
    </row>
    <row r="481">
      <c r="K481" s="660" t="str">
        <f t="array" ref="K481">IFERROR(_xlfn.XLOOKUP(I481,Incentive!B:B,Incentive!E:E,""),"")</f>
        <v/>
      </c>
      <c r="L481" s="659" t="str">
        <f>IFERROR(VLOOKUP(I481,Stock1!F:J,5,False),"")</f>
        <v/>
      </c>
      <c r="M481" s="659" t="str">
        <f>IFERROR(VLOOKUP(I481,Stock2!F:J,5,False),"")</f>
        <v/>
      </c>
      <c r="V481" s="102" t="str">
        <f t="array" ref="V481">_xlfn.XLOOKUP("Charger",Stock1!B481,Stock1!I481,"")</f>
        <v/>
      </c>
      <c r="W481" s="102" t="str">
        <f t="array" ref="W481">_xlfn.XLOOKUP(V481,Stock1!I481,Stock1!F481,"")</f>
        <v/>
      </c>
      <c r="X481" s="102" t="str">
        <f t="array" ref="X481">_xlfn.XLOOKUP(V481,Stock1!I481,Stock1!J481,"")</f>
        <v/>
      </c>
      <c r="Y481" s="102" t="str">
        <f t="array" ref="Y481">_xlfn.XLOOKUP("Screen Protector for Android Phone and Other",Stock1!B481,Stock1!I481,"")</f>
        <v/>
      </c>
      <c r="Z481" s="102" t="str">
        <f t="array" ref="Z481">_xlfn.XLOOKUP("Screen Protector for Galaxy Phone",Stock1!B481,Stock1!I481,"")</f>
        <v/>
      </c>
      <c r="AA481" s="102" t="str">
        <f t="array" ref="AA481">_xlfn.XLOOKUP("Screen Protector for Galaxy Tab",Stock1!B481,Stock1!I481,"")</f>
        <v/>
      </c>
      <c r="AB481" s="102" t="str">
        <f t="shared" si="4"/>
        <v/>
      </c>
      <c r="AC481" s="102" t="str">
        <f t="array" ref="AC481">_xlfn.XLOOKUP(AB481,Stock1!I481,Stock1!F481,"")</f>
        <v/>
      </c>
      <c r="AD481" s="102" t="str">
        <f t="array" ref="AD481">_xlfn.XLOOKUP(AB481,Stock1!I481,Stock1!J481,"")</f>
        <v/>
      </c>
      <c r="AE481" s="102" t="str">
        <f t="array" ref="AE481">_xlfn.XLOOKUP("Storage",Stock1!B481,Stock1!I481,"")</f>
        <v/>
      </c>
      <c r="AF481" s="102" t="str">
        <f t="array" ref="AF481">_xlfn.XLOOKUP(AE481,Stock1!I481,Stock1!F481,"")</f>
        <v/>
      </c>
      <c r="AG481" s="102" t="str">
        <f t="array" ref="AG481">_xlfn.XLOOKUP(AE481,Stock1!I481,Stock1!J481,"")</f>
        <v/>
      </c>
    </row>
    <row r="482">
      <c r="K482" s="660" t="str">
        <f t="array" ref="K482">IFERROR(_xlfn.XLOOKUP(I482,Incentive!B:B,Incentive!E:E,""),"")</f>
        <v/>
      </c>
      <c r="L482" s="659" t="str">
        <f>IFERROR(VLOOKUP(I482,Stock1!F:J,5,False),"")</f>
        <v/>
      </c>
      <c r="M482" s="659" t="str">
        <f>IFERROR(VLOOKUP(I482,Stock2!F:J,5,False),"")</f>
        <v/>
      </c>
      <c r="V482" s="102" t="str">
        <f t="array" ref="V482">_xlfn.XLOOKUP("Charger",Stock1!B482,Stock1!I482,"")</f>
        <v/>
      </c>
      <c r="W482" s="102" t="str">
        <f t="array" ref="W482">_xlfn.XLOOKUP(V482,Stock1!I482,Stock1!F482,"")</f>
        <v/>
      </c>
      <c r="X482" s="102" t="str">
        <f t="array" ref="X482">_xlfn.XLOOKUP(V482,Stock1!I482,Stock1!J482,"")</f>
        <v/>
      </c>
      <c r="Y482" s="102" t="str">
        <f t="array" ref="Y482">_xlfn.XLOOKUP("Screen Protector for Android Phone and Other",Stock1!B482,Stock1!I482,"")</f>
        <v/>
      </c>
      <c r="Z482" s="102" t="str">
        <f t="array" ref="Z482">_xlfn.XLOOKUP("Screen Protector for Galaxy Phone",Stock1!B482,Stock1!I482,"")</f>
        <v/>
      </c>
      <c r="AA482" s="102" t="str">
        <f t="array" ref="AA482">_xlfn.XLOOKUP("Screen Protector for Galaxy Tab",Stock1!B482,Stock1!I482,"")</f>
        <v/>
      </c>
      <c r="AB482" s="102" t="str">
        <f t="shared" si="4"/>
        <v/>
      </c>
      <c r="AC482" s="102" t="str">
        <f t="array" ref="AC482">_xlfn.XLOOKUP(AB482,Stock1!I482,Stock1!F482,"")</f>
        <v/>
      </c>
      <c r="AD482" s="102" t="str">
        <f t="array" ref="AD482">_xlfn.XLOOKUP(AB482,Stock1!I482,Stock1!J482,"")</f>
        <v/>
      </c>
      <c r="AE482" s="102" t="str">
        <f t="array" ref="AE482">_xlfn.XLOOKUP("Storage",Stock1!B482,Stock1!I482,"")</f>
        <v/>
      </c>
      <c r="AF482" s="102" t="str">
        <f t="array" ref="AF482">_xlfn.XLOOKUP(AE482,Stock1!I482,Stock1!F482,"")</f>
        <v/>
      </c>
      <c r="AG482" s="102" t="str">
        <f t="array" ref="AG482">_xlfn.XLOOKUP(AE482,Stock1!I482,Stock1!J482,"")</f>
        <v/>
      </c>
    </row>
    <row r="483">
      <c r="K483" s="660" t="str">
        <f t="array" ref="K483">IFERROR(_xlfn.XLOOKUP(I483,Incentive!B:B,Incentive!E:E,""),"")</f>
        <v/>
      </c>
      <c r="L483" s="659" t="str">
        <f>IFERROR(VLOOKUP(I483,Stock1!F:J,5,False),"")</f>
        <v/>
      </c>
      <c r="M483" s="659" t="str">
        <f>IFERROR(VLOOKUP(I483,Stock2!F:J,5,False),"")</f>
        <v/>
      </c>
      <c r="V483" s="102" t="str">
        <f t="array" ref="V483">_xlfn.XLOOKUP("Charger",Stock1!B483,Stock1!I483,"")</f>
        <v/>
      </c>
      <c r="W483" s="102" t="str">
        <f t="array" ref="W483">_xlfn.XLOOKUP(V483,Stock1!I483,Stock1!F483,"")</f>
        <v/>
      </c>
      <c r="X483" s="102" t="str">
        <f t="array" ref="X483">_xlfn.XLOOKUP(V483,Stock1!I483,Stock1!J483,"")</f>
        <v/>
      </c>
      <c r="Y483" s="102" t="str">
        <f t="array" ref="Y483">_xlfn.XLOOKUP("Screen Protector for Android Phone and Other",Stock1!B483,Stock1!I483,"")</f>
        <v/>
      </c>
      <c r="Z483" s="102" t="str">
        <f t="array" ref="Z483">_xlfn.XLOOKUP("Screen Protector for Galaxy Phone",Stock1!B483,Stock1!I483,"")</f>
        <v/>
      </c>
      <c r="AA483" s="102" t="str">
        <f t="array" ref="AA483">_xlfn.XLOOKUP("Screen Protector for Galaxy Tab",Stock1!B483,Stock1!I483,"")</f>
        <v/>
      </c>
      <c r="AB483" s="102" t="str">
        <f t="shared" si="4"/>
        <v/>
      </c>
      <c r="AC483" s="102" t="str">
        <f t="array" ref="AC483">_xlfn.XLOOKUP(AB483,Stock1!I483,Stock1!F483,"")</f>
        <v/>
      </c>
      <c r="AD483" s="102" t="str">
        <f t="array" ref="AD483">_xlfn.XLOOKUP(AB483,Stock1!I483,Stock1!J483,"")</f>
        <v/>
      </c>
      <c r="AE483" s="102" t="str">
        <f t="array" ref="AE483">_xlfn.XLOOKUP("Storage",Stock1!B483,Stock1!I483,"")</f>
        <v/>
      </c>
      <c r="AF483" s="102" t="str">
        <f t="array" ref="AF483">_xlfn.XLOOKUP(AE483,Stock1!I483,Stock1!F483,"")</f>
        <v/>
      </c>
      <c r="AG483" s="102" t="str">
        <f t="array" ref="AG483">_xlfn.XLOOKUP(AE483,Stock1!I483,Stock1!J483,"")</f>
        <v/>
      </c>
    </row>
    <row r="484">
      <c r="K484" s="660" t="str">
        <f t="array" ref="K484">IFERROR(_xlfn.XLOOKUP(I484,Incentive!B:B,Incentive!E:E,""),"")</f>
        <v/>
      </c>
      <c r="L484" s="659" t="str">
        <f>IFERROR(VLOOKUP(I484,Stock1!F:J,5,False),"")</f>
        <v/>
      </c>
      <c r="M484" s="659" t="str">
        <f>IFERROR(VLOOKUP(I484,Stock2!F:J,5,False),"")</f>
        <v/>
      </c>
      <c r="V484" s="102" t="str">
        <f t="array" ref="V484">_xlfn.XLOOKUP("Charger",Stock1!B484,Stock1!I484,"")</f>
        <v/>
      </c>
      <c r="W484" s="102" t="str">
        <f t="array" ref="W484">_xlfn.XLOOKUP(V484,Stock1!I484,Stock1!F484,"")</f>
        <v/>
      </c>
      <c r="X484" s="102" t="str">
        <f t="array" ref="X484">_xlfn.XLOOKUP(V484,Stock1!I484,Stock1!J484,"")</f>
        <v/>
      </c>
      <c r="Y484" s="102" t="str">
        <f t="array" ref="Y484">_xlfn.XLOOKUP("Screen Protector for Android Phone and Other",Stock1!B484,Stock1!I484,"")</f>
        <v/>
      </c>
      <c r="Z484" s="102" t="str">
        <f t="array" ref="Z484">_xlfn.XLOOKUP("Screen Protector for Galaxy Phone",Stock1!B484,Stock1!I484,"")</f>
        <v/>
      </c>
      <c r="AA484" s="102" t="str">
        <f t="array" ref="AA484">_xlfn.XLOOKUP("Screen Protector for Galaxy Tab",Stock1!B484,Stock1!I484,"")</f>
        <v/>
      </c>
      <c r="AB484" s="102" t="str">
        <f t="shared" si="4"/>
        <v/>
      </c>
      <c r="AC484" s="102" t="str">
        <f t="array" ref="AC484">_xlfn.XLOOKUP(AB484,Stock1!I484,Stock1!F484,"")</f>
        <v/>
      </c>
      <c r="AD484" s="102" t="str">
        <f t="array" ref="AD484">_xlfn.XLOOKUP(AB484,Stock1!I484,Stock1!J484,"")</f>
        <v/>
      </c>
      <c r="AE484" s="102" t="str">
        <f t="array" ref="AE484">_xlfn.XLOOKUP("Storage",Stock1!B484,Stock1!I484,"")</f>
        <v/>
      </c>
      <c r="AF484" s="102" t="str">
        <f t="array" ref="AF484">_xlfn.XLOOKUP(AE484,Stock1!I484,Stock1!F484,"")</f>
        <v/>
      </c>
      <c r="AG484" s="102" t="str">
        <f t="array" ref="AG484">_xlfn.XLOOKUP(AE484,Stock1!I484,Stock1!J484,"")</f>
        <v/>
      </c>
    </row>
    <row r="485">
      <c r="K485" s="660" t="str">
        <f t="array" ref="K485">IFERROR(_xlfn.XLOOKUP(I485,Incentive!B:B,Incentive!E:E,""),"")</f>
        <v/>
      </c>
      <c r="L485" s="659" t="str">
        <f>IFERROR(VLOOKUP(I485,Stock1!F:J,5,False),"")</f>
        <v/>
      </c>
      <c r="M485" s="659" t="str">
        <f>IFERROR(VLOOKUP(I485,Stock2!F:J,5,False),"")</f>
        <v/>
      </c>
      <c r="V485" s="102" t="str">
        <f t="array" ref="V485">_xlfn.XLOOKUP("Charger",Stock1!B485,Stock1!I485,"")</f>
        <v/>
      </c>
      <c r="W485" s="102" t="str">
        <f t="array" ref="W485">_xlfn.XLOOKUP(V485,Stock1!I485,Stock1!F485,"")</f>
        <v/>
      </c>
      <c r="X485" s="102" t="str">
        <f t="array" ref="X485">_xlfn.XLOOKUP(V485,Stock1!I485,Stock1!J485,"")</f>
        <v/>
      </c>
      <c r="Y485" s="102" t="str">
        <f t="array" ref="Y485">_xlfn.XLOOKUP("Screen Protector for Android Phone and Other",Stock1!B485,Stock1!I485,"")</f>
        <v/>
      </c>
      <c r="Z485" s="102" t="str">
        <f t="array" ref="Z485">_xlfn.XLOOKUP("Screen Protector for Galaxy Phone",Stock1!B485,Stock1!I485,"")</f>
        <v/>
      </c>
      <c r="AA485" s="102" t="str">
        <f t="array" ref="AA485">_xlfn.XLOOKUP("Screen Protector for Galaxy Tab",Stock1!B485,Stock1!I485,"")</f>
        <v/>
      </c>
      <c r="AB485" s="102" t="str">
        <f t="shared" si="4"/>
        <v/>
      </c>
      <c r="AC485" s="102" t="str">
        <f t="array" ref="AC485">_xlfn.XLOOKUP(AB485,Stock1!I485,Stock1!F485,"")</f>
        <v/>
      </c>
      <c r="AD485" s="102" t="str">
        <f t="array" ref="AD485">_xlfn.XLOOKUP(AB485,Stock1!I485,Stock1!J485,"")</f>
        <v/>
      </c>
      <c r="AE485" s="102" t="str">
        <f t="array" ref="AE485">_xlfn.XLOOKUP("Storage",Stock1!B485,Stock1!I485,"")</f>
        <v/>
      </c>
      <c r="AF485" s="102" t="str">
        <f t="array" ref="AF485">_xlfn.XLOOKUP(AE485,Stock1!I485,Stock1!F485,"")</f>
        <v/>
      </c>
      <c r="AG485" s="102" t="str">
        <f t="array" ref="AG485">_xlfn.XLOOKUP(AE485,Stock1!I485,Stock1!J485,"")</f>
        <v/>
      </c>
    </row>
    <row r="486">
      <c r="K486" s="660" t="str">
        <f t="array" ref="K486">IFERROR(_xlfn.XLOOKUP(I486,Incentive!B:B,Incentive!E:E,""),"")</f>
        <v/>
      </c>
      <c r="L486" s="659" t="str">
        <f>IFERROR(VLOOKUP(I486,Stock1!F:J,5,False),"")</f>
        <v/>
      </c>
      <c r="M486" s="659" t="str">
        <f>IFERROR(VLOOKUP(I486,Stock2!F:J,5,False),"")</f>
        <v/>
      </c>
      <c r="V486" s="102" t="str">
        <f t="array" ref="V486">_xlfn.XLOOKUP("Charger",Stock1!B486,Stock1!I486,"")</f>
        <v/>
      </c>
      <c r="W486" s="102" t="str">
        <f t="array" ref="W486">_xlfn.XLOOKUP(V486,Stock1!I486,Stock1!F486,"")</f>
        <v/>
      </c>
      <c r="X486" s="102" t="str">
        <f t="array" ref="X486">_xlfn.XLOOKUP(V486,Stock1!I486,Stock1!J486,"")</f>
        <v/>
      </c>
      <c r="Y486" s="102" t="str">
        <f t="array" ref="Y486">_xlfn.XLOOKUP("Screen Protector for Android Phone and Other",Stock1!B486,Stock1!I486,"")</f>
        <v/>
      </c>
      <c r="Z486" s="102" t="str">
        <f t="array" ref="Z486">_xlfn.XLOOKUP("Screen Protector for Galaxy Phone",Stock1!B486,Stock1!I486,"")</f>
        <v/>
      </c>
      <c r="AA486" s="102" t="str">
        <f t="array" ref="AA486">_xlfn.XLOOKUP("Screen Protector for Galaxy Tab",Stock1!B486,Stock1!I486,"")</f>
        <v/>
      </c>
      <c r="AB486" s="102" t="str">
        <f t="shared" si="4"/>
        <v/>
      </c>
      <c r="AC486" s="102" t="str">
        <f t="array" ref="AC486">_xlfn.XLOOKUP(AB486,Stock1!I486,Stock1!F486,"")</f>
        <v/>
      </c>
      <c r="AD486" s="102" t="str">
        <f t="array" ref="AD486">_xlfn.XLOOKUP(AB486,Stock1!I486,Stock1!J486,"")</f>
        <v/>
      </c>
      <c r="AE486" s="102" t="str">
        <f t="array" ref="AE486">_xlfn.XLOOKUP("Storage",Stock1!B486,Stock1!I486,"")</f>
        <v/>
      </c>
      <c r="AF486" s="102" t="str">
        <f t="array" ref="AF486">_xlfn.XLOOKUP(AE486,Stock1!I486,Stock1!F486,"")</f>
        <v/>
      </c>
      <c r="AG486" s="102" t="str">
        <f t="array" ref="AG486">_xlfn.XLOOKUP(AE486,Stock1!I486,Stock1!J486,"")</f>
        <v/>
      </c>
    </row>
    <row r="487">
      <c r="K487" s="660" t="str">
        <f t="array" ref="K487">IFERROR(_xlfn.XLOOKUP(I487,Incentive!B:B,Incentive!E:E,""),"")</f>
        <v/>
      </c>
      <c r="L487" s="659" t="str">
        <f>IFERROR(VLOOKUP(I487,Stock1!F:J,5,False),"")</f>
        <v/>
      </c>
      <c r="M487" s="659" t="str">
        <f>IFERROR(VLOOKUP(I487,Stock2!F:J,5,False),"")</f>
        <v/>
      </c>
      <c r="V487" s="102" t="str">
        <f t="array" ref="V487">_xlfn.XLOOKUP("Charger",Stock1!B487,Stock1!I487,"")</f>
        <v/>
      </c>
      <c r="W487" s="102" t="str">
        <f t="array" ref="W487">_xlfn.XLOOKUP(V487,Stock1!I487,Stock1!F487,"")</f>
        <v/>
      </c>
      <c r="X487" s="102" t="str">
        <f t="array" ref="X487">_xlfn.XLOOKUP(V487,Stock1!I487,Stock1!J487,"")</f>
        <v/>
      </c>
      <c r="Y487" s="102" t="str">
        <f t="array" ref="Y487">_xlfn.XLOOKUP("Screen Protector for Android Phone and Other",Stock1!B487,Stock1!I487,"")</f>
        <v/>
      </c>
      <c r="Z487" s="102" t="str">
        <f t="array" ref="Z487">_xlfn.XLOOKUP("Screen Protector for Galaxy Phone",Stock1!B487,Stock1!I487,"")</f>
        <v/>
      </c>
      <c r="AA487" s="102" t="str">
        <f t="array" ref="AA487">_xlfn.XLOOKUP("Screen Protector for Galaxy Tab",Stock1!B487,Stock1!I487,"")</f>
        <v/>
      </c>
      <c r="AB487" s="102" t="str">
        <f t="shared" si="4"/>
        <v/>
      </c>
      <c r="AC487" s="102" t="str">
        <f t="array" ref="AC487">_xlfn.XLOOKUP(AB487,Stock1!I487,Stock1!F487,"")</f>
        <v/>
      </c>
      <c r="AD487" s="102" t="str">
        <f t="array" ref="AD487">_xlfn.XLOOKUP(AB487,Stock1!I487,Stock1!J487,"")</f>
        <v/>
      </c>
      <c r="AE487" s="102" t="str">
        <f t="array" ref="AE487">_xlfn.XLOOKUP("Storage",Stock1!B487,Stock1!I487,"")</f>
        <v/>
      </c>
      <c r="AF487" s="102" t="str">
        <f t="array" ref="AF487">_xlfn.XLOOKUP(AE487,Stock1!I487,Stock1!F487,"")</f>
        <v/>
      </c>
      <c r="AG487" s="102" t="str">
        <f t="array" ref="AG487">_xlfn.XLOOKUP(AE487,Stock1!I487,Stock1!J487,"")</f>
        <v/>
      </c>
    </row>
    <row r="488">
      <c r="K488" s="660" t="str">
        <f t="array" ref="K488">IFERROR(_xlfn.XLOOKUP(I488,Incentive!B:B,Incentive!E:E,""),"")</f>
        <v/>
      </c>
      <c r="L488" s="659" t="str">
        <f>IFERROR(VLOOKUP(I488,Stock1!F:J,5,False),"")</f>
        <v/>
      </c>
      <c r="M488" s="659" t="str">
        <f>IFERROR(VLOOKUP(I488,Stock2!F:J,5,False),"")</f>
        <v/>
      </c>
      <c r="V488" s="102" t="str">
        <f t="array" ref="V488">_xlfn.XLOOKUP("Charger",Stock1!B488,Stock1!I488,"")</f>
        <v/>
      </c>
      <c r="W488" s="102" t="str">
        <f t="array" ref="W488">_xlfn.XLOOKUP(V488,Stock1!I488,Stock1!F488,"")</f>
        <v/>
      </c>
      <c r="X488" s="102" t="str">
        <f t="array" ref="X488">_xlfn.XLOOKUP(V488,Stock1!I488,Stock1!J488,"")</f>
        <v/>
      </c>
      <c r="Y488" s="102" t="str">
        <f t="array" ref="Y488">_xlfn.XLOOKUP("Screen Protector for Android Phone and Other",Stock1!B488,Stock1!I488,"")</f>
        <v/>
      </c>
      <c r="Z488" s="102" t="str">
        <f t="array" ref="Z488">_xlfn.XLOOKUP("Screen Protector for Galaxy Phone",Stock1!B488,Stock1!I488,"")</f>
        <v/>
      </c>
      <c r="AA488" s="102" t="str">
        <f t="array" ref="AA488">_xlfn.XLOOKUP("Screen Protector for Galaxy Tab",Stock1!B488,Stock1!I488,"")</f>
        <v/>
      </c>
      <c r="AB488" s="102" t="str">
        <f t="shared" si="4"/>
        <v/>
      </c>
      <c r="AC488" s="102" t="str">
        <f t="array" ref="AC488">_xlfn.XLOOKUP(AB488,Stock1!I488,Stock1!F488,"")</f>
        <v/>
      </c>
      <c r="AD488" s="102" t="str">
        <f t="array" ref="AD488">_xlfn.XLOOKUP(AB488,Stock1!I488,Stock1!J488,"")</f>
        <v/>
      </c>
      <c r="AE488" s="102" t="str">
        <f t="array" ref="AE488">_xlfn.XLOOKUP("Storage",Stock1!B488,Stock1!I488,"")</f>
        <v/>
      </c>
      <c r="AF488" s="102" t="str">
        <f t="array" ref="AF488">_xlfn.XLOOKUP(AE488,Stock1!I488,Stock1!F488,"")</f>
        <v/>
      </c>
      <c r="AG488" s="102" t="str">
        <f t="array" ref="AG488">_xlfn.XLOOKUP(AE488,Stock1!I488,Stock1!J488,"")</f>
        <v/>
      </c>
    </row>
    <row r="489">
      <c r="K489" s="660" t="str">
        <f t="array" ref="K489">IFERROR(_xlfn.XLOOKUP(I489,Incentive!B:B,Incentive!E:E,""),"")</f>
        <v/>
      </c>
      <c r="L489" s="659" t="str">
        <f>IFERROR(VLOOKUP(I489,Stock1!F:J,5,False),"")</f>
        <v/>
      </c>
      <c r="M489" s="659" t="str">
        <f>IFERROR(VLOOKUP(I489,Stock2!F:J,5,False),"")</f>
        <v/>
      </c>
      <c r="V489" s="102" t="str">
        <f t="array" ref="V489">_xlfn.XLOOKUP("Charger",Stock1!B489,Stock1!I489,"")</f>
        <v/>
      </c>
      <c r="W489" s="102" t="str">
        <f t="array" ref="W489">_xlfn.XLOOKUP(V489,Stock1!I489,Stock1!F489,"")</f>
        <v/>
      </c>
      <c r="X489" s="102" t="str">
        <f t="array" ref="X489">_xlfn.XLOOKUP(V489,Stock1!I489,Stock1!J489,"")</f>
        <v/>
      </c>
      <c r="Y489" s="102" t="str">
        <f t="array" ref="Y489">_xlfn.XLOOKUP("Screen Protector for Android Phone and Other",Stock1!B489,Stock1!I489,"")</f>
        <v/>
      </c>
      <c r="Z489" s="102" t="str">
        <f t="array" ref="Z489">_xlfn.XLOOKUP("Screen Protector for Galaxy Phone",Stock1!B489,Stock1!I489,"")</f>
        <v/>
      </c>
      <c r="AA489" s="102" t="str">
        <f t="array" ref="AA489">_xlfn.XLOOKUP("Screen Protector for Galaxy Tab",Stock1!B489,Stock1!I489,"")</f>
        <v/>
      </c>
      <c r="AB489" s="102" t="str">
        <f t="shared" si="4"/>
        <v/>
      </c>
      <c r="AC489" s="102" t="str">
        <f t="array" ref="AC489">_xlfn.XLOOKUP(AB489,Stock1!I489,Stock1!F489,"")</f>
        <v/>
      </c>
      <c r="AD489" s="102" t="str">
        <f t="array" ref="AD489">_xlfn.XLOOKUP(AB489,Stock1!I489,Stock1!J489,"")</f>
        <v/>
      </c>
      <c r="AE489" s="102" t="str">
        <f t="array" ref="AE489">_xlfn.XLOOKUP("Storage",Stock1!B489,Stock1!I489,"")</f>
        <v/>
      </c>
      <c r="AF489" s="102" t="str">
        <f t="array" ref="AF489">_xlfn.XLOOKUP(AE489,Stock1!I489,Stock1!F489,"")</f>
        <v/>
      </c>
      <c r="AG489" s="102" t="str">
        <f t="array" ref="AG489">_xlfn.XLOOKUP(AE489,Stock1!I489,Stock1!J489,"")</f>
        <v/>
      </c>
    </row>
    <row r="490">
      <c r="K490" s="660" t="str">
        <f t="array" ref="K490">IFERROR(_xlfn.XLOOKUP(I490,Incentive!B:B,Incentive!E:E,""),"")</f>
        <v/>
      </c>
      <c r="L490" s="659" t="str">
        <f>IFERROR(VLOOKUP(I490,Stock1!F:J,5,False),"")</f>
        <v/>
      </c>
      <c r="M490" s="659" t="str">
        <f>IFERROR(VLOOKUP(I490,Stock2!F:J,5,False),"")</f>
        <v/>
      </c>
      <c r="V490" s="102" t="str">
        <f t="array" ref="V490">_xlfn.XLOOKUP("Charger",Stock1!B490,Stock1!I490,"")</f>
        <v/>
      </c>
      <c r="W490" s="102" t="str">
        <f t="array" ref="W490">_xlfn.XLOOKUP(V490,Stock1!I490,Stock1!F490,"")</f>
        <v/>
      </c>
      <c r="X490" s="102" t="str">
        <f t="array" ref="X490">_xlfn.XLOOKUP(V490,Stock1!I490,Stock1!J490,"")</f>
        <v/>
      </c>
      <c r="Y490" s="102" t="str">
        <f t="array" ref="Y490">_xlfn.XLOOKUP("Screen Protector for Android Phone and Other",Stock1!B490,Stock1!I490,"")</f>
        <v/>
      </c>
      <c r="Z490" s="102" t="str">
        <f t="array" ref="Z490">_xlfn.XLOOKUP("Screen Protector for Galaxy Phone",Stock1!B490,Stock1!I490,"")</f>
        <v/>
      </c>
      <c r="AA490" s="102" t="str">
        <f t="array" ref="AA490">_xlfn.XLOOKUP("Screen Protector for Galaxy Tab",Stock1!B490,Stock1!I490,"")</f>
        <v/>
      </c>
      <c r="AB490" s="102" t="str">
        <f t="shared" si="4"/>
        <v/>
      </c>
      <c r="AC490" s="102" t="str">
        <f t="array" ref="AC490">_xlfn.XLOOKUP(AB490,Stock1!I490,Stock1!F490,"")</f>
        <v/>
      </c>
      <c r="AD490" s="102" t="str">
        <f t="array" ref="AD490">_xlfn.XLOOKUP(AB490,Stock1!I490,Stock1!J490,"")</f>
        <v/>
      </c>
      <c r="AE490" s="102" t="str">
        <f t="array" ref="AE490">_xlfn.XLOOKUP("Storage",Stock1!B490,Stock1!I490,"")</f>
        <v/>
      </c>
      <c r="AF490" s="102" t="str">
        <f t="array" ref="AF490">_xlfn.XLOOKUP(AE490,Stock1!I490,Stock1!F490,"")</f>
        <v/>
      </c>
      <c r="AG490" s="102" t="str">
        <f t="array" ref="AG490">_xlfn.XLOOKUP(AE490,Stock1!I490,Stock1!J490,"")</f>
        <v/>
      </c>
    </row>
    <row r="491">
      <c r="K491" s="660" t="str">
        <f t="array" ref="K491">IFERROR(_xlfn.XLOOKUP(I491,Incentive!B:B,Incentive!E:E,""),"")</f>
        <v/>
      </c>
      <c r="L491" s="659" t="str">
        <f>IFERROR(VLOOKUP(I491,Stock1!F:J,5,False),"")</f>
        <v/>
      </c>
      <c r="M491" s="659" t="str">
        <f>IFERROR(VLOOKUP(I491,Stock2!F:J,5,False),"")</f>
        <v/>
      </c>
      <c r="V491" s="102" t="str">
        <f t="array" ref="V491">_xlfn.XLOOKUP("Charger",Stock1!B491,Stock1!I491,"")</f>
        <v/>
      </c>
      <c r="W491" s="102" t="str">
        <f t="array" ref="W491">_xlfn.XLOOKUP(V491,Stock1!I491,Stock1!F491,"")</f>
        <v/>
      </c>
      <c r="X491" s="102" t="str">
        <f t="array" ref="X491">_xlfn.XLOOKUP(V491,Stock1!I491,Stock1!J491,"")</f>
        <v/>
      </c>
      <c r="Y491" s="102" t="str">
        <f t="array" ref="Y491">_xlfn.XLOOKUP("Screen Protector for Android Phone and Other",Stock1!B491,Stock1!I491,"")</f>
        <v/>
      </c>
      <c r="Z491" s="102" t="str">
        <f t="array" ref="Z491">_xlfn.XLOOKUP("Screen Protector for Galaxy Phone",Stock1!B491,Stock1!I491,"")</f>
        <v/>
      </c>
      <c r="AA491" s="102" t="str">
        <f t="array" ref="AA491">_xlfn.XLOOKUP("Screen Protector for Galaxy Tab",Stock1!B491,Stock1!I491,"")</f>
        <v/>
      </c>
      <c r="AB491" s="102" t="str">
        <f t="shared" si="4"/>
        <v/>
      </c>
      <c r="AC491" s="102" t="str">
        <f t="array" ref="AC491">_xlfn.XLOOKUP(AB491,Stock1!I491,Stock1!F491,"")</f>
        <v/>
      </c>
      <c r="AD491" s="102" t="str">
        <f t="array" ref="AD491">_xlfn.XLOOKUP(AB491,Stock1!I491,Stock1!J491,"")</f>
        <v/>
      </c>
      <c r="AE491" s="102" t="str">
        <f t="array" ref="AE491">_xlfn.XLOOKUP("Storage",Stock1!B491,Stock1!I491,"")</f>
        <v/>
      </c>
      <c r="AF491" s="102" t="str">
        <f t="array" ref="AF491">_xlfn.XLOOKUP(AE491,Stock1!I491,Stock1!F491,"")</f>
        <v/>
      </c>
      <c r="AG491" s="102" t="str">
        <f t="array" ref="AG491">_xlfn.XLOOKUP(AE491,Stock1!I491,Stock1!J491,"")</f>
        <v/>
      </c>
    </row>
    <row r="492">
      <c r="K492" s="660" t="str">
        <f t="array" ref="K492">IFERROR(_xlfn.XLOOKUP(I492,Incentive!B:B,Incentive!E:E,""),"")</f>
        <v/>
      </c>
      <c r="L492" s="659" t="str">
        <f>IFERROR(VLOOKUP(I492,Stock1!F:J,5,False),"")</f>
        <v/>
      </c>
      <c r="M492" s="659" t="str">
        <f>IFERROR(VLOOKUP(I492,Stock2!F:J,5,False),"")</f>
        <v/>
      </c>
      <c r="V492" s="102" t="str">
        <f t="array" ref="V492">_xlfn.XLOOKUP("Charger",Stock1!B492,Stock1!I492,"")</f>
        <v/>
      </c>
      <c r="W492" s="102" t="str">
        <f t="array" ref="W492">_xlfn.XLOOKUP(V492,Stock1!I492,Stock1!F492,"")</f>
        <v/>
      </c>
      <c r="X492" s="102" t="str">
        <f t="array" ref="X492">_xlfn.XLOOKUP(V492,Stock1!I492,Stock1!J492,"")</f>
        <v/>
      </c>
      <c r="Y492" s="102" t="str">
        <f t="array" ref="Y492">_xlfn.XLOOKUP("Screen Protector for Android Phone and Other",Stock1!B492,Stock1!I492,"")</f>
        <v/>
      </c>
      <c r="Z492" s="102" t="str">
        <f t="array" ref="Z492">_xlfn.XLOOKUP("Screen Protector for Galaxy Phone",Stock1!B492,Stock1!I492,"")</f>
        <v/>
      </c>
      <c r="AA492" s="102" t="str">
        <f t="array" ref="AA492">_xlfn.XLOOKUP("Screen Protector for Galaxy Tab",Stock1!B492,Stock1!I492,"")</f>
        <v/>
      </c>
      <c r="AB492" s="102" t="str">
        <f t="shared" si="4"/>
        <v/>
      </c>
      <c r="AC492" s="102" t="str">
        <f t="array" ref="AC492">_xlfn.XLOOKUP(AB492,Stock1!I492,Stock1!F492,"")</f>
        <v/>
      </c>
      <c r="AD492" s="102" t="str">
        <f t="array" ref="AD492">_xlfn.XLOOKUP(AB492,Stock1!I492,Stock1!J492,"")</f>
        <v/>
      </c>
      <c r="AE492" s="102" t="str">
        <f t="array" ref="AE492">_xlfn.XLOOKUP("Storage",Stock1!B492,Stock1!I492,"")</f>
        <v/>
      </c>
      <c r="AF492" s="102" t="str">
        <f t="array" ref="AF492">_xlfn.XLOOKUP(AE492,Stock1!I492,Stock1!F492,"")</f>
        <v/>
      </c>
      <c r="AG492" s="102" t="str">
        <f t="array" ref="AG492">_xlfn.XLOOKUP(AE492,Stock1!I492,Stock1!J492,"")</f>
        <v/>
      </c>
    </row>
    <row r="493">
      <c r="K493" s="660" t="str">
        <f t="array" ref="K493">IFERROR(_xlfn.XLOOKUP(I493,Incentive!B:B,Incentive!E:E,""),"")</f>
        <v/>
      </c>
      <c r="L493" s="659" t="str">
        <f>IFERROR(VLOOKUP(I493,Stock1!F:J,5,False),"")</f>
        <v/>
      </c>
      <c r="M493" s="659" t="str">
        <f>IFERROR(VLOOKUP(I493,Stock2!F:J,5,False),"")</f>
        <v/>
      </c>
      <c r="V493" s="102" t="str">
        <f t="array" ref="V493">_xlfn.XLOOKUP("Charger",Stock1!B493,Stock1!I493,"")</f>
        <v/>
      </c>
      <c r="W493" s="102" t="str">
        <f t="array" ref="W493">_xlfn.XLOOKUP(V493,Stock1!I493,Stock1!F493,"")</f>
        <v/>
      </c>
      <c r="X493" s="102" t="str">
        <f t="array" ref="X493">_xlfn.XLOOKUP(V493,Stock1!I493,Stock1!J493,"")</f>
        <v/>
      </c>
      <c r="Y493" s="102" t="str">
        <f t="array" ref="Y493">_xlfn.XLOOKUP("Screen Protector for Android Phone and Other",Stock1!B493,Stock1!I493,"")</f>
        <v/>
      </c>
      <c r="Z493" s="102" t="str">
        <f t="array" ref="Z493">_xlfn.XLOOKUP("Screen Protector for Galaxy Phone",Stock1!B493,Stock1!I493,"")</f>
        <v/>
      </c>
      <c r="AA493" s="102" t="str">
        <f t="array" ref="AA493">_xlfn.XLOOKUP("Screen Protector for Galaxy Tab",Stock1!B493,Stock1!I493,"")</f>
        <v/>
      </c>
      <c r="AB493" s="102" t="str">
        <f t="shared" si="4"/>
        <v/>
      </c>
      <c r="AC493" s="102" t="str">
        <f t="array" ref="AC493">_xlfn.XLOOKUP(AB493,Stock1!I493,Stock1!F493,"")</f>
        <v/>
      </c>
      <c r="AD493" s="102" t="str">
        <f t="array" ref="AD493">_xlfn.XLOOKUP(AB493,Stock1!I493,Stock1!J493,"")</f>
        <v/>
      </c>
      <c r="AE493" s="102" t="str">
        <f t="array" ref="AE493">_xlfn.XLOOKUP("Storage",Stock1!B493,Stock1!I493,"")</f>
        <v/>
      </c>
      <c r="AF493" s="102" t="str">
        <f t="array" ref="AF493">_xlfn.XLOOKUP(AE493,Stock1!I493,Stock1!F493,"")</f>
        <v/>
      </c>
      <c r="AG493" s="102" t="str">
        <f t="array" ref="AG493">_xlfn.XLOOKUP(AE493,Stock1!I493,Stock1!J493,"")</f>
        <v/>
      </c>
    </row>
    <row r="494">
      <c r="K494" s="660" t="str">
        <f t="array" ref="K494">IFERROR(_xlfn.XLOOKUP(I494,Incentive!B:B,Incentive!E:E,""),"")</f>
        <v/>
      </c>
      <c r="L494" s="659" t="str">
        <f>IFERROR(VLOOKUP(I494,Stock1!F:J,5,False),"")</f>
        <v/>
      </c>
      <c r="M494" s="659" t="str">
        <f>IFERROR(VLOOKUP(I494,Stock2!F:J,5,False),"")</f>
        <v/>
      </c>
      <c r="V494" s="102" t="str">
        <f t="array" ref="V494">_xlfn.XLOOKUP("Charger",Stock1!B494,Stock1!I494,"")</f>
        <v/>
      </c>
      <c r="W494" s="102" t="str">
        <f t="array" ref="W494">_xlfn.XLOOKUP(V494,Stock1!I494,Stock1!F494,"")</f>
        <v/>
      </c>
      <c r="X494" s="102" t="str">
        <f t="array" ref="X494">_xlfn.XLOOKUP(V494,Stock1!I494,Stock1!J494,"")</f>
        <v/>
      </c>
      <c r="Y494" s="102" t="str">
        <f t="array" ref="Y494">_xlfn.XLOOKUP("Screen Protector for Android Phone and Other",Stock1!B494,Stock1!I494,"")</f>
        <v/>
      </c>
      <c r="Z494" s="102" t="str">
        <f t="array" ref="Z494">_xlfn.XLOOKUP("Screen Protector for Galaxy Phone",Stock1!B494,Stock1!I494,"")</f>
        <v/>
      </c>
      <c r="AA494" s="102" t="str">
        <f t="array" ref="AA494">_xlfn.XLOOKUP("Screen Protector for Galaxy Tab",Stock1!B494,Stock1!I494,"")</f>
        <v/>
      </c>
      <c r="AB494" s="102" t="str">
        <f t="shared" si="4"/>
        <v/>
      </c>
      <c r="AC494" s="102" t="str">
        <f t="array" ref="AC494">_xlfn.XLOOKUP(AB494,Stock1!I494,Stock1!F494,"")</f>
        <v/>
      </c>
      <c r="AD494" s="102" t="str">
        <f t="array" ref="AD494">_xlfn.XLOOKUP(AB494,Stock1!I494,Stock1!J494,"")</f>
        <v/>
      </c>
      <c r="AE494" s="102" t="str">
        <f t="array" ref="AE494">_xlfn.XLOOKUP("Storage",Stock1!B494,Stock1!I494,"")</f>
        <v/>
      </c>
      <c r="AF494" s="102" t="str">
        <f t="array" ref="AF494">_xlfn.XLOOKUP(AE494,Stock1!I494,Stock1!F494,"")</f>
        <v/>
      </c>
      <c r="AG494" s="102" t="str">
        <f t="array" ref="AG494">_xlfn.XLOOKUP(AE494,Stock1!I494,Stock1!J494,"")</f>
        <v/>
      </c>
    </row>
    <row r="495">
      <c r="K495" s="660" t="str">
        <f t="array" ref="K495">IFERROR(_xlfn.XLOOKUP(I495,Incentive!B:B,Incentive!E:E,""),"")</f>
        <v/>
      </c>
      <c r="L495" s="659" t="str">
        <f>IFERROR(VLOOKUP(I495,Stock1!F:J,5,False),"")</f>
        <v/>
      </c>
      <c r="M495" s="659" t="str">
        <f>IFERROR(VLOOKUP(I495,Stock2!F:J,5,False),"")</f>
        <v/>
      </c>
      <c r="V495" s="102" t="str">
        <f t="array" ref="V495">_xlfn.XLOOKUP("Charger",Stock1!B495,Stock1!I495,"")</f>
        <v/>
      </c>
      <c r="W495" s="102" t="str">
        <f t="array" ref="W495">_xlfn.XLOOKUP(V495,Stock1!I495,Stock1!F495,"")</f>
        <v/>
      </c>
      <c r="X495" s="102" t="str">
        <f t="array" ref="X495">_xlfn.XLOOKUP(V495,Stock1!I495,Stock1!J495,"")</f>
        <v/>
      </c>
      <c r="Y495" s="102" t="str">
        <f t="array" ref="Y495">_xlfn.XLOOKUP("Screen Protector for Android Phone and Other",Stock1!B495,Stock1!I495,"")</f>
        <v/>
      </c>
      <c r="Z495" s="102" t="str">
        <f t="array" ref="Z495">_xlfn.XLOOKUP("Screen Protector for Galaxy Phone",Stock1!B495,Stock1!I495,"")</f>
        <v/>
      </c>
      <c r="AA495" s="102" t="str">
        <f t="array" ref="AA495">_xlfn.XLOOKUP("Screen Protector for Galaxy Tab",Stock1!B495,Stock1!I495,"")</f>
        <v/>
      </c>
      <c r="AB495" s="102" t="str">
        <f t="shared" si="4"/>
        <v/>
      </c>
      <c r="AC495" s="102" t="str">
        <f t="array" ref="AC495">_xlfn.XLOOKUP(AB495,Stock1!I495,Stock1!F495,"")</f>
        <v/>
      </c>
      <c r="AD495" s="102" t="str">
        <f t="array" ref="AD495">_xlfn.XLOOKUP(AB495,Stock1!I495,Stock1!J495,"")</f>
        <v/>
      </c>
      <c r="AE495" s="102" t="str">
        <f t="array" ref="AE495">_xlfn.XLOOKUP("Storage",Stock1!B495,Stock1!I495,"")</f>
        <v/>
      </c>
      <c r="AF495" s="102" t="str">
        <f t="array" ref="AF495">_xlfn.XLOOKUP(AE495,Stock1!I495,Stock1!F495,"")</f>
        <v/>
      </c>
      <c r="AG495" s="102" t="str">
        <f t="array" ref="AG495">_xlfn.XLOOKUP(AE495,Stock1!I495,Stock1!J495,"")</f>
        <v/>
      </c>
    </row>
    <row r="496">
      <c r="K496" s="660" t="str">
        <f t="array" ref="K496">IFERROR(_xlfn.XLOOKUP(I496,Incentive!B:B,Incentive!E:E,""),"")</f>
        <v/>
      </c>
      <c r="L496" s="659" t="str">
        <f>IFERROR(VLOOKUP(I496,Stock1!F:J,5,False),"")</f>
        <v/>
      </c>
      <c r="M496" s="659" t="str">
        <f>IFERROR(VLOOKUP(I496,Stock2!F:J,5,False),"")</f>
        <v/>
      </c>
      <c r="V496" s="102" t="str">
        <f t="array" ref="V496">_xlfn.XLOOKUP("Charger",Stock1!B496,Stock1!I496,"")</f>
        <v/>
      </c>
      <c r="W496" s="102" t="str">
        <f t="array" ref="W496">_xlfn.XLOOKUP(V496,Stock1!I496,Stock1!F496,"")</f>
        <v/>
      </c>
      <c r="X496" s="102" t="str">
        <f t="array" ref="X496">_xlfn.XLOOKUP(V496,Stock1!I496,Stock1!J496,"")</f>
        <v/>
      </c>
      <c r="Y496" s="102" t="str">
        <f t="array" ref="Y496">_xlfn.XLOOKUP("Screen Protector for Android Phone and Other",Stock1!B496,Stock1!I496,"")</f>
        <v/>
      </c>
      <c r="Z496" s="102" t="str">
        <f t="array" ref="Z496">_xlfn.XLOOKUP("Screen Protector for Galaxy Phone",Stock1!B496,Stock1!I496,"")</f>
        <v/>
      </c>
      <c r="AA496" s="102" t="str">
        <f t="array" ref="AA496">_xlfn.XLOOKUP("Screen Protector for Galaxy Tab",Stock1!B496,Stock1!I496,"")</f>
        <v/>
      </c>
      <c r="AB496" s="102" t="str">
        <f t="shared" si="4"/>
        <v/>
      </c>
      <c r="AC496" s="102" t="str">
        <f t="array" ref="AC496">_xlfn.XLOOKUP(AB496,Stock1!I496,Stock1!F496,"")</f>
        <v/>
      </c>
      <c r="AD496" s="102" t="str">
        <f t="array" ref="AD496">_xlfn.XLOOKUP(AB496,Stock1!I496,Stock1!J496,"")</f>
        <v/>
      </c>
      <c r="AE496" s="102" t="str">
        <f t="array" ref="AE496">_xlfn.XLOOKUP("Storage",Stock1!B496,Stock1!I496,"")</f>
        <v/>
      </c>
      <c r="AF496" s="102" t="str">
        <f t="array" ref="AF496">_xlfn.XLOOKUP(AE496,Stock1!I496,Stock1!F496,"")</f>
        <v/>
      </c>
      <c r="AG496" s="102" t="str">
        <f t="array" ref="AG496">_xlfn.XLOOKUP(AE496,Stock1!I496,Stock1!J496,"")</f>
        <v/>
      </c>
    </row>
    <row r="497">
      <c r="K497" s="660" t="str">
        <f t="array" ref="K497">IFERROR(_xlfn.XLOOKUP(I497,Incentive!B:B,Incentive!E:E,""),"")</f>
        <v/>
      </c>
      <c r="L497" s="659" t="str">
        <f>IFERROR(VLOOKUP(I497,Stock1!F:J,5,False),"")</f>
        <v/>
      </c>
      <c r="M497" s="659" t="str">
        <f>IFERROR(VLOOKUP(I497,Stock2!F:J,5,False),"")</f>
        <v/>
      </c>
      <c r="V497" s="102" t="str">
        <f t="array" ref="V497">_xlfn.XLOOKUP("Charger",Stock1!B497,Stock1!I497,"")</f>
        <v/>
      </c>
      <c r="W497" s="102" t="str">
        <f t="array" ref="W497">_xlfn.XLOOKUP(V497,Stock1!I497,Stock1!F497,"")</f>
        <v/>
      </c>
      <c r="X497" s="102" t="str">
        <f t="array" ref="X497">_xlfn.XLOOKUP(V497,Stock1!I497,Stock1!J497,"")</f>
        <v/>
      </c>
      <c r="Y497" s="102" t="str">
        <f t="array" ref="Y497">_xlfn.XLOOKUP("Screen Protector for Android Phone and Other",Stock1!B497,Stock1!I497,"")</f>
        <v/>
      </c>
      <c r="Z497" s="102" t="str">
        <f t="array" ref="Z497">_xlfn.XLOOKUP("Screen Protector for Galaxy Phone",Stock1!B497,Stock1!I497,"")</f>
        <v/>
      </c>
      <c r="AA497" s="102" t="str">
        <f t="array" ref="AA497">_xlfn.XLOOKUP("Screen Protector for Galaxy Tab",Stock1!B497,Stock1!I497,"")</f>
        <v/>
      </c>
      <c r="AB497" s="102" t="str">
        <f t="shared" si="4"/>
        <v/>
      </c>
      <c r="AC497" s="102" t="str">
        <f t="array" ref="AC497">_xlfn.XLOOKUP(AB497,Stock1!I497,Stock1!F497,"")</f>
        <v/>
      </c>
      <c r="AD497" s="102" t="str">
        <f t="array" ref="AD497">_xlfn.XLOOKUP(AB497,Stock1!I497,Stock1!J497,"")</f>
        <v/>
      </c>
      <c r="AE497" s="102" t="str">
        <f t="array" ref="AE497">_xlfn.XLOOKUP("Storage",Stock1!B497,Stock1!I497,"")</f>
        <v/>
      </c>
      <c r="AF497" s="102" t="str">
        <f t="array" ref="AF497">_xlfn.XLOOKUP(AE497,Stock1!I497,Stock1!F497,"")</f>
        <v/>
      </c>
      <c r="AG497" s="102" t="str">
        <f t="array" ref="AG497">_xlfn.XLOOKUP(AE497,Stock1!I497,Stock1!J497,"")</f>
        <v/>
      </c>
    </row>
    <row r="498">
      <c r="K498" s="660" t="str">
        <f t="array" ref="K498">IFERROR(_xlfn.XLOOKUP(I498,Incentive!B:B,Incentive!E:E,""),"")</f>
        <v/>
      </c>
      <c r="L498" s="659" t="str">
        <f>IFERROR(VLOOKUP(I498,Stock1!F:J,5,False),"")</f>
        <v/>
      </c>
      <c r="M498" s="659" t="str">
        <f>IFERROR(VLOOKUP(I498,Stock2!F:J,5,False),"")</f>
        <v/>
      </c>
      <c r="V498" s="102" t="str">
        <f t="array" ref="V498">_xlfn.XLOOKUP("Charger",Stock1!B498,Stock1!I498,"")</f>
        <v/>
      </c>
      <c r="W498" s="102" t="str">
        <f t="array" ref="W498">_xlfn.XLOOKUP(V498,Stock1!I498,Stock1!F498,"")</f>
        <v/>
      </c>
      <c r="X498" s="102" t="str">
        <f t="array" ref="X498">_xlfn.XLOOKUP(V498,Stock1!I498,Stock1!J498,"")</f>
        <v/>
      </c>
      <c r="Y498" s="102" t="str">
        <f t="array" ref="Y498">_xlfn.XLOOKUP("Screen Protector for Android Phone and Other",Stock1!B498,Stock1!I498,"")</f>
        <v/>
      </c>
      <c r="Z498" s="102" t="str">
        <f t="array" ref="Z498">_xlfn.XLOOKUP("Screen Protector for Galaxy Phone",Stock1!B498,Stock1!I498,"")</f>
        <v/>
      </c>
      <c r="AA498" s="102" t="str">
        <f t="array" ref="AA498">_xlfn.XLOOKUP("Screen Protector for Galaxy Tab",Stock1!B498,Stock1!I498,"")</f>
        <v/>
      </c>
      <c r="AB498" s="102" t="str">
        <f t="shared" si="4"/>
        <v/>
      </c>
      <c r="AC498" s="102" t="str">
        <f t="array" ref="AC498">_xlfn.XLOOKUP(AB498,Stock1!I498,Stock1!F498,"")</f>
        <v/>
      </c>
      <c r="AD498" s="102" t="str">
        <f t="array" ref="AD498">_xlfn.XLOOKUP(AB498,Stock1!I498,Stock1!J498,"")</f>
        <v/>
      </c>
      <c r="AE498" s="102" t="str">
        <f t="array" ref="AE498">_xlfn.XLOOKUP("Storage",Stock1!B498,Stock1!I498,"")</f>
        <v/>
      </c>
      <c r="AF498" s="102" t="str">
        <f t="array" ref="AF498">_xlfn.XLOOKUP(AE498,Stock1!I498,Stock1!F498,"")</f>
        <v/>
      </c>
      <c r="AG498" s="102" t="str">
        <f t="array" ref="AG498">_xlfn.XLOOKUP(AE498,Stock1!I498,Stock1!J498,"")</f>
        <v/>
      </c>
    </row>
    <row r="499">
      <c r="K499" s="660" t="str">
        <f t="array" ref="K499">IFERROR(_xlfn.XLOOKUP(I499,Incentive!B:B,Incentive!E:E,""),"")</f>
        <v/>
      </c>
      <c r="L499" s="659" t="str">
        <f>IFERROR(VLOOKUP(I499,Stock1!F:J,5,False),"")</f>
        <v/>
      </c>
      <c r="M499" s="659" t="str">
        <f>IFERROR(VLOOKUP(I499,Stock2!F:J,5,False),"")</f>
        <v/>
      </c>
      <c r="V499" s="102" t="str">
        <f t="array" ref="V499">_xlfn.XLOOKUP("Charger",Stock1!B499,Stock1!I499,"")</f>
        <v/>
      </c>
      <c r="W499" s="102" t="str">
        <f t="array" ref="W499">_xlfn.XLOOKUP(V499,Stock1!I499,Stock1!F499,"")</f>
        <v/>
      </c>
      <c r="X499" s="102" t="str">
        <f t="array" ref="X499">_xlfn.XLOOKUP(V499,Stock1!I499,Stock1!J499,"")</f>
        <v/>
      </c>
      <c r="Y499" s="102" t="str">
        <f t="array" ref="Y499">_xlfn.XLOOKUP("Screen Protector for Android Phone and Other",Stock1!B499,Stock1!I499,"")</f>
        <v/>
      </c>
      <c r="Z499" s="102" t="str">
        <f t="array" ref="Z499">_xlfn.XLOOKUP("Screen Protector for Galaxy Phone",Stock1!B499,Stock1!I499,"")</f>
        <v/>
      </c>
      <c r="AA499" s="102" t="str">
        <f t="array" ref="AA499">_xlfn.XLOOKUP("Screen Protector for Galaxy Tab",Stock1!B499,Stock1!I499,"")</f>
        <v/>
      </c>
      <c r="AB499" s="102" t="str">
        <f t="shared" si="4"/>
        <v/>
      </c>
      <c r="AC499" s="102" t="str">
        <f t="array" ref="AC499">_xlfn.XLOOKUP(AB499,Stock1!I499,Stock1!F499,"")</f>
        <v/>
      </c>
      <c r="AD499" s="102" t="str">
        <f t="array" ref="AD499">_xlfn.XLOOKUP(AB499,Stock1!I499,Stock1!J499,"")</f>
        <v/>
      </c>
      <c r="AE499" s="102" t="str">
        <f t="array" ref="AE499">_xlfn.XLOOKUP("Storage",Stock1!B499,Stock1!I499,"")</f>
        <v/>
      </c>
      <c r="AF499" s="102" t="str">
        <f t="array" ref="AF499">_xlfn.XLOOKUP(AE499,Stock1!I499,Stock1!F499,"")</f>
        <v/>
      </c>
      <c r="AG499" s="102" t="str">
        <f t="array" ref="AG499">_xlfn.XLOOKUP(AE499,Stock1!I499,Stock1!J499,"")</f>
        <v/>
      </c>
    </row>
    <row r="500">
      <c r="K500" s="660" t="str">
        <f t="array" ref="K500">IFERROR(_xlfn.XLOOKUP(I500,Incentive!B:B,Incentive!E:E,""),"")</f>
        <v/>
      </c>
      <c r="L500" s="659" t="str">
        <f>IFERROR(VLOOKUP(I500,Stock1!F:J,5,False),"")</f>
        <v/>
      </c>
      <c r="M500" s="659" t="str">
        <f>IFERROR(VLOOKUP(I500,Stock2!F:J,5,False),"")</f>
        <v/>
      </c>
      <c r="V500" s="102" t="str">
        <f t="array" ref="V500">_xlfn.XLOOKUP("Charger",Stock1!B500,Stock1!I500,"")</f>
        <v/>
      </c>
      <c r="W500" s="102" t="str">
        <f t="array" ref="W500">_xlfn.XLOOKUP(V500,Stock1!I500,Stock1!F500,"")</f>
        <v/>
      </c>
      <c r="X500" s="102" t="str">
        <f t="array" ref="X500">_xlfn.XLOOKUP(V500,Stock1!I500,Stock1!J500,"")</f>
        <v/>
      </c>
      <c r="Y500" s="102" t="str">
        <f t="array" ref="Y500">_xlfn.XLOOKUP("Screen Protector for Android Phone and Other",Stock1!B500,Stock1!I500,"")</f>
        <v/>
      </c>
      <c r="Z500" s="102" t="str">
        <f t="array" ref="Z500">_xlfn.XLOOKUP("Screen Protector for Galaxy Phone",Stock1!B500,Stock1!I500,"")</f>
        <v/>
      </c>
      <c r="AA500" s="102" t="str">
        <f t="array" ref="AA500">_xlfn.XLOOKUP("Screen Protector for Galaxy Tab",Stock1!B500,Stock1!I500,"")</f>
        <v/>
      </c>
      <c r="AB500" s="102" t="str">
        <f t="shared" si="4"/>
        <v/>
      </c>
      <c r="AC500" s="102" t="str">
        <f t="array" ref="AC500">_xlfn.XLOOKUP(AB500,Stock1!I500,Stock1!F500,"")</f>
        <v/>
      </c>
      <c r="AD500" s="102" t="str">
        <f t="array" ref="AD500">_xlfn.XLOOKUP(AB500,Stock1!I500,Stock1!J500,"")</f>
        <v/>
      </c>
      <c r="AE500" s="102" t="str">
        <f t="array" ref="AE500">_xlfn.XLOOKUP("Storage",Stock1!B500,Stock1!I500,"")</f>
        <v/>
      </c>
      <c r="AF500" s="102" t="str">
        <f t="array" ref="AF500">_xlfn.XLOOKUP(AE500,Stock1!I500,Stock1!F500,"")</f>
        <v/>
      </c>
      <c r="AG500" s="102" t="str">
        <f t="array" ref="AG500">_xlfn.XLOOKUP(AE500,Stock1!I500,Stock1!J500,"")</f>
        <v/>
      </c>
    </row>
    <row r="501">
      <c r="K501" s="660" t="str">
        <f t="array" ref="K501">IFERROR(_xlfn.XLOOKUP(I501,Incentive!B:B,Incentive!E:E,""),"")</f>
        <v/>
      </c>
      <c r="L501" s="659" t="str">
        <f>IFERROR(VLOOKUP(I501,Stock1!F:J,5,False),"")</f>
        <v/>
      </c>
      <c r="M501" s="659" t="str">
        <f>IFERROR(VLOOKUP(I501,Stock2!F:J,5,False),"")</f>
        <v/>
      </c>
      <c r="V501" s="102" t="str">
        <f t="array" ref="V501">_xlfn.XLOOKUP("Charger",Stock1!B501,Stock1!I501,"")</f>
        <v/>
      </c>
      <c r="W501" s="102" t="str">
        <f t="array" ref="W501">_xlfn.XLOOKUP(V501,Stock1!I501,Stock1!F501,"")</f>
        <v/>
      </c>
      <c r="X501" s="102" t="str">
        <f t="array" ref="X501">_xlfn.XLOOKUP(V501,Stock1!I501,Stock1!J501,"")</f>
        <v/>
      </c>
      <c r="Y501" s="102" t="str">
        <f t="array" ref="Y501">_xlfn.XLOOKUP("Screen Protector for Android Phone and Other",Stock1!B501,Stock1!I501,"")</f>
        <v/>
      </c>
      <c r="Z501" s="102" t="str">
        <f t="array" ref="Z501">_xlfn.XLOOKUP("Screen Protector for Galaxy Phone",Stock1!B501,Stock1!I501,"")</f>
        <v/>
      </c>
      <c r="AA501" s="102" t="str">
        <f t="array" ref="AA501">_xlfn.XLOOKUP("Screen Protector for Galaxy Tab",Stock1!B501,Stock1!I501,"")</f>
        <v/>
      </c>
      <c r="AB501" s="102" t="str">
        <f t="shared" si="4"/>
        <v/>
      </c>
      <c r="AC501" s="102" t="str">
        <f t="array" ref="AC501">_xlfn.XLOOKUP(AB501,Stock1!I501,Stock1!F501,"")</f>
        <v/>
      </c>
      <c r="AD501" s="102" t="str">
        <f t="array" ref="AD501">_xlfn.XLOOKUP(AB501,Stock1!I501,Stock1!J501,"")</f>
        <v/>
      </c>
      <c r="AE501" s="102" t="str">
        <f t="array" ref="AE501">_xlfn.XLOOKUP("Storage",Stock1!B501,Stock1!I501,"")</f>
        <v/>
      </c>
      <c r="AF501" s="102" t="str">
        <f t="array" ref="AF501">_xlfn.XLOOKUP(AE501,Stock1!I501,Stock1!F501,"")</f>
        <v/>
      </c>
      <c r="AG501" s="102" t="str">
        <f t="array" ref="AG501">_xlfn.XLOOKUP(AE501,Stock1!I501,Stock1!J501,"")</f>
        <v/>
      </c>
    </row>
    <row r="502">
      <c r="K502" s="660" t="str">
        <f t="array" ref="K502">IFERROR(_xlfn.XLOOKUP(I502,Incentive!B:B,Incentive!E:E,""),"")</f>
        <v/>
      </c>
      <c r="L502" s="659" t="str">
        <f>IFERROR(VLOOKUP(I502,Stock1!F:J,5,False),"")</f>
        <v/>
      </c>
      <c r="M502" s="659" t="str">
        <f>IFERROR(VLOOKUP(I502,Stock2!F:J,5,False),"")</f>
        <v/>
      </c>
      <c r="V502" s="102" t="str">
        <f t="array" ref="V502">_xlfn.XLOOKUP("Charger",Stock1!B502,Stock1!I502,"")</f>
        <v/>
      </c>
      <c r="W502" s="102" t="str">
        <f t="array" ref="W502">_xlfn.XLOOKUP(V502,Stock1!I502,Stock1!F502,"")</f>
        <v/>
      </c>
      <c r="X502" s="102" t="str">
        <f t="array" ref="X502">_xlfn.XLOOKUP(V502,Stock1!I502,Stock1!J502,"")</f>
        <v/>
      </c>
      <c r="Y502" s="102" t="str">
        <f t="array" ref="Y502">_xlfn.XLOOKUP("Screen Protector for Android Phone and Other",Stock1!B502,Stock1!I502,"")</f>
        <v/>
      </c>
      <c r="Z502" s="102" t="str">
        <f t="array" ref="Z502">_xlfn.XLOOKUP("Screen Protector for Galaxy Phone",Stock1!B502,Stock1!I502,"")</f>
        <v/>
      </c>
      <c r="AA502" s="102" t="str">
        <f t="array" ref="AA502">_xlfn.XLOOKUP("Screen Protector for Galaxy Tab",Stock1!B502,Stock1!I502,"")</f>
        <v/>
      </c>
      <c r="AB502" s="102" t="str">
        <f t="shared" si="4"/>
        <v/>
      </c>
      <c r="AC502" s="102" t="str">
        <f t="array" ref="AC502">_xlfn.XLOOKUP(AB502,Stock1!I502,Stock1!F502,"")</f>
        <v/>
      </c>
      <c r="AD502" s="102" t="str">
        <f t="array" ref="AD502">_xlfn.XLOOKUP(AB502,Stock1!I502,Stock1!J502,"")</f>
        <v/>
      </c>
      <c r="AE502" s="102" t="str">
        <f t="array" ref="AE502">_xlfn.XLOOKUP("Storage",Stock1!B502,Stock1!I502,"")</f>
        <v/>
      </c>
      <c r="AF502" s="102" t="str">
        <f t="array" ref="AF502">_xlfn.XLOOKUP(AE502,Stock1!I502,Stock1!F502,"")</f>
        <v/>
      </c>
      <c r="AG502" s="102" t="str">
        <f t="array" ref="AG502">_xlfn.XLOOKUP(AE502,Stock1!I502,Stock1!J502,"")</f>
        <v/>
      </c>
    </row>
    <row r="503">
      <c r="K503" s="660" t="str">
        <f t="array" ref="K503">IFERROR(_xlfn.XLOOKUP(I503,Incentive!B:B,Incentive!E:E,""),"")</f>
        <v/>
      </c>
      <c r="L503" s="659" t="str">
        <f>IFERROR(VLOOKUP(I503,Stock1!F:J,5,False),"")</f>
        <v/>
      </c>
      <c r="M503" s="659" t="str">
        <f>IFERROR(VLOOKUP(I503,Stock2!F:J,5,False),"")</f>
        <v/>
      </c>
      <c r="V503" s="102" t="str">
        <f t="array" ref="V503">_xlfn.XLOOKUP("Charger",Stock1!B503,Stock1!I503,"")</f>
        <v/>
      </c>
      <c r="W503" s="102" t="str">
        <f t="array" ref="W503">_xlfn.XLOOKUP(V503,Stock1!I503,Stock1!F503,"")</f>
        <v/>
      </c>
      <c r="X503" s="102" t="str">
        <f t="array" ref="X503">_xlfn.XLOOKUP(V503,Stock1!I503,Stock1!J503,"")</f>
        <v/>
      </c>
      <c r="Y503" s="102" t="str">
        <f t="array" ref="Y503">_xlfn.XLOOKUP("Screen Protector for Android Phone and Other",Stock1!B503,Stock1!I503,"")</f>
        <v/>
      </c>
      <c r="Z503" s="102" t="str">
        <f t="array" ref="Z503">_xlfn.XLOOKUP("Screen Protector for Galaxy Phone",Stock1!B503,Stock1!I503,"")</f>
        <v/>
      </c>
      <c r="AA503" s="102" t="str">
        <f t="array" ref="AA503">_xlfn.XLOOKUP("Screen Protector for Galaxy Tab",Stock1!B503,Stock1!I503,"")</f>
        <v/>
      </c>
      <c r="AB503" s="102" t="str">
        <f t="shared" si="4"/>
        <v/>
      </c>
      <c r="AC503" s="102" t="str">
        <f t="array" ref="AC503">_xlfn.XLOOKUP(AB503,Stock1!I503,Stock1!F503,"")</f>
        <v/>
      </c>
      <c r="AD503" s="102" t="str">
        <f t="array" ref="AD503">_xlfn.XLOOKUP(AB503,Stock1!I503,Stock1!J503,"")</f>
        <v/>
      </c>
      <c r="AE503" s="102" t="str">
        <f t="array" ref="AE503">_xlfn.XLOOKUP("Storage",Stock1!B503,Stock1!I503,"")</f>
        <v/>
      </c>
      <c r="AF503" s="102" t="str">
        <f t="array" ref="AF503">_xlfn.XLOOKUP(AE503,Stock1!I503,Stock1!F503,"")</f>
        <v/>
      </c>
      <c r="AG503" s="102" t="str">
        <f t="array" ref="AG503">_xlfn.XLOOKUP(AE503,Stock1!I503,Stock1!J503,"")</f>
        <v/>
      </c>
    </row>
    <row r="504">
      <c r="K504" s="660" t="str">
        <f t="array" ref="K504">IFERROR(_xlfn.XLOOKUP(I504,Incentive!B:B,Incentive!E:E,""),"")</f>
        <v/>
      </c>
      <c r="L504" s="659" t="str">
        <f>IFERROR(VLOOKUP(I504,Stock1!F:J,5,False),"")</f>
        <v/>
      </c>
      <c r="M504" s="659" t="str">
        <f>IFERROR(VLOOKUP(I504,Stock2!F:J,5,False),"")</f>
        <v/>
      </c>
      <c r="V504" s="102" t="str">
        <f t="array" ref="V504">_xlfn.XLOOKUP("Charger",Stock1!B504,Stock1!I504,"")</f>
        <v/>
      </c>
      <c r="W504" s="102" t="str">
        <f t="array" ref="W504">_xlfn.XLOOKUP(V504,Stock1!I504,Stock1!F504,"")</f>
        <v/>
      </c>
      <c r="X504" s="102" t="str">
        <f t="array" ref="X504">_xlfn.XLOOKUP(V504,Stock1!I504,Stock1!J504,"")</f>
        <v/>
      </c>
      <c r="Y504" s="102" t="str">
        <f t="array" ref="Y504">_xlfn.XLOOKUP("Screen Protector for Android Phone and Other",Stock1!B504,Stock1!I504,"")</f>
        <v/>
      </c>
      <c r="Z504" s="102" t="str">
        <f t="array" ref="Z504">_xlfn.XLOOKUP("Screen Protector for Galaxy Phone",Stock1!B504,Stock1!I504,"")</f>
        <v/>
      </c>
      <c r="AA504" s="102" t="str">
        <f t="array" ref="AA504">_xlfn.XLOOKUP("Screen Protector for Galaxy Tab",Stock1!B504,Stock1!I504,"")</f>
        <v/>
      </c>
      <c r="AB504" s="102" t="str">
        <f t="shared" si="4"/>
        <v/>
      </c>
      <c r="AC504" s="102" t="str">
        <f t="array" ref="AC504">_xlfn.XLOOKUP(AB504,Stock1!I504,Stock1!F504,"")</f>
        <v/>
      </c>
      <c r="AD504" s="102" t="str">
        <f t="array" ref="AD504">_xlfn.XLOOKUP(AB504,Stock1!I504,Stock1!J504,"")</f>
        <v/>
      </c>
      <c r="AE504" s="102" t="str">
        <f t="array" ref="AE504">_xlfn.XLOOKUP("Storage",Stock1!B504,Stock1!I504,"")</f>
        <v/>
      </c>
      <c r="AF504" s="102" t="str">
        <f t="array" ref="AF504">_xlfn.XLOOKUP(AE504,Stock1!I504,Stock1!F504,"")</f>
        <v/>
      </c>
      <c r="AG504" s="102" t="str">
        <f t="array" ref="AG504">_xlfn.XLOOKUP(AE504,Stock1!I504,Stock1!J504,"")</f>
        <v/>
      </c>
    </row>
    <row r="505">
      <c r="K505" s="660" t="str">
        <f t="array" ref="K505">IFERROR(_xlfn.XLOOKUP(I505,Incentive!B:B,Incentive!E:E,""),"")</f>
        <v/>
      </c>
      <c r="L505" s="659" t="str">
        <f>IFERROR(VLOOKUP(I505,Stock1!F:J,5,False),"")</f>
        <v/>
      </c>
      <c r="M505" s="659" t="str">
        <f>IFERROR(VLOOKUP(I505,Stock2!F:J,5,False),"")</f>
        <v/>
      </c>
      <c r="V505" s="102" t="str">
        <f t="array" ref="V505">_xlfn.XLOOKUP("Charger",Stock1!B505,Stock1!I505,"")</f>
        <v/>
      </c>
      <c r="W505" s="102" t="str">
        <f t="array" ref="W505">_xlfn.XLOOKUP(V505,Stock1!I505,Stock1!F505,"")</f>
        <v/>
      </c>
      <c r="X505" s="102" t="str">
        <f t="array" ref="X505">_xlfn.XLOOKUP(V505,Stock1!I505,Stock1!J505,"")</f>
        <v/>
      </c>
      <c r="Y505" s="102" t="str">
        <f t="array" ref="Y505">_xlfn.XLOOKUP("Screen Protector for Android Phone and Other",Stock1!B505,Stock1!I505,"")</f>
        <v/>
      </c>
      <c r="Z505" s="102" t="str">
        <f t="array" ref="Z505">_xlfn.XLOOKUP("Screen Protector for Galaxy Phone",Stock1!B505,Stock1!I505,"")</f>
        <v/>
      </c>
      <c r="AA505" s="102" t="str">
        <f t="array" ref="AA505">_xlfn.XLOOKUP("Screen Protector for Galaxy Tab",Stock1!B505,Stock1!I505,"")</f>
        <v/>
      </c>
      <c r="AB505" s="102" t="str">
        <f t="shared" si="4"/>
        <v/>
      </c>
      <c r="AC505" s="102" t="str">
        <f t="array" ref="AC505">_xlfn.XLOOKUP(AB505,Stock1!I505,Stock1!F505,"")</f>
        <v/>
      </c>
      <c r="AD505" s="102" t="str">
        <f t="array" ref="AD505">_xlfn.XLOOKUP(AB505,Stock1!I505,Stock1!J505,"")</f>
        <v/>
      </c>
      <c r="AE505" s="102" t="str">
        <f t="array" ref="AE505">_xlfn.XLOOKUP("Storage",Stock1!B505,Stock1!I505,"")</f>
        <v/>
      </c>
      <c r="AF505" s="102" t="str">
        <f t="array" ref="AF505">_xlfn.XLOOKUP(AE505,Stock1!I505,Stock1!F505,"")</f>
        <v/>
      </c>
      <c r="AG505" s="102" t="str">
        <f t="array" ref="AG505">_xlfn.XLOOKUP(AE505,Stock1!I505,Stock1!J505,"")</f>
        <v/>
      </c>
    </row>
    <row r="506">
      <c r="K506" s="660" t="str">
        <f t="array" ref="K506">IFERROR(_xlfn.XLOOKUP(I506,Incentive!B:B,Incentive!E:E,""),"")</f>
        <v/>
      </c>
      <c r="L506" s="659" t="str">
        <f>IFERROR(VLOOKUP(I506,Stock1!F:J,5,False),"")</f>
        <v/>
      </c>
      <c r="M506" s="659" t="str">
        <f>IFERROR(VLOOKUP(I506,Stock2!F:J,5,False),"")</f>
        <v/>
      </c>
      <c r="V506" s="102" t="str">
        <f t="array" ref="V506">_xlfn.XLOOKUP("Charger",Stock1!B506,Stock1!I506,"")</f>
        <v/>
      </c>
      <c r="W506" s="102" t="str">
        <f t="array" ref="W506">_xlfn.XLOOKUP(V506,Stock1!I506,Stock1!F506,"")</f>
        <v/>
      </c>
      <c r="X506" s="102" t="str">
        <f t="array" ref="X506">_xlfn.XLOOKUP(V506,Stock1!I506,Stock1!J506,"")</f>
        <v/>
      </c>
      <c r="Y506" s="102" t="str">
        <f t="array" ref="Y506">_xlfn.XLOOKUP("Screen Protector for Android Phone and Other",Stock1!B506,Stock1!I506,"")</f>
        <v/>
      </c>
      <c r="Z506" s="102" t="str">
        <f t="array" ref="Z506">_xlfn.XLOOKUP("Screen Protector for Galaxy Phone",Stock1!B506,Stock1!I506,"")</f>
        <v/>
      </c>
      <c r="AA506" s="102" t="str">
        <f t="array" ref="AA506">_xlfn.XLOOKUP("Screen Protector for Galaxy Tab",Stock1!B506,Stock1!I506,"")</f>
        <v/>
      </c>
      <c r="AB506" s="102" t="str">
        <f t="shared" si="4"/>
        <v/>
      </c>
      <c r="AC506" s="102" t="str">
        <f t="array" ref="AC506">_xlfn.XLOOKUP(AB506,Stock1!I506,Stock1!F506,"")</f>
        <v/>
      </c>
      <c r="AD506" s="102" t="str">
        <f t="array" ref="AD506">_xlfn.XLOOKUP(AB506,Stock1!I506,Stock1!J506,"")</f>
        <v/>
      </c>
      <c r="AE506" s="102" t="str">
        <f t="array" ref="AE506">_xlfn.XLOOKUP("Storage",Stock1!B506,Stock1!I506,"")</f>
        <v/>
      </c>
      <c r="AF506" s="102" t="str">
        <f t="array" ref="AF506">_xlfn.XLOOKUP(AE506,Stock1!I506,Stock1!F506,"")</f>
        <v/>
      </c>
      <c r="AG506" s="102" t="str">
        <f t="array" ref="AG506">_xlfn.XLOOKUP(AE506,Stock1!I506,Stock1!J506,"")</f>
        <v/>
      </c>
    </row>
    <row r="507">
      <c r="K507" s="660" t="str">
        <f t="array" ref="K507">IFERROR(_xlfn.XLOOKUP(I507,Incentive!B:B,Incentive!E:E,""),"")</f>
        <v/>
      </c>
      <c r="L507" s="659" t="str">
        <f>IFERROR(VLOOKUP(I507,Stock1!F:J,5,False),"")</f>
        <v/>
      </c>
      <c r="M507" s="659" t="str">
        <f>IFERROR(VLOOKUP(I507,Stock2!F:J,5,False),"")</f>
        <v/>
      </c>
      <c r="V507" s="102" t="str">
        <f t="array" ref="V507">_xlfn.XLOOKUP("Charger",Stock1!B507,Stock1!I507,"")</f>
        <v/>
      </c>
      <c r="W507" s="102" t="str">
        <f t="array" ref="W507">_xlfn.XLOOKUP(V507,Stock1!I507,Stock1!F507,"")</f>
        <v/>
      </c>
      <c r="X507" s="102" t="str">
        <f t="array" ref="X507">_xlfn.XLOOKUP(V507,Stock1!I507,Stock1!J507,"")</f>
        <v/>
      </c>
      <c r="Y507" s="102" t="str">
        <f t="array" ref="Y507">_xlfn.XLOOKUP("Screen Protector for Android Phone and Other",Stock1!B507,Stock1!I507,"")</f>
        <v/>
      </c>
      <c r="Z507" s="102" t="str">
        <f t="array" ref="Z507">_xlfn.XLOOKUP("Screen Protector for Galaxy Phone",Stock1!B507,Stock1!I507,"")</f>
        <v/>
      </c>
      <c r="AA507" s="102" t="str">
        <f t="array" ref="AA507">_xlfn.XLOOKUP("Screen Protector for Galaxy Tab",Stock1!B507,Stock1!I507,"")</f>
        <v/>
      </c>
      <c r="AB507" s="102" t="str">
        <f t="shared" si="4"/>
        <v/>
      </c>
      <c r="AC507" s="102" t="str">
        <f t="array" ref="AC507">_xlfn.XLOOKUP(AB507,Stock1!I507,Stock1!F507,"")</f>
        <v/>
      </c>
      <c r="AD507" s="102" t="str">
        <f t="array" ref="AD507">_xlfn.XLOOKUP(AB507,Stock1!I507,Stock1!J507,"")</f>
        <v/>
      </c>
      <c r="AE507" s="102" t="str">
        <f t="array" ref="AE507">_xlfn.XLOOKUP("Storage",Stock1!B507,Stock1!I507,"")</f>
        <v/>
      </c>
      <c r="AF507" s="102" t="str">
        <f t="array" ref="AF507">_xlfn.XLOOKUP(AE507,Stock1!I507,Stock1!F507,"")</f>
        <v/>
      </c>
      <c r="AG507" s="102" t="str">
        <f t="array" ref="AG507">_xlfn.XLOOKUP(AE507,Stock1!I507,Stock1!J507,"")</f>
        <v/>
      </c>
    </row>
    <row r="508">
      <c r="K508" s="660" t="str">
        <f t="array" ref="K508">IFERROR(_xlfn.XLOOKUP(I508,Incentive!B:B,Incentive!E:E,""),"")</f>
        <v/>
      </c>
      <c r="L508" s="659" t="str">
        <f>IFERROR(VLOOKUP(I508,Stock1!F:J,5,False),"")</f>
        <v/>
      </c>
      <c r="M508" s="659" t="str">
        <f>IFERROR(VLOOKUP(I508,Stock2!F:J,5,False),"")</f>
        <v/>
      </c>
      <c r="V508" s="102" t="str">
        <f t="array" ref="V508">_xlfn.XLOOKUP("Charger",Stock1!B508,Stock1!I508,"")</f>
        <v/>
      </c>
      <c r="W508" s="102" t="str">
        <f t="array" ref="W508">_xlfn.XLOOKUP(V508,Stock1!I508,Stock1!F508,"")</f>
        <v/>
      </c>
      <c r="X508" s="102" t="str">
        <f t="array" ref="X508">_xlfn.XLOOKUP(V508,Stock1!I508,Stock1!J508,"")</f>
        <v/>
      </c>
      <c r="Y508" s="102" t="str">
        <f t="array" ref="Y508">_xlfn.XLOOKUP("Screen Protector for Android Phone and Other",Stock1!B508,Stock1!I508,"")</f>
        <v/>
      </c>
      <c r="Z508" s="102" t="str">
        <f t="array" ref="Z508">_xlfn.XLOOKUP("Screen Protector for Galaxy Phone",Stock1!B508,Stock1!I508,"")</f>
        <v/>
      </c>
      <c r="AA508" s="102" t="str">
        <f t="array" ref="AA508">_xlfn.XLOOKUP("Screen Protector for Galaxy Tab",Stock1!B508,Stock1!I508,"")</f>
        <v/>
      </c>
      <c r="AB508" s="102" t="str">
        <f t="shared" si="4"/>
        <v/>
      </c>
      <c r="AC508" s="102" t="str">
        <f t="array" ref="AC508">_xlfn.XLOOKUP(AB508,Stock1!I508,Stock1!F508,"")</f>
        <v/>
      </c>
      <c r="AD508" s="102" t="str">
        <f t="array" ref="AD508">_xlfn.XLOOKUP(AB508,Stock1!I508,Stock1!J508,"")</f>
        <v/>
      </c>
      <c r="AE508" s="102" t="str">
        <f t="array" ref="AE508">_xlfn.XLOOKUP("Storage",Stock1!B508,Stock1!I508,"")</f>
        <v/>
      </c>
      <c r="AF508" s="102" t="str">
        <f t="array" ref="AF508">_xlfn.XLOOKUP(AE508,Stock1!I508,Stock1!F508,"")</f>
        <v/>
      </c>
      <c r="AG508" s="102" t="str">
        <f t="array" ref="AG508">_xlfn.XLOOKUP(AE508,Stock1!I508,Stock1!J508,"")</f>
        <v/>
      </c>
    </row>
    <row r="509">
      <c r="K509" s="660" t="str">
        <f t="array" ref="K509">IFERROR(_xlfn.XLOOKUP(I509,Incentive!B:B,Incentive!E:E,""),"")</f>
        <v/>
      </c>
      <c r="L509" s="659" t="str">
        <f>IFERROR(VLOOKUP(I509,Stock1!F:J,5,False),"")</f>
        <v/>
      </c>
      <c r="M509" s="659" t="str">
        <f>IFERROR(VLOOKUP(I509,Stock2!F:J,5,False),"")</f>
        <v/>
      </c>
      <c r="V509" s="102" t="str">
        <f t="array" ref="V509">_xlfn.XLOOKUP("Charger",Stock1!B509,Stock1!I509,"")</f>
        <v/>
      </c>
      <c r="W509" s="102" t="str">
        <f t="array" ref="W509">_xlfn.XLOOKUP(V509,Stock1!I509,Stock1!F509,"")</f>
        <v/>
      </c>
      <c r="X509" s="102" t="str">
        <f t="array" ref="X509">_xlfn.XLOOKUP(V509,Stock1!I509,Stock1!J509,"")</f>
        <v/>
      </c>
      <c r="Y509" s="102" t="str">
        <f t="array" ref="Y509">_xlfn.XLOOKUP("Screen Protector for Android Phone and Other",Stock1!B509,Stock1!I509,"")</f>
        <v/>
      </c>
      <c r="Z509" s="102" t="str">
        <f t="array" ref="Z509">_xlfn.XLOOKUP("Screen Protector for Galaxy Phone",Stock1!B509,Stock1!I509,"")</f>
        <v/>
      </c>
      <c r="AA509" s="102" t="str">
        <f t="array" ref="AA509">_xlfn.XLOOKUP("Screen Protector for Galaxy Tab",Stock1!B509,Stock1!I509,"")</f>
        <v/>
      </c>
      <c r="AB509" s="102" t="str">
        <f t="shared" si="4"/>
        <v/>
      </c>
      <c r="AC509" s="102" t="str">
        <f t="array" ref="AC509">_xlfn.XLOOKUP(AB509,Stock1!I509,Stock1!F509,"")</f>
        <v/>
      </c>
      <c r="AD509" s="102" t="str">
        <f t="array" ref="AD509">_xlfn.XLOOKUP(AB509,Stock1!I509,Stock1!J509,"")</f>
        <v/>
      </c>
      <c r="AE509" s="102" t="str">
        <f t="array" ref="AE509">_xlfn.XLOOKUP("Storage",Stock1!B509,Stock1!I509,"")</f>
        <v/>
      </c>
      <c r="AF509" s="102" t="str">
        <f t="array" ref="AF509">_xlfn.XLOOKUP(AE509,Stock1!I509,Stock1!F509,"")</f>
        <v/>
      </c>
      <c r="AG509" s="102" t="str">
        <f t="array" ref="AG509">_xlfn.XLOOKUP(AE509,Stock1!I509,Stock1!J509,"")</f>
        <v/>
      </c>
    </row>
    <row r="510">
      <c r="K510" s="660" t="str">
        <f t="array" ref="K510">IFERROR(_xlfn.XLOOKUP(I510,Incentive!B:B,Incentive!E:E,""),"")</f>
        <v/>
      </c>
      <c r="L510" s="659" t="str">
        <f>IFERROR(VLOOKUP(I510,Stock1!F:J,5,False),"")</f>
        <v/>
      </c>
      <c r="M510" s="659" t="str">
        <f>IFERROR(VLOOKUP(I510,Stock2!F:J,5,False),"")</f>
        <v/>
      </c>
      <c r="V510" s="102" t="str">
        <f t="array" ref="V510">_xlfn.XLOOKUP("Charger",Stock1!B510,Stock1!I510,"")</f>
        <v/>
      </c>
      <c r="W510" s="102" t="str">
        <f t="array" ref="W510">_xlfn.XLOOKUP(V510,Stock1!I510,Stock1!F510,"")</f>
        <v/>
      </c>
      <c r="X510" s="102" t="str">
        <f t="array" ref="X510">_xlfn.XLOOKUP(V510,Stock1!I510,Stock1!J510,"")</f>
        <v/>
      </c>
      <c r="Y510" s="102" t="str">
        <f t="array" ref="Y510">_xlfn.XLOOKUP("Screen Protector for Android Phone and Other",Stock1!B510,Stock1!I510,"")</f>
        <v/>
      </c>
      <c r="Z510" s="102" t="str">
        <f t="array" ref="Z510">_xlfn.XLOOKUP("Screen Protector for Galaxy Phone",Stock1!B510,Stock1!I510,"")</f>
        <v/>
      </c>
      <c r="AA510" s="102" t="str">
        <f t="array" ref="AA510">_xlfn.XLOOKUP("Screen Protector for Galaxy Tab",Stock1!B510,Stock1!I510,"")</f>
        <v/>
      </c>
      <c r="AB510" s="102" t="str">
        <f t="shared" si="4"/>
        <v/>
      </c>
      <c r="AC510" s="102" t="str">
        <f t="array" ref="AC510">_xlfn.XLOOKUP(AB510,Stock1!I510,Stock1!F510,"")</f>
        <v/>
      </c>
      <c r="AD510" s="102" t="str">
        <f t="array" ref="AD510">_xlfn.XLOOKUP(AB510,Stock1!I510,Stock1!J510,"")</f>
        <v/>
      </c>
      <c r="AE510" s="102" t="str">
        <f t="array" ref="AE510">_xlfn.XLOOKUP("Storage",Stock1!B510,Stock1!I510,"")</f>
        <v/>
      </c>
      <c r="AF510" s="102" t="str">
        <f t="array" ref="AF510">_xlfn.XLOOKUP(AE510,Stock1!I510,Stock1!F510,"")</f>
        <v/>
      </c>
      <c r="AG510" s="102" t="str">
        <f t="array" ref="AG510">_xlfn.XLOOKUP(AE510,Stock1!I510,Stock1!J510,"")</f>
        <v/>
      </c>
    </row>
    <row r="511">
      <c r="K511" s="660" t="str">
        <f t="array" ref="K511">IFERROR(_xlfn.XLOOKUP(I511,Incentive!B:B,Incentive!E:E,""),"")</f>
        <v/>
      </c>
      <c r="L511" s="659" t="str">
        <f>IFERROR(VLOOKUP(I511,Stock1!F:J,5,False),"")</f>
        <v/>
      </c>
      <c r="M511" s="659" t="str">
        <f>IFERROR(VLOOKUP(I511,Stock2!F:J,5,False),"")</f>
        <v/>
      </c>
      <c r="V511" s="102" t="str">
        <f t="array" ref="V511">_xlfn.XLOOKUP("Charger",Stock1!B511,Stock1!I511,"")</f>
        <v/>
      </c>
      <c r="W511" s="102" t="str">
        <f t="array" ref="W511">_xlfn.XLOOKUP(V511,Stock1!I511,Stock1!F511,"")</f>
        <v/>
      </c>
      <c r="X511" s="102" t="str">
        <f t="array" ref="X511">_xlfn.XLOOKUP(V511,Stock1!I511,Stock1!J511,"")</f>
        <v/>
      </c>
      <c r="Y511" s="102" t="str">
        <f t="array" ref="Y511">_xlfn.XLOOKUP("Screen Protector for Android Phone and Other",Stock1!B511,Stock1!I511,"")</f>
        <v/>
      </c>
      <c r="Z511" s="102" t="str">
        <f t="array" ref="Z511">_xlfn.XLOOKUP("Screen Protector for Galaxy Phone",Stock1!B511,Stock1!I511,"")</f>
        <v/>
      </c>
      <c r="AA511" s="102" t="str">
        <f t="array" ref="AA511">_xlfn.XLOOKUP("Screen Protector for Galaxy Tab",Stock1!B511,Stock1!I511,"")</f>
        <v/>
      </c>
      <c r="AB511" s="102" t="str">
        <f t="shared" si="4"/>
        <v/>
      </c>
      <c r="AC511" s="102" t="str">
        <f t="array" ref="AC511">_xlfn.XLOOKUP(AB511,Stock1!I511,Stock1!F511,"")</f>
        <v/>
      </c>
      <c r="AD511" s="102" t="str">
        <f t="array" ref="AD511">_xlfn.XLOOKUP(AB511,Stock1!I511,Stock1!J511,"")</f>
        <v/>
      </c>
      <c r="AE511" s="102" t="str">
        <f t="array" ref="AE511">_xlfn.XLOOKUP("Storage",Stock1!B511,Stock1!I511,"")</f>
        <v/>
      </c>
      <c r="AF511" s="102" t="str">
        <f t="array" ref="AF511">_xlfn.XLOOKUP(AE511,Stock1!I511,Stock1!F511,"")</f>
        <v/>
      </c>
      <c r="AG511" s="102" t="str">
        <f t="array" ref="AG511">_xlfn.XLOOKUP(AE511,Stock1!I511,Stock1!J511,"")</f>
        <v/>
      </c>
    </row>
    <row r="512">
      <c r="K512" s="660" t="str">
        <f t="array" ref="K512">IFERROR(_xlfn.XLOOKUP(I512,Incentive!B:B,Incentive!E:E,""),"")</f>
        <v/>
      </c>
      <c r="L512" s="659" t="str">
        <f>IFERROR(VLOOKUP(I512,Stock1!F:J,5,False),"")</f>
        <v/>
      </c>
      <c r="M512" s="659" t="str">
        <f>IFERROR(VLOOKUP(I512,Stock2!F:J,5,False),"")</f>
        <v/>
      </c>
      <c r="V512" s="102" t="str">
        <f t="array" ref="V512">_xlfn.XLOOKUP("Charger",Stock1!B512,Stock1!I512,"")</f>
        <v/>
      </c>
      <c r="W512" s="102" t="str">
        <f t="array" ref="W512">_xlfn.XLOOKUP(V512,Stock1!I512,Stock1!F512,"")</f>
        <v/>
      </c>
      <c r="X512" s="102" t="str">
        <f t="array" ref="X512">_xlfn.XLOOKUP(V512,Stock1!I512,Stock1!J512,"")</f>
        <v/>
      </c>
      <c r="Y512" s="102" t="str">
        <f t="array" ref="Y512">_xlfn.XLOOKUP("Screen Protector for Android Phone and Other",Stock1!B512,Stock1!I512,"")</f>
        <v/>
      </c>
      <c r="Z512" s="102" t="str">
        <f t="array" ref="Z512">_xlfn.XLOOKUP("Screen Protector for Galaxy Phone",Stock1!B512,Stock1!I512,"")</f>
        <v/>
      </c>
      <c r="AA512" s="102" t="str">
        <f t="array" ref="AA512">_xlfn.XLOOKUP("Screen Protector for Galaxy Tab",Stock1!B512,Stock1!I512,"")</f>
        <v/>
      </c>
      <c r="AB512" s="102" t="str">
        <f t="shared" si="4"/>
        <v/>
      </c>
      <c r="AC512" s="102" t="str">
        <f t="array" ref="AC512">_xlfn.XLOOKUP(AB512,Stock1!I512,Stock1!F512,"")</f>
        <v/>
      </c>
      <c r="AD512" s="102" t="str">
        <f t="array" ref="AD512">_xlfn.XLOOKUP(AB512,Stock1!I512,Stock1!J512,"")</f>
        <v/>
      </c>
      <c r="AE512" s="102" t="str">
        <f t="array" ref="AE512">_xlfn.XLOOKUP("Storage",Stock1!B512,Stock1!I512,"")</f>
        <v/>
      </c>
      <c r="AF512" s="102" t="str">
        <f t="array" ref="AF512">_xlfn.XLOOKUP(AE512,Stock1!I512,Stock1!F512,"")</f>
        <v/>
      </c>
      <c r="AG512" s="102" t="str">
        <f t="array" ref="AG512">_xlfn.XLOOKUP(AE512,Stock1!I512,Stock1!J512,"")</f>
        <v/>
      </c>
    </row>
    <row r="513">
      <c r="K513" s="660" t="str">
        <f t="array" ref="K513">IFERROR(_xlfn.XLOOKUP(I513,Incentive!B:B,Incentive!E:E,""),"")</f>
        <v/>
      </c>
      <c r="L513" s="659" t="str">
        <f>IFERROR(VLOOKUP(I513,Stock1!F:J,5,False),"")</f>
        <v/>
      </c>
      <c r="M513" s="659" t="str">
        <f>IFERROR(VLOOKUP(I513,Stock2!F:J,5,False),"")</f>
        <v/>
      </c>
      <c r="V513" s="102" t="str">
        <f t="array" ref="V513">_xlfn.XLOOKUP("Charger",Stock1!B513,Stock1!I513,"")</f>
        <v/>
      </c>
      <c r="W513" s="102" t="str">
        <f t="array" ref="W513">_xlfn.XLOOKUP(V513,Stock1!I513,Stock1!F513,"")</f>
        <v/>
      </c>
      <c r="X513" s="102" t="str">
        <f t="array" ref="X513">_xlfn.XLOOKUP(V513,Stock1!I513,Stock1!J513,"")</f>
        <v/>
      </c>
      <c r="Y513" s="102" t="str">
        <f t="array" ref="Y513">_xlfn.XLOOKUP("Screen Protector for Android Phone and Other",Stock1!B513,Stock1!I513,"")</f>
        <v/>
      </c>
      <c r="Z513" s="102" t="str">
        <f t="array" ref="Z513">_xlfn.XLOOKUP("Screen Protector for Galaxy Phone",Stock1!B513,Stock1!I513,"")</f>
        <v/>
      </c>
      <c r="AA513" s="102" t="str">
        <f t="array" ref="AA513">_xlfn.XLOOKUP("Screen Protector for Galaxy Tab",Stock1!B513,Stock1!I513,"")</f>
        <v/>
      </c>
      <c r="AB513" s="102" t="str">
        <f t="shared" si="4"/>
        <v/>
      </c>
      <c r="AC513" s="102" t="str">
        <f t="array" ref="AC513">_xlfn.XLOOKUP(AB513,Stock1!I513,Stock1!F513,"")</f>
        <v/>
      </c>
      <c r="AD513" s="102" t="str">
        <f t="array" ref="AD513">_xlfn.XLOOKUP(AB513,Stock1!I513,Stock1!J513,"")</f>
        <v/>
      </c>
      <c r="AE513" s="102" t="str">
        <f t="array" ref="AE513">_xlfn.XLOOKUP("Storage",Stock1!B513,Stock1!I513,"")</f>
        <v/>
      </c>
      <c r="AF513" s="102" t="str">
        <f t="array" ref="AF513">_xlfn.XLOOKUP(AE513,Stock1!I513,Stock1!F513,"")</f>
        <v/>
      </c>
      <c r="AG513" s="102" t="str">
        <f t="array" ref="AG513">_xlfn.XLOOKUP(AE513,Stock1!I513,Stock1!J513,"")</f>
        <v/>
      </c>
    </row>
    <row r="514">
      <c r="K514" s="660" t="str">
        <f t="array" ref="K514">IFERROR(_xlfn.XLOOKUP(I514,Incentive!B:B,Incentive!E:E,""),"")</f>
        <v/>
      </c>
      <c r="L514" s="659" t="str">
        <f>IFERROR(VLOOKUP(I514,Stock1!F:J,5,False),"")</f>
        <v/>
      </c>
      <c r="M514" s="659" t="str">
        <f>IFERROR(VLOOKUP(I514,Stock2!F:J,5,False),"")</f>
        <v/>
      </c>
      <c r="V514" s="102" t="str">
        <f t="array" ref="V514">_xlfn.XLOOKUP("Charger",Stock1!B514,Stock1!I514,"")</f>
        <v/>
      </c>
      <c r="W514" s="102" t="str">
        <f t="array" ref="W514">_xlfn.XLOOKUP(V514,Stock1!I514,Stock1!F514,"")</f>
        <v/>
      </c>
      <c r="X514" s="102" t="str">
        <f t="array" ref="X514">_xlfn.XLOOKUP(V514,Stock1!I514,Stock1!J514,"")</f>
        <v/>
      </c>
      <c r="Y514" s="102" t="str">
        <f t="array" ref="Y514">_xlfn.XLOOKUP("Screen Protector for Android Phone and Other",Stock1!B514,Stock1!I514,"")</f>
        <v/>
      </c>
      <c r="Z514" s="102" t="str">
        <f t="array" ref="Z514">_xlfn.XLOOKUP("Screen Protector for Galaxy Phone",Stock1!B514,Stock1!I514,"")</f>
        <v/>
      </c>
      <c r="AA514" s="102" t="str">
        <f t="array" ref="AA514">_xlfn.XLOOKUP("Screen Protector for Galaxy Tab",Stock1!B514,Stock1!I514,"")</f>
        <v/>
      </c>
      <c r="AB514" s="102" t="str">
        <f t="shared" si="4"/>
        <v/>
      </c>
      <c r="AC514" s="102" t="str">
        <f t="array" ref="AC514">_xlfn.XLOOKUP(AB514,Stock1!I514,Stock1!F514,"")</f>
        <v/>
      </c>
      <c r="AD514" s="102" t="str">
        <f t="array" ref="AD514">_xlfn.XLOOKUP(AB514,Stock1!I514,Stock1!J514,"")</f>
        <v/>
      </c>
      <c r="AE514" s="102" t="str">
        <f t="array" ref="AE514">_xlfn.XLOOKUP("Storage",Stock1!B514,Stock1!I514,"")</f>
        <v/>
      </c>
      <c r="AF514" s="102" t="str">
        <f t="array" ref="AF514">_xlfn.XLOOKUP(AE514,Stock1!I514,Stock1!F514,"")</f>
        <v/>
      </c>
      <c r="AG514" s="102" t="str">
        <f t="array" ref="AG514">_xlfn.XLOOKUP(AE514,Stock1!I514,Stock1!J514,"")</f>
        <v/>
      </c>
    </row>
    <row r="515">
      <c r="K515" s="660" t="str">
        <f t="array" ref="K515">IFERROR(_xlfn.XLOOKUP(I515,Incentive!B:B,Incentive!E:E,""),"")</f>
        <v/>
      </c>
      <c r="L515" s="659" t="str">
        <f>IFERROR(VLOOKUP(I515,Stock1!F:J,5,False),"")</f>
        <v/>
      </c>
      <c r="M515" s="659" t="str">
        <f>IFERROR(VLOOKUP(I515,Stock2!F:J,5,False),"")</f>
        <v/>
      </c>
      <c r="V515" s="102" t="str">
        <f t="array" ref="V515">_xlfn.XLOOKUP("Charger",Stock1!B515,Stock1!I515,"")</f>
        <v/>
      </c>
      <c r="W515" s="102" t="str">
        <f t="array" ref="W515">_xlfn.XLOOKUP(V515,Stock1!I515,Stock1!F515,"")</f>
        <v/>
      </c>
      <c r="X515" s="102" t="str">
        <f t="array" ref="X515">_xlfn.XLOOKUP(V515,Stock1!I515,Stock1!J515,"")</f>
        <v/>
      </c>
      <c r="Y515" s="102" t="str">
        <f t="array" ref="Y515">_xlfn.XLOOKUP("Screen Protector for Android Phone and Other",Stock1!B515,Stock1!I515,"")</f>
        <v/>
      </c>
      <c r="Z515" s="102" t="str">
        <f t="array" ref="Z515">_xlfn.XLOOKUP("Screen Protector for Galaxy Phone",Stock1!B515,Stock1!I515,"")</f>
        <v/>
      </c>
      <c r="AA515" s="102" t="str">
        <f t="array" ref="AA515">_xlfn.XLOOKUP("Screen Protector for Galaxy Tab",Stock1!B515,Stock1!I515,"")</f>
        <v/>
      </c>
      <c r="AB515" s="102" t="str">
        <f t="shared" si="4"/>
        <v/>
      </c>
      <c r="AC515" s="102" t="str">
        <f t="array" ref="AC515">_xlfn.XLOOKUP(AB515,Stock1!I515,Stock1!F515,"")</f>
        <v/>
      </c>
      <c r="AD515" s="102" t="str">
        <f t="array" ref="AD515">_xlfn.XLOOKUP(AB515,Stock1!I515,Stock1!J515,"")</f>
        <v/>
      </c>
      <c r="AE515" s="102" t="str">
        <f t="array" ref="AE515">_xlfn.XLOOKUP("Storage",Stock1!B515,Stock1!I515,"")</f>
        <v/>
      </c>
      <c r="AF515" s="102" t="str">
        <f t="array" ref="AF515">_xlfn.XLOOKUP(AE515,Stock1!I515,Stock1!F515,"")</f>
        <v/>
      </c>
      <c r="AG515" s="102" t="str">
        <f t="array" ref="AG515">_xlfn.XLOOKUP(AE515,Stock1!I515,Stock1!J515,"")</f>
        <v/>
      </c>
    </row>
    <row r="516">
      <c r="K516" s="660" t="str">
        <f t="array" ref="K516">IFERROR(_xlfn.XLOOKUP(I516,Incentive!B:B,Incentive!E:E,""),"")</f>
        <v/>
      </c>
      <c r="L516" s="659" t="str">
        <f>IFERROR(VLOOKUP(I516,Stock1!F:J,5,False),"")</f>
        <v/>
      </c>
      <c r="M516" s="659" t="str">
        <f>IFERROR(VLOOKUP(I516,Stock2!F:J,5,False),"")</f>
        <v/>
      </c>
      <c r="V516" s="102" t="str">
        <f t="array" ref="V516">_xlfn.XLOOKUP("Charger",Stock1!B516,Stock1!I516,"")</f>
        <v/>
      </c>
      <c r="W516" s="102" t="str">
        <f t="array" ref="W516">_xlfn.XLOOKUP(V516,Stock1!I516,Stock1!F516,"")</f>
        <v/>
      </c>
      <c r="X516" s="102" t="str">
        <f t="array" ref="X516">_xlfn.XLOOKUP(V516,Stock1!I516,Stock1!J516,"")</f>
        <v/>
      </c>
      <c r="Y516" s="102" t="str">
        <f t="array" ref="Y516">_xlfn.XLOOKUP("Screen Protector for Android Phone and Other",Stock1!B516,Stock1!I516,"")</f>
        <v/>
      </c>
      <c r="Z516" s="102" t="str">
        <f t="array" ref="Z516">_xlfn.XLOOKUP("Screen Protector for Galaxy Phone",Stock1!B516,Stock1!I516,"")</f>
        <v/>
      </c>
      <c r="AA516" s="102" t="str">
        <f t="array" ref="AA516">_xlfn.XLOOKUP("Screen Protector for Galaxy Tab",Stock1!B516,Stock1!I516,"")</f>
        <v/>
      </c>
      <c r="AB516" s="102" t="str">
        <f t="shared" si="4"/>
        <v/>
      </c>
      <c r="AC516" s="102" t="str">
        <f t="array" ref="AC516">_xlfn.XLOOKUP(AB516,Stock1!I516,Stock1!F516,"")</f>
        <v/>
      </c>
      <c r="AD516" s="102" t="str">
        <f t="array" ref="AD516">_xlfn.XLOOKUP(AB516,Stock1!I516,Stock1!J516,"")</f>
        <v/>
      </c>
      <c r="AE516" s="102" t="str">
        <f t="array" ref="AE516">_xlfn.XLOOKUP("Storage",Stock1!B516,Stock1!I516,"")</f>
        <v/>
      </c>
      <c r="AF516" s="102" t="str">
        <f t="array" ref="AF516">_xlfn.XLOOKUP(AE516,Stock1!I516,Stock1!F516,"")</f>
        <v/>
      </c>
      <c r="AG516" s="102" t="str">
        <f t="array" ref="AG516">_xlfn.XLOOKUP(AE516,Stock1!I516,Stock1!J516,"")</f>
        <v/>
      </c>
    </row>
    <row r="517">
      <c r="K517" s="660" t="str">
        <f t="array" ref="K517">IFERROR(_xlfn.XLOOKUP(I517,Incentive!B:B,Incentive!E:E,""),"")</f>
        <v/>
      </c>
      <c r="L517" s="659" t="str">
        <f>IFERROR(VLOOKUP(I517,Stock1!F:J,5,False),"")</f>
        <v/>
      </c>
      <c r="M517" s="659" t="str">
        <f>IFERROR(VLOOKUP(I517,Stock2!F:J,5,False),"")</f>
        <v/>
      </c>
      <c r="V517" s="102" t="str">
        <f t="array" ref="V517">_xlfn.XLOOKUP("Charger",Stock1!B517,Stock1!I517,"")</f>
        <v/>
      </c>
      <c r="W517" s="102" t="str">
        <f t="array" ref="W517">_xlfn.XLOOKUP(V517,Stock1!I517,Stock1!F517,"")</f>
        <v/>
      </c>
      <c r="X517" s="102" t="str">
        <f t="array" ref="X517">_xlfn.XLOOKUP(V517,Stock1!I517,Stock1!J517,"")</f>
        <v/>
      </c>
      <c r="Y517" s="102" t="str">
        <f t="array" ref="Y517">_xlfn.XLOOKUP("Screen Protector for Android Phone and Other",Stock1!B517,Stock1!I517,"")</f>
        <v/>
      </c>
      <c r="Z517" s="102" t="str">
        <f t="array" ref="Z517">_xlfn.XLOOKUP("Screen Protector for Galaxy Phone",Stock1!B517,Stock1!I517,"")</f>
        <v/>
      </c>
      <c r="AA517" s="102" t="str">
        <f t="array" ref="AA517">_xlfn.XLOOKUP("Screen Protector for Galaxy Tab",Stock1!B517,Stock1!I517,"")</f>
        <v/>
      </c>
      <c r="AB517" s="102" t="str">
        <f t="shared" si="4"/>
        <v/>
      </c>
      <c r="AC517" s="102" t="str">
        <f t="array" ref="AC517">_xlfn.XLOOKUP(AB517,Stock1!I517,Stock1!F517,"")</f>
        <v/>
      </c>
      <c r="AD517" s="102" t="str">
        <f t="array" ref="AD517">_xlfn.XLOOKUP(AB517,Stock1!I517,Stock1!J517,"")</f>
        <v/>
      </c>
      <c r="AE517" s="102" t="str">
        <f t="array" ref="AE517">_xlfn.XLOOKUP("Storage",Stock1!B517,Stock1!I517,"")</f>
        <v/>
      </c>
      <c r="AF517" s="102" t="str">
        <f t="array" ref="AF517">_xlfn.XLOOKUP(AE517,Stock1!I517,Stock1!F517,"")</f>
        <v/>
      </c>
      <c r="AG517" s="102" t="str">
        <f t="array" ref="AG517">_xlfn.XLOOKUP(AE517,Stock1!I517,Stock1!J517,"")</f>
        <v/>
      </c>
    </row>
    <row r="518">
      <c r="K518" s="660" t="str">
        <f t="array" ref="K518">IFERROR(_xlfn.XLOOKUP(I518,Incentive!B:B,Incentive!E:E,""),"")</f>
        <v/>
      </c>
      <c r="L518" s="659" t="str">
        <f>IFERROR(VLOOKUP(I518,Stock1!F:J,5,False),"")</f>
        <v/>
      </c>
      <c r="M518" s="659" t="str">
        <f>IFERROR(VLOOKUP(I518,Stock2!F:J,5,False),"")</f>
        <v/>
      </c>
      <c r="V518" s="102" t="str">
        <f t="array" ref="V518">_xlfn.XLOOKUP("Charger",Stock1!B518,Stock1!I518,"")</f>
        <v/>
      </c>
      <c r="W518" s="102" t="str">
        <f t="array" ref="W518">_xlfn.XLOOKUP(V518,Stock1!I518,Stock1!F518,"")</f>
        <v/>
      </c>
      <c r="X518" s="102" t="str">
        <f t="array" ref="X518">_xlfn.XLOOKUP(V518,Stock1!I518,Stock1!J518,"")</f>
        <v/>
      </c>
      <c r="Y518" s="102" t="str">
        <f t="array" ref="Y518">_xlfn.XLOOKUP("Screen Protector for Android Phone and Other",Stock1!B518,Stock1!I518,"")</f>
        <v/>
      </c>
      <c r="Z518" s="102" t="str">
        <f t="array" ref="Z518">_xlfn.XLOOKUP("Screen Protector for Galaxy Phone",Stock1!B518,Stock1!I518,"")</f>
        <v/>
      </c>
      <c r="AA518" s="102" t="str">
        <f t="array" ref="AA518">_xlfn.XLOOKUP("Screen Protector for Galaxy Tab",Stock1!B518,Stock1!I518,"")</f>
        <v/>
      </c>
      <c r="AB518" s="102" t="str">
        <f t="shared" si="4"/>
        <v/>
      </c>
      <c r="AC518" s="102" t="str">
        <f t="array" ref="AC518">_xlfn.XLOOKUP(AB518,Stock1!I518,Stock1!F518,"")</f>
        <v/>
      </c>
      <c r="AD518" s="102" t="str">
        <f t="array" ref="AD518">_xlfn.XLOOKUP(AB518,Stock1!I518,Stock1!J518,"")</f>
        <v/>
      </c>
      <c r="AE518" s="102" t="str">
        <f t="array" ref="AE518">_xlfn.XLOOKUP("Storage",Stock1!B518,Stock1!I518,"")</f>
        <v/>
      </c>
      <c r="AF518" s="102" t="str">
        <f t="array" ref="AF518">_xlfn.XLOOKUP(AE518,Stock1!I518,Stock1!F518,"")</f>
        <v/>
      </c>
      <c r="AG518" s="102" t="str">
        <f t="array" ref="AG518">_xlfn.XLOOKUP(AE518,Stock1!I518,Stock1!J518,"")</f>
        <v/>
      </c>
    </row>
    <row r="519">
      <c r="K519" s="660" t="str">
        <f t="array" ref="K519">IFERROR(_xlfn.XLOOKUP(I519,Incentive!B:B,Incentive!E:E,""),"")</f>
        <v/>
      </c>
      <c r="L519" s="659" t="str">
        <f>IFERROR(VLOOKUP(I519,Stock1!F:J,5,False),"")</f>
        <v/>
      </c>
      <c r="M519" s="659" t="str">
        <f>IFERROR(VLOOKUP(I519,Stock2!F:J,5,False),"")</f>
        <v/>
      </c>
      <c r="V519" s="102" t="str">
        <f t="array" ref="V519">_xlfn.XLOOKUP("Charger",Stock1!B519,Stock1!I519,"")</f>
        <v/>
      </c>
      <c r="W519" s="102" t="str">
        <f t="array" ref="W519">_xlfn.XLOOKUP(V519,Stock1!I519,Stock1!F519,"")</f>
        <v/>
      </c>
      <c r="X519" s="102" t="str">
        <f t="array" ref="X519">_xlfn.XLOOKUP(V519,Stock1!I519,Stock1!J519,"")</f>
        <v/>
      </c>
      <c r="Y519" s="102" t="str">
        <f t="array" ref="Y519">_xlfn.XLOOKUP("Screen Protector for Android Phone and Other",Stock1!B519,Stock1!I519,"")</f>
        <v/>
      </c>
      <c r="Z519" s="102" t="str">
        <f t="array" ref="Z519">_xlfn.XLOOKUP("Screen Protector for Galaxy Phone",Stock1!B519,Stock1!I519,"")</f>
        <v/>
      </c>
      <c r="AA519" s="102" t="str">
        <f t="array" ref="AA519">_xlfn.XLOOKUP("Screen Protector for Galaxy Tab",Stock1!B519,Stock1!I519,"")</f>
        <v/>
      </c>
      <c r="AB519" s="102" t="str">
        <f t="shared" si="4"/>
        <v/>
      </c>
      <c r="AC519" s="102" t="str">
        <f t="array" ref="AC519">_xlfn.XLOOKUP(AB519,Stock1!I519,Stock1!F519,"")</f>
        <v/>
      </c>
      <c r="AD519" s="102" t="str">
        <f t="array" ref="AD519">_xlfn.XLOOKUP(AB519,Stock1!I519,Stock1!J519,"")</f>
        <v/>
      </c>
      <c r="AE519" s="102" t="str">
        <f t="array" ref="AE519">_xlfn.XLOOKUP("Storage",Stock1!B519,Stock1!I519,"")</f>
        <v/>
      </c>
      <c r="AF519" s="102" t="str">
        <f t="array" ref="AF519">_xlfn.XLOOKUP(AE519,Stock1!I519,Stock1!F519,"")</f>
        <v/>
      </c>
      <c r="AG519" s="102" t="str">
        <f t="array" ref="AG519">_xlfn.XLOOKUP(AE519,Stock1!I519,Stock1!J519,"")</f>
        <v/>
      </c>
    </row>
    <row r="520">
      <c r="K520" s="660" t="str">
        <f t="array" ref="K520">IFERROR(_xlfn.XLOOKUP(I520,Incentive!B:B,Incentive!E:E,""),"")</f>
        <v/>
      </c>
      <c r="L520" s="659" t="str">
        <f>IFERROR(VLOOKUP(I520,Stock1!F:J,5,False),"")</f>
        <v/>
      </c>
      <c r="M520" s="659" t="str">
        <f>IFERROR(VLOOKUP(I520,Stock2!F:J,5,False),"")</f>
        <v/>
      </c>
      <c r="V520" s="102" t="str">
        <f t="array" ref="V520">_xlfn.XLOOKUP("Charger",Stock1!B520,Stock1!I520,"")</f>
        <v/>
      </c>
      <c r="W520" s="102" t="str">
        <f t="array" ref="W520">_xlfn.XLOOKUP(V520,Stock1!I520,Stock1!F520,"")</f>
        <v/>
      </c>
      <c r="X520" s="102" t="str">
        <f t="array" ref="X520">_xlfn.XLOOKUP(V520,Stock1!I520,Stock1!J520,"")</f>
        <v/>
      </c>
      <c r="Y520" s="102" t="str">
        <f t="array" ref="Y520">_xlfn.XLOOKUP("Screen Protector for Android Phone and Other",Stock1!B520,Stock1!I520,"")</f>
        <v/>
      </c>
      <c r="Z520" s="102" t="str">
        <f t="array" ref="Z520">_xlfn.XLOOKUP("Screen Protector for Galaxy Phone",Stock1!B520,Stock1!I520,"")</f>
        <v/>
      </c>
      <c r="AA520" s="102" t="str">
        <f t="array" ref="AA520">_xlfn.XLOOKUP("Screen Protector for Galaxy Tab",Stock1!B520,Stock1!I520,"")</f>
        <v/>
      </c>
      <c r="AB520" s="102" t="str">
        <f t="shared" si="4"/>
        <v/>
      </c>
      <c r="AC520" s="102" t="str">
        <f t="array" ref="AC520">_xlfn.XLOOKUP(AB520,Stock1!I520,Stock1!F520,"")</f>
        <v/>
      </c>
      <c r="AD520" s="102" t="str">
        <f t="array" ref="AD520">_xlfn.XLOOKUP(AB520,Stock1!I520,Stock1!J520,"")</f>
        <v/>
      </c>
      <c r="AE520" s="102" t="str">
        <f t="array" ref="AE520">_xlfn.XLOOKUP("Storage",Stock1!B520,Stock1!I520,"")</f>
        <v/>
      </c>
      <c r="AF520" s="102" t="str">
        <f t="array" ref="AF520">_xlfn.XLOOKUP(AE520,Stock1!I520,Stock1!F520,"")</f>
        <v/>
      </c>
      <c r="AG520" s="102" t="str">
        <f t="array" ref="AG520">_xlfn.XLOOKUP(AE520,Stock1!I520,Stock1!J520,"")</f>
        <v/>
      </c>
    </row>
    <row r="521">
      <c r="K521" s="660" t="str">
        <f t="array" ref="K521">IFERROR(_xlfn.XLOOKUP(I521,Incentive!B:B,Incentive!E:E,""),"")</f>
        <v/>
      </c>
      <c r="L521" s="659" t="str">
        <f>IFERROR(VLOOKUP(I521,Stock1!F:J,5,False),"")</f>
        <v/>
      </c>
      <c r="M521" s="659" t="str">
        <f>IFERROR(VLOOKUP(I521,Stock2!F:J,5,False),"")</f>
        <v/>
      </c>
      <c r="V521" s="102" t="str">
        <f t="array" ref="V521">_xlfn.XLOOKUP("Charger",Stock1!B521,Stock1!I521,"")</f>
        <v/>
      </c>
      <c r="W521" s="102" t="str">
        <f t="array" ref="W521">_xlfn.XLOOKUP(V521,Stock1!I521,Stock1!F521,"")</f>
        <v/>
      </c>
      <c r="X521" s="102" t="str">
        <f t="array" ref="X521">_xlfn.XLOOKUP(V521,Stock1!I521,Stock1!J521,"")</f>
        <v/>
      </c>
      <c r="Y521" s="102" t="str">
        <f t="array" ref="Y521">_xlfn.XLOOKUP("Screen Protector for Android Phone and Other",Stock1!B521,Stock1!I521,"")</f>
        <v/>
      </c>
      <c r="Z521" s="102" t="str">
        <f t="array" ref="Z521">_xlfn.XLOOKUP("Screen Protector for Galaxy Phone",Stock1!B521,Stock1!I521,"")</f>
        <v/>
      </c>
      <c r="AA521" s="102" t="str">
        <f t="array" ref="AA521">_xlfn.XLOOKUP("Screen Protector for Galaxy Tab",Stock1!B521,Stock1!I521,"")</f>
        <v/>
      </c>
      <c r="AB521" s="102" t="str">
        <f t="shared" si="4"/>
        <v/>
      </c>
      <c r="AC521" s="102" t="str">
        <f t="array" ref="AC521">_xlfn.XLOOKUP(AB521,Stock1!I521,Stock1!F521,"")</f>
        <v/>
      </c>
      <c r="AD521" s="102" t="str">
        <f t="array" ref="AD521">_xlfn.XLOOKUP(AB521,Stock1!I521,Stock1!J521,"")</f>
        <v/>
      </c>
      <c r="AE521" s="102" t="str">
        <f t="array" ref="AE521">_xlfn.XLOOKUP("Storage",Stock1!B521,Stock1!I521,"")</f>
        <v/>
      </c>
      <c r="AF521" s="102" t="str">
        <f t="array" ref="AF521">_xlfn.XLOOKUP(AE521,Stock1!I521,Stock1!F521,"")</f>
        <v/>
      </c>
      <c r="AG521" s="102" t="str">
        <f t="array" ref="AG521">_xlfn.XLOOKUP(AE521,Stock1!I521,Stock1!J521,"")</f>
        <v/>
      </c>
    </row>
    <row r="522">
      <c r="K522" s="660" t="str">
        <f t="array" ref="K522">IFERROR(_xlfn.XLOOKUP(I522,Incentive!B:B,Incentive!E:E,""),"")</f>
        <v/>
      </c>
      <c r="L522" s="659" t="str">
        <f>IFERROR(VLOOKUP(I522,Stock1!F:J,5,False),"")</f>
        <v/>
      </c>
      <c r="M522" s="659" t="str">
        <f>IFERROR(VLOOKUP(I522,Stock2!F:J,5,False),"")</f>
        <v/>
      </c>
      <c r="V522" s="102" t="str">
        <f t="array" ref="V522">_xlfn.XLOOKUP("Charger",Stock1!B522,Stock1!I522,"")</f>
        <v/>
      </c>
      <c r="W522" s="102" t="str">
        <f t="array" ref="W522">_xlfn.XLOOKUP(V522,Stock1!I522,Stock1!F522,"")</f>
        <v/>
      </c>
      <c r="X522" s="102" t="str">
        <f t="array" ref="X522">_xlfn.XLOOKUP(V522,Stock1!I522,Stock1!J522,"")</f>
        <v/>
      </c>
      <c r="Y522" s="102" t="str">
        <f t="array" ref="Y522">_xlfn.XLOOKUP("Screen Protector for Android Phone and Other",Stock1!B522,Stock1!I522,"")</f>
        <v/>
      </c>
      <c r="Z522" s="102" t="str">
        <f t="array" ref="Z522">_xlfn.XLOOKUP("Screen Protector for Galaxy Phone",Stock1!B522,Stock1!I522,"")</f>
        <v/>
      </c>
      <c r="AA522" s="102" t="str">
        <f t="array" ref="AA522">_xlfn.XLOOKUP("Screen Protector for Galaxy Tab",Stock1!B522,Stock1!I522,"")</f>
        <v/>
      </c>
      <c r="AB522" s="102" t="str">
        <f t="shared" si="4"/>
        <v/>
      </c>
      <c r="AC522" s="102" t="str">
        <f t="array" ref="AC522">_xlfn.XLOOKUP(AB522,Stock1!I522,Stock1!F522,"")</f>
        <v/>
      </c>
      <c r="AD522" s="102" t="str">
        <f t="array" ref="AD522">_xlfn.XLOOKUP(AB522,Stock1!I522,Stock1!J522,"")</f>
        <v/>
      </c>
      <c r="AE522" s="102" t="str">
        <f t="array" ref="AE522">_xlfn.XLOOKUP("Storage",Stock1!B522,Stock1!I522,"")</f>
        <v/>
      </c>
      <c r="AF522" s="102" t="str">
        <f t="array" ref="AF522">_xlfn.XLOOKUP(AE522,Stock1!I522,Stock1!F522,"")</f>
        <v/>
      </c>
      <c r="AG522" s="102" t="str">
        <f t="array" ref="AG522">_xlfn.XLOOKUP(AE522,Stock1!I522,Stock1!J522,"")</f>
        <v/>
      </c>
    </row>
    <row r="523">
      <c r="K523" s="660" t="str">
        <f t="array" ref="K523">IFERROR(_xlfn.XLOOKUP(I523,Incentive!B:B,Incentive!E:E,""),"")</f>
        <v/>
      </c>
      <c r="L523" s="659" t="str">
        <f>IFERROR(VLOOKUP(I523,Stock1!F:J,5,False),"")</f>
        <v/>
      </c>
      <c r="M523" s="659" t="str">
        <f>IFERROR(VLOOKUP(I523,Stock2!F:J,5,False),"")</f>
        <v/>
      </c>
      <c r="V523" s="102" t="str">
        <f t="array" ref="V523">_xlfn.XLOOKUP("Charger",Stock1!B523,Stock1!I523,"")</f>
        <v/>
      </c>
      <c r="W523" s="102" t="str">
        <f t="array" ref="W523">_xlfn.XLOOKUP(V523,Stock1!I523,Stock1!F523,"")</f>
        <v/>
      </c>
      <c r="X523" s="102" t="str">
        <f t="array" ref="X523">_xlfn.XLOOKUP(V523,Stock1!I523,Stock1!J523,"")</f>
        <v/>
      </c>
      <c r="Y523" s="102" t="str">
        <f t="array" ref="Y523">_xlfn.XLOOKUP("Screen Protector for Android Phone and Other",Stock1!B523,Stock1!I523,"")</f>
        <v/>
      </c>
      <c r="Z523" s="102" t="str">
        <f t="array" ref="Z523">_xlfn.XLOOKUP("Screen Protector for Galaxy Phone",Stock1!B523,Stock1!I523,"")</f>
        <v/>
      </c>
      <c r="AA523" s="102" t="str">
        <f t="array" ref="AA523">_xlfn.XLOOKUP("Screen Protector for Galaxy Tab",Stock1!B523,Stock1!I523,"")</f>
        <v/>
      </c>
      <c r="AB523" s="102" t="str">
        <f t="shared" si="4"/>
        <v/>
      </c>
      <c r="AC523" s="102" t="str">
        <f t="array" ref="AC523">_xlfn.XLOOKUP(AB523,Stock1!I523,Stock1!F523,"")</f>
        <v/>
      </c>
      <c r="AD523" s="102" t="str">
        <f t="array" ref="AD523">_xlfn.XLOOKUP(AB523,Stock1!I523,Stock1!J523,"")</f>
        <v/>
      </c>
      <c r="AE523" s="102" t="str">
        <f t="array" ref="AE523">_xlfn.XLOOKUP("Storage",Stock1!B523,Stock1!I523,"")</f>
        <v/>
      </c>
      <c r="AF523" s="102" t="str">
        <f t="array" ref="AF523">_xlfn.XLOOKUP(AE523,Stock1!I523,Stock1!F523,"")</f>
        <v/>
      </c>
      <c r="AG523" s="102" t="str">
        <f t="array" ref="AG523">_xlfn.XLOOKUP(AE523,Stock1!I523,Stock1!J523,"")</f>
        <v/>
      </c>
    </row>
    <row r="524">
      <c r="K524" s="660" t="str">
        <f t="array" ref="K524">IFERROR(_xlfn.XLOOKUP(I524,Incentive!B:B,Incentive!E:E,""),"")</f>
        <v/>
      </c>
      <c r="L524" s="659" t="str">
        <f>IFERROR(VLOOKUP(I524,Stock1!F:J,5,False),"")</f>
        <v/>
      </c>
      <c r="M524" s="659" t="str">
        <f>IFERROR(VLOOKUP(I524,Stock2!F:J,5,False),"")</f>
        <v/>
      </c>
      <c r="V524" s="102" t="str">
        <f t="array" ref="V524">_xlfn.XLOOKUP("Charger",Stock1!B524,Stock1!I524,"")</f>
        <v/>
      </c>
      <c r="W524" s="102" t="str">
        <f t="array" ref="W524">_xlfn.XLOOKUP(V524,Stock1!I524,Stock1!F524,"")</f>
        <v/>
      </c>
      <c r="X524" s="102" t="str">
        <f t="array" ref="X524">_xlfn.XLOOKUP(V524,Stock1!I524,Stock1!J524,"")</f>
        <v/>
      </c>
      <c r="Y524" s="102" t="str">
        <f t="array" ref="Y524">_xlfn.XLOOKUP("Screen Protector for Android Phone and Other",Stock1!B524,Stock1!I524,"")</f>
        <v/>
      </c>
      <c r="Z524" s="102" t="str">
        <f t="array" ref="Z524">_xlfn.XLOOKUP("Screen Protector for Galaxy Phone",Stock1!B524,Stock1!I524,"")</f>
        <v/>
      </c>
      <c r="AA524" s="102" t="str">
        <f t="array" ref="AA524">_xlfn.XLOOKUP("Screen Protector for Galaxy Tab",Stock1!B524,Stock1!I524,"")</f>
        <v/>
      </c>
      <c r="AB524" s="102" t="str">
        <f t="shared" si="4"/>
        <v/>
      </c>
      <c r="AC524" s="102" t="str">
        <f t="array" ref="AC524">_xlfn.XLOOKUP(AB524,Stock1!I524,Stock1!F524,"")</f>
        <v/>
      </c>
      <c r="AD524" s="102" t="str">
        <f t="array" ref="AD524">_xlfn.XLOOKUP(AB524,Stock1!I524,Stock1!J524,"")</f>
        <v/>
      </c>
      <c r="AE524" s="102" t="str">
        <f t="array" ref="AE524">_xlfn.XLOOKUP("Storage",Stock1!B524,Stock1!I524,"")</f>
        <v/>
      </c>
      <c r="AF524" s="102" t="str">
        <f t="array" ref="AF524">_xlfn.XLOOKUP(AE524,Stock1!I524,Stock1!F524,"")</f>
        <v/>
      </c>
      <c r="AG524" s="102" t="str">
        <f t="array" ref="AG524">_xlfn.XLOOKUP(AE524,Stock1!I524,Stock1!J524,"")</f>
        <v/>
      </c>
    </row>
    <row r="525">
      <c r="K525" s="660" t="str">
        <f t="array" ref="K525">IFERROR(_xlfn.XLOOKUP(I525,Incentive!B:B,Incentive!E:E,""),"")</f>
        <v/>
      </c>
      <c r="L525" s="659" t="str">
        <f>IFERROR(VLOOKUP(I525,Stock1!F:J,5,False),"")</f>
        <v/>
      </c>
      <c r="M525" s="659" t="str">
        <f>IFERROR(VLOOKUP(I525,Stock2!F:J,5,False),"")</f>
        <v/>
      </c>
      <c r="V525" s="102" t="str">
        <f t="array" ref="V525">_xlfn.XLOOKUP("Charger",Stock1!B525,Stock1!I525,"")</f>
        <v/>
      </c>
      <c r="W525" s="102" t="str">
        <f t="array" ref="W525">_xlfn.XLOOKUP(V525,Stock1!I525,Stock1!F525,"")</f>
        <v/>
      </c>
      <c r="X525" s="102" t="str">
        <f t="array" ref="X525">_xlfn.XLOOKUP(V525,Stock1!I525,Stock1!J525,"")</f>
        <v/>
      </c>
      <c r="Y525" s="102" t="str">
        <f t="array" ref="Y525">_xlfn.XLOOKUP("Screen Protector for Android Phone and Other",Stock1!B525,Stock1!I525,"")</f>
        <v/>
      </c>
      <c r="Z525" s="102" t="str">
        <f t="array" ref="Z525">_xlfn.XLOOKUP("Screen Protector for Galaxy Phone",Stock1!B525,Stock1!I525,"")</f>
        <v/>
      </c>
      <c r="AA525" s="102" t="str">
        <f t="array" ref="AA525">_xlfn.XLOOKUP("Screen Protector for Galaxy Tab",Stock1!B525,Stock1!I525,"")</f>
        <v/>
      </c>
      <c r="AB525" s="102" t="str">
        <f t="shared" si="4"/>
        <v/>
      </c>
      <c r="AC525" s="102" t="str">
        <f t="array" ref="AC525">_xlfn.XLOOKUP(AB525,Stock1!I525,Stock1!F525,"")</f>
        <v/>
      </c>
      <c r="AD525" s="102" t="str">
        <f t="array" ref="AD525">_xlfn.XLOOKUP(AB525,Stock1!I525,Stock1!J525,"")</f>
        <v/>
      </c>
      <c r="AE525" s="102" t="str">
        <f t="array" ref="AE525">_xlfn.XLOOKUP("Storage",Stock1!B525,Stock1!I525,"")</f>
        <v/>
      </c>
      <c r="AF525" s="102" t="str">
        <f t="array" ref="AF525">_xlfn.XLOOKUP(AE525,Stock1!I525,Stock1!F525,"")</f>
        <v/>
      </c>
      <c r="AG525" s="102" t="str">
        <f t="array" ref="AG525">_xlfn.XLOOKUP(AE525,Stock1!I525,Stock1!J525,"")</f>
        <v/>
      </c>
    </row>
    <row r="526">
      <c r="K526" s="660" t="str">
        <f t="array" ref="K526">IFERROR(_xlfn.XLOOKUP(I526,Incentive!B:B,Incentive!E:E,""),"")</f>
        <v/>
      </c>
      <c r="L526" s="659" t="str">
        <f>IFERROR(VLOOKUP(I526,Stock1!F:J,5,False),"")</f>
        <v/>
      </c>
      <c r="M526" s="659" t="str">
        <f>IFERROR(VLOOKUP(I526,Stock2!F:J,5,False),"")</f>
        <v/>
      </c>
      <c r="V526" s="102" t="str">
        <f t="array" ref="V526">_xlfn.XLOOKUP("Charger",Stock1!B526,Stock1!I526,"")</f>
        <v/>
      </c>
      <c r="W526" s="102" t="str">
        <f t="array" ref="W526">_xlfn.XLOOKUP(V526,Stock1!I526,Stock1!F526,"")</f>
        <v/>
      </c>
      <c r="X526" s="102" t="str">
        <f t="array" ref="X526">_xlfn.XLOOKUP(V526,Stock1!I526,Stock1!J526,"")</f>
        <v/>
      </c>
      <c r="Y526" s="102" t="str">
        <f t="array" ref="Y526">_xlfn.XLOOKUP("Screen Protector for Android Phone and Other",Stock1!B526,Stock1!I526,"")</f>
        <v/>
      </c>
      <c r="Z526" s="102" t="str">
        <f t="array" ref="Z526">_xlfn.XLOOKUP("Screen Protector for Galaxy Phone",Stock1!B526,Stock1!I526,"")</f>
        <v/>
      </c>
      <c r="AA526" s="102" t="str">
        <f t="array" ref="AA526">_xlfn.XLOOKUP("Screen Protector for Galaxy Tab",Stock1!B526,Stock1!I526,"")</f>
        <v/>
      </c>
      <c r="AB526" s="102" t="str">
        <f t="shared" si="4"/>
        <v/>
      </c>
      <c r="AC526" s="102" t="str">
        <f t="array" ref="AC526">_xlfn.XLOOKUP(AB526,Stock1!I526,Stock1!F526,"")</f>
        <v/>
      </c>
      <c r="AD526" s="102" t="str">
        <f t="array" ref="AD526">_xlfn.XLOOKUP(AB526,Stock1!I526,Stock1!J526,"")</f>
        <v/>
      </c>
      <c r="AE526" s="102" t="str">
        <f t="array" ref="AE526">_xlfn.XLOOKUP("Storage",Stock1!B526,Stock1!I526,"")</f>
        <v/>
      </c>
      <c r="AF526" s="102" t="str">
        <f t="array" ref="AF526">_xlfn.XLOOKUP(AE526,Stock1!I526,Stock1!F526,"")</f>
        <v/>
      </c>
      <c r="AG526" s="102" t="str">
        <f t="array" ref="AG526">_xlfn.XLOOKUP(AE526,Stock1!I526,Stock1!J526,"")</f>
        <v/>
      </c>
    </row>
    <row r="527">
      <c r="K527" s="660" t="str">
        <f t="array" ref="K527">IFERROR(_xlfn.XLOOKUP(I527,Incentive!B:B,Incentive!E:E,""),"")</f>
        <v/>
      </c>
      <c r="L527" s="659" t="str">
        <f>IFERROR(VLOOKUP(I527,Stock1!F:J,5,False),"")</f>
        <v/>
      </c>
      <c r="M527" s="659" t="str">
        <f>IFERROR(VLOOKUP(I527,Stock2!F:J,5,False),"")</f>
        <v/>
      </c>
      <c r="V527" s="102" t="str">
        <f t="array" ref="V527">_xlfn.XLOOKUP("Charger",Stock1!B527,Stock1!I527,"")</f>
        <v/>
      </c>
      <c r="W527" s="102" t="str">
        <f t="array" ref="W527">_xlfn.XLOOKUP(V527,Stock1!I527,Stock1!F527,"")</f>
        <v/>
      </c>
      <c r="X527" s="102" t="str">
        <f t="array" ref="X527">_xlfn.XLOOKUP(V527,Stock1!I527,Stock1!J527,"")</f>
        <v/>
      </c>
      <c r="Y527" s="102" t="str">
        <f t="array" ref="Y527">_xlfn.XLOOKUP("Screen Protector for Android Phone and Other",Stock1!B527,Stock1!I527,"")</f>
        <v/>
      </c>
      <c r="Z527" s="102" t="str">
        <f t="array" ref="Z527">_xlfn.XLOOKUP("Screen Protector for Galaxy Phone",Stock1!B527,Stock1!I527,"")</f>
        <v/>
      </c>
      <c r="AA527" s="102" t="str">
        <f t="array" ref="AA527">_xlfn.XLOOKUP("Screen Protector for Galaxy Tab",Stock1!B527,Stock1!I527,"")</f>
        <v/>
      </c>
      <c r="AB527" s="102" t="str">
        <f t="shared" si="4"/>
        <v/>
      </c>
      <c r="AC527" s="102" t="str">
        <f t="array" ref="AC527">_xlfn.XLOOKUP(AB527,Stock1!I527,Stock1!F527,"")</f>
        <v/>
      </c>
      <c r="AD527" s="102" t="str">
        <f t="array" ref="AD527">_xlfn.XLOOKUP(AB527,Stock1!I527,Stock1!J527,"")</f>
        <v/>
      </c>
      <c r="AE527" s="102" t="str">
        <f t="array" ref="AE527">_xlfn.XLOOKUP("Storage",Stock1!B527,Stock1!I527,"")</f>
        <v/>
      </c>
      <c r="AF527" s="102" t="str">
        <f t="array" ref="AF527">_xlfn.XLOOKUP(AE527,Stock1!I527,Stock1!F527,"")</f>
        <v/>
      </c>
      <c r="AG527" s="102" t="str">
        <f t="array" ref="AG527">_xlfn.XLOOKUP(AE527,Stock1!I527,Stock1!J527,"")</f>
        <v/>
      </c>
    </row>
    <row r="528">
      <c r="K528" s="660" t="str">
        <f t="array" ref="K528">IFERROR(_xlfn.XLOOKUP(I528,Incentive!B:B,Incentive!E:E,""),"")</f>
        <v/>
      </c>
      <c r="L528" s="659" t="str">
        <f>IFERROR(VLOOKUP(I528,Stock1!F:J,5,False),"")</f>
        <v/>
      </c>
      <c r="M528" s="659" t="str">
        <f>IFERROR(VLOOKUP(I528,Stock2!F:J,5,False),"")</f>
        <v/>
      </c>
      <c r="V528" s="102" t="str">
        <f t="array" ref="V528">_xlfn.XLOOKUP("Charger",Stock1!B528,Stock1!I528,"")</f>
        <v/>
      </c>
      <c r="W528" s="102" t="str">
        <f t="array" ref="W528">_xlfn.XLOOKUP(V528,Stock1!I528,Stock1!F528,"")</f>
        <v/>
      </c>
      <c r="X528" s="102" t="str">
        <f t="array" ref="X528">_xlfn.XLOOKUP(V528,Stock1!I528,Stock1!J528,"")</f>
        <v/>
      </c>
      <c r="Y528" s="102" t="str">
        <f t="array" ref="Y528">_xlfn.XLOOKUP("Screen Protector for Android Phone and Other",Stock1!B528,Stock1!I528,"")</f>
        <v/>
      </c>
      <c r="Z528" s="102" t="str">
        <f t="array" ref="Z528">_xlfn.XLOOKUP("Screen Protector for Galaxy Phone",Stock1!B528,Stock1!I528,"")</f>
        <v/>
      </c>
      <c r="AA528" s="102" t="str">
        <f t="array" ref="AA528">_xlfn.XLOOKUP("Screen Protector for Galaxy Tab",Stock1!B528,Stock1!I528,"")</f>
        <v/>
      </c>
      <c r="AB528" s="102" t="str">
        <f t="shared" si="4"/>
        <v/>
      </c>
      <c r="AC528" s="102" t="str">
        <f t="array" ref="AC528">_xlfn.XLOOKUP(AB528,Stock1!I528,Stock1!F528,"")</f>
        <v/>
      </c>
      <c r="AD528" s="102" t="str">
        <f t="array" ref="AD528">_xlfn.XLOOKUP(AB528,Stock1!I528,Stock1!J528,"")</f>
        <v/>
      </c>
      <c r="AE528" s="102" t="str">
        <f t="array" ref="AE528">_xlfn.XLOOKUP("Storage",Stock1!B528,Stock1!I528,"")</f>
        <v/>
      </c>
      <c r="AF528" s="102" t="str">
        <f t="array" ref="AF528">_xlfn.XLOOKUP(AE528,Stock1!I528,Stock1!F528,"")</f>
        <v/>
      </c>
      <c r="AG528" s="102" t="str">
        <f t="array" ref="AG528">_xlfn.XLOOKUP(AE528,Stock1!I528,Stock1!J528,"")</f>
        <v/>
      </c>
    </row>
    <row r="529">
      <c r="K529" s="660" t="str">
        <f t="array" ref="K529">IFERROR(_xlfn.XLOOKUP(I529,Incentive!B:B,Incentive!E:E,""),"")</f>
        <v/>
      </c>
      <c r="L529" s="659" t="str">
        <f>IFERROR(VLOOKUP(I529,Stock1!F:J,5,False),"")</f>
        <v/>
      </c>
      <c r="M529" s="659" t="str">
        <f>IFERROR(VLOOKUP(I529,Stock2!F:J,5,False),"")</f>
        <v/>
      </c>
      <c r="V529" s="102" t="str">
        <f t="array" ref="V529">_xlfn.XLOOKUP("Charger",Stock1!B529,Stock1!I529,"")</f>
        <v/>
      </c>
      <c r="W529" s="102" t="str">
        <f t="array" ref="W529">_xlfn.XLOOKUP(V529,Stock1!I529,Stock1!F529,"")</f>
        <v/>
      </c>
      <c r="X529" s="102" t="str">
        <f t="array" ref="X529">_xlfn.XLOOKUP(V529,Stock1!I529,Stock1!J529,"")</f>
        <v/>
      </c>
      <c r="Y529" s="102" t="str">
        <f t="array" ref="Y529">_xlfn.XLOOKUP("Screen Protector for Android Phone and Other",Stock1!B529,Stock1!I529,"")</f>
        <v/>
      </c>
      <c r="Z529" s="102" t="str">
        <f t="array" ref="Z529">_xlfn.XLOOKUP("Screen Protector for Galaxy Phone",Stock1!B529,Stock1!I529,"")</f>
        <v/>
      </c>
      <c r="AA529" s="102" t="str">
        <f t="array" ref="AA529">_xlfn.XLOOKUP("Screen Protector for Galaxy Tab",Stock1!B529,Stock1!I529,"")</f>
        <v/>
      </c>
      <c r="AB529" s="102" t="str">
        <f t="shared" si="4"/>
        <v/>
      </c>
      <c r="AC529" s="102" t="str">
        <f t="array" ref="AC529">_xlfn.XLOOKUP(AB529,Stock1!I529,Stock1!F529,"")</f>
        <v/>
      </c>
      <c r="AD529" s="102" t="str">
        <f t="array" ref="AD529">_xlfn.XLOOKUP(AB529,Stock1!I529,Stock1!J529,"")</f>
        <v/>
      </c>
      <c r="AE529" s="102" t="str">
        <f t="array" ref="AE529">_xlfn.XLOOKUP("Storage",Stock1!B529,Stock1!I529,"")</f>
        <v/>
      </c>
      <c r="AF529" s="102" t="str">
        <f t="array" ref="AF529">_xlfn.XLOOKUP(AE529,Stock1!I529,Stock1!F529,"")</f>
        <v/>
      </c>
      <c r="AG529" s="102" t="str">
        <f t="array" ref="AG529">_xlfn.XLOOKUP(AE529,Stock1!I529,Stock1!J529,"")</f>
        <v/>
      </c>
    </row>
    <row r="530">
      <c r="K530" s="660" t="str">
        <f t="array" ref="K530">IFERROR(_xlfn.XLOOKUP(I530,Incentive!B:B,Incentive!E:E,""),"")</f>
        <v/>
      </c>
      <c r="L530" s="659" t="str">
        <f>IFERROR(VLOOKUP(I530,Stock1!F:J,5,False),"")</f>
        <v/>
      </c>
      <c r="M530" s="659" t="str">
        <f>IFERROR(VLOOKUP(I530,Stock2!F:J,5,False),"")</f>
        <v/>
      </c>
      <c r="V530" s="102" t="str">
        <f t="array" ref="V530">_xlfn.XLOOKUP("Charger",Stock1!B530,Stock1!I530,"")</f>
        <v/>
      </c>
      <c r="W530" s="102" t="str">
        <f t="array" ref="W530">_xlfn.XLOOKUP(V530,Stock1!I530,Stock1!F530,"")</f>
        <v/>
      </c>
      <c r="X530" s="102" t="str">
        <f t="array" ref="X530">_xlfn.XLOOKUP(V530,Stock1!I530,Stock1!J530,"")</f>
        <v/>
      </c>
      <c r="Y530" s="102" t="str">
        <f t="array" ref="Y530">_xlfn.XLOOKUP("Screen Protector for Android Phone and Other",Stock1!B530,Stock1!I530,"")</f>
        <v/>
      </c>
      <c r="Z530" s="102" t="str">
        <f t="array" ref="Z530">_xlfn.XLOOKUP("Screen Protector for Galaxy Phone",Stock1!B530,Stock1!I530,"")</f>
        <v/>
      </c>
      <c r="AA530" s="102" t="str">
        <f t="array" ref="AA530">_xlfn.XLOOKUP("Screen Protector for Galaxy Tab",Stock1!B530,Stock1!I530,"")</f>
        <v/>
      </c>
      <c r="AB530" s="102" t="str">
        <f t="shared" si="4"/>
        <v/>
      </c>
      <c r="AC530" s="102" t="str">
        <f t="array" ref="AC530">_xlfn.XLOOKUP(AB530,Stock1!I530,Stock1!F530,"")</f>
        <v/>
      </c>
      <c r="AD530" s="102" t="str">
        <f t="array" ref="AD530">_xlfn.XLOOKUP(AB530,Stock1!I530,Stock1!J530,"")</f>
        <v/>
      </c>
      <c r="AE530" s="102" t="str">
        <f t="array" ref="AE530">_xlfn.XLOOKUP("Storage",Stock1!B530,Stock1!I530,"")</f>
        <v/>
      </c>
      <c r="AF530" s="102" t="str">
        <f t="array" ref="AF530">_xlfn.XLOOKUP(AE530,Stock1!I530,Stock1!F530,"")</f>
        <v/>
      </c>
      <c r="AG530" s="102" t="str">
        <f t="array" ref="AG530">_xlfn.XLOOKUP(AE530,Stock1!I530,Stock1!J530,"")</f>
        <v/>
      </c>
    </row>
    <row r="531">
      <c r="K531" s="660" t="str">
        <f t="array" ref="K531">IFERROR(_xlfn.XLOOKUP(I531,Incentive!B:B,Incentive!E:E,""),"")</f>
        <v/>
      </c>
      <c r="L531" s="659" t="str">
        <f>IFERROR(VLOOKUP(I531,Stock1!F:J,5,False),"")</f>
        <v/>
      </c>
      <c r="M531" s="659" t="str">
        <f>IFERROR(VLOOKUP(I531,Stock2!F:J,5,False),"")</f>
        <v/>
      </c>
      <c r="V531" s="102" t="str">
        <f t="array" ref="V531">_xlfn.XLOOKUP("Charger",Stock1!B531,Stock1!I531,"")</f>
        <v/>
      </c>
      <c r="W531" s="102" t="str">
        <f t="array" ref="W531">_xlfn.XLOOKUP(V531,Stock1!I531,Stock1!F531,"")</f>
        <v/>
      </c>
      <c r="X531" s="102" t="str">
        <f t="array" ref="X531">_xlfn.XLOOKUP(V531,Stock1!I531,Stock1!J531,"")</f>
        <v/>
      </c>
      <c r="Y531" s="102" t="str">
        <f t="array" ref="Y531">_xlfn.XLOOKUP("Screen Protector for Android Phone and Other",Stock1!B531,Stock1!I531,"")</f>
        <v/>
      </c>
      <c r="Z531" s="102" t="str">
        <f t="array" ref="Z531">_xlfn.XLOOKUP("Screen Protector for Galaxy Phone",Stock1!B531,Stock1!I531,"")</f>
        <v/>
      </c>
      <c r="AA531" s="102" t="str">
        <f t="array" ref="AA531">_xlfn.XLOOKUP("Screen Protector for Galaxy Tab",Stock1!B531,Stock1!I531,"")</f>
        <v/>
      </c>
      <c r="AB531" s="102" t="str">
        <f t="shared" si="4"/>
        <v/>
      </c>
      <c r="AC531" s="102" t="str">
        <f t="array" ref="AC531">_xlfn.XLOOKUP(AB531,Stock1!I531,Stock1!F531,"")</f>
        <v/>
      </c>
      <c r="AD531" s="102" t="str">
        <f t="array" ref="AD531">_xlfn.XLOOKUP(AB531,Stock1!I531,Stock1!J531,"")</f>
        <v/>
      </c>
      <c r="AE531" s="102" t="str">
        <f t="array" ref="AE531">_xlfn.XLOOKUP("Storage",Stock1!B531,Stock1!I531,"")</f>
        <v/>
      </c>
      <c r="AF531" s="102" t="str">
        <f t="array" ref="AF531">_xlfn.XLOOKUP(AE531,Stock1!I531,Stock1!F531,"")</f>
        <v/>
      </c>
      <c r="AG531" s="102" t="str">
        <f t="array" ref="AG531">_xlfn.XLOOKUP(AE531,Stock1!I531,Stock1!J531,"")</f>
        <v/>
      </c>
    </row>
    <row r="532">
      <c r="K532" s="660" t="str">
        <f t="array" ref="K532">IFERROR(_xlfn.XLOOKUP(I532,Incentive!B:B,Incentive!E:E,""),"")</f>
        <v/>
      </c>
      <c r="L532" s="659" t="str">
        <f>IFERROR(VLOOKUP(I532,Stock1!F:J,5,False),"")</f>
        <v/>
      </c>
      <c r="M532" s="659" t="str">
        <f>IFERROR(VLOOKUP(I532,Stock2!F:J,5,False),"")</f>
        <v/>
      </c>
      <c r="V532" s="102" t="str">
        <f t="array" ref="V532">_xlfn.XLOOKUP("Charger",Stock1!B532,Stock1!I532,"")</f>
        <v/>
      </c>
      <c r="W532" s="102" t="str">
        <f t="array" ref="W532">_xlfn.XLOOKUP(V532,Stock1!I532,Stock1!F532,"")</f>
        <v/>
      </c>
      <c r="X532" s="102" t="str">
        <f t="array" ref="X532">_xlfn.XLOOKUP(V532,Stock1!I532,Stock1!J532,"")</f>
        <v/>
      </c>
      <c r="Y532" s="102" t="str">
        <f t="array" ref="Y532">_xlfn.XLOOKUP("Screen Protector for Android Phone and Other",Stock1!B532,Stock1!I532,"")</f>
        <v/>
      </c>
      <c r="Z532" s="102" t="str">
        <f t="array" ref="Z532">_xlfn.XLOOKUP("Screen Protector for Galaxy Phone",Stock1!B532,Stock1!I532,"")</f>
        <v/>
      </c>
      <c r="AA532" s="102" t="str">
        <f t="array" ref="AA532">_xlfn.XLOOKUP("Screen Protector for Galaxy Tab",Stock1!B532,Stock1!I532,"")</f>
        <v/>
      </c>
      <c r="AB532" s="102" t="str">
        <f t="shared" si="4"/>
        <v/>
      </c>
      <c r="AC532" s="102" t="str">
        <f t="array" ref="AC532">_xlfn.XLOOKUP(AB532,Stock1!I532,Stock1!F532,"")</f>
        <v/>
      </c>
      <c r="AD532" s="102" t="str">
        <f t="array" ref="AD532">_xlfn.XLOOKUP(AB532,Stock1!I532,Stock1!J532,"")</f>
        <v/>
      </c>
      <c r="AE532" s="102" t="str">
        <f t="array" ref="AE532">_xlfn.XLOOKUP("Storage",Stock1!B532,Stock1!I532,"")</f>
        <v/>
      </c>
      <c r="AF532" s="102" t="str">
        <f t="array" ref="AF532">_xlfn.XLOOKUP(AE532,Stock1!I532,Stock1!F532,"")</f>
        <v/>
      </c>
      <c r="AG532" s="102" t="str">
        <f t="array" ref="AG532">_xlfn.XLOOKUP(AE532,Stock1!I532,Stock1!J532,"")</f>
        <v/>
      </c>
    </row>
    <row r="533">
      <c r="K533" s="660" t="str">
        <f t="array" ref="K533">IFERROR(_xlfn.XLOOKUP(I533,Incentive!B:B,Incentive!E:E,""),"")</f>
        <v/>
      </c>
      <c r="L533" s="659" t="str">
        <f>IFERROR(VLOOKUP(I533,Stock1!F:J,5,False),"")</f>
        <v/>
      </c>
      <c r="M533" s="659" t="str">
        <f>IFERROR(VLOOKUP(I533,Stock2!F:J,5,False),"")</f>
        <v/>
      </c>
      <c r="V533" s="102" t="str">
        <f t="array" ref="V533">_xlfn.XLOOKUP("Charger",Stock1!B533,Stock1!I533,"")</f>
        <v/>
      </c>
      <c r="W533" s="102" t="str">
        <f t="array" ref="W533">_xlfn.XLOOKUP(V533,Stock1!I533,Stock1!F533,"")</f>
        <v/>
      </c>
      <c r="X533" s="102" t="str">
        <f t="array" ref="X533">_xlfn.XLOOKUP(V533,Stock1!I533,Stock1!J533,"")</f>
        <v/>
      </c>
      <c r="Y533" s="102" t="str">
        <f t="array" ref="Y533">_xlfn.XLOOKUP("Screen Protector for Android Phone and Other",Stock1!B533,Stock1!I533,"")</f>
        <v/>
      </c>
      <c r="Z533" s="102" t="str">
        <f t="array" ref="Z533">_xlfn.XLOOKUP("Screen Protector for Galaxy Phone",Stock1!B533,Stock1!I533,"")</f>
        <v/>
      </c>
      <c r="AA533" s="102" t="str">
        <f t="array" ref="AA533">_xlfn.XLOOKUP("Screen Protector for Galaxy Tab",Stock1!B533,Stock1!I533,"")</f>
        <v/>
      </c>
      <c r="AB533" s="102" t="str">
        <f t="shared" si="4"/>
        <v/>
      </c>
      <c r="AC533" s="102" t="str">
        <f t="array" ref="AC533">_xlfn.XLOOKUP(AB533,Stock1!I533,Stock1!F533,"")</f>
        <v/>
      </c>
      <c r="AD533" s="102" t="str">
        <f t="array" ref="AD533">_xlfn.XLOOKUP(AB533,Stock1!I533,Stock1!J533,"")</f>
        <v/>
      </c>
      <c r="AE533" s="102" t="str">
        <f t="array" ref="AE533">_xlfn.XLOOKUP("Storage",Stock1!B533,Stock1!I533,"")</f>
        <v/>
      </c>
      <c r="AF533" s="102" t="str">
        <f t="array" ref="AF533">_xlfn.XLOOKUP(AE533,Stock1!I533,Stock1!F533,"")</f>
        <v/>
      </c>
      <c r="AG533" s="102" t="str">
        <f t="array" ref="AG533">_xlfn.XLOOKUP(AE533,Stock1!I533,Stock1!J533,"")</f>
        <v/>
      </c>
    </row>
    <row r="534">
      <c r="K534" s="660" t="str">
        <f t="array" ref="K534">IFERROR(_xlfn.XLOOKUP(I534,Incentive!B:B,Incentive!E:E,""),"")</f>
        <v/>
      </c>
      <c r="L534" s="659" t="str">
        <f>IFERROR(VLOOKUP(I534,Stock1!F:J,5,False),"")</f>
        <v/>
      </c>
      <c r="M534" s="659" t="str">
        <f>IFERROR(VLOOKUP(I534,Stock2!F:J,5,False),"")</f>
        <v/>
      </c>
      <c r="V534" s="102" t="str">
        <f t="array" ref="V534">_xlfn.XLOOKUP("Charger",Stock1!B534,Stock1!I534,"")</f>
        <v/>
      </c>
      <c r="W534" s="102" t="str">
        <f t="array" ref="W534">_xlfn.XLOOKUP(V534,Stock1!I534,Stock1!F534,"")</f>
        <v/>
      </c>
      <c r="X534" s="102" t="str">
        <f t="array" ref="X534">_xlfn.XLOOKUP(V534,Stock1!I534,Stock1!J534,"")</f>
        <v/>
      </c>
      <c r="Y534" s="102" t="str">
        <f t="array" ref="Y534">_xlfn.XLOOKUP("Screen Protector for Android Phone and Other",Stock1!B534,Stock1!I534,"")</f>
        <v/>
      </c>
      <c r="Z534" s="102" t="str">
        <f t="array" ref="Z534">_xlfn.XLOOKUP("Screen Protector for Galaxy Phone",Stock1!B534,Stock1!I534,"")</f>
        <v/>
      </c>
      <c r="AA534" s="102" t="str">
        <f t="array" ref="AA534">_xlfn.XLOOKUP("Screen Protector for Galaxy Tab",Stock1!B534,Stock1!I534,"")</f>
        <v/>
      </c>
      <c r="AB534" s="102" t="str">
        <f t="shared" si="4"/>
        <v/>
      </c>
      <c r="AC534" s="102" t="str">
        <f t="array" ref="AC534">_xlfn.XLOOKUP(AB534,Stock1!I534,Stock1!F534,"")</f>
        <v/>
      </c>
      <c r="AD534" s="102" t="str">
        <f t="array" ref="AD534">_xlfn.XLOOKUP(AB534,Stock1!I534,Stock1!J534,"")</f>
        <v/>
      </c>
      <c r="AE534" s="102" t="str">
        <f t="array" ref="AE534">_xlfn.XLOOKUP("Storage",Stock1!B534,Stock1!I534,"")</f>
        <v/>
      </c>
      <c r="AF534" s="102" t="str">
        <f t="array" ref="AF534">_xlfn.XLOOKUP(AE534,Stock1!I534,Stock1!F534,"")</f>
        <v/>
      </c>
      <c r="AG534" s="102" t="str">
        <f t="array" ref="AG534">_xlfn.XLOOKUP(AE534,Stock1!I534,Stock1!J534,"")</f>
        <v/>
      </c>
    </row>
    <row r="535">
      <c r="K535" s="660" t="str">
        <f t="array" ref="K535">IFERROR(_xlfn.XLOOKUP(I535,Incentive!B:B,Incentive!E:E,""),"")</f>
        <v/>
      </c>
      <c r="L535" s="659" t="str">
        <f>IFERROR(VLOOKUP(I535,Stock1!F:J,5,False),"")</f>
        <v/>
      </c>
      <c r="M535" s="659" t="str">
        <f>IFERROR(VLOOKUP(I535,Stock2!F:J,5,False),"")</f>
        <v/>
      </c>
      <c r="V535" s="102" t="str">
        <f t="array" ref="V535">_xlfn.XLOOKUP("Charger",Stock1!B535,Stock1!I535,"")</f>
        <v/>
      </c>
      <c r="W535" s="102" t="str">
        <f t="array" ref="W535">_xlfn.XLOOKUP(V535,Stock1!I535,Stock1!F535,"")</f>
        <v/>
      </c>
      <c r="X535" s="102" t="str">
        <f t="array" ref="X535">_xlfn.XLOOKUP(V535,Stock1!I535,Stock1!J535,"")</f>
        <v/>
      </c>
      <c r="Y535" s="102" t="str">
        <f t="array" ref="Y535">_xlfn.XLOOKUP("Screen Protector for Android Phone and Other",Stock1!B535,Stock1!I535,"")</f>
        <v/>
      </c>
      <c r="Z535" s="102" t="str">
        <f t="array" ref="Z535">_xlfn.XLOOKUP("Screen Protector for Galaxy Phone",Stock1!B535,Stock1!I535,"")</f>
        <v/>
      </c>
      <c r="AA535" s="102" t="str">
        <f t="array" ref="AA535">_xlfn.XLOOKUP("Screen Protector for Galaxy Tab",Stock1!B535,Stock1!I535,"")</f>
        <v/>
      </c>
      <c r="AB535" s="102" t="str">
        <f t="shared" si="4"/>
        <v/>
      </c>
      <c r="AC535" s="102" t="str">
        <f t="array" ref="AC535">_xlfn.XLOOKUP(AB535,Stock1!I535,Stock1!F535,"")</f>
        <v/>
      </c>
      <c r="AD535" s="102" t="str">
        <f t="array" ref="AD535">_xlfn.XLOOKUP(AB535,Stock1!I535,Stock1!J535,"")</f>
        <v/>
      </c>
      <c r="AE535" s="102" t="str">
        <f t="array" ref="AE535">_xlfn.XLOOKUP("Storage",Stock1!B535,Stock1!I535,"")</f>
        <v/>
      </c>
      <c r="AF535" s="102" t="str">
        <f t="array" ref="AF535">_xlfn.XLOOKUP(AE535,Stock1!I535,Stock1!F535,"")</f>
        <v/>
      </c>
      <c r="AG535" s="102" t="str">
        <f t="array" ref="AG535">_xlfn.XLOOKUP(AE535,Stock1!I535,Stock1!J535,"")</f>
        <v/>
      </c>
    </row>
    <row r="536">
      <c r="K536" s="660" t="str">
        <f t="array" ref="K536">IFERROR(_xlfn.XLOOKUP(I536,Incentive!B:B,Incentive!E:E,""),"")</f>
        <v/>
      </c>
      <c r="L536" s="659" t="str">
        <f>IFERROR(VLOOKUP(I536,Stock1!F:J,5,False),"")</f>
        <v/>
      </c>
      <c r="M536" s="659" t="str">
        <f>IFERROR(VLOOKUP(I536,Stock2!F:J,5,False),"")</f>
        <v/>
      </c>
      <c r="V536" s="102" t="str">
        <f t="array" ref="V536">_xlfn.XLOOKUP("Charger",Stock1!B536,Stock1!I536,"")</f>
        <v/>
      </c>
      <c r="W536" s="102" t="str">
        <f t="array" ref="W536">_xlfn.XLOOKUP(V536,Stock1!I536,Stock1!F536,"")</f>
        <v/>
      </c>
      <c r="X536" s="102" t="str">
        <f t="array" ref="X536">_xlfn.XLOOKUP(V536,Stock1!I536,Stock1!J536,"")</f>
        <v/>
      </c>
      <c r="Y536" s="102" t="str">
        <f t="array" ref="Y536">_xlfn.XLOOKUP("Screen Protector for Android Phone and Other",Stock1!B536,Stock1!I536,"")</f>
        <v/>
      </c>
      <c r="Z536" s="102" t="str">
        <f t="array" ref="Z536">_xlfn.XLOOKUP("Screen Protector for Galaxy Phone",Stock1!B536,Stock1!I536,"")</f>
        <v/>
      </c>
      <c r="AA536" s="102" t="str">
        <f t="array" ref="AA536">_xlfn.XLOOKUP("Screen Protector for Galaxy Tab",Stock1!B536,Stock1!I536,"")</f>
        <v/>
      </c>
      <c r="AB536" s="102" t="str">
        <f t="shared" si="4"/>
        <v/>
      </c>
      <c r="AC536" s="102" t="str">
        <f t="array" ref="AC536">_xlfn.XLOOKUP(AB536,Stock1!I536,Stock1!F536,"")</f>
        <v/>
      </c>
      <c r="AD536" s="102" t="str">
        <f t="array" ref="AD536">_xlfn.XLOOKUP(AB536,Stock1!I536,Stock1!J536,"")</f>
        <v/>
      </c>
      <c r="AE536" s="102" t="str">
        <f t="array" ref="AE536">_xlfn.XLOOKUP("Storage",Stock1!B536,Stock1!I536,"")</f>
        <v/>
      </c>
      <c r="AF536" s="102" t="str">
        <f t="array" ref="AF536">_xlfn.XLOOKUP(AE536,Stock1!I536,Stock1!F536,"")</f>
        <v/>
      </c>
      <c r="AG536" s="102" t="str">
        <f t="array" ref="AG536">_xlfn.XLOOKUP(AE536,Stock1!I536,Stock1!J536,"")</f>
        <v/>
      </c>
    </row>
    <row r="537">
      <c r="K537" s="660" t="str">
        <f t="array" ref="K537">IFERROR(_xlfn.XLOOKUP(I537,Incentive!B:B,Incentive!E:E,""),"")</f>
        <v/>
      </c>
      <c r="L537" s="659" t="str">
        <f>IFERROR(VLOOKUP(I537,Stock1!F:J,5,False),"")</f>
        <v/>
      </c>
      <c r="M537" s="659" t="str">
        <f>IFERROR(VLOOKUP(I537,Stock2!F:J,5,False),"")</f>
        <v/>
      </c>
      <c r="V537" s="102" t="str">
        <f t="array" ref="V537">_xlfn.XLOOKUP("Charger",Stock1!B537,Stock1!I537,"")</f>
        <v/>
      </c>
      <c r="W537" s="102" t="str">
        <f t="array" ref="W537">_xlfn.XLOOKUP(V537,Stock1!I537,Stock1!F537,"")</f>
        <v/>
      </c>
      <c r="X537" s="102" t="str">
        <f t="array" ref="X537">_xlfn.XLOOKUP(V537,Stock1!I537,Stock1!J537,"")</f>
        <v/>
      </c>
      <c r="Y537" s="102" t="str">
        <f t="array" ref="Y537">_xlfn.XLOOKUP("Screen Protector for Android Phone and Other",Stock1!B537,Stock1!I537,"")</f>
        <v/>
      </c>
      <c r="Z537" s="102" t="str">
        <f t="array" ref="Z537">_xlfn.XLOOKUP("Screen Protector for Galaxy Phone",Stock1!B537,Stock1!I537,"")</f>
        <v/>
      </c>
      <c r="AA537" s="102" t="str">
        <f t="array" ref="AA537">_xlfn.XLOOKUP("Screen Protector for Galaxy Tab",Stock1!B537,Stock1!I537,"")</f>
        <v/>
      </c>
      <c r="AB537" s="102" t="str">
        <f t="shared" si="4"/>
        <v/>
      </c>
      <c r="AC537" s="102" t="str">
        <f t="array" ref="AC537">_xlfn.XLOOKUP(AB537,Stock1!I537,Stock1!F537,"")</f>
        <v/>
      </c>
      <c r="AD537" s="102" t="str">
        <f t="array" ref="AD537">_xlfn.XLOOKUP(AB537,Stock1!I537,Stock1!J537,"")</f>
        <v/>
      </c>
      <c r="AE537" s="102" t="str">
        <f t="array" ref="AE537">_xlfn.XLOOKUP("Storage",Stock1!B537,Stock1!I537,"")</f>
        <v/>
      </c>
      <c r="AF537" s="102" t="str">
        <f t="array" ref="AF537">_xlfn.XLOOKUP(AE537,Stock1!I537,Stock1!F537,"")</f>
        <v/>
      </c>
      <c r="AG537" s="102" t="str">
        <f t="array" ref="AG537">_xlfn.XLOOKUP(AE537,Stock1!I537,Stock1!J537,"")</f>
        <v/>
      </c>
    </row>
    <row r="538">
      <c r="K538" s="660" t="str">
        <f t="array" ref="K538">IFERROR(_xlfn.XLOOKUP(I538,Incentive!B:B,Incentive!E:E,""),"")</f>
        <v/>
      </c>
      <c r="L538" s="659" t="str">
        <f>IFERROR(VLOOKUP(I538,Stock1!F:J,5,False),"")</f>
        <v/>
      </c>
      <c r="M538" s="659" t="str">
        <f>IFERROR(VLOOKUP(I538,Stock2!F:J,5,False),"")</f>
        <v/>
      </c>
      <c r="V538" s="102" t="str">
        <f t="array" ref="V538">_xlfn.XLOOKUP("Charger",Stock1!B538,Stock1!I538,"")</f>
        <v/>
      </c>
      <c r="W538" s="102" t="str">
        <f t="array" ref="W538">_xlfn.XLOOKUP(V538,Stock1!I538,Stock1!F538,"")</f>
        <v/>
      </c>
      <c r="X538" s="102" t="str">
        <f t="array" ref="X538">_xlfn.XLOOKUP(V538,Stock1!I538,Stock1!J538,"")</f>
        <v/>
      </c>
      <c r="Y538" s="102" t="str">
        <f t="array" ref="Y538">_xlfn.XLOOKUP("Screen Protector for Android Phone and Other",Stock1!B538,Stock1!I538,"")</f>
        <v/>
      </c>
      <c r="Z538" s="102" t="str">
        <f t="array" ref="Z538">_xlfn.XLOOKUP("Screen Protector for Galaxy Phone",Stock1!B538,Stock1!I538,"")</f>
        <v/>
      </c>
      <c r="AA538" s="102" t="str">
        <f t="array" ref="AA538">_xlfn.XLOOKUP("Screen Protector for Galaxy Tab",Stock1!B538,Stock1!I538,"")</f>
        <v/>
      </c>
      <c r="AB538" s="102" t="str">
        <f t="shared" si="4"/>
        <v/>
      </c>
      <c r="AC538" s="102" t="str">
        <f t="array" ref="AC538">_xlfn.XLOOKUP(AB538,Stock1!I538,Stock1!F538,"")</f>
        <v/>
      </c>
      <c r="AD538" s="102" t="str">
        <f t="array" ref="AD538">_xlfn.XLOOKUP(AB538,Stock1!I538,Stock1!J538,"")</f>
        <v/>
      </c>
      <c r="AE538" s="102" t="str">
        <f t="array" ref="AE538">_xlfn.XLOOKUP("Storage",Stock1!B538,Stock1!I538,"")</f>
        <v/>
      </c>
      <c r="AF538" s="102" t="str">
        <f t="array" ref="AF538">_xlfn.XLOOKUP(AE538,Stock1!I538,Stock1!F538,"")</f>
        <v/>
      </c>
      <c r="AG538" s="102" t="str">
        <f t="array" ref="AG538">_xlfn.XLOOKUP(AE538,Stock1!I538,Stock1!J538,"")</f>
        <v/>
      </c>
    </row>
    <row r="539">
      <c r="K539" s="660" t="str">
        <f t="array" ref="K539">IFERROR(_xlfn.XLOOKUP(I539,Incentive!B:B,Incentive!E:E,""),"")</f>
        <v/>
      </c>
      <c r="L539" s="659" t="str">
        <f>IFERROR(VLOOKUP(I539,Stock1!F:J,5,False),"")</f>
        <v/>
      </c>
      <c r="M539" s="659" t="str">
        <f>IFERROR(VLOOKUP(I539,Stock2!F:J,5,False),"")</f>
        <v/>
      </c>
      <c r="V539" s="102" t="str">
        <f t="array" ref="V539">_xlfn.XLOOKUP("Charger",Stock1!B539,Stock1!I539,"")</f>
        <v/>
      </c>
      <c r="W539" s="102" t="str">
        <f t="array" ref="W539">_xlfn.XLOOKUP(V539,Stock1!I539,Stock1!F539,"")</f>
        <v/>
      </c>
      <c r="X539" s="102" t="str">
        <f t="array" ref="X539">_xlfn.XLOOKUP(V539,Stock1!I539,Stock1!J539,"")</f>
        <v/>
      </c>
      <c r="Y539" s="102" t="str">
        <f t="array" ref="Y539">_xlfn.XLOOKUP("Screen Protector for Android Phone and Other",Stock1!B539,Stock1!I539,"")</f>
        <v/>
      </c>
      <c r="Z539" s="102" t="str">
        <f t="array" ref="Z539">_xlfn.XLOOKUP("Screen Protector for Galaxy Phone",Stock1!B539,Stock1!I539,"")</f>
        <v/>
      </c>
      <c r="AA539" s="102" t="str">
        <f t="array" ref="AA539">_xlfn.XLOOKUP("Screen Protector for Galaxy Tab",Stock1!B539,Stock1!I539,"")</f>
        <v/>
      </c>
      <c r="AB539" s="102" t="str">
        <f t="shared" si="4"/>
        <v/>
      </c>
      <c r="AC539" s="102" t="str">
        <f t="array" ref="AC539">_xlfn.XLOOKUP(AB539,Stock1!I539,Stock1!F539,"")</f>
        <v/>
      </c>
      <c r="AD539" s="102" t="str">
        <f t="array" ref="AD539">_xlfn.XLOOKUP(AB539,Stock1!I539,Stock1!J539,"")</f>
        <v/>
      </c>
      <c r="AE539" s="102" t="str">
        <f t="array" ref="AE539">_xlfn.XLOOKUP("Storage",Stock1!B539,Stock1!I539,"")</f>
        <v/>
      </c>
      <c r="AF539" s="102" t="str">
        <f t="array" ref="AF539">_xlfn.XLOOKUP(AE539,Stock1!I539,Stock1!F539,"")</f>
        <v/>
      </c>
      <c r="AG539" s="102" t="str">
        <f t="array" ref="AG539">_xlfn.XLOOKUP(AE539,Stock1!I539,Stock1!J539,"")</f>
        <v/>
      </c>
    </row>
    <row r="540">
      <c r="K540" s="660" t="str">
        <f t="array" ref="K540">IFERROR(_xlfn.XLOOKUP(I540,Incentive!B:B,Incentive!E:E,""),"")</f>
        <v/>
      </c>
      <c r="L540" s="659" t="str">
        <f>IFERROR(VLOOKUP(I540,Stock1!F:J,5,False),"")</f>
        <v/>
      </c>
      <c r="M540" s="659" t="str">
        <f>IFERROR(VLOOKUP(I540,Stock2!F:J,5,False),"")</f>
        <v/>
      </c>
      <c r="V540" s="102" t="str">
        <f t="array" ref="V540">_xlfn.XLOOKUP("Charger",Stock1!B540,Stock1!I540,"")</f>
        <v/>
      </c>
      <c r="W540" s="102" t="str">
        <f t="array" ref="W540">_xlfn.XLOOKUP(V540,Stock1!I540,Stock1!F540,"")</f>
        <v/>
      </c>
      <c r="X540" s="102" t="str">
        <f t="array" ref="X540">_xlfn.XLOOKUP(V540,Stock1!I540,Stock1!J540,"")</f>
        <v/>
      </c>
      <c r="Y540" s="102" t="str">
        <f t="array" ref="Y540">_xlfn.XLOOKUP("Screen Protector for Android Phone and Other",Stock1!B540,Stock1!I540,"")</f>
        <v/>
      </c>
      <c r="Z540" s="102" t="str">
        <f t="array" ref="Z540">_xlfn.XLOOKUP("Screen Protector for Galaxy Phone",Stock1!B540,Stock1!I540,"")</f>
        <v/>
      </c>
      <c r="AA540" s="102" t="str">
        <f t="array" ref="AA540">_xlfn.XLOOKUP("Screen Protector for Galaxy Tab",Stock1!B540,Stock1!I540,"")</f>
        <v/>
      </c>
      <c r="AB540" s="102" t="str">
        <f t="shared" si="4"/>
        <v/>
      </c>
      <c r="AC540" s="102" t="str">
        <f t="array" ref="AC540">_xlfn.XLOOKUP(AB540,Stock1!I540,Stock1!F540,"")</f>
        <v/>
      </c>
      <c r="AD540" s="102" t="str">
        <f t="array" ref="AD540">_xlfn.XLOOKUP(AB540,Stock1!I540,Stock1!J540,"")</f>
        <v/>
      </c>
      <c r="AE540" s="102" t="str">
        <f t="array" ref="AE540">_xlfn.XLOOKUP("Storage",Stock1!B540,Stock1!I540,"")</f>
        <v/>
      </c>
      <c r="AF540" s="102" t="str">
        <f t="array" ref="AF540">_xlfn.XLOOKUP(AE540,Stock1!I540,Stock1!F540,"")</f>
        <v/>
      </c>
      <c r="AG540" s="102" t="str">
        <f t="array" ref="AG540">_xlfn.XLOOKUP(AE540,Stock1!I540,Stock1!J540,"")</f>
        <v/>
      </c>
    </row>
    <row r="541">
      <c r="K541" s="660" t="str">
        <f t="array" ref="K541">IFERROR(_xlfn.XLOOKUP(I541,Incentive!B:B,Incentive!E:E,""),"")</f>
        <v/>
      </c>
      <c r="L541" s="659" t="str">
        <f>IFERROR(VLOOKUP(I541,Stock1!F:J,5,False),"")</f>
        <v/>
      </c>
      <c r="M541" s="659" t="str">
        <f>IFERROR(VLOOKUP(I541,Stock2!F:J,5,False),"")</f>
        <v/>
      </c>
      <c r="V541" s="102" t="str">
        <f t="array" ref="V541">_xlfn.XLOOKUP("Charger",Stock1!B541,Stock1!I541,"")</f>
        <v/>
      </c>
      <c r="W541" s="102" t="str">
        <f t="array" ref="W541">_xlfn.XLOOKUP(V541,Stock1!I541,Stock1!F541,"")</f>
        <v/>
      </c>
      <c r="X541" s="102" t="str">
        <f t="array" ref="X541">_xlfn.XLOOKUP(V541,Stock1!I541,Stock1!J541,"")</f>
        <v/>
      </c>
      <c r="Y541" s="102" t="str">
        <f t="array" ref="Y541">_xlfn.XLOOKUP("Screen Protector for Android Phone and Other",Stock1!B541,Stock1!I541,"")</f>
        <v/>
      </c>
      <c r="Z541" s="102" t="str">
        <f t="array" ref="Z541">_xlfn.XLOOKUP("Screen Protector for Galaxy Phone",Stock1!B541,Stock1!I541,"")</f>
        <v/>
      </c>
      <c r="AA541" s="102" t="str">
        <f t="array" ref="AA541">_xlfn.XLOOKUP("Screen Protector for Galaxy Tab",Stock1!B541,Stock1!I541,"")</f>
        <v/>
      </c>
      <c r="AB541" s="102" t="str">
        <f t="shared" si="4"/>
        <v/>
      </c>
      <c r="AC541" s="102" t="str">
        <f t="array" ref="AC541">_xlfn.XLOOKUP(AB541,Stock1!I541,Stock1!F541,"")</f>
        <v/>
      </c>
      <c r="AD541" s="102" t="str">
        <f t="array" ref="AD541">_xlfn.XLOOKUP(AB541,Stock1!I541,Stock1!J541,"")</f>
        <v/>
      </c>
      <c r="AE541" s="102" t="str">
        <f t="array" ref="AE541">_xlfn.XLOOKUP("Storage",Stock1!B541,Stock1!I541,"")</f>
        <v/>
      </c>
      <c r="AF541" s="102" t="str">
        <f t="array" ref="AF541">_xlfn.XLOOKUP(AE541,Stock1!I541,Stock1!F541,"")</f>
        <v/>
      </c>
      <c r="AG541" s="102" t="str">
        <f t="array" ref="AG541">_xlfn.XLOOKUP(AE541,Stock1!I541,Stock1!J541,"")</f>
        <v/>
      </c>
    </row>
    <row r="542">
      <c r="K542" s="660" t="str">
        <f t="array" ref="K542">IFERROR(_xlfn.XLOOKUP(I542,Incentive!B:B,Incentive!E:E,""),"")</f>
        <v/>
      </c>
      <c r="L542" s="659" t="str">
        <f>IFERROR(VLOOKUP(I542,Stock1!F:J,5,False),"")</f>
        <v/>
      </c>
      <c r="M542" s="659" t="str">
        <f>IFERROR(VLOOKUP(I542,Stock2!F:J,5,False),"")</f>
        <v/>
      </c>
      <c r="V542" s="102" t="str">
        <f t="array" ref="V542">_xlfn.XLOOKUP("Charger",Stock1!B542,Stock1!I542,"")</f>
        <v/>
      </c>
      <c r="W542" s="102" t="str">
        <f t="array" ref="W542">_xlfn.XLOOKUP(V542,Stock1!I542,Stock1!F542,"")</f>
        <v/>
      </c>
      <c r="X542" s="102" t="str">
        <f t="array" ref="X542">_xlfn.XLOOKUP(V542,Stock1!I542,Stock1!J542,"")</f>
        <v/>
      </c>
      <c r="Y542" s="102" t="str">
        <f t="array" ref="Y542">_xlfn.XLOOKUP("Screen Protector for Android Phone and Other",Stock1!B542,Stock1!I542,"")</f>
        <v/>
      </c>
      <c r="Z542" s="102" t="str">
        <f t="array" ref="Z542">_xlfn.XLOOKUP("Screen Protector for Galaxy Phone",Stock1!B542,Stock1!I542,"")</f>
        <v/>
      </c>
      <c r="AA542" s="102" t="str">
        <f t="array" ref="AA542">_xlfn.XLOOKUP("Screen Protector for Galaxy Tab",Stock1!B542,Stock1!I542,"")</f>
        <v/>
      </c>
      <c r="AB542" s="102" t="str">
        <f t="shared" si="4"/>
        <v/>
      </c>
      <c r="AC542" s="102" t="str">
        <f t="array" ref="AC542">_xlfn.XLOOKUP(AB542,Stock1!I542,Stock1!F542,"")</f>
        <v/>
      </c>
      <c r="AD542" s="102" t="str">
        <f t="array" ref="AD542">_xlfn.XLOOKUP(AB542,Stock1!I542,Stock1!J542,"")</f>
        <v/>
      </c>
      <c r="AE542" s="102" t="str">
        <f t="array" ref="AE542">_xlfn.XLOOKUP("Storage",Stock1!B542,Stock1!I542,"")</f>
        <v/>
      </c>
      <c r="AF542" s="102" t="str">
        <f t="array" ref="AF542">_xlfn.XLOOKUP(AE542,Stock1!I542,Stock1!F542,"")</f>
        <v/>
      </c>
      <c r="AG542" s="102" t="str">
        <f t="array" ref="AG542">_xlfn.XLOOKUP(AE542,Stock1!I542,Stock1!J542,"")</f>
        <v/>
      </c>
    </row>
    <row r="543">
      <c r="K543" s="660" t="str">
        <f t="array" ref="K543">IFERROR(_xlfn.XLOOKUP(I543,Incentive!B:B,Incentive!E:E,""),"")</f>
        <v/>
      </c>
      <c r="L543" s="659" t="str">
        <f>IFERROR(VLOOKUP(I543,Stock1!F:J,5,False),"")</f>
        <v/>
      </c>
      <c r="M543" s="659" t="str">
        <f>IFERROR(VLOOKUP(I543,Stock2!F:J,5,False),"")</f>
        <v/>
      </c>
      <c r="V543" s="102" t="str">
        <f t="array" ref="V543">_xlfn.XLOOKUP("Charger",Stock1!B543,Stock1!I543,"")</f>
        <v/>
      </c>
      <c r="W543" s="102" t="str">
        <f t="array" ref="W543">_xlfn.XLOOKUP(V543,Stock1!I543,Stock1!F543,"")</f>
        <v/>
      </c>
      <c r="X543" s="102" t="str">
        <f t="array" ref="X543">_xlfn.XLOOKUP(V543,Stock1!I543,Stock1!J543,"")</f>
        <v/>
      </c>
      <c r="Y543" s="102" t="str">
        <f t="array" ref="Y543">_xlfn.XLOOKUP("Screen Protector for Android Phone and Other",Stock1!B543,Stock1!I543,"")</f>
        <v/>
      </c>
      <c r="Z543" s="102" t="str">
        <f t="array" ref="Z543">_xlfn.XLOOKUP("Screen Protector for Galaxy Phone",Stock1!B543,Stock1!I543,"")</f>
        <v/>
      </c>
      <c r="AA543" s="102" t="str">
        <f t="array" ref="AA543">_xlfn.XLOOKUP("Screen Protector for Galaxy Tab",Stock1!B543,Stock1!I543,"")</f>
        <v/>
      </c>
      <c r="AB543" s="102" t="str">
        <f t="shared" si="4"/>
        <v/>
      </c>
      <c r="AC543" s="102" t="str">
        <f t="array" ref="AC543">_xlfn.XLOOKUP(AB543,Stock1!I543,Stock1!F543,"")</f>
        <v/>
      </c>
      <c r="AD543" s="102" t="str">
        <f t="array" ref="AD543">_xlfn.XLOOKUP(AB543,Stock1!I543,Stock1!J543,"")</f>
        <v/>
      </c>
      <c r="AE543" s="102" t="str">
        <f t="array" ref="AE543">_xlfn.XLOOKUP("Storage",Stock1!B543,Stock1!I543,"")</f>
        <v/>
      </c>
      <c r="AF543" s="102" t="str">
        <f t="array" ref="AF543">_xlfn.XLOOKUP(AE543,Stock1!I543,Stock1!F543,"")</f>
        <v/>
      </c>
      <c r="AG543" s="102" t="str">
        <f t="array" ref="AG543">_xlfn.XLOOKUP(AE543,Stock1!I543,Stock1!J543,"")</f>
        <v/>
      </c>
    </row>
    <row r="544">
      <c r="K544" s="660" t="str">
        <f t="array" ref="K544">IFERROR(_xlfn.XLOOKUP(I544,Incentive!B:B,Incentive!E:E,""),"")</f>
        <v/>
      </c>
      <c r="L544" s="659" t="str">
        <f>IFERROR(VLOOKUP(I544,Stock1!F:J,5,False),"")</f>
        <v/>
      </c>
      <c r="M544" s="659" t="str">
        <f>IFERROR(VLOOKUP(I544,Stock2!F:J,5,False),"")</f>
        <v/>
      </c>
      <c r="V544" s="102" t="str">
        <f t="array" ref="V544">_xlfn.XLOOKUP("Charger",Stock1!B544,Stock1!I544,"")</f>
        <v/>
      </c>
      <c r="W544" s="102" t="str">
        <f t="array" ref="W544">_xlfn.XLOOKUP(V544,Stock1!I544,Stock1!F544,"")</f>
        <v/>
      </c>
      <c r="X544" s="102" t="str">
        <f t="array" ref="X544">_xlfn.XLOOKUP(V544,Stock1!I544,Stock1!J544,"")</f>
        <v/>
      </c>
      <c r="Y544" s="102" t="str">
        <f t="array" ref="Y544">_xlfn.XLOOKUP("Screen Protector for Android Phone and Other",Stock1!B544,Stock1!I544,"")</f>
        <v/>
      </c>
      <c r="Z544" s="102" t="str">
        <f t="array" ref="Z544">_xlfn.XLOOKUP("Screen Protector for Galaxy Phone",Stock1!B544,Stock1!I544,"")</f>
        <v/>
      </c>
      <c r="AA544" s="102" t="str">
        <f t="array" ref="AA544">_xlfn.XLOOKUP("Screen Protector for Galaxy Tab",Stock1!B544,Stock1!I544,"")</f>
        <v/>
      </c>
      <c r="AB544" s="102" t="str">
        <f t="shared" si="4"/>
        <v/>
      </c>
      <c r="AC544" s="102" t="str">
        <f t="array" ref="AC544">_xlfn.XLOOKUP(AB544,Stock1!I544,Stock1!F544,"")</f>
        <v/>
      </c>
      <c r="AD544" s="102" t="str">
        <f t="array" ref="AD544">_xlfn.XLOOKUP(AB544,Stock1!I544,Stock1!J544,"")</f>
        <v/>
      </c>
      <c r="AE544" s="102" t="str">
        <f t="array" ref="AE544">_xlfn.XLOOKUP("Storage",Stock1!B544,Stock1!I544,"")</f>
        <v/>
      </c>
      <c r="AF544" s="102" t="str">
        <f t="array" ref="AF544">_xlfn.XLOOKUP(AE544,Stock1!I544,Stock1!F544,"")</f>
        <v/>
      </c>
      <c r="AG544" s="102" t="str">
        <f t="array" ref="AG544">_xlfn.XLOOKUP(AE544,Stock1!I544,Stock1!J544,"")</f>
        <v/>
      </c>
    </row>
    <row r="545">
      <c r="K545" s="660" t="str">
        <f t="array" ref="K545">IFERROR(_xlfn.XLOOKUP(I545,Incentive!B:B,Incentive!E:E,""),"")</f>
        <v/>
      </c>
      <c r="L545" s="659" t="str">
        <f>IFERROR(VLOOKUP(I545,Stock1!F:J,5,False),"")</f>
        <v/>
      </c>
      <c r="M545" s="659" t="str">
        <f>IFERROR(VLOOKUP(I545,Stock2!F:J,5,False),"")</f>
        <v/>
      </c>
      <c r="V545" s="102" t="str">
        <f t="array" ref="V545">_xlfn.XLOOKUP("Charger",Stock1!B545,Stock1!I545,"")</f>
        <v/>
      </c>
      <c r="W545" s="102" t="str">
        <f t="array" ref="W545">_xlfn.XLOOKUP(V545,Stock1!I545,Stock1!F545,"")</f>
        <v/>
      </c>
      <c r="X545" s="102" t="str">
        <f t="array" ref="X545">_xlfn.XLOOKUP(V545,Stock1!I545,Stock1!J545,"")</f>
        <v/>
      </c>
      <c r="Y545" s="102" t="str">
        <f t="array" ref="Y545">_xlfn.XLOOKUP("Screen Protector for Android Phone and Other",Stock1!B545,Stock1!I545,"")</f>
        <v/>
      </c>
      <c r="Z545" s="102" t="str">
        <f t="array" ref="Z545">_xlfn.XLOOKUP("Screen Protector for Galaxy Phone",Stock1!B545,Stock1!I545,"")</f>
        <v/>
      </c>
      <c r="AA545" s="102" t="str">
        <f t="array" ref="AA545">_xlfn.XLOOKUP("Screen Protector for Galaxy Tab",Stock1!B545,Stock1!I545,"")</f>
        <v/>
      </c>
      <c r="AB545" s="102" t="str">
        <f t="shared" si="4"/>
        <v/>
      </c>
      <c r="AC545" s="102" t="str">
        <f t="array" ref="AC545">_xlfn.XLOOKUP(AB545,Stock1!I545,Stock1!F545,"")</f>
        <v/>
      </c>
      <c r="AD545" s="102" t="str">
        <f t="array" ref="AD545">_xlfn.XLOOKUP(AB545,Stock1!I545,Stock1!J545,"")</f>
        <v/>
      </c>
      <c r="AE545" s="102" t="str">
        <f t="array" ref="AE545">_xlfn.XLOOKUP("Storage",Stock1!B545,Stock1!I545,"")</f>
        <v/>
      </c>
      <c r="AF545" s="102" t="str">
        <f t="array" ref="AF545">_xlfn.XLOOKUP(AE545,Stock1!I545,Stock1!F545,"")</f>
        <v/>
      </c>
      <c r="AG545" s="102" t="str">
        <f t="array" ref="AG545">_xlfn.XLOOKUP(AE545,Stock1!I545,Stock1!J545,"")</f>
        <v/>
      </c>
    </row>
    <row r="546">
      <c r="K546" s="660" t="str">
        <f t="array" ref="K546">IFERROR(_xlfn.XLOOKUP(I546,Incentive!B:B,Incentive!E:E,""),"")</f>
        <v/>
      </c>
      <c r="L546" s="659" t="str">
        <f>IFERROR(VLOOKUP(I546,Stock1!F:J,5,False),"")</f>
        <v/>
      </c>
      <c r="M546" s="659" t="str">
        <f>IFERROR(VLOOKUP(I546,Stock2!F:J,5,False),"")</f>
        <v/>
      </c>
      <c r="V546" s="102" t="str">
        <f t="array" ref="V546">_xlfn.XLOOKUP("Charger",Stock1!B546,Stock1!I546,"")</f>
        <v/>
      </c>
      <c r="W546" s="102" t="str">
        <f t="array" ref="W546">_xlfn.XLOOKUP(V546,Stock1!I546,Stock1!F546,"")</f>
        <v/>
      </c>
      <c r="X546" s="102" t="str">
        <f t="array" ref="X546">_xlfn.XLOOKUP(V546,Stock1!I546,Stock1!J546,"")</f>
        <v/>
      </c>
      <c r="Y546" s="102" t="str">
        <f t="array" ref="Y546">_xlfn.XLOOKUP("Screen Protector for Android Phone and Other",Stock1!B546,Stock1!I546,"")</f>
        <v/>
      </c>
      <c r="Z546" s="102" t="str">
        <f t="array" ref="Z546">_xlfn.XLOOKUP("Screen Protector for Galaxy Phone",Stock1!B546,Stock1!I546,"")</f>
        <v/>
      </c>
      <c r="AA546" s="102" t="str">
        <f t="array" ref="AA546">_xlfn.XLOOKUP("Screen Protector for Galaxy Tab",Stock1!B546,Stock1!I546,"")</f>
        <v/>
      </c>
      <c r="AB546" s="102" t="str">
        <f t="shared" si="4"/>
        <v/>
      </c>
      <c r="AC546" s="102" t="str">
        <f t="array" ref="AC546">_xlfn.XLOOKUP(AB546,Stock1!I546,Stock1!F546,"")</f>
        <v/>
      </c>
      <c r="AD546" s="102" t="str">
        <f t="array" ref="AD546">_xlfn.XLOOKUP(AB546,Stock1!I546,Stock1!J546,"")</f>
        <v/>
      </c>
      <c r="AE546" s="102" t="str">
        <f t="array" ref="AE546">_xlfn.XLOOKUP("Storage",Stock1!B546,Stock1!I546,"")</f>
        <v/>
      </c>
      <c r="AF546" s="102" t="str">
        <f t="array" ref="AF546">_xlfn.XLOOKUP(AE546,Stock1!I546,Stock1!F546,"")</f>
        <v/>
      </c>
      <c r="AG546" s="102" t="str">
        <f t="array" ref="AG546">_xlfn.XLOOKUP(AE546,Stock1!I546,Stock1!J546,"")</f>
        <v/>
      </c>
    </row>
    <row r="547">
      <c r="K547" s="660" t="str">
        <f t="array" ref="K547">IFERROR(_xlfn.XLOOKUP(I547,Incentive!B:B,Incentive!E:E,""),"")</f>
        <v/>
      </c>
      <c r="L547" s="659" t="str">
        <f>IFERROR(VLOOKUP(I547,Stock1!F:J,5,False),"")</f>
        <v/>
      </c>
      <c r="M547" s="659" t="str">
        <f>IFERROR(VLOOKUP(I547,Stock2!F:J,5,False),"")</f>
        <v/>
      </c>
      <c r="V547" s="102" t="str">
        <f t="array" ref="V547">_xlfn.XLOOKUP("Charger",Stock1!B547,Stock1!I547,"")</f>
        <v/>
      </c>
      <c r="W547" s="102" t="str">
        <f t="array" ref="W547">_xlfn.XLOOKUP(V547,Stock1!I547,Stock1!F547,"")</f>
        <v/>
      </c>
      <c r="X547" s="102" t="str">
        <f t="array" ref="X547">_xlfn.XLOOKUP(V547,Stock1!I547,Stock1!J547,"")</f>
        <v/>
      </c>
      <c r="Y547" s="102" t="str">
        <f t="array" ref="Y547">_xlfn.XLOOKUP("Screen Protector for Android Phone and Other",Stock1!B547,Stock1!I547,"")</f>
        <v/>
      </c>
      <c r="Z547" s="102" t="str">
        <f t="array" ref="Z547">_xlfn.XLOOKUP("Screen Protector for Galaxy Phone",Stock1!B547,Stock1!I547,"")</f>
        <v/>
      </c>
      <c r="AA547" s="102" t="str">
        <f t="array" ref="AA547">_xlfn.XLOOKUP("Screen Protector for Galaxy Tab",Stock1!B547,Stock1!I547,"")</f>
        <v/>
      </c>
      <c r="AB547" s="102" t="str">
        <f t="shared" si="4"/>
        <v/>
      </c>
      <c r="AC547" s="102" t="str">
        <f t="array" ref="AC547">_xlfn.XLOOKUP(AB547,Stock1!I547,Stock1!F547,"")</f>
        <v/>
      </c>
      <c r="AD547" s="102" t="str">
        <f t="array" ref="AD547">_xlfn.XLOOKUP(AB547,Stock1!I547,Stock1!J547,"")</f>
        <v/>
      </c>
      <c r="AE547" s="102" t="str">
        <f t="array" ref="AE547">_xlfn.XLOOKUP("Storage",Stock1!B547,Stock1!I547,"")</f>
        <v/>
      </c>
      <c r="AF547" s="102" t="str">
        <f t="array" ref="AF547">_xlfn.XLOOKUP(AE547,Stock1!I547,Stock1!F547,"")</f>
        <v/>
      </c>
      <c r="AG547" s="102" t="str">
        <f t="array" ref="AG547">_xlfn.XLOOKUP(AE547,Stock1!I547,Stock1!J547,"")</f>
        <v/>
      </c>
    </row>
    <row r="548">
      <c r="K548" s="660" t="str">
        <f t="array" ref="K548">IFERROR(_xlfn.XLOOKUP(I548,Incentive!B:B,Incentive!E:E,""),"")</f>
        <v/>
      </c>
      <c r="L548" s="659" t="str">
        <f>IFERROR(VLOOKUP(I548,Stock1!F:J,5,False),"")</f>
        <v/>
      </c>
      <c r="M548" s="659" t="str">
        <f>IFERROR(VLOOKUP(I548,Stock2!F:J,5,False),"")</f>
        <v/>
      </c>
      <c r="V548" s="102" t="str">
        <f t="array" ref="V548">_xlfn.XLOOKUP("Charger",Stock1!B548,Stock1!I548,"")</f>
        <v/>
      </c>
      <c r="W548" s="102" t="str">
        <f t="array" ref="W548">_xlfn.XLOOKUP(V548,Stock1!I548,Stock1!F548,"")</f>
        <v/>
      </c>
      <c r="X548" s="102" t="str">
        <f t="array" ref="X548">_xlfn.XLOOKUP(V548,Stock1!I548,Stock1!J548,"")</f>
        <v/>
      </c>
      <c r="Y548" s="102" t="str">
        <f t="array" ref="Y548">_xlfn.XLOOKUP("Screen Protector for Android Phone and Other",Stock1!B548,Stock1!I548,"")</f>
        <v/>
      </c>
      <c r="Z548" s="102" t="str">
        <f t="array" ref="Z548">_xlfn.XLOOKUP("Screen Protector for Galaxy Phone",Stock1!B548,Stock1!I548,"")</f>
        <v/>
      </c>
      <c r="AA548" s="102" t="str">
        <f t="array" ref="AA548">_xlfn.XLOOKUP("Screen Protector for Galaxy Tab",Stock1!B548,Stock1!I548,"")</f>
        <v/>
      </c>
      <c r="AB548" s="102" t="str">
        <f t="shared" si="4"/>
        <v/>
      </c>
      <c r="AC548" s="102" t="str">
        <f t="array" ref="AC548">_xlfn.XLOOKUP(AB548,Stock1!I548,Stock1!F548,"")</f>
        <v/>
      </c>
      <c r="AD548" s="102" t="str">
        <f t="array" ref="AD548">_xlfn.XLOOKUP(AB548,Stock1!I548,Stock1!J548,"")</f>
        <v/>
      </c>
      <c r="AE548" s="102" t="str">
        <f t="array" ref="AE548">_xlfn.XLOOKUP("Storage",Stock1!B548,Stock1!I548,"")</f>
        <v/>
      </c>
      <c r="AF548" s="102" t="str">
        <f t="array" ref="AF548">_xlfn.XLOOKUP(AE548,Stock1!I548,Stock1!F548,"")</f>
        <v/>
      </c>
      <c r="AG548" s="102" t="str">
        <f t="array" ref="AG548">_xlfn.XLOOKUP(AE548,Stock1!I548,Stock1!J548,"")</f>
        <v/>
      </c>
    </row>
    <row r="549">
      <c r="K549" s="660" t="str">
        <f t="array" ref="K549">IFERROR(_xlfn.XLOOKUP(I549,Incentive!B:B,Incentive!E:E,""),"")</f>
        <v/>
      </c>
      <c r="L549" s="659" t="str">
        <f>IFERROR(VLOOKUP(I549,Stock1!F:J,5,False),"")</f>
        <v/>
      </c>
      <c r="M549" s="659" t="str">
        <f>IFERROR(VLOOKUP(I549,Stock2!F:J,5,False),"")</f>
        <v/>
      </c>
      <c r="V549" s="102" t="str">
        <f t="array" ref="V549">_xlfn.XLOOKUP("Charger",Stock1!B549,Stock1!I549,"")</f>
        <v/>
      </c>
      <c r="W549" s="102" t="str">
        <f t="array" ref="W549">_xlfn.XLOOKUP(V549,Stock1!I549,Stock1!F549,"")</f>
        <v/>
      </c>
      <c r="X549" s="102" t="str">
        <f t="array" ref="X549">_xlfn.XLOOKUP(V549,Stock1!I549,Stock1!J549,"")</f>
        <v/>
      </c>
      <c r="Y549" s="102" t="str">
        <f t="array" ref="Y549">_xlfn.XLOOKUP("Screen Protector for Android Phone and Other",Stock1!B549,Stock1!I549,"")</f>
        <v/>
      </c>
      <c r="Z549" s="102" t="str">
        <f t="array" ref="Z549">_xlfn.XLOOKUP("Screen Protector for Galaxy Phone",Stock1!B549,Stock1!I549,"")</f>
        <v/>
      </c>
      <c r="AA549" s="102" t="str">
        <f t="array" ref="AA549">_xlfn.XLOOKUP("Screen Protector for Galaxy Tab",Stock1!B549,Stock1!I549,"")</f>
        <v/>
      </c>
      <c r="AB549" s="102" t="str">
        <f t="shared" si="4"/>
        <v/>
      </c>
      <c r="AC549" s="102" t="str">
        <f t="array" ref="AC549">_xlfn.XLOOKUP(AB549,Stock1!I549,Stock1!F549,"")</f>
        <v/>
      </c>
      <c r="AD549" s="102" t="str">
        <f t="array" ref="AD549">_xlfn.XLOOKUP(AB549,Stock1!I549,Stock1!J549,"")</f>
        <v/>
      </c>
      <c r="AE549" s="102" t="str">
        <f t="array" ref="AE549">_xlfn.XLOOKUP("Storage",Stock1!B549,Stock1!I549,"")</f>
        <v/>
      </c>
      <c r="AF549" s="102" t="str">
        <f t="array" ref="AF549">_xlfn.XLOOKUP(AE549,Stock1!I549,Stock1!F549,"")</f>
        <v/>
      </c>
      <c r="AG549" s="102" t="str">
        <f t="array" ref="AG549">_xlfn.XLOOKUP(AE549,Stock1!I549,Stock1!J549,"")</f>
        <v/>
      </c>
    </row>
    <row r="550">
      <c r="K550" s="660" t="str">
        <f t="array" ref="K550">IFERROR(_xlfn.XLOOKUP(I550,Incentive!B:B,Incentive!E:E,""),"")</f>
        <v/>
      </c>
      <c r="L550" s="659" t="str">
        <f>IFERROR(VLOOKUP(I550,Stock1!F:J,5,False),"")</f>
        <v/>
      </c>
      <c r="M550" s="659" t="str">
        <f>IFERROR(VLOOKUP(I550,Stock2!F:J,5,False),"")</f>
        <v/>
      </c>
      <c r="V550" s="102" t="str">
        <f t="array" ref="V550">_xlfn.XLOOKUP("Charger",Stock1!B550,Stock1!I550,"")</f>
        <v/>
      </c>
      <c r="W550" s="102" t="str">
        <f t="array" ref="W550">_xlfn.XLOOKUP(V550,Stock1!I550,Stock1!F550,"")</f>
        <v/>
      </c>
      <c r="X550" s="102" t="str">
        <f t="array" ref="X550">_xlfn.XLOOKUP(V550,Stock1!I550,Stock1!J550,"")</f>
        <v/>
      </c>
      <c r="Y550" s="102" t="str">
        <f t="array" ref="Y550">_xlfn.XLOOKUP("Screen Protector for Android Phone and Other",Stock1!B550,Stock1!I550,"")</f>
        <v/>
      </c>
      <c r="Z550" s="102" t="str">
        <f t="array" ref="Z550">_xlfn.XLOOKUP("Screen Protector for Galaxy Phone",Stock1!B550,Stock1!I550,"")</f>
        <v/>
      </c>
      <c r="AA550" s="102" t="str">
        <f t="array" ref="AA550">_xlfn.XLOOKUP("Screen Protector for Galaxy Tab",Stock1!B550,Stock1!I550,"")</f>
        <v/>
      </c>
      <c r="AB550" s="102" t="str">
        <f t="shared" si="4"/>
        <v/>
      </c>
      <c r="AC550" s="102" t="str">
        <f t="array" ref="AC550">_xlfn.XLOOKUP(AB550,Stock1!I550,Stock1!F550,"")</f>
        <v/>
      </c>
      <c r="AD550" s="102" t="str">
        <f t="array" ref="AD550">_xlfn.XLOOKUP(AB550,Stock1!I550,Stock1!J550,"")</f>
        <v/>
      </c>
      <c r="AE550" s="102" t="str">
        <f t="array" ref="AE550">_xlfn.XLOOKUP("Storage",Stock1!B550,Stock1!I550,"")</f>
        <v/>
      </c>
      <c r="AF550" s="102" t="str">
        <f t="array" ref="AF550">_xlfn.XLOOKUP(AE550,Stock1!I550,Stock1!F550,"")</f>
        <v/>
      </c>
      <c r="AG550" s="102" t="str">
        <f t="array" ref="AG550">_xlfn.XLOOKUP(AE550,Stock1!I550,Stock1!J550,"")</f>
        <v/>
      </c>
    </row>
    <row r="551">
      <c r="K551" s="660" t="str">
        <f t="array" ref="K551">IFERROR(_xlfn.XLOOKUP(I551,Incentive!B:B,Incentive!E:E,""),"")</f>
        <v/>
      </c>
      <c r="L551" s="659" t="str">
        <f>IFERROR(VLOOKUP(I551,Stock1!F:J,5,False),"")</f>
        <v/>
      </c>
      <c r="M551" s="659" t="str">
        <f>IFERROR(VLOOKUP(I551,Stock2!F:J,5,False),"")</f>
        <v/>
      </c>
      <c r="V551" s="102" t="str">
        <f t="array" ref="V551">_xlfn.XLOOKUP("Charger",Stock1!B551,Stock1!I551,"")</f>
        <v/>
      </c>
      <c r="W551" s="102" t="str">
        <f t="array" ref="W551">_xlfn.XLOOKUP(V551,Stock1!I551,Stock1!F551,"")</f>
        <v/>
      </c>
      <c r="X551" s="102" t="str">
        <f t="array" ref="X551">_xlfn.XLOOKUP(V551,Stock1!I551,Stock1!J551,"")</f>
        <v/>
      </c>
      <c r="Y551" s="102" t="str">
        <f t="array" ref="Y551">_xlfn.XLOOKUP("Screen Protector for Android Phone and Other",Stock1!B551,Stock1!I551,"")</f>
        <v/>
      </c>
      <c r="Z551" s="102" t="str">
        <f t="array" ref="Z551">_xlfn.XLOOKUP("Screen Protector for Galaxy Phone",Stock1!B551,Stock1!I551,"")</f>
        <v/>
      </c>
      <c r="AA551" s="102" t="str">
        <f t="array" ref="AA551">_xlfn.XLOOKUP("Screen Protector for Galaxy Tab",Stock1!B551,Stock1!I551,"")</f>
        <v/>
      </c>
      <c r="AB551" s="102" t="str">
        <f t="shared" si="4"/>
        <v/>
      </c>
      <c r="AC551" s="102" t="str">
        <f t="array" ref="AC551">_xlfn.XLOOKUP(AB551,Stock1!I551,Stock1!F551,"")</f>
        <v/>
      </c>
      <c r="AD551" s="102" t="str">
        <f t="array" ref="AD551">_xlfn.XLOOKUP(AB551,Stock1!I551,Stock1!J551,"")</f>
        <v/>
      </c>
      <c r="AE551" s="102" t="str">
        <f t="array" ref="AE551">_xlfn.XLOOKUP("Storage",Stock1!B551,Stock1!I551,"")</f>
        <v/>
      </c>
      <c r="AF551" s="102" t="str">
        <f t="array" ref="AF551">_xlfn.XLOOKUP(AE551,Stock1!I551,Stock1!F551,"")</f>
        <v/>
      </c>
      <c r="AG551" s="102" t="str">
        <f t="array" ref="AG551">_xlfn.XLOOKUP(AE551,Stock1!I551,Stock1!J551,"")</f>
        <v/>
      </c>
    </row>
    <row r="552">
      <c r="K552" s="660" t="str">
        <f t="array" ref="K552">IFERROR(_xlfn.XLOOKUP(I552,Incentive!B:B,Incentive!E:E,""),"")</f>
        <v/>
      </c>
      <c r="L552" s="659" t="str">
        <f>IFERROR(VLOOKUP(I552,Stock1!F:J,5,False),"")</f>
        <v/>
      </c>
      <c r="M552" s="659" t="str">
        <f>IFERROR(VLOOKUP(I552,Stock2!F:J,5,False),"")</f>
        <v/>
      </c>
      <c r="V552" s="102" t="str">
        <f t="array" ref="V552">_xlfn.XLOOKUP("Charger",Stock1!B552,Stock1!I552,"")</f>
        <v/>
      </c>
      <c r="W552" s="102" t="str">
        <f t="array" ref="W552">_xlfn.XLOOKUP(V552,Stock1!I552,Stock1!F552,"")</f>
        <v/>
      </c>
      <c r="X552" s="102" t="str">
        <f t="array" ref="X552">_xlfn.XLOOKUP(V552,Stock1!I552,Stock1!J552,"")</f>
        <v/>
      </c>
      <c r="Y552" s="102" t="str">
        <f t="array" ref="Y552">_xlfn.XLOOKUP("Screen Protector for Android Phone and Other",Stock1!B552,Stock1!I552,"")</f>
        <v/>
      </c>
      <c r="Z552" s="102" t="str">
        <f t="array" ref="Z552">_xlfn.XLOOKUP("Screen Protector for Galaxy Phone",Stock1!B552,Stock1!I552,"")</f>
        <v/>
      </c>
      <c r="AA552" s="102" t="str">
        <f t="array" ref="AA552">_xlfn.XLOOKUP("Screen Protector for Galaxy Tab",Stock1!B552,Stock1!I552,"")</f>
        <v/>
      </c>
      <c r="AB552" s="102" t="str">
        <f t="shared" si="4"/>
        <v/>
      </c>
      <c r="AC552" s="102" t="str">
        <f t="array" ref="AC552">_xlfn.XLOOKUP(AB552,Stock1!I552,Stock1!F552,"")</f>
        <v/>
      </c>
      <c r="AD552" s="102" t="str">
        <f t="array" ref="AD552">_xlfn.XLOOKUP(AB552,Stock1!I552,Stock1!J552,"")</f>
        <v/>
      </c>
      <c r="AE552" s="102" t="str">
        <f t="array" ref="AE552">_xlfn.XLOOKUP("Storage",Stock1!B552,Stock1!I552,"")</f>
        <v/>
      </c>
      <c r="AF552" s="102" t="str">
        <f t="array" ref="AF552">_xlfn.XLOOKUP(AE552,Stock1!I552,Stock1!F552,"")</f>
        <v/>
      </c>
      <c r="AG552" s="102" t="str">
        <f t="array" ref="AG552">_xlfn.XLOOKUP(AE552,Stock1!I552,Stock1!J552,"")</f>
        <v/>
      </c>
    </row>
    <row r="553">
      <c r="K553" s="660" t="str">
        <f t="array" ref="K553">IFERROR(_xlfn.XLOOKUP(I553,Incentive!B:B,Incentive!E:E,""),"")</f>
        <v/>
      </c>
      <c r="L553" s="659" t="str">
        <f>IFERROR(VLOOKUP(I553,Stock1!F:J,5,False),"")</f>
        <v/>
      </c>
      <c r="M553" s="659" t="str">
        <f>IFERROR(VLOOKUP(I553,Stock2!F:J,5,False),"")</f>
        <v/>
      </c>
      <c r="V553" s="102" t="str">
        <f t="array" ref="V553">_xlfn.XLOOKUP("Charger",Stock1!B553,Stock1!I553,"")</f>
        <v/>
      </c>
      <c r="W553" s="102" t="str">
        <f t="array" ref="W553">_xlfn.XLOOKUP(V553,Stock1!I553,Stock1!F553,"")</f>
        <v/>
      </c>
      <c r="X553" s="102" t="str">
        <f t="array" ref="X553">_xlfn.XLOOKUP(V553,Stock1!I553,Stock1!J553,"")</f>
        <v/>
      </c>
      <c r="Y553" s="102" t="str">
        <f t="array" ref="Y553">_xlfn.XLOOKUP("Screen Protector for Android Phone and Other",Stock1!B553,Stock1!I553,"")</f>
        <v/>
      </c>
      <c r="Z553" s="102" t="str">
        <f t="array" ref="Z553">_xlfn.XLOOKUP("Screen Protector for Galaxy Phone",Stock1!B553,Stock1!I553,"")</f>
        <v/>
      </c>
      <c r="AA553" s="102" t="str">
        <f t="array" ref="AA553">_xlfn.XLOOKUP("Screen Protector for Galaxy Tab",Stock1!B553,Stock1!I553,"")</f>
        <v/>
      </c>
      <c r="AB553" s="102" t="str">
        <f t="shared" si="4"/>
        <v/>
      </c>
      <c r="AC553" s="102" t="str">
        <f t="array" ref="AC553">_xlfn.XLOOKUP(AB553,Stock1!I553,Stock1!F553,"")</f>
        <v/>
      </c>
      <c r="AD553" s="102" t="str">
        <f t="array" ref="AD553">_xlfn.XLOOKUP(AB553,Stock1!I553,Stock1!J553,"")</f>
        <v/>
      </c>
      <c r="AE553" s="102" t="str">
        <f t="array" ref="AE553">_xlfn.XLOOKUP("Storage",Stock1!B553,Stock1!I553,"")</f>
        <v/>
      </c>
      <c r="AF553" s="102" t="str">
        <f t="array" ref="AF553">_xlfn.XLOOKUP(AE553,Stock1!I553,Stock1!F553,"")</f>
        <v/>
      </c>
      <c r="AG553" s="102" t="str">
        <f t="array" ref="AG553">_xlfn.XLOOKUP(AE553,Stock1!I553,Stock1!J553,"")</f>
        <v/>
      </c>
    </row>
    <row r="554">
      <c r="K554" s="660" t="str">
        <f t="array" ref="K554">IFERROR(_xlfn.XLOOKUP(I554,Incentive!B:B,Incentive!E:E,""),"")</f>
        <v/>
      </c>
      <c r="L554" s="659" t="str">
        <f>IFERROR(VLOOKUP(I554,Stock1!F:J,5,False),"")</f>
        <v/>
      </c>
      <c r="M554" s="659" t="str">
        <f>IFERROR(VLOOKUP(I554,Stock2!F:J,5,False),"")</f>
        <v/>
      </c>
      <c r="V554" s="102" t="str">
        <f t="array" ref="V554">_xlfn.XLOOKUP("Charger",Stock1!B554,Stock1!I554,"")</f>
        <v/>
      </c>
      <c r="W554" s="102" t="str">
        <f t="array" ref="W554">_xlfn.XLOOKUP(V554,Stock1!I554,Stock1!F554,"")</f>
        <v/>
      </c>
      <c r="X554" s="102" t="str">
        <f t="array" ref="X554">_xlfn.XLOOKUP(V554,Stock1!I554,Stock1!J554,"")</f>
        <v/>
      </c>
      <c r="Y554" s="102" t="str">
        <f t="array" ref="Y554">_xlfn.XLOOKUP("Screen Protector for Android Phone and Other",Stock1!B554,Stock1!I554,"")</f>
        <v/>
      </c>
      <c r="Z554" s="102" t="str">
        <f t="array" ref="Z554">_xlfn.XLOOKUP("Screen Protector for Galaxy Phone",Stock1!B554,Stock1!I554,"")</f>
        <v/>
      </c>
      <c r="AA554" s="102" t="str">
        <f t="array" ref="AA554">_xlfn.XLOOKUP("Screen Protector for Galaxy Tab",Stock1!B554,Stock1!I554,"")</f>
        <v/>
      </c>
      <c r="AB554" s="102" t="str">
        <f t="shared" si="4"/>
        <v/>
      </c>
      <c r="AC554" s="102" t="str">
        <f t="array" ref="AC554">_xlfn.XLOOKUP(AB554,Stock1!I554,Stock1!F554,"")</f>
        <v/>
      </c>
      <c r="AD554" s="102" t="str">
        <f t="array" ref="AD554">_xlfn.XLOOKUP(AB554,Stock1!I554,Stock1!J554,"")</f>
        <v/>
      </c>
      <c r="AE554" s="102" t="str">
        <f t="array" ref="AE554">_xlfn.XLOOKUP("Storage",Stock1!B554,Stock1!I554,"")</f>
        <v/>
      </c>
      <c r="AF554" s="102" t="str">
        <f t="array" ref="AF554">_xlfn.XLOOKUP(AE554,Stock1!I554,Stock1!F554,"")</f>
        <v/>
      </c>
      <c r="AG554" s="102" t="str">
        <f t="array" ref="AG554">_xlfn.XLOOKUP(AE554,Stock1!I554,Stock1!J554,"")</f>
        <v/>
      </c>
    </row>
    <row r="555">
      <c r="K555" s="660" t="str">
        <f t="array" ref="K555">IFERROR(_xlfn.XLOOKUP(I555,Incentive!B:B,Incentive!E:E,""),"")</f>
        <v/>
      </c>
      <c r="L555" s="659" t="str">
        <f>IFERROR(VLOOKUP(I555,Stock1!F:J,5,False),"")</f>
        <v/>
      </c>
      <c r="M555" s="659" t="str">
        <f>IFERROR(VLOOKUP(I555,Stock2!F:J,5,False),"")</f>
        <v/>
      </c>
      <c r="V555" s="102" t="str">
        <f t="array" ref="V555">_xlfn.XLOOKUP("Charger",Stock1!B555,Stock1!I555,"")</f>
        <v/>
      </c>
      <c r="W555" s="102" t="str">
        <f t="array" ref="W555">_xlfn.XLOOKUP(V555,Stock1!I555,Stock1!F555,"")</f>
        <v/>
      </c>
      <c r="X555" s="102" t="str">
        <f t="array" ref="X555">_xlfn.XLOOKUP(V555,Stock1!I555,Stock1!J555,"")</f>
        <v/>
      </c>
      <c r="Y555" s="102" t="str">
        <f t="array" ref="Y555">_xlfn.XLOOKUP("Screen Protector for Android Phone and Other",Stock1!B555,Stock1!I555,"")</f>
        <v/>
      </c>
      <c r="Z555" s="102" t="str">
        <f t="array" ref="Z555">_xlfn.XLOOKUP("Screen Protector for Galaxy Phone",Stock1!B555,Stock1!I555,"")</f>
        <v/>
      </c>
      <c r="AA555" s="102" t="str">
        <f t="array" ref="AA555">_xlfn.XLOOKUP("Screen Protector for Galaxy Tab",Stock1!B555,Stock1!I555,"")</f>
        <v/>
      </c>
      <c r="AB555" s="102" t="str">
        <f t="shared" si="4"/>
        <v/>
      </c>
      <c r="AC555" s="102" t="str">
        <f t="array" ref="AC555">_xlfn.XLOOKUP(AB555,Stock1!I555,Stock1!F555,"")</f>
        <v/>
      </c>
      <c r="AD555" s="102" t="str">
        <f t="array" ref="AD555">_xlfn.XLOOKUP(AB555,Stock1!I555,Stock1!J555,"")</f>
        <v/>
      </c>
      <c r="AE555" s="102" t="str">
        <f t="array" ref="AE555">_xlfn.XLOOKUP("Storage",Stock1!B555,Stock1!I555,"")</f>
        <v/>
      </c>
      <c r="AF555" s="102" t="str">
        <f t="array" ref="AF555">_xlfn.XLOOKUP(AE555,Stock1!I555,Stock1!F555,"")</f>
        <v/>
      </c>
      <c r="AG555" s="102" t="str">
        <f t="array" ref="AG555">_xlfn.XLOOKUP(AE555,Stock1!I555,Stock1!J555,"")</f>
        <v/>
      </c>
    </row>
    <row r="556">
      <c r="K556" s="660" t="str">
        <f t="array" ref="K556">IFERROR(_xlfn.XLOOKUP(I556,Incentive!B:B,Incentive!E:E,""),"")</f>
        <v/>
      </c>
      <c r="L556" s="659" t="str">
        <f>IFERROR(VLOOKUP(I556,Stock1!F:J,5,False),"")</f>
        <v/>
      </c>
      <c r="M556" s="659" t="str">
        <f>IFERROR(VLOOKUP(I556,Stock2!F:J,5,False),"")</f>
        <v/>
      </c>
      <c r="V556" s="102" t="str">
        <f t="array" ref="V556">_xlfn.XLOOKUP("Charger",Stock1!B556,Stock1!I556,"")</f>
        <v/>
      </c>
      <c r="W556" s="102" t="str">
        <f t="array" ref="W556">_xlfn.XLOOKUP(V556,Stock1!I556,Stock1!F556,"")</f>
        <v/>
      </c>
      <c r="X556" s="102" t="str">
        <f t="array" ref="X556">_xlfn.XLOOKUP(V556,Stock1!I556,Stock1!J556,"")</f>
        <v/>
      </c>
      <c r="Y556" s="102" t="str">
        <f t="array" ref="Y556">_xlfn.XLOOKUP("Screen Protector for Android Phone and Other",Stock1!B556,Stock1!I556,"")</f>
        <v/>
      </c>
      <c r="Z556" s="102" t="str">
        <f t="array" ref="Z556">_xlfn.XLOOKUP("Screen Protector for Galaxy Phone",Stock1!B556,Stock1!I556,"")</f>
        <v/>
      </c>
      <c r="AA556" s="102" t="str">
        <f t="array" ref="AA556">_xlfn.XLOOKUP("Screen Protector for Galaxy Tab",Stock1!B556,Stock1!I556,"")</f>
        <v/>
      </c>
      <c r="AB556" s="102" t="str">
        <f t="shared" si="4"/>
        <v/>
      </c>
      <c r="AC556" s="102" t="str">
        <f t="array" ref="AC556">_xlfn.XLOOKUP(AB556,Stock1!I556,Stock1!F556,"")</f>
        <v/>
      </c>
      <c r="AD556" s="102" t="str">
        <f t="array" ref="AD556">_xlfn.XLOOKUP(AB556,Stock1!I556,Stock1!J556,"")</f>
        <v/>
      </c>
      <c r="AE556" s="102" t="str">
        <f t="array" ref="AE556">_xlfn.XLOOKUP("Storage",Stock1!B556,Stock1!I556,"")</f>
        <v/>
      </c>
      <c r="AF556" s="102" t="str">
        <f t="array" ref="AF556">_xlfn.XLOOKUP(AE556,Stock1!I556,Stock1!F556,"")</f>
        <v/>
      </c>
      <c r="AG556" s="102" t="str">
        <f t="array" ref="AG556">_xlfn.XLOOKUP(AE556,Stock1!I556,Stock1!J556,"")</f>
        <v/>
      </c>
    </row>
    <row r="557">
      <c r="K557" s="660" t="str">
        <f t="array" ref="K557">IFERROR(_xlfn.XLOOKUP(I557,Incentive!B:B,Incentive!E:E,""),"")</f>
        <v/>
      </c>
      <c r="L557" s="659" t="str">
        <f>IFERROR(VLOOKUP(I557,Stock1!F:J,5,False),"")</f>
        <v/>
      </c>
      <c r="M557" s="659" t="str">
        <f>IFERROR(VLOOKUP(I557,Stock2!F:J,5,False),"")</f>
        <v/>
      </c>
      <c r="V557" s="102" t="str">
        <f t="array" ref="V557">_xlfn.XLOOKUP("Charger",Stock1!B557,Stock1!I557,"")</f>
        <v/>
      </c>
      <c r="W557" s="102" t="str">
        <f t="array" ref="W557">_xlfn.XLOOKUP(V557,Stock1!I557,Stock1!F557,"")</f>
        <v/>
      </c>
      <c r="X557" s="102" t="str">
        <f t="array" ref="X557">_xlfn.XLOOKUP(V557,Stock1!I557,Stock1!J557,"")</f>
        <v/>
      </c>
      <c r="Y557" s="102" t="str">
        <f t="array" ref="Y557">_xlfn.XLOOKUP("Screen Protector for Android Phone and Other",Stock1!B557,Stock1!I557,"")</f>
        <v/>
      </c>
      <c r="Z557" s="102" t="str">
        <f t="array" ref="Z557">_xlfn.XLOOKUP("Screen Protector for Galaxy Phone",Stock1!B557,Stock1!I557,"")</f>
        <v/>
      </c>
      <c r="AA557" s="102" t="str">
        <f t="array" ref="AA557">_xlfn.XLOOKUP("Screen Protector for Galaxy Tab",Stock1!B557,Stock1!I557,"")</f>
        <v/>
      </c>
      <c r="AB557" s="102" t="str">
        <f t="shared" si="4"/>
        <v/>
      </c>
      <c r="AC557" s="102" t="str">
        <f t="array" ref="AC557">_xlfn.XLOOKUP(AB557,Stock1!I557,Stock1!F557,"")</f>
        <v/>
      </c>
      <c r="AD557" s="102" t="str">
        <f t="array" ref="AD557">_xlfn.XLOOKUP(AB557,Stock1!I557,Stock1!J557,"")</f>
        <v/>
      </c>
      <c r="AE557" s="102" t="str">
        <f t="array" ref="AE557">_xlfn.XLOOKUP("Storage",Stock1!B557,Stock1!I557,"")</f>
        <v/>
      </c>
      <c r="AF557" s="102" t="str">
        <f t="array" ref="AF557">_xlfn.XLOOKUP(AE557,Stock1!I557,Stock1!F557,"")</f>
        <v/>
      </c>
      <c r="AG557" s="102" t="str">
        <f t="array" ref="AG557">_xlfn.XLOOKUP(AE557,Stock1!I557,Stock1!J557,"")</f>
        <v/>
      </c>
    </row>
    <row r="558">
      <c r="K558" s="660" t="str">
        <f t="array" ref="K558">IFERROR(_xlfn.XLOOKUP(I558,Incentive!B:B,Incentive!E:E,""),"")</f>
        <v/>
      </c>
      <c r="L558" s="659" t="str">
        <f>IFERROR(VLOOKUP(I558,Stock1!F:J,5,False),"")</f>
        <v/>
      </c>
      <c r="M558" s="659" t="str">
        <f>IFERROR(VLOOKUP(I558,Stock2!F:J,5,False),"")</f>
        <v/>
      </c>
      <c r="V558" s="102" t="str">
        <f t="array" ref="V558">_xlfn.XLOOKUP("Charger",Stock1!B558,Stock1!I558,"")</f>
        <v/>
      </c>
      <c r="W558" s="102" t="str">
        <f t="array" ref="W558">_xlfn.XLOOKUP(V558,Stock1!I558,Stock1!F558,"")</f>
        <v/>
      </c>
      <c r="X558" s="102" t="str">
        <f t="array" ref="X558">_xlfn.XLOOKUP(V558,Stock1!I558,Stock1!J558,"")</f>
        <v/>
      </c>
      <c r="Y558" s="102" t="str">
        <f t="array" ref="Y558">_xlfn.XLOOKUP("Screen Protector for Android Phone and Other",Stock1!B558,Stock1!I558,"")</f>
        <v/>
      </c>
      <c r="Z558" s="102" t="str">
        <f t="array" ref="Z558">_xlfn.XLOOKUP("Screen Protector for Galaxy Phone",Stock1!B558,Stock1!I558,"")</f>
        <v/>
      </c>
      <c r="AA558" s="102" t="str">
        <f t="array" ref="AA558">_xlfn.XLOOKUP("Screen Protector for Galaxy Tab",Stock1!B558,Stock1!I558,"")</f>
        <v/>
      </c>
      <c r="AB558" s="102" t="str">
        <f t="shared" si="4"/>
        <v/>
      </c>
      <c r="AC558" s="102" t="str">
        <f t="array" ref="AC558">_xlfn.XLOOKUP(AB558,Stock1!I558,Stock1!F558,"")</f>
        <v/>
      </c>
      <c r="AD558" s="102" t="str">
        <f t="array" ref="AD558">_xlfn.XLOOKUP(AB558,Stock1!I558,Stock1!J558,"")</f>
        <v/>
      </c>
      <c r="AE558" s="102" t="str">
        <f t="array" ref="AE558">_xlfn.XLOOKUP("Storage",Stock1!B558,Stock1!I558,"")</f>
        <v/>
      </c>
      <c r="AF558" s="102" t="str">
        <f t="array" ref="AF558">_xlfn.XLOOKUP(AE558,Stock1!I558,Stock1!F558,"")</f>
        <v/>
      </c>
      <c r="AG558" s="102" t="str">
        <f t="array" ref="AG558">_xlfn.XLOOKUP(AE558,Stock1!I558,Stock1!J558,"")</f>
        <v/>
      </c>
    </row>
    <row r="559">
      <c r="K559" s="660" t="str">
        <f t="array" ref="K559">IFERROR(_xlfn.XLOOKUP(I559,Incentive!B:B,Incentive!E:E,""),"")</f>
        <v/>
      </c>
      <c r="L559" s="659" t="str">
        <f>IFERROR(VLOOKUP(I559,Stock1!F:J,5,False),"")</f>
        <v/>
      </c>
      <c r="M559" s="659" t="str">
        <f>IFERROR(VLOOKUP(I559,Stock2!F:J,5,False),"")</f>
        <v/>
      </c>
      <c r="V559" s="102" t="str">
        <f t="array" ref="V559">_xlfn.XLOOKUP("Charger",Stock1!B559,Stock1!I559,"")</f>
        <v/>
      </c>
      <c r="W559" s="102" t="str">
        <f t="array" ref="W559">_xlfn.XLOOKUP(V559,Stock1!I559,Stock1!F559,"")</f>
        <v/>
      </c>
      <c r="X559" s="102" t="str">
        <f t="array" ref="X559">_xlfn.XLOOKUP(V559,Stock1!I559,Stock1!J559,"")</f>
        <v/>
      </c>
      <c r="Y559" s="102" t="str">
        <f t="array" ref="Y559">_xlfn.XLOOKUP("Screen Protector for Android Phone and Other",Stock1!B559,Stock1!I559,"")</f>
        <v/>
      </c>
      <c r="Z559" s="102" t="str">
        <f t="array" ref="Z559">_xlfn.XLOOKUP("Screen Protector for Galaxy Phone",Stock1!B559,Stock1!I559,"")</f>
        <v/>
      </c>
      <c r="AA559" s="102" t="str">
        <f t="array" ref="AA559">_xlfn.XLOOKUP("Screen Protector for Galaxy Tab",Stock1!B559,Stock1!I559,"")</f>
        <v/>
      </c>
      <c r="AB559" s="102" t="str">
        <f t="shared" si="4"/>
        <v/>
      </c>
      <c r="AC559" s="102" t="str">
        <f t="array" ref="AC559">_xlfn.XLOOKUP(AB559,Stock1!I559,Stock1!F559,"")</f>
        <v/>
      </c>
      <c r="AD559" s="102" t="str">
        <f t="array" ref="AD559">_xlfn.XLOOKUP(AB559,Stock1!I559,Stock1!J559,"")</f>
        <v/>
      </c>
      <c r="AE559" s="102" t="str">
        <f t="array" ref="AE559">_xlfn.XLOOKUP("Storage",Stock1!B559,Stock1!I559,"")</f>
        <v/>
      </c>
      <c r="AF559" s="102" t="str">
        <f t="array" ref="AF559">_xlfn.XLOOKUP(AE559,Stock1!I559,Stock1!F559,"")</f>
        <v/>
      </c>
      <c r="AG559" s="102" t="str">
        <f t="array" ref="AG559">_xlfn.XLOOKUP(AE559,Stock1!I559,Stock1!J559,"")</f>
        <v/>
      </c>
    </row>
    <row r="560">
      <c r="K560" s="660" t="str">
        <f t="array" ref="K560">IFERROR(_xlfn.XLOOKUP(I560,Incentive!B:B,Incentive!E:E,""),"")</f>
        <v/>
      </c>
      <c r="L560" s="659" t="str">
        <f>IFERROR(VLOOKUP(I560,Stock1!F:J,5,False),"")</f>
        <v/>
      </c>
      <c r="M560" s="659" t="str">
        <f>IFERROR(VLOOKUP(I560,Stock2!F:J,5,False),"")</f>
        <v/>
      </c>
      <c r="V560" s="102" t="str">
        <f t="array" ref="V560">_xlfn.XLOOKUP("Charger",Stock1!B560,Stock1!I560,"")</f>
        <v/>
      </c>
      <c r="W560" s="102" t="str">
        <f t="array" ref="W560">_xlfn.XLOOKUP(V560,Stock1!I560,Stock1!F560,"")</f>
        <v/>
      </c>
      <c r="X560" s="102" t="str">
        <f t="array" ref="X560">_xlfn.XLOOKUP(V560,Stock1!I560,Stock1!J560,"")</f>
        <v/>
      </c>
      <c r="Y560" s="102" t="str">
        <f t="array" ref="Y560">_xlfn.XLOOKUP("Screen Protector for Android Phone and Other",Stock1!B560,Stock1!I560,"")</f>
        <v/>
      </c>
      <c r="Z560" s="102" t="str">
        <f t="array" ref="Z560">_xlfn.XLOOKUP("Screen Protector for Galaxy Phone",Stock1!B560,Stock1!I560,"")</f>
        <v/>
      </c>
      <c r="AA560" s="102" t="str">
        <f t="array" ref="AA560">_xlfn.XLOOKUP("Screen Protector for Galaxy Tab",Stock1!B560,Stock1!I560,"")</f>
        <v/>
      </c>
      <c r="AB560" s="102" t="str">
        <f t="shared" si="4"/>
        <v/>
      </c>
      <c r="AC560" s="102" t="str">
        <f t="array" ref="AC560">_xlfn.XLOOKUP(AB560,Stock1!I560,Stock1!F560,"")</f>
        <v/>
      </c>
      <c r="AD560" s="102" t="str">
        <f t="array" ref="AD560">_xlfn.XLOOKUP(AB560,Stock1!I560,Stock1!J560,"")</f>
        <v/>
      </c>
      <c r="AE560" s="102" t="str">
        <f t="array" ref="AE560">_xlfn.XLOOKUP("Storage",Stock1!B560,Stock1!I560,"")</f>
        <v/>
      </c>
      <c r="AF560" s="102" t="str">
        <f t="array" ref="AF560">_xlfn.XLOOKUP(AE560,Stock1!I560,Stock1!F560,"")</f>
        <v/>
      </c>
      <c r="AG560" s="102" t="str">
        <f t="array" ref="AG560">_xlfn.XLOOKUP(AE560,Stock1!I560,Stock1!J560,"")</f>
        <v/>
      </c>
    </row>
    <row r="561">
      <c r="K561" s="660" t="str">
        <f t="array" ref="K561">IFERROR(_xlfn.XLOOKUP(I561,Incentive!B:B,Incentive!E:E,""),"")</f>
        <v/>
      </c>
      <c r="L561" s="659" t="str">
        <f>IFERROR(VLOOKUP(I561,Stock1!F:J,5,False),"")</f>
        <v/>
      </c>
      <c r="M561" s="659" t="str">
        <f>IFERROR(VLOOKUP(I561,Stock2!F:J,5,False),"")</f>
        <v/>
      </c>
      <c r="V561" s="102" t="str">
        <f t="array" ref="V561">_xlfn.XLOOKUP("Charger",Stock1!B561,Stock1!I561,"")</f>
        <v/>
      </c>
      <c r="W561" s="102" t="str">
        <f t="array" ref="W561">_xlfn.XLOOKUP(V561,Stock1!I561,Stock1!F561,"")</f>
        <v/>
      </c>
      <c r="X561" s="102" t="str">
        <f t="array" ref="X561">_xlfn.XLOOKUP(V561,Stock1!I561,Stock1!J561,"")</f>
        <v/>
      </c>
      <c r="Y561" s="102" t="str">
        <f t="array" ref="Y561">_xlfn.XLOOKUP("Screen Protector for Android Phone and Other",Stock1!B561,Stock1!I561,"")</f>
        <v/>
      </c>
      <c r="Z561" s="102" t="str">
        <f t="array" ref="Z561">_xlfn.XLOOKUP("Screen Protector for Galaxy Phone",Stock1!B561,Stock1!I561,"")</f>
        <v/>
      </c>
      <c r="AA561" s="102" t="str">
        <f t="array" ref="AA561">_xlfn.XLOOKUP("Screen Protector for Galaxy Tab",Stock1!B561,Stock1!I561,"")</f>
        <v/>
      </c>
      <c r="AB561" s="102" t="str">
        <f t="shared" si="4"/>
        <v/>
      </c>
      <c r="AC561" s="102" t="str">
        <f t="array" ref="AC561">_xlfn.XLOOKUP(AB561,Stock1!I561,Stock1!F561,"")</f>
        <v/>
      </c>
      <c r="AD561" s="102" t="str">
        <f t="array" ref="AD561">_xlfn.XLOOKUP(AB561,Stock1!I561,Stock1!J561,"")</f>
        <v/>
      </c>
      <c r="AE561" s="102" t="str">
        <f t="array" ref="AE561">_xlfn.XLOOKUP("Storage",Stock1!B561,Stock1!I561,"")</f>
        <v/>
      </c>
      <c r="AF561" s="102" t="str">
        <f t="array" ref="AF561">_xlfn.XLOOKUP(AE561,Stock1!I561,Stock1!F561,"")</f>
        <v/>
      </c>
      <c r="AG561" s="102" t="str">
        <f t="array" ref="AG561">_xlfn.XLOOKUP(AE561,Stock1!I561,Stock1!J561,"")</f>
        <v/>
      </c>
    </row>
    <row r="562">
      <c r="K562" s="660" t="str">
        <f t="array" ref="K562">IFERROR(_xlfn.XLOOKUP(I562,Incentive!B:B,Incentive!E:E,""),"")</f>
        <v/>
      </c>
      <c r="L562" s="659" t="str">
        <f>IFERROR(VLOOKUP(I562,Stock1!F:J,5,False),"")</f>
        <v/>
      </c>
      <c r="M562" s="659" t="str">
        <f>IFERROR(VLOOKUP(I562,Stock2!F:J,5,False),"")</f>
        <v/>
      </c>
      <c r="V562" s="102" t="str">
        <f t="array" ref="V562">_xlfn.XLOOKUP("Charger",Stock1!B562,Stock1!I562,"")</f>
        <v/>
      </c>
      <c r="W562" s="102" t="str">
        <f t="array" ref="W562">_xlfn.XLOOKUP(V562,Stock1!I562,Stock1!F562,"")</f>
        <v/>
      </c>
      <c r="X562" s="102" t="str">
        <f t="array" ref="X562">_xlfn.XLOOKUP(V562,Stock1!I562,Stock1!J562,"")</f>
        <v/>
      </c>
      <c r="Y562" s="102" t="str">
        <f t="array" ref="Y562">_xlfn.XLOOKUP("Screen Protector for Android Phone and Other",Stock1!B562,Stock1!I562,"")</f>
        <v/>
      </c>
      <c r="Z562" s="102" t="str">
        <f t="array" ref="Z562">_xlfn.XLOOKUP("Screen Protector for Galaxy Phone",Stock1!B562,Stock1!I562,"")</f>
        <v/>
      </c>
      <c r="AA562" s="102" t="str">
        <f t="array" ref="AA562">_xlfn.XLOOKUP("Screen Protector for Galaxy Tab",Stock1!B562,Stock1!I562,"")</f>
        <v/>
      </c>
      <c r="AB562" s="102" t="str">
        <f t="shared" si="4"/>
        <v/>
      </c>
      <c r="AC562" s="102" t="str">
        <f t="array" ref="AC562">_xlfn.XLOOKUP(AB562,Stock1!I562,Stock1!F562,"")</f>
        <v/>
      </c>
      <c r="AD562" s="102" t="str">
        <f t="array" ref="AD562">_xlfn.XLOOKUP(AB562,Stock1!I562,Stock1!J562,"")</f>
        <v/>
      </c>
      <c r="AE562" s="102" t="str">
        <f t="array" ref="AE562">_xlfn.XLOOKUP("Storage",Stock1!B562,Stock1!I562,"")</f>
        <v/>
      </c>
      <c r="AF562" s="102" t="str">
        <f t="array" ref="AF562">_xlfn.XLOOKUP(AE562,Stock1!I562,Stock1!F562,"")</f>
        <v/>
      </c>
      <c r="AG562" s="102" t="str">
        <f t="array" ref="AG562">_xlfn.XLOOKUP(AE562,Stock1!I562,Stock1!J562,"")</f>
        <v/>
      </c>
    </row>
    <row r="563">
      <c r="K563" s="660" t="str">
        <f t="array" ref="K563">IFERROR(_xlfn.XLOOKUP(I563,Incentive!B:B,Incentive!E:E,""),"")</f>
        <v/>
      </c>
      <c r="L563" s="659" t="str">
        <f>IFERROR(VLOOKUP(I563,Stock1!F:J,5,False),"")</f>
        <v/>
      </c>
      <c r="M563" s="659" t="str">
        <f>IFERROR(VLOOKUP(I563,Stock2!F:J,5,False),"")</f>
        <v/>
      </c>
      <c r="V563" s="102" t="str">
        <f t="array" ref="V563">_xlfn.XLOOKUP("Charger",Stock1!B563,Stock1!I563,"")</f>
        <v/>
      </c>
      <c r="W563" s="102" t="str">
        <f t="array" ref="W563">_xlfn.XLOOKUP(V563,Stock1!I563,Stock1!F563,"")</f>
        <v/>
      </c>
      <c r="X563" s="102" t="str">
        <f t="array" ref="X563">_xlfn.XLOOKUP(V563,Stock1!I563,Stock1!J563,"")</f>
        <v/>
      </c>
      <c r="Y563" s="102" t="str">
        <f t="array" ref="Y563">_xlfn.XLOOKUP("Screen Protector for Android Phone and Other",Stock1!B563,Stock1!I563,"")</f>
        <v/>
      </c>
      <c r="Z563" s="102" t="str">
        <f t="array" ref="Z563">_xlfn.XLOOKUP("Screen Protector for Galaxy Phone",Stock1!B563,Stock1!I563,"")</f>
        <v/>
      </c>
      <c r="AA563" s="102" t="str">
        <f t="array" ref="AA563">_xlfn.XLOOKUP("Screen Protector for Galaxy Tab",Stock1!B563,Stock1!I563,"")</f>
        <v/>
      </c>
      <c r="AB563" s="102" t="str">
        <f t="shared" si="4"/>
        <v/>
      </c>
      <c r="AC563" s="102" t="str">
        <f t="array" ref="AC563">_xlfn.XLOOKUP(AB563,Stock1!I563,Stock1!F563,"")</f>
        <v/>
      </c>
      <c r="AD563" s="102" t="str">
        <f t="array" ref="AD563">_xlfn.XLOOKUP(AB563,Stock1!I563,Stock1!J563,"")</f>
        <v/>
      </c>
      <c r="AE563" s="102" t="str">
        <f t="array" ref="AE563">_xlfn.XLOOKUP("Storage",Stock1!B563,Stock1!I563,"")</f>
        <v/>
      </c>
      <c r="AF563" s="102" t="str">
        <f t="array" ref="AF563">_xlfn.XLOOKUP(AE563,Stock1!I563,Stock1!F563,"")</f>
        <v/>
      </c>
      <c r="AG563" s="102" t="str">
        <f t="array" ref="AG563">_xlfn.XLOOKUP(AE563,Stock1!I563,Stock1!J563,"")</f>
        <v/>
      </c>
    </row>
    <row r="564">
      <c r="K564" s="660" t="str">
        <f t="array" ref="K564">IFERROR(_xlfn.XLOOKUP(I564,Incentive!B:B,Incentive!E:E,""),"")</f>
        <v/>
      </c>
      <c r="L564" s="659" t="str">
        <f>IFERROR(VLOOKUP(I564,Stock1!F:J,5,False),"")</f>
        <v/>
      </c>
      <c r="M564" s="659" t="str">
        <f>IFERROR(VLOOKUP(I564,Stock2!F:J,5,False),"")</f>
        <v/>
      </c>
      <c r="V564" s="102" t="str">
        <f t="array" ref="V564">_xlfn.XLOOKUP("Charger",Stock1!B564,Stock1!I564,"")</f>
        <v/>
      </c>
      <c r="W564" s="102" t="str">
        <f t="array" ref="W564">_xlfn.XLOOKUP(V564,Stock1!I564,Stock1!F564,"")</f>
        <v/>
      </c>
      <c r="X564" s="102" t="str">
        <f t="array" ref="X564">_xlfn.XLOOKUP(V564,Stock1!I564,Stock1!J564,"")</f>
        <v/>
      </c>
      <c r="Y564" s="102" t="str">
        <f t="array" ref="Y564">_xlfn.XLOOKUP("Screen Protector for Android Phone and Other",Stock1!B564,Stock1!I564,"")</f>
        <v/>
      </c>
      <c r="Z564" s="102" t="str">
        <f t="array" ref="Z564">_xlfn.XLOOKUP("Screen Protector for Galaxy Phone",Stock1!B564,Stock1!I564,"")</f>
        <v/>
      </c>
      <c r="AA564" s="102" t="str">
        <f t="array" ref="AA564">_xlfn.XLOOKUP("Screen Protector for Galaxy Tab",Stock1!B564,Stock1!I564,"")</f>
        <v/>
      </c>
      <c r="AB564" s="102" t="str">
        <f t="shared" si="4"/>
        <v/>
      </c>
      <c r="AC564" s="102" t="str">
        <f t="array" ref="AC564">_xlfn.XLOOKUP(AB564,Stock1!I564,Stock1!F564,"")</f>
        <v/>
      </c>
      <c r="AD564" s="102" t="str">
        <f t="array" ref="AD564">_xlfn.XLOOKUP(AB564,Stock1!I564,Stock1!J564,"")</f>
        <v/>
      </c>
      <c r="AE564" s="102" t="str">
        <f t="array" ref="AE564">_xlfn.XLOOKUP("Storage",Stock1!B564,Stock1!I564,"")</f>
        <v/>
      </c>
      <c r="AF564" s="102" t="str">
        <f t="array" ref="AF564">_xlfn.XLOOKUP(AE564,Stock1!I564,Stock1!F564,"")</f>
        <v/>
      </c>
      <c r="AG564" s="102" t="str">
        <f t="array" ref="AG564">_xlfn.XLOOKUP(AE564,Stock1!I564,Stock1!J564,"")</f>
        <v/>
      </c>
    </row>
    <row r="565">
      <c r="K565" s="660" t="str">
        <f t="array" ref="K565">IFERROR(_xlfn.XLOOKUP(I565,Incentive!B:B,Incentive!E:E,""),"")</f>
        <v/>
      </c>
      <c r="L565" s="659" t="str">
        <f>IFERROR(VLOOKUP(I565,Stock1!F:J,5,False),"")</f>
        <v/>
      </c>
      <c r="M565" s="659" t="str">
        <f>IFERROR(VLOOKUP(I565,Stock2!F:J,5,False),"")</f>
        <v/>
      </c>
      <c r="V565" s="102" t="str">
        <f t="array" ref="V565">_xlfn.XLOOKUP("Charger",Stock1!B565,Stock1!I565,"")</f>
        <v/>
      </c>
      <c r="W565" s="102" t="str">
        <f t="array" ref="W565">_xlfn.XLOOKUP(V565,Stock1!I565,Stock1!F565,"")</f>
        <v/>
      </c>
      <c r="X565" s="102" t="str">
        <f t="array" ref="X565">_xlfn.XLOOKUP(V565,Stock1!I565,Stock1!J565,"")</f>
        <v/>
      </c>
      <c r="Y565" s="102" t="str">
        <f t="array" ref="Y565">_xlfn.XLOOKUP("Screen Protector for Android Phone and Other",Stock1!B565,Stock1!I565,"")</f>
        <v/>
      </c>
      <c r="Z565" s="102" t="str">
        <f t="array" ref="Z565">_xlfn.XLOOKUP("Screen Protector for Galaxy Phone",Stock1!B565,Stock1!I565,"")</f>
        <v/>
      </c>
      <c r="AA565" s="102" t="str">
        <f t="array" ref="AA565">_xlfn.XLOOKUP("Screen Protector for Galaxy Tab",Stock1!B565,Stock1!I565,"")</f>
        <v/>
      </c>
      <c r="AB565" s="102" t="str">
        <f t="shared" si="4"/>
        <v/>
      </c>
      <c r="AC565" s="102" t="str">
        <f t="array" ref="AC565">_xlfn.XLOOKUP(AB565,Stock1!I565,Stock1!F565,"")</f>
        <v/>
      </c>
      <c r="AD565" s="102" t="str">
        <f t="array" ref="AD565">_xlfn.XLOOKUP(AB565,Stock1!I565,Stock1!J565,"")</f>
        <v/>
      </c>
      <c r="AE565" s="102" t="str">
        <f t="array" ref="AE565">_xlfn.XLOOKUP("Storage",Stock1!B565,Stock1!I565,"")</f>
        <v/>
      </c>
      <c r="AF565" s="102" t="str">
        <f t="array" ref="AF565">_xlfn.XLOOKUP(AE565,Stock1!I565,Stock1!F565,"")</f>
        <v/>
      </c>
      <c r="AG565" s="102" t="str">
        <f t="array" ref="AG565">_xlfn.XLOOKUP(AE565,Stock1!I565,Stock1!J565,"")</f>
        <v/>
      </c>
    </row>
    <row r="566">
      <c r="K566" s="660" t="str">
        <f t="array" ref="K566">IFERROR(_xlfn.XLOOKUP(I566,Incentive!B:B,Incentive!E:E,""),"")</f>
        <v/>
      </c>
      <c r="L566" s="659" t="str">
        <f>IFERROR(VLOOKUP(I566,Stock1!F:J,5,False),"")</f>
        <v/>
      </c>
      <c r="M566" s="659" t="str">
        <f>IFERROR(VLOOKUP(I566,Stock2!F:J,5,False),"")</f>
        <v/>
      </c>
      <c r="V566" s="102" t="str">
        <f t="array" ref="V566">_xlfn.XLOOKUP("Charger",Stock1!B566,Stock1!I566,"")</f>
        <v/>
      </c>
      <c r="W566" s="102" t="str">
        <f t="array" ref="W566">_xlfn.XLOOKUP(V566,Stock1!I566,Stock1!F566,"")</f>
        <v/>
      </c>
      <c r="X566" s="102" t="str">
        <f t="array" ref="X566">_xlfn.XLOOKUP(V566,Stock1!I566,Stock1!J566,"")</f>
        <v/>
      </c>
      <c r="Y566" s="102" t="str">
        <f t="array" ref="Y566">_xlfn.XLOOKUP("Screen Protector for Android Phone and Other",Stock1!B566,Stock1!I566,"")</f>
        <v/>
      </c>
      <c r="Z566" s="102" t="str">
        <f t="array" ref="Z566">_xlfn.XLOOKUP("Screen Protector for Galaxy Phone",Stock1!B566,Stock1!I566,"")</f>
        <v/>
      </c>
      <c r="AA566" s="102" t="str">
        <f t="array" ref="AA566">_xlfn.XLOOKUP("Screen Protector for Galaxy Tab",Stock1!B566,Stock1!I566,"")</f>
        <v/>
      </c>
      <c r="AB566" s="102" t="str">
        <f t="shared" si="4"/>
        <v/>
      </c>
      <c r="AC566" s="102" t="str">
        <f t="array" ref="AC566">_xlfn.XLOOKUP(AB566,Stock1!I566,Stock1!F566,"")</f>
        <v/>
      </c>
      <c r="AD566" s="102" t="str">
        <f t="array" ref="AD566">_xlfn.XLOOKUP(AB566,Stock1!I566,Stock1!J566,"")</f>
        <v/>
      </c>
      <c r="AE566" s="102" t="str">
        <f t="array" ref="AE566">_xlfn.XLOOKUP("Storage",Stock1!B566,Stock1!I566,"")</f>
        <v/>
      </c>
      <c r="AF566" s="102" t="str">
        <f t="array" ref="AF566">_xlfn.XLOOKUP(AE566,Stock1!I566,Stock1!F566,"")</f>
        <v/>
      </c>
      <c r="AG566" s="102" t="str">
        <f t="array" ref="AG566">_xlfn.XLOOKUP(AE566,Stock1!I566,Stock1!J566,"")</f>
        <v/>
      </c>
    </row>
    <row r="567">
      <c r="K567" s="660" t="str">
        <f t="array" ref="K567">IFERROR(_xlfn.XLOOKUP(I567,Incentive!B:B,Incentive!E:E,""),"")</f>
        <v/>
      </c>
      <c r="L567" s="659" t="str">
        <f>IFERROR(VLOOKUP(I567,Stock1!F:J,5,False),"")</f>
        <v/>
      </c>
      <c r="M567" s="659" t="str">
        <f>IFERROR(VLOOKUP(I567,Stock2!F:J,5,False),"")</f>
        <v/>
      </c>
      <c r="V567" s="102" t="str">
        <f t="array" ref="V567">_xlfn.XLOOKUP("Charger",Stock1!B567,Stock1!I567,"")</f>
        <v/>
      </c>
      <c r="W567" s="102" t="str">
        <f t="array" ref="W567">_xlfn.XLOOKUP(V567,Stock1!I567,Stock1!F567,"")</f>
        <v/>
      </c>
      <c r="X567" s="102" t="str">
        <f t="array" ref="X567">_xlfn.XLOOKUP(V567,Stock1!I567,Stock1!J567,"")</f>
        <v/>
      </c>
      <c r="Y567" s="102" t="str">
        <f t="array" ref="Y567">_xlfn.XLOOKUP("Screen Protector for Android Phone and Other",Stock1!B567,Stock1!I567,"")</f>
        <v/>
      </c>
      <c r="Z567" s="102" t="str">
        <f t="array" ref="Z567">_xlfn.XLOOKUP("Screen Protector for Galaxy Phone",Stock1!B567,Stock1!I567,"")</f>
        <v/>
      </c>
      <c r="AA567" s="102" t="str">
        <f t="array" ref="AA567">_xlfn.XLOOKUP("Screen Protector for Galaxy Tab",Stock1!B567,Stock1!I567,"")</f>
        <v/>
      </c>
      <c r="AB567" s="102" t="str">
        <f t="shared" si="4"/>
        <v/>
      </c>
      <c r="AC567" s="102" t="str">
        <f t="array" ref="AC567">_xlfn.XLOOKUP(AB567,Stock1!I567,Stock1!F567,"")</f>
        <v/>
      </c>
      <c r="AD567" s="102" t="str">
        <f t="array" ref="AD567">_xlfn.XLOOKUP(AB567,Stock1!I567,Stock1!J567,"")</f>
        <v/>
      </c>
      <c r="AE567" s="102" t="str">
        <f t="array" ref="AE567">_xlfn.XLOOKUP("Storage",Stock1!B567,Stock1!I567,"")</f>
        <v/>
      </c>
      <c r="AF567" s="102" t="str">
        <f t="array" ref="AF567">_xlfn.XLOOKUP(AE567,Stock1!I567,Stock1!F567,"")</f>
        <v/>
      </c>
      <c r="AG567" s="102" t="str">
        <f t="array" ref="AG567">_xlfn.XLOOKUP(AE567,Stock1!I567,Stock1!J567,"")</f>
        <v/>
      </c>
    </row>
    <row r="568">
      <c r="K568" s="660" t="str">
        <f t="array" ref="K568">IFERROR(_xlfn.XLOOKUP(I568,Incentive!B:B,Incentive!E:E,""),"")</f>
        <v/>
      </c>
      <c r="L568" s="659" t="str">
        <f>IFERROR(VLOOKUP(I568,Stock1!F:J,5,False),"")</f>
        <v/>
      </c>
      <c r="M568" s="659" t="str">
        <f>IFERROR(VLOOKUP(I568,Stock2!F:J,5,False),"")</f>
        <v/>
      </c>
      <c r="V568" s="102" t="str">
        <f t="array" ref="V568">_xlfn.XLOOKUP("Charger",Stock1!B568,Stock1!I568,"")</f>
        <v/>
      </c>
      <c r="W568" s="102" t="str">
        <f t="array" ref="W568">_xlfn.XLOOKUP(V568,Stock1!I568,Stock1!F568,"")</f>
        <v/>
      </c>
      <c r="X568" s="102" t="str">
        <f t="array" ref="X568">_xlfn.XLOOKUP(V568,Stock1!I568,Stock1!J568,"")</f>
        <v/>
      </c>
      <c r="Y568" s="102" t="str">
        <f t="array" ref="Y568">_xlfn.XLOOKUP("Screen Protector for Android Phone and Other",Stock1!B568,Stock1!I568,"")</f>
        <v/>
      </c>
      <c r="Z568" s="102" t="str">
        <f t="array" ref="Z568">_xlfn.XLOOKUP("Screen Protector for Galaxy Phone",Stock1!B568,Stock1!I568,"")</f>
        <v/>
      </c>
      <c r="AA568" s="102" t="str">
        <f t="array" ref="AA568">_xlfn.XLOOKUP("Screen Protector for Galaxy Tab",Stock1!B568,Stock1!I568,"")</f>
        <v/>
      </c>
      <c r="AB568" s="102" t="str">
        <f t="shared" si="4"/>
        <v/>
      </c>
      <c r="AC568" s="102" t="str">
        <f t="array" ref="AC568">_xlfn.XLOOKUP(AB568,Stock1!I568,Stock1!F568,"")</f>
        <v/>
      </c>
      <c r="AD568" s="102" t="str">
        <f t="array" ref="AD568">_xlfn.XLOOKUP(AB568,Stock1!I568,Stock1!J568,"")</f>
        <v/>
      </c>
      <c r="AE568" s="102" t="str">
        <f t="array" ref="AE568">_xlfn.XLOOKUP("Storage",Stock1!B568,Stock1!I568,"")</f>
        <v/>
      </c>
      <c r="AF568" s="102" t="str">
        <f t="array" ref="AF568">_xlfn.XLOOKUP(AE568,Stock1!I568,Stock1!F568,"")</f>
        <v/>
      </c>
      <c r="AG568" s="102" t="str">
        <f t="array" ref="AG568">_xlfn.XLOOKUP(AE568,Stock1!I568,Stock1!J568,"")</f>
        <v/>
      </c>
    </row>
    <row r="569">
      <c r="K569" s="660" t="str">
        <f t="array" ref="K569">IFERROR(_xlfn.XLOOKUP(I569,Incentive!B:B,Incentive!E:E,""),"")</f>
        <v/>
      </c>
      <c r="L569" s="659" t="str">
        <f>IFERROR(VLOOKUP(I569,Stock1!F:J,5,False),"")</f>
        <v/>
      </c>
      <c r="M569" s="659" t="str">
        <f>IFERROR(VLOOKUP(I569,Stock2!F:J,5,False),"")</f>
        <v/>
      </c>
      <c r="V569" s="102" t="str">
        <f t="array" ref="V569">_xlfn.XLOOKUP("Charger",Stock1!B569,Stock1!I569,"")</f>
        <v/>
      </c>
      <c r="W569" s="102" t="str">
        <f t="array" ref="W569">_xlfn.XLOOKUP(V569,Stock1!I569,Stock1!F569,"")</f>
        <v/>
      </c>
      <c r="X569" s="102" t="str">
        <f t="array" ref="X569">_xlfn.XLOOKUP(V569,Stock1!I569,Stock1!J569,"")</f>
        <v/>
      </c>
      <c r="Y569" s="102" t="str">
        <f t="array" ref="Y569">_xlfn.XLOOKUP("Screen Protector for Android Phone and Other",Stock1!B569,Stock1!I569,"")</f>
        <v/>
      </c>
      <c r="Z569" s="102" t="str">
        <f t="array" ref="Z569">_xlfn.XLOOKUP("Screen Protector for Galaxy Phone",Stock1!B569,Stock1!I569,"")</f>
        <v/>
      </c>
      <c r="AA569" s="102" t="str">
        <f t="array" ref="AA569">_xlfn.XLOOKUP("Screen Protector for Galaxy Tab",Stock1!B569,Stock1!I569,"")</f>
        <v/>
      </c>
      <c r="AB569" s="102" t="str">
        <f t="shared" si="4"/>
        <v/>
      </c>
      <c r="AC569" s="102" t="str">
        <f t="array" ref="AC569">_xlfn.XLOOKUP(AB569,Stock1!I569,Stock1!F569,"")</f>
        <v/>
      </c>
      <c r="AD569" s="102" t="str">
        <f t="array" ref="AD569">_xlfn.XLOOKUP(AB569,Stock1!I569,Stock1!J569,"")</f>
        <v/>
      </c>
      <c r="AE569" s="102" t="str">
        <f t="array" ref="AE569">_xlfn.XLOOKUP("Storage",Stock1!B569,Stock1!I569,"")</f>
        <v/>
      </c>
      <c r="AF569" s="102" t="str">
        <f t="array" ref="AF569">_xlfn.XLOOKUP(AE569,Stock1!I569,Stock1!F569,"")</f>
        <v/>
      </c>
      <c r="AG569" s="102" t="str">
        <f t="array" ref="AG569">_xlfn.XLOOKUP(AE569,Stock1!I569,Stock1!J569,"")</f>
        <v/>
      </c>
    </row>
    <row r="570">
      <c r="K570" s="660" t="str">
        <f t="array" ref="K570">IFERROR(_xlfn.XLOOKUP(I570,Incentive!B:B,Incentive!E:E,""),"")</f>
        <v/>
      </c>
      <c r="L570" s="659" t="str">
        <f>IFERROR(VLOOKUP(I570,Stock1!F:J,5,False),"")</f>
        <v/>
      </c>
      <c r="M570" s="659" t="str">
        <f>IFERROR(VLOOKUP(I570,Stock2!F:J,5,False),"")</f>
        <v/>
      </c>
      <c r="V570" s="102" t="str">
        <f t="array" ref="V570">_xlfn.XLOOKUP("Charger",Stock1!B570,Stock1!I570,"")</f>
        <v/>
      </c>
      <c r="W570" s="102" t="str">
        <f t="array" ref="W570">_xlfn.XLOOKUP(V570,Stock1!I570,Stock1!F570,"")</f>
        <v/>
      </c>
      <c r="X570" s="102" t="str">
        <f t="array" ref="X570">_xlfn.XLOOKUP(V570,Stock1!I570,Stock1!J570,"")</f>
        <v/>
      </c>
      <c r="Y570" s="102" t="str">
        <f t="array" ref="Y570">_xlfn.XLOOKUP("Screen Protector for Android Phone and Other",Stock1!B570,Stock1!I570,"")</f>
        <v/>
      </c>
      <c r="Z570" s="102" t="str">
        <f t="array" ref="Z570">_xlfn.XLOOKUP("Screen Protector for Galaxy Phone",Stock1!B570,Stock1!I570,"")</f>
        <v/>
      </c>
      <c r="AA570" s="102" t="str">
        <f t="array" ref="AA570">_xlfn.XLOOKUP("Screen Protector for Galaxy Tab",Stock1!B570,Stock1!I570,"")</f>
        <v/>
      </c>
      <c r="AB570" s="102" t="str">
        <f t="shared" si="4"/>
        <v/>
      </c>
      <c r="AC570" s="102" t="str">
        <f t="array" ref="AC570">_xlfn.XLOOKUP(AB570,Stock1!I570,Stock1!F570,"")</f>
        <v/>
      </c>
      <c r="AD570" s="102" t="str">
        <f t="array" ref="AD570">_xlfn.XLOOKUP(AB570,Stock1!I570,Stock1!J570,"")</f>
        <v/>
      </c>
      <c r="AE570" s="102" t="str">
        <f t="array" ref="AE570">_xlfn.XLOOKUP("Storage",Stock1!B570,Stock1!I570,"")</f>
        <v/>
      </c>
      <c r="AF570" s="102" t="str">
        <f t="array" ref="AF570">_xlfn.XLOOKUP(AE570,Stock1!I570,Stock1!F570,"")</f>
        <v/>
      </c>
      <c r="AG570" s="102" t="str">
        <f t="array" ref="AG570">_xlfn.XLOOKUP(AE570,Stock1!I570,Stock1!J570,"")</f>
        <v/>
      </c>
    </row>
    <row r="571">
      <c r="K571" s="660" t="str">
        <f t="array" ref="K571">IFERROR(_xlfn.XLOOKUP(I571,Incentive!B:B,Incentive!E:E,""),"")</f>
        <v/>
      </c>
      <c r="L571" s="659" t="str">
        <f>IFERROR(VLOOKUP(I571,Stock1!F:J,5,False),"")</f>
        <v/>
      </c>
      <c r="M571" s="659" t="str">
        <f>IFERROR(VLOOKUP(I571,Stock2!F:J,5,False),"")</f>
        <v/>
      </c>
      <c r="V571" s="102" t="str">
        <f t="array" ref="V571">_xlfn.XLOOKUP("Charger",Stock1!B571,Stock1!I571,"")</f>
        <v/>
      </c>
      <c r="W571" s="102" t="str">
        <f t="array" ref="W571">_xlfn.XLOOKUP(V571,Stock1!I571,Stock1!F571,"")</f>
        <v/>
      </c>
      <c r="X571" s="102" t="str">
        <f t="array" ref="X571">_xlfn.XLOOKUP(V571,Stock1!I571,Stock1!J571,"")</f>
        <v/>
      </c>
      <c r="Y571" s="102" t="str">
        <f t="array" ref="Y571">_xlfn.XLOOKUP("Screen Protector for Android Phone and Other",Stock1!B571,Stock1!I571,"")</f>
        <v/>
      </c>
      <c r="Z571" s="102" t="str">
        <f t="array" ref="Z571">_xlfn.XLOOKUP("Screen Protector for Galaxy Phone",Stock1!B571,Stock1!I571,"")</f>
        <v/>
      </c>
      <c r="AA571" s="102" t="str">
        <f t="array" ref="AA571">_xlfn.XLOOKUP("Screen Protector for Galaxy Tab",Stock1!B571,Stock1!I571,"")</f>
        <v/>
      </c>
      <c r="AB571" s="102" t="str">
        <f t="shared" si="4"/>
        <v/>
      </c>
      <c r="AC571" s="102" t="str">
        <f t="array" ref="AC571">_xlfn.XLOOKUP(AB571,Stock1!I571,Stock1!F571,"")</f>
        <v/>
      </c>
      <c r="AD571" s="102" t="str">
        <f t="array" ref="AD571">_xlfn.XLOOKUP(AB571,Stock1!I571,Stock1!J571,"")</f>
        <v/>
      </c>
      <c r="AE571" s="102" t="str">
        <f t="array" ref="AE571">_xlfn.XLOOKUP("Storage",Stock1!B571,Stock1!I571,"")</f>
        <v/>
      </c>
      <c r="AF571" s="102" t="str">
        <f t="array" ref="AF571">_xlfn.XLOOKUP(AE571,Stock1!I571,Stock1!F571,"")</f>
        <v/>
      </c>
      <c r="AG571" s="102" t="str">
        <f t="array" ref="AG571">_xlfn.XLOOKUP(AE571,Stock1!I571,Stock1!J571,"")</f>
        <v/>
      </c>
    </row>
    <row r="572">
      <c r="K572" s="660" t="str">
        <f t="array" ref="K572">IFERROR(_xlfn.XLOOKUP(I572,Incentive!B:B,Incentive!E:E,""),"")</f>
        <v/>
      </c>
      <c r="L572" s="659" t="str">
        <f>IFERROR(VLOOKUP(I572,Stock1!F:J,5,False),"")</f>
        <v/>
      </c>
      <c r="M572" s="659" t="str">
        <f>IFERROR(VLOOKUP(I572,Stock2!F:J,5,False),"")</f>
        <v/>
      </c>
      <c r="V572" s="102" t="str">
        <f t="array" ref="V572">_xlfn.XLOOKUP("Charger",Stock1!B572,Stock1!I572,"")</f>
        <v/>
      </c>
      <c r="W572" s="102" t="str">
        <f t="array" ref="W572">_xlfn.XLOOKUP(V572,Stock1!I572,Stock1!F572,"")</f>
        <v/>
      </c>
      <c r="X572" s="102" t="str">
        <f t="array" ref="X572">_xlfn.XLOOKUP(V572,Stock1!I572,Stock1!J572,"")</f>
        <v/>
      </c>
      <c r="Y572" s="102" t="str">
        <f t="array" ref="Y572">_xlfn.XLOOKUP("Screen Protector for Android Phone and Other",Stock1!B572,Stock1!I572,"")</f>
        <v/>
      </c>
      <c r="Z572" s="102" t="str">
        <f t="array" ref="Z572">_xlfn.XLOOKUP("Screen Protector for Galaxy Phone",Stock1!B572,Stock1!I572,"")</f>
        <v/>
      </c>
      <c r="AA572" s="102" t="str">
        <f t="array" ref="AA572">_xlfn.XLOOKUP("Screen Protector for Galaxy Tab",Stock1!B572,Stock1!I572,"")</f>
        <v/>
      </c>
      <c r="AB572" s="102" t="str">
        <f t="shared" si="4"/>
        <v/>
      </c>
      <c r="AC572" s="102" t="str">
        <f t="array" ref="AC572">_xlfn.XLOOKUP(AB572,Stock1!I572,Stock1!F572,"")</f>
        <v/>
      </c>
      <c r="AD572" s="102" t="str">
        <f t="array" ref="AD572">_xlfn.XLOOKUP(AB572,Stock1!I572,Stock1!J572,"")</f>
        <v/>
      </c>
      <c r="AE572" s="102" t="str">
        <f t="array" ref="AE572">_xlfn.XLOOKUP("Storage",Stock1!B572,Stock1!I572,"")</f>
        <v/>
      </c>
      <c r="AF572" s="102" t="str">
        <f t="array" ref="AF572">_xlfn.XLOOKUP(AE572,Stock1!I572,Stock1!F572,"")</f>
        <v/>
      </c>
      <c r="AG572" s="102" t="str">
        <f t="array" ref="AG572">_xlfn.XLOOKUP(AE572,Stock1!I572,Stock1!J572,"")</f>
        <v/>
      </c>
    </row>
    <row r="573">
      <c r="K573" s="660" t="str">
        <f t="array" ref="K573">IFERROR(_xlfn.XLOOKUP(I573,Incentive!B:B,Incentive!E:E,""),"")</f>
        <v/>
      </c>
      <c r="L573" s="659" t="str">
        <f>IFERROR(VLOOKUP(I573,Stock1!F:J,5,False),"")</f>
        <v/>
      </c>
      <c r="M573" s="659" t="str">
        <f>IFERROR(VLOOKUP(I573,Stock2!F:J,5,False),"")</f>
        <v/>
      </c>
      <c r="V573" s="102" t="str">
        <f t="array" ref="V573">_xlfn.XLOOKUP("Charger",Stock1!B573,Stock1!I573,"")</f>
        <v/>
      </c>
      <c r="W573" s="102" t="str">
        <f t="array" ref="W573">_xlfn.XLOOKUP(V573,Stock1!I573,Stock1!F573,"")</f>
        <v/>
      </c>
      <c r="X573" s="102" t="str">
        <f t="array" ref="X573">_xlfn.XLOOKUP(V573,Stock1!I573,Stock1!J573,"")</f>
        <v/>
      </c>
      <c r="Y573" s="102" t="str">
        <f t="array" ref="Y573">_xlfn.XLOOKUP("Screen Protector for Android Phone and Other",Stock1!B573,Stock1!I573,"")</f>
        <v/>
      </c>
      <c r="Z573" s="102" t="str">
        <f t="array" ref="Z573">_xlfn.XLOOKUP("Screen Protector for Galaxy Phone",Stock1!B573,Stock1!I573,"")</f>
        <v/>
      </c>
      <c r="AA573" s="102" t="str">
        <f t="array" ref="AA573">_xlfn.XLOOKUP("Screen Protector for Galaxy Tab",Stock1!B573,Stock1!I573,"")</f>
        <v/>
      </c>
      <c r="AB573" s="102" t="str">
        <f t="shared" si="4"/>
        <v/>
      </c>
      <c r="AC573" s="102" t="str">
        <f t="array" ref="AC573">_xlfn.XLOOKUP(AB573,Stock1!I573,Stock1!F573,"")</f>
        <v/>
      </c>
      <c r="AD573" s="102" t="str">
        <f t="array" ref="AD573">_xlfn.XLOOKUP(AB573,Stock1!I573,Stock1!J573,"")</f>
        <v/>
      </c>
      <c r="AE573" s="102" t="str">
        <f t="array" ref="AE573">_xlfn.XLOOKUP("Storage",Stock1!B573,Stock1!I573,"")</f>
        <v/>
      </c>
      <c r="AF573" s="102" t="str">
        <f t="array" ref="AF573">_xlfn.XLOOKUP(AE573,Stock1!I573,Stock1!F573,"")</f>
        <v/>
      </c>
      <c r="AG573" s="102" t="str">
        <f t="array" ref="AG573">_xlfn.XLOOKUP(AE573,Stock1!I573,Stock1!J573,"")</f>
        <v/>
      </c>
    </row>
    <row r="574">
      <c r="K574" s="660" t="str">
        <f t="array" ref="K574">IFERROR(_xlfn.XLOOKUP(I574,Incentive!B:B,Incentive!E:E,""),"")</f>
        <v/>
      </c>
      <c r="L574" s="659" t="str">
        <f>IFERROR(VLOOKUP(I574,Stock1!F:J,5,False),"")</f>
        <v/>
      </c>
      <c r="M574" s="659" t="str">
        <f>IFERROR(VLOOKUP(I574,Stock2!F:J,5,False),"")</f>
        <v/>
      </c>
      <c r="V574" s="102" t="str">
        <f t="array" ref="V574">_xlfn.XLOOKUP("Charger",Stock1!B574,Stock1!I574,"")</f>
        <v/>
      </c>
      <c r="W574" s="102" t="str">
        <f t="array" ref="W574">_xlfn.XLOOKUP(V574,Stock1!I574,Stock1!F574,"")</f>
        <v/>
      </c>
      <c r="X574" s="102" t="str">
        <f t="array" ref="X574">_xlfn.XLOOKUP(V574,Stock1!I574,Stock1!J574,"")</f>
        <v/>
      </c>
      <c r="Y574" s="102" t="str">
        <f t="array" ref="Y574">_xlfn.XLOOKUP("Screen Protector for Android Phone and Other",Stock1!B574,Stock1!I574,"")</f>
        <v/>
      </c>
      <c r="Z574" s="102" t="str">
        <f t="array" ref="Z574">_xlfn.XLOOKUP("Screen Protector for Galaxy Phone",Stock1!B574,Stock1!I574,"")</f>
        <v/>
      </c>
      <c r="AA574" s="102" t="str">
        <f t="array" ref="AA574">_xlfn.XLOOKUP("Screen Protector for Galaxy Tab",Stock1!B574,Stock1!I574,"")</f>
        <v/>
      </c>
      <c r="AB574" s="102" t="str">
        <f t="shared" si="4"/>
        <v/>
      </c>
      <c r="AC574" s="102" t="str">
        <f t="array" ref="AC574">_xlfn.XLOOKUP(AB574,Stock1!I574,Stock1!F574,"")</f>
        <v/>
      </c>
      <c r="AD574" s="102" t="str">
        <f t="array" ref="AD574">_xlfn.XLOOKUP(AB574,Stock1!I574,Stock1!J574,"")</f>
        <v/>
      </c>
      <c r="AE574" s="102" t="str">
        <f t="array" ref="AE574">_xlfn.XLOOKUP("Storage",Stock1!B574,Stock1!I574,"")</f>
        <v/>
      </c>
      <c r="AF574" s="102" t="str">
        <f t="array" ref="AF574">_xlfn.XLOOKUP(AE574,Stock1!I574,Stock1!F574,"")</f>
        <v/>
      </c>
      <c r="AG574" s="102" t="str">
        <f t="array" ref="AG574">_xlfn.XLOOKUP(AE574,Stock1!I574,Stock1!J574,"")</f>
        <v/>
      </c>
    </row>
    <row r="575">
      <c r="K575" s="660" t="str">
        <f t="array" ref="K575">IFERROR(_xlfn.XLOOKUP(I575,Incentive!B:B,Incentive!E:E,""),"")</f>
        <v/>
      </c>
      <c r="L575" s="659" t="str">
        <f>IFERROR(VLOOKUP(I575,Stock1!F:J,5,False),"")</f>
        <v/>
      </c>
      <c r="M575" s="659" t="str">
        <f>IFERROR(VLOOKUP(I575,Stock2!F:J,5,False),"")</f>
        <v/>
      </c>
      <c r="V575" s="102" t="str">
        <f t="array" ref="V575">_xlfn.XLOOKUP("Charger",Stock1!B575,Stock1!I575,"")</f>
        <v/>
      </c>
      <c r="W575" s="102" t="str">
        <f t="array" ref="W575">_xlfn.XLOOKUP(V575,Stock1!I575,Stock1!F575,"")</f>
        <v/>
      </c>
      <c r="X575" s="102" t="str">
        <f t="array" ref="X575">_xlfn.XLOOKUP(V575,Stock1!I575,Stock1!J575,"")</f>
        <v/>
      </c>
      <c r="Y575" s="102" t="str">
        <f t="array" ref="Y575">_xlfn.XLOOKUP("Screen Protector for Android Phone and Other",Stock1!B575,Stock1!I575,"")</f>
        <v/>
      </c>
      <c r="Z575" s="102" t="str">
        <f t="array" ref="Z575">_xlfn.XLOOKUP("Screen Protector for Galaxy Phone",Stock1!B575,Stock1!I575,"")</f>
        <v/>
      </c>
      <c r="AA575" s="102" t="str">
        <f t="array" ref="AA575">_xlfn.XLOOKUP("Screen Protector for Galaxy Tab",Stock1!B575,Stock1!I575,"")</f>
        <v/>
      </c>
      <c r="AB575" s="102" t="str">
        <f t="shared" si="4"/>
        <v/>
      </c>
      <c r="AC575" s="102" t="str">
        <f t="array" ref="AC575">_xlfn.XLOOKUP(AB575,Stock1!I575,Stock1!F575,"")</f>
        <v/>
      </c>
      <c r="AD575" s="102" t="str">
        <f t="array" ref="AD575">_xlfn.XLOOKUP(AB575,Stock1!I575,Stock1!J575,"")</f>
        <v/>
      </c>
      <c r="AE575" s="102" t="str">
        <f t="array" ref="AE575">_xlfn.XLOOKUP("Storage",Stock1!B575,Stock1!I575,"")</f>
        <v/>
      </c>
      <c r="AF575" s="102" t="str">
        <f t="array" ref="AF575">_xlfn.XLOOKUP(AE575,Stock1!I575,Stock1!F575,"")</f>
        <v/>
      </c>
      <c r="AG575" s="102" t="str">
        <f t="array" ref="AG575">_xlfn.XLOOKUP(AE575,Stock1!I575,Stock1!J575,"")</f>
        <v/>
      </c>
    </row>
    <row r="576">
      <c r="K576" s="660" t="str">
        <f t="array" ref="K576">IFERROR(_xlfn.XLOOKUP(I576,Incentive!B:B,Incentive!E:E,""),"")</f>
        <v/>
      </c>
      <c r="L576" s="659" t="str">
        <f>IFERROR(VLOOKUP(I576,Stock1!F:J,5,False),"")</f>
        <v/>
      </c>
      <c r="M576" s="659" t="str">
        <f>IFERROR(VLOOKUP(I576,Stock2!F:J,5,False),"")</f>
        <v/>
      </c>
      <c r="V576" s="102" t="str">
        <f t="array" ref="V576">_xlfn.XLOOKUP("Charger",Stock1!B576,Stock1!I576,"")</f>
        <v/>
      </c>
      <c r="W576" s="102" t="str">
        <f t="array" ref="W576">_xlfn.XLOOKUP(V576,Stock1!I576,Stock1!F576,"")</f>
        <v/>
      </c>
      <c r="X576" s="102" t="str">
        <f t="array" ref="X576">_xlfn.XLOOKUP(V576,Stock1!I576,Stock1!J576,"")</f>
        <v/>
      </c>
      <c r="Y576" s="102" t="str">
        <f t="array" ref="Y576">_xlfn.XLOOKUP("Screen Protector for Android Phone and Other",Stock1!B576,Stock1!I576,"")</f>
        <v/>
      </c>
      <c r="Z576" s="102" t="str">
        <f t="array" ref="Z576">_xlfn.XLOOKUP("Screen Protector for Galaxy Phone",Stock1!B576,Stock1!I576,"")</f>
        <v/>
      </c>
      <c r="AA576" s="102" t="str">
        <f t="array" ref="AA576">_xlfn.XLOOKUP("Screen Protector for Galaxy Tab",Stock1!B576,Stock1!I576,"")</f>
        <v/>
      </c>
      <c r="AB576" s="102" t="str">
        <f t="shared" si="4"/>
        <v/>
      </c>
      <c r="AC576" s="102" t="str">
        <f t="array" ref="AC576">_xlfn.XLOOKUP(AB576,Stock1!I576,Stock1!F576,"")</f>
        <v/>
      </c>
      <c r="AD576" s="102" t="str">
        <f t="array" ref="AD576">_xlfn.XLOOKUP(AB576,Stock1!I576,Stock1!J576,"")</f>
        <v/>
      </c>
      <c r="AE576" s="102" t="str">
        <f t="array" ref="AE576">_xlfn.XLOOKUP("Storage",Stock1!B576,Stock1!I576,"")</f>
        <v/>
      </c>
      <c r="AF576" s="102" t="str">
        <f t="array" ref="AF576">_xlfn.XLOOKUP(AE576,Stock1!I576,Stock1!F576,"")</f>
        <v/>
      </c>
      <c r="AG576" s="102" t="str">
        <f t="array" ref="AG576">_xlfn.XLOOKUP(AE576,Stock1!I576,Stock1!J576,"")</f>
        <v/>
      </c>
    </row>
    <row r="577">
      <c r="K577" s="660" t="str">
        <f t="array" ref="K577">IFERROR(_xlfn.XLOOKUP(I577,Incentive!B:B,Incentive!E:E,""),"")</f>
        <v/>
      </c>
      <c r="L577" s="659" t="str">
        <f>IFERROR(VLOOKUP(I577,Stock1!F:J,5,False),"")</f>
        <v/>
      </c>
      <c r="M577" s="659" t="str">
        <f>IFERROR(VLOOKUP(I577,Stock2!F:J,5,False),"")</f>
        <v/>
      </c>
      <c r="V577" s="102" t="str">
        <f t="array" ref="V577">_xlfn.XLOOKUP("Charger",Stock1!B577,Stock1!I577,"")</f>
        <v/>
      </c>
      <c r="W577" s="102" t="str">
        <f t="array" ref="W577">_xlfn.XLOOKUP(V577,Stock1!I577,Stock1!F577,"")</f>
        <v/>
      </c>
      <c r="X577" s="102" t="str">
        <f t="array" ref="X577">_xlfn.XLOOKUP(V577,Stock1!I577,Stock1!J577,"")</f>
        <v/>
      </c>
      <c r="Y577" s="102" t="str">
        <f t="array" ref="Y577">_xlfn.XLOOKUP("Screen Protector for Android Phone and Other",Stock1!B577,Stock1!I577,"")</f>
        <v/>
      </c>
      <c r="Z577" s="102" t="str">
        <f t="array" ref="Z577">_xlfn.XLOOKUP("Screen Protector for Galaxy Phone",Stock1!B577,Stock1!I577,"")</f>
        <v/>
      </c>
      <c r="AA577" s="102" t="str">
        <f t="array" ref="AA577">_xlfn.XLOOKUP("Screen Protector for Galaxy Tab",Stock1!B577,Stock1!I577,"")</f>
        <v/>
      </c>
      <c r="AB577" s="102" t="str">
        <f t="shared" si="4"/>
        <v/>
      </c>
      <c r="AC577" s="102" t="str">
        <f t="array" ref="AC577">_xlfn.XLOOKUP(AB577,Stock1!I577,Stock1!F577,"")</f>
        <v/>
      </c>
      <c r="AD577" s="102" t="str">
        <f t="array" ref="AD577">_xlfn.XLOOKUP(AB577,Stock1!I577,Stock1!J577,"")</f>
        <v/>
      </c>
      <c r="AE577" s="102" t="str">
        <f t="array" ref="AE577">_xlfn.XLOOKUP("Storage",Stock1!B577,Stock1!I577,"")</f>
        <v/>
      </c>
      <c r="AF577" s="102" t="str">
        <f t="array" ref="AF577">_xlfn.XLOOKUP(AE577,Stock1!I577,Stock1!F577,"")</f>
        <v/>
      </c>
      <c r="AG577" s="102" t="str">
        <f t="array" ref="AG577">_xlfn.XLOOKUP(AE577,Stock1!I577,Stock1!J577,"")</f>
        <v/>
      </c>
    </row>
    <row r="578">
      <c r="K578" s="660" t="str">
        <f t="array" ref="K578">IFERROR(_xlfn.XLOOKUP(I578,Incentive!B:B,Incentive!E:E,""),"")</f>
        <v/>
      </c>
      <c r="L578" s="659" t="str">
        <f>IFERROR(VLOOKUP(I578,Stock1!F:J,5,False),"")</f>
        <v/>
      </c>
      <c r="M578" s="659" t="str">
        <f>IFERROR(VLOOKUP(I578,Stock2!F:J,5,False),"")</f>
        <v/>
      </c>
      <c r="V578" s="102" t="str">
        <f t="array" ref="V578">_xlfn.XLOOKUP("Charger",Stock1!B578,Stock1!I578,"")</f>
        <v/>
      </c>
      <c r="W578" s="102" t="str">
        <f t="array" ref="W578">_xlfn.XLOOKUP(V578,Stock1!I578,Stock1!F578,"")</f>
        <v/>
      </c>
      <c r="X578" s="102" t="str">
        <f t="array" ref="X578">_xlfn.XLOOKUP(V578,Stock1!I578,Stock1!J578,"")</f>
        <v/>
      </c>
      <c r="Y578" s="102" t="str">
        <f t="array" ref="Y578">_xlfn.XLOOKUP("Screen Protector for Android Phone and Other",Stock1!B578,Stock1!I578,"")</f>
        <v/>
      </c>
      <c r="Z578" s="102" t="str">
        <f t="array" ref="Z578">_xlfn.XLOOKUP("Screen Protector for Galaxy Phone",Stock1!B578,Stock1!I578,"")</f>
        <v/>
      </c>
      <c r="AA578" s="102" t="str">
        <f t="array" ref="AA578">_xlfn.XLOOKUP("Screen Protector for Galaxy Tab",Stock1!B578,Stock1!I578,"")</f>
        <v/>
      </c>
      <c r="AB578" s="102" t="str">
        <f t="shared" si="4"/>
        <v/>
      </c>
      <c r="AC578" s="102" t="str">
        <f t="array" ref="AC578">_xlfn.XLOOKUP(AB578,Stock1!I578,Stock1!F578,"")</f>
        <v/>
      </c>
      <c r="AD578" s="102" t="str">
        <f t="array" ref="AD578">_xlfn.XLOOKUP(AB578,Stock1!I578,Stock1!J578,"")</f>
        <v/>
      </c>
      <c r="AE578" s="102" t="str">
        <f t="array" ref="AE578">_xlfn.XLOOKUP("Storage",Stock1!B578,Stock1!I578,"")</f>
        <v/>
      </c>
      <c r="AF578" s="102" t="str">
        <f t="array" ref="AF578">_xlfn.XLOOKUP(AE578,Stock1!I578,Stock1!F578,"")</f>
        <v/>
      </c>
      <c r="AG578" s="102" t="str">
        <f t="array" ref="AG578">_xlfn.XLOOKUP(AE578,Stock1!I578,Stock1!J578,"")</f>
        <v/>
      </c>
    </row>
    <row r="579">
      <c r="K579" s="660" t="str">
        <f t="array" ref="K579">IFERROR(_xlfn.XLOOKUP(I579,Incentive!B:B,Incentive!E:E,""),"")</f>
        <v/>
      </c>
      <c r="L579" s="659" t="str">
        <f>IFERROR(VLOOKUP(I579,Stock1!F:J,5,False),"")</f>
        <v/>
      </c>
      <c r="M579" s="659" t="str">
        <f>IFERROR(VLOOKUP(I579,Stock2!F:J,5,False),"")</f>
        <v/>
      </c>
      <c r="V579" s="102" t="str">
        <f t="array" ref="V579">_xlfn.XLOOKUP("Charger",Stock1!B579,Stock1!I579,"")</f>
        <v/>
      </c>
      <c r="W579" s="102" t="str">
        <f t="array" ref="W579">_xlfn.XLOOKUP(V579,Stock1!I579,Stock1!F579,"")</f>
        <v/>
      </c>
      <c r="X579" s="102" t="str">
        <f t="array" ref="X579">_xlfn.XLOOKUP(V579,Stock1!I579,Stock1!J579,"")</f>
        <v/>
      </c>
      <c r="Y579" s="102" t="str">
        <f t="array" ref="Y579">_xlfn.XLOOKUP("Screen Protector for Android Phone and Other",Stock1!B579,Stock1!I579,"")</f>
        <v/>
      </c>
      <c r="Z579" s="102" t="str">
        <f t="array" ref="Z579">_xlfn.XLOOKUP("Screen Protector for Galaxy Phone",Stock1!B579,Stock1!I579,"")</f>
        <v/>
      </c>
      <c r="AA579" s="102" t="str">
        <f t="array" ref="AA579">_xlfn.XLOOKUP("Screen Protector for Galaxy Tab",Stock1!B579,Stock1!I579,"")</f>
        <v/>
      </c>
      <c r="AB579" s="102" t="str">
        <f t="shared" si="4"/>
        <v/>
      </c>
      <c r="AC579" s="102" t="str">
        <f t="array" ref="AC579">_xlfn.XLOOKUP(AB579,Stock1!I579,Stock1!F579,"")</f>
        <v/>
      </c>
      <c r="AD579" s="102" t="str">
        <f t="array" ref="AD579">_xlfn.XLOOKUP(AB579,Stock1!I579,Stock1!J579,"")</f>
        <v/>
      </c>
      <c r="AE579" s="102" t="str">
        <f t="array" ref="AE579">_xlfn.XLOOKUP("Storage",Stock1!B579,Stock1!I579,"")</f>
        <v/>
      </c>
      <c r="AF579" s="102" t="str">
        <f t="array" ref="AF579">_xlfn.XLOOKUP(AE579,Stock1!I579,Stock1!F579,"")</f>
        <v/>
      </c>
      <c r="AG579" s="102" t="str">
        <f t="array" ref="AG579">_xlfn.XLOOKUP(AE579,Stock1!I579,Stock1!J579,"")</f>
        <v/>
      </c>
    </row>
    <row r="580">
      <c r="K580" s="660" t="str">
        <f t="array" ref="K580">IFERROR(_xlfn.XLOOKUP(I580,Incentive!B:B,Incentive!E:E,""),"")</f>
        <v/>
      </c>
      <c r="L580" s="659" t="str">
        <f>IFERROR(VLOOKUP(I580,Stock1!F:J,5,False),"")</f>
        <v/>
      </c>
      <c r="M580" s="659" t="str">
        <f>IFERROR(VLOOKUP(I580,Stock2!F:J,5,False),"")</f>
        <v/>
      </c>
      <c r="V580" s="102" t="str">
        <f t="array" ref="V580">_xlfn.XLOOKUP("Charger",Stock1!B580,Stock1!I580,"")</f>
        <v/>
      </c>
      <c r="W580" s="102" t="str">
        <f t="array" ref="W580">_xlfn.XLOOKUP(V580,Stock1!I580,Stock1!F580,"")</f>
        <v/>
      </c>
      <c r="X580" s="102" t="str">
        <f t="array" ref="X580">_xlfn.XLOOKUP(V580,Stock1!I580,Stock1!J580,"")</f>
        <v/>
      </c>
      <c r="Y580" s="102" t="str">
        <f t="array" ref="Y580">_xlfn.XLOOKUP("Screen Protector for Android Phone and Other",Stock1!B580,Stock1!I580,"")</f>
        <v/>
      </c>
      <c r="Z580" s="102" t="str">
        <f t="array" ref="Z580">_xlfn.XLOOKUP("Screen Protector for Galaxy Phone",Stock1!B580,Stock1!I580,"")</f>
        <v/>
      </c>
      <c r="AA580" s="102" t="str">
        <f t="array" ref="AA580">_xlfn.XLOOKUP("Screen Protector for Galaxy Tab",Stock1!B580,Stock1!I580,"")</f>
        <v/>
      </c>
      <c r="AB580" s="102" t="str">
        <f t="shared" si="4"/>
        <v/>
      </c>
      <c r="AC580" s="102" t="str">
        <f t="array" ref="AC580">_xlfn.XLOOKUP(AB580,Stock1!I580,Stock1!F580,"")</f>
        <v/>
      </c>
      <c r="AD580" s="102" t="str">
        <f t="array" ref="AD580">_xlfn.XLOOKUP(AB580,Stock1!I580,Stock1!J580,"")</f>
        <v/>
      </c>
      <c r="AE580" s="102" t="str">
        <f t="array" ref="AE580">_xlfn.XLOOKUP("Storage",Stock1!B580,Stock1!I580,"")</f>
        <v/>
      </c>
      <c r="AF580" s="102" t="str">
        <f t="array" ref="AF580">_xlfn.XLOOKUP(AE580,Stock1!I580,Stock1!F580,"")</f>
        <v/>
      </c>
      <c r="AG580" s="102" t="str">
        <f t="array" ref="AG580">_xlfn.XLOOKUP(AE580,Stock1!I580,Stock1!J580,"")</f>
        <v/>
      </c>
    </row>
    <row r="581">
      <c r="K581" s="660" t="str">
        <f t="array" ref="K581">IFERROR(_xlfn.XLOOKUP(I581,Incentive!B:B,Incentive!E:E,""),"")</f>
        <v/>
      </c>
      <c r="L581" s="659" t="str">
        <f>IFERROR(VLOOKUP(I581,Stock1!F:J,5,False),"")</f>
        <v/>
      </c>
      <c r="M581" s="659" t="str">
        <f>IFERROR(VLOOKUP(I581,Stock2!F:J,5,False),"")</f>
        <v/>
      </c>
      <c r="V581" s="102" t="str">
        <f t="array" ref="V581">_xlfn.XLOOKUP("Charger",Stock1!B581,Stock1!I581,"")</f>
        <v/>
      </c>
      <c r="W581" s="102" t="str">
        <f t="array" ref="W581">_xlfn.XLOOKUP(V581,Stock1!I581,Stock1!F581,"")</f>
        <v/>
      </c>
      <c r="X581" s="102" t="str">
        <f t="array" ref="X581">_xlfn.XLOOKUP(V581,Stock1!I581,Stock1!J581,"")</f>
        <v/>
      </c>
      <c r="Y581" s="102" t="str">
        <f t="array" ref="Y581">_xlfn.XLOOKUP("Screen Protector for Android Phone and Other",Stock1!B581,Stock1!I581,"")</f>
        <v/>
      </c>
      <c r="Z581" s="102" t="str">
        <f t="array" ref="Z581">_xlfn.XLOOKUP("Screen Protector for Galaxy Phone",Stock1!B581,Stock1!I581,"")</f>
        <v/>
      </c>
      <c r="AA581" s="102" t="str">
        <f t="array" ref="AA581">_xlfn.XLOOKUP("Screen Protector for Galaxy Tab",Stock1!B581,Stock1!I581,"")</f>
        <v/>
      </c>
      <c r="AB581" s="102" t="str">
        <f t="shared" si="4"/>
        <v/>
      </c>
      <c r="AC581" s="102" t="str">
        <f t="array" ref="AC581">_xlfn.XLOOKUP(AB581,Stock1!I581,Stock1!F581,"")</f>
        <v/>
      </c>
      <c r="AD581" s="102" t="str">
        <f t="array" ref="AD581">_xlfn.XLOOKUP(AB581,Stock1!I581,Stock1!J581,"")</f>
        <v/>
      </c>
      <c r="AE581" s="102" t="str">
        <f t="array" ref="AE581">_xlfn.XLOOKUP("Storage",Stock1!B581,Stock1!I581,"")</f>
        <v/>
      </c>
      <c r="AF581" s="102" t="str">
        <f t="array" ref="AF581">_xlfn.XLOOKUP(AE581,Stock1!I581,Stock1!F581,"")</f>
        <v/>
      </c>
      <c r="AG581" s="102" t="str">
        <f t="array" ref="AG581">_xlfn.XLOOKUP(AE581,Stock1!I581,Stock1!J581,"")</f>
        <v/>
      </c>
    </row>
    <row r="582">
      <c r="K582" s="660" t="str">
        <f t="array" ref="K582">IFERROR(_xlfn.XLOOKUP(I582,Incentive!B:B,Incentive!E:E,""),"")</f>
        <v/>
      </c>
      <c r="L582" s="659" t="str">
        <f>IFERROR(VLOOKUP(I582,Stock1!F:J,5,False),"")</f>
        <v/>
      </c>
      <c r="M582" s="659" t="str">
        <f>IFERROR(VLOOKUP(I582,Stock2!F:J,5,False),"")</f>
        <v/>
      </c>
      <c r="V582" s="102" t="str">
        <f t="array" ref="V582">_xlfn.XLOOKUP("Charger",Stock1!B582,Stock1!I582,"")</f>
        <v/>
      </c>
      <c r="W582" s="102" t="str">
        <f t="array" ref="W582">_xlfn.XLOOKUP(V582,Stock1!I582,Stock1!F582,"")</f>
        <v/>
      </c>
      <c r="X582" s="102" t="str">
        <f t="array" ref="X582">_xlfn.XLOOKUP(V582,Stock1!I582,Stock1!J582,"")</f>
        <v/>
      </c>
      <c r="Y582" s="102" t="str">
        <f t="array" ref="Y582">_xlfn.XLOOKUP("Screen Protector for Android Phone and Other",Stock1!B582,Stock1!I582,"")</f>
        <v/>
      </c>
      <c r="Z582" s="102" t="str">
        <f t="array" ref="Z582">_xlfn.XLOOKUP("Screen Protector for Galaxy Phone",Stock1!B582,Stock1!I582,"")</f>
        <v/>
      </c>
      <c r="AA582" s="102" t="str">
        <f t="array" ref="AA582">_xlfn.XLOOKUP("Screen Protector for Galaxy Tab",Stock1!B582,Stock1!I582,"")</f>
        <v/>
      </c>
      <c r="AB582" s="102" t="str">
        <f t="shared" si="4"/>
        <v/>
      </c>
      <c r="AC582" s="102" t="str">
        <f t="array" ref="AC582">_xlfn.XLOOKUP(AB582,Stock1!I582,Stock1!F582,"")</f>
        <v/>
      </c>
      <c r="AD582" s="102" t="str">
        <f t="array" ref="AD582">_xlfn.XLOOKUP(AB582,Stock1!I582,Stock1!J582,"")</f>
        <v/>
      </c>
      <c r="AE582" s="102" t="str">
        <f t="array" ref="AE582">_xlfn.XLOOKUP("Storage",Stock1!B582,Stock1!I582,"")</f>
        <v/>
      </c>
      <c r="AF582" s="102" t="str">
        <f t="array" ref="AF582">_xlfn.XLOOKUP(AE582,Stock1!I582,Stock1!F582,"")</f>
        <v/>
      </c>
      <c r="AG582" s="102" t="str">
        <f t="array" ref="AG582">_xlfn.XLOOKUP(AE582,Stock1!I582,Stock1!J582,"")</f>
        <v/>
      </c>
    </row>
    <row r="583">
      <c r="K583" s="660" t="str">
        <f t="array" ref="K583">IFERROR(_xlfn.XLOOKUP(I583,Incentive!B:B,Incentive!E:E,""),"")</f>
        <v/>
      </c>
      <c r="L583" s="659" t="str">
        <f>IFERROR(VLOOKUP(I583,Stock1!F:J,5,False),"")</f>
        <v/>
      </c>
      <c r="M583" s="659" t="str">
        <f>IFERROR(VLOOKUP(I583,Stock2!F:J,5,False),"")</f>
        <v/>
      </c>
      <c r="V583" s="102" t="str">
        <f t="array" ref="V583">_xlfn.XLOOKUP("Charger",Stock1!B583,Stock1!I583,"")</f>
        <v/>
      </c>
      <c r="W583" s="102" t="str">
        <f t="array" ref="W583">_xlfn.XLOOKUP(V583,Stock1!I583,Stock1!F583,"")</f>
        <v/>
      </c>
      <c r="X583" s="102" t="str">
        <f t="array" ref="X583">_xlfn.XLOOKUP(V583,Stock1!I583,Stock1!J583,"")</f>
        <v/>
      </c>
      <c r="Y583" s="102" t="str">
        <f t="array" ref="Y583">_xlfn.XLOOKUP("Screen Protector for Android Phone and Other",Stock1!B583,Stock1!I583,"")</f>
        <v/>
      </c>
      <c r="Z583" s="102" t="str">
        <f t="array" ref="Z583">_xlfn.XLOOKUP("Screen Protector for Galaxy Phone",Stock1!B583,Stock1!I583,"")</f>
        <v/>
      </c>
      <c r="AA583" s="102" t="str">
        <f t="array" ref="AA583">_xlfn.XLOOKUP("Screen Protector for Galaxy Tab",Stock1!B583,Stock1!I583,"")</f>
        <v/>
      </c>
      <c r="AB583" s="102" t="str">
        <f t="shared" si="4"/>
        <v/>
      </c>
      <c r="AC583" s="102" t="str">
        <f t="array" ref="AC583">_xlfn.XLOOKUP(AB583,Stock1!I583,Stock1!F583,"")</f>
        <v/>
      </c>
      <c r="AD583" s="102" t="str">
        <f t="array" ref="AD583">_xlfn.XLOOKUP(AB583,Stock1!I583,Stock1!J583,"")</f>
        <v/>
      </c>
      <c r="AE583" s="102" t="str">
        <f t="array" ref="AE583">_xlfn.XLOOKUP("Storage",Stock1!B583,Stock1!I583,"")</f>
        <v/>
      </c>
      <c r="AF583" s="102" t="str">
        <f t="array" ref="AF583">_xlfn.XLOOKUP(AE583,Stock1!I583,Stock1!F583,"")</f>
        <v/>
      </c>
      <c r="AG583" s="102" t="str">
        <f t="array" ref="AG583">_xlfn.XLOOKUP(AE583,Stock1!I583,Stock1!J583,"")</f>
        <v/>
      </c>
    </row>
    <row r="584">
      <c r="K584" s="660" t="str">
        <f t="array" ref="K584">IFERROR(_xlfn.XLOOKUP(I584,Incentive!B:B,Incentive!E:E,""),"")</f>
        <v/>
      </c>
      <c r="L584" s="659" t="str">
        <f>IFERROR(VLOOKUP(I584,Stock1!F:J,5,False),"")</f>
        <v/>
      </c>
      <c r="M584" s="659" t="str">
        <f>IFERROR(VLOOKUP(I584,Stock2!F:J,5,False),"")</f>
        <v/>
      </c>
      <c r="V584" s="102" t="str">
        <f t="array" ref="V584">_xlfn.XLOOKUP("Charger",Stock1!B584,Stock1!I584,"")</f>
        <v/>
      </c>
      <c r="W584" s="102" t="str">
        <f t="array" ref="W584">_xlfn.XLOOKUP(V584,Stock1!I584,Stock1!F584,"")</f>
        <v/>
      </c>
      <c r="X584" s="102" t="str">
        <f t="array" ref="X584">_xlfn.XLOOKUP(V584,Stock1!I584,Stock1!J584,"")</f>
        <v/>
      </c>
      <c r="Y584" s="102" t="str">
        <f t="array" ref="Y584">_xlfn.XLOOKUP("Screen Protector for Android Phone and Other",Stock1!B584,Stock1!I584,"")</f>
        <v/>
      </c>
      <c r="Z584" s="102" t="str">
        <f t="array" ref="Z584">_xlfn.XLOOKUP("Screen Protector for Galaxy Phone",Stock1!B584,Stock1!I584,"")</f>
        <v/>
      </c>
      <c r="AA584" s="102" t="str">
        <f t="array" ref="AA584">_xlfn.XLOOKUP("Screen Protector for Galaxy Tab",Stock1!B584,Stock1!I584,"")</f>
        <v/>
      </c>
      <c r="AB584" s="102" t="str">
        <f t="shared" si="4"/>
        <v/>
      </c>
      <c r="AC584" s="102" t="str">
        <f t="array" ref="AC584">_xlfn.XLOOKUP(AB584,Stock1!I584,Stock1!F584,"")</f>
        <v/>
      </c>
      <c r="AD584" s="102" t="str">
        <f t="array" ref="AD584">_xlfn.XLOOKUP(AB584,Stock1!I584,Stock1!J584,"")</f>
        <v/>
      </c>
      <c r="AE584" s="102" t="str">
        <f t="array" ref="AE584">_xlfn.XLOOKUP("Storage",Stock1!B584,Stock1!I584,"")</f>
        <v/>
      </c>
      <c r="AF584" s="102" t="str">
        <f t="array" ref="AF584">_xlfn.XLOOKUP(AE584,Stock1!I584,Stock1!F584,"")</f>
        <v/>
      </c>
      <c r="AG584" s="102" t="str">
        <f t="array" ref="AG584">_xlfn.XLOOKUP(AE584,Stock1!I584,Stock1!J584,"")</f>
        <v/>
      </c>
    </row>
    <row r="585">
      <c r="K585" s="660" t="str">
        <f t="array" ref="K585">IFERROR(_xlfn.XLOOKUP(I585,Incentive!B:B,Incentive!E:E,""),"")</f>
        <v/>
      </c>
      <c r="L585" s="659" t="str">
        <f>IFERROR(VLOOKUP(I585,Stock1!F:J,5,False),"")</f>
        <v/>
      </c>
      <c r="M585" s="659" t="str">
        <f>IFERROR(VLOOKUP(I585,Stock2!F:J,5,False),"")</f>
        <v/>
      </c>
      <c r="V585" s="102" t="str">
        <f t="array" ref="V585">_xlfn.XLOOKUP("Charger",Stock1!B585,Stock1!I585,"")</f>
        <v/>
      </c>
      <c r="W585" s="102" t="str">
        <f t="array" ref="W585">_xlfn.XLOOKUP(V585,Stock1!I585,Stock1!F585,"")</f>
        <v/>
      </c>
      <c r="X585" s="102" t="str">
        <f t="array" ref="X585">_xlfn.XLOOKUP(V585,Stock1!I585,Stock1!J585,"")</f>
        <v/>
      </c>
      <c r="Y585" s="102" t="str">
        <f t="array" ref="Y585">_xlfn.XLOOKUP("Screen Protector for Android Phone and Other",Stock1!B585,Stock1!I585,"")</f>
        <v/>
      </c>
      <c r="Z585" s="102" t="str">
        <f t="array" ref="Z585">_xlfn.XLOOKUP("Screen Protector for Galaxy Phone",Stock1!B585,Stock1!I585,"")</f>
        <v/>
      </c>
      <c r="AA585" s="102" t="str">
        <f t="array" ref="AA585">_xlfn.XLOOKUP("Screen Protector for Galaxy Tab",Stock1!B585,Stock1!I585,"")</f>
        <v/>
      </c>
      <c r="AB585" s="102" t="str">
        <f t="shared" si="4"/>
        <v/>
      </c>
      <c r="AC585" s="102" t="str">
        <f t="array" ref="AC585">_xlfn.XLOOKUP(AB585,Stock1!I585,Stock1!F585,"")</f>
        <v/>
      </c>
      <c r="AD585" s="102" t="str">
        <f t="array" ref="AD585">_xlfn.XLOOKUP(AB585,Stock1!I585,Stock1!J585,"")</f>
        <v/>
      </c>
      <c r="AE585" s="102" t="str">
        <f t="array" ref="AE585">_xlfn.XLOOKUP("Storage",Stock1!B585,Stock1!I585,"")</f>
        <v/>
      </c>
      <c r="AF585" s="102" t="str">
        <f t="array" ref="AF585">_xlfn.XLOOKUP(AE585,Stock1!I585,Stock1!F585,"")</f>
        <v/>
      </c>
      <c r="AG585" s="102" t="str">
        <f t="array" ref="AG585">_xlfn.XLOOKUP(AE585,Stock1!I585,Stock1!J585,"")</f>
        <v/>
      </c>
    </row>
    <row r="586">
      <c r="K586" s="660" t="str">
        <f t="array" ref="K586">IFERROR(_xlfn.XLOOKUP(I586,Incentive!B:B,Incentive!E:E,""),"")</f>
        <v/>
      </c>
      <c r="L586" s="659" t="str">
        <f>IFERROR(VLOOKUP(I586,Stock1!F:J,5,False),"")</f>
        <v/>
      </c>
      <c r="M586" s="659" t="str">
        <f>IFERROR(VLOOKUP(I586,Stock2!F:J,5,False),"")</f>
        <v/>
      </c>
      <c r="V586" s="102" t="str">
        <f t="array" ref="V586">_xlfn.XLOOKUP("Charger",Stock1!B586,Stock1!I586,"")</f>
        <v/>
      </c>
      <c r="W586" s="102" t="str">
        <f t="array" ref="W586">_xlfn.XLOOKUP(V586,Stock1!I586,Stock1!F586,"")</f>
        <v/>
      </c>
      <c r="X586" s="102" t="str">
        <f t="array" ref="X586">_xlfn.XLOOKUP(V586,Stock1!I586,Stock1!J586,"")</f>
        <v/>
      </c>
      <c r="Y586" s="102" t="str">
        <f t="array" ref="Y586">_xlfn.XLOOKUP("Screen Protector for Android Phone and Other",Stock1!B586,Stock1!I586,"")</f>
        <v/>
      </c>
      <c r="Z586" s="102" t="str">
        <f t="array" ref="Z586">_xlfn.XLOOKUP("Screen Protector for Galaxy Phone",Stock1!B586,Stock1!I586,"")</f>
        <v/>
      </c>
      <c r="AA586" s="102" t="str">
        <f t="array" ref="AA586">_xlfn.XLOOKUP("Screen Protector for Galaxy Tab",Stock1!B586,Stock1!I586,"")</f>
        <v/>
      </c>
      <c r="AB586" s="102" t="str">
        <f t="shared" si="4"/>
        <v/>
      </c>
      <c r="AC586" s="102" t="str">
        <f t="array" ref="AC586">_xlfn.XLOOKUP(AB586,Stock1!I586,Stock1!F586,"")</f>
        <v/>
      </c>
      <c r="AD586" s="102" t="str">
        <f t="array" ref="AD586">_xlfn.XLOOKUP(AB586,Stock1!I586,Stock1!J586,"")</f>
        <v/>
      </c>
      <c r="AE586" s="102" t="str">
        <f t="array" ref="AE586">_xlfn.XLOOKUP("Storage",Stock1!B586,Stock1!I586,"")</f>
        <v/>
      </c>
      <c r="AF586" s="102" t="str">
        <f t="array" ref="AF586">_xlfn.XLOOKUP(AE586,Stock1!I586,Stock1!F586,"")</f>
        <v/>
      </c>
      <c r="AG586" s="102" t="str">
        <f t="array" ref="AG586">_xlfn.XLOOKUP(AE586,Stock1!I586,Stock1!J586,"")</f>
        <v/>
      </c>
    </row>
    <row r="587">
      <c r="K587" s="660" t="str">
        <f t="array" ref="K587">IFERROR(_xlfn.XLOOKUP(I587,Incentive!B:B,Incentive!E:E,""),"")</f>
        <v/>
      </c>
      <c r="L587" s="659" t="str">
        <f>IFERROR(VLOOKUP(I587,Stock1!F:J,5,False),"")</f>
        <v/>
      </c>
      <c r="M587" s="659" t="str">
        <f>IFERROR(VLOOKUP(I587,Stock2!F:J,5,False),"")</f>
        <v/>
      </c>
      <c r="V587" s="102" t="str">
        <f t="array" ref="V587">_xlfn.XLOOKUP("Charger",Stock1!B587,Stock1!I587,"")</f>
        <v/>
      </c>
      <c r="W587" s="102" t="str">
        <f t="array" ref="W587">_xlfn.XLOOKUP(V587,Stock1!I587,Stock1!F587,"")</f>
        <v/>
      </c>
      <c r="X587" s="102" t="str">
        <f t="array" ref="X587">_xlfn.XLOOKUP(V587,Stock1!I587,Stock1!J587,"")</f>
        <v/>
      </c>
      <c r="Y587" s="102" t="str">
        <f t="array" ref="Y587">_xlfn.XLOOKUP("Screen Protector for Android Phone and Other",Stock1!B587,Stock1!I587,"")</f>
        <v/>
      </c>
      <c r="Z587" s="102" t="str">
        <f t="array" ref="Z587">_xlfn.XLOOKUP("Screen Protector for Galaxy Phone",Stock1!B587,Stock1!I587,"")</f>
        <v/>
      </c>
      <c r="AA587" s="102" t="str">
        <f t="array" ref="AA587">_xlfn.XLOOKUP("Screen Protector for Galaxy Tab",Stock1!B587,Stock1!I587,"")</f>
        <v/>
      </c>
      <c r="AB587" s="102" t="str">
        <f t="shared" si="4"/>
        <v/>
      </c>
      <c r="AC587" s="102" t="str">
        <f t="array" ref="AC587">_xlfn.XLOOKUP(AB587,Stock1!I587,Stock1!F587,"")</f>
        <v/>
      </c>
      <c r="AD587" s="102" t="str">
        <f t="array" ref="AD587">_xlfn.XLOOKUP(AB587,Stock1!I587,Stock1!J587,"")</f>
        <v/>
      </c>
      <c r="AE587" s="102" t="str">
        <f t="array" ref="AE587">_xlfn.XLOOKUP("Storage",Stock1!B587,Stock1!I587,"")</f>
        <v/>
      </c>
      <c r="AF587" s="102" t="str">
        <f t="array" ref="AF587">_xlfn.XLOOKUP(AE587,Stock1!I587,Stock1!F587,"")</f>
        <v/>
      </c>
      <c r="AG587" s="102" t="str">
        <f t="array" ref="AG587">_xlfn.XLOOKUP(AE587,Stock1!I587,Stock1!J587,"")</f>
        <v/>
      </c>
    </row>
    <row r="588">
      <c r="K588" s="660" t="str">
        <f t="array" ref="K588">IFERROR(_xlfn.XLOOKUP(I588,Incentive!B:B,Incentive!E:E,""),"")</f>
        <v/>
      </c>
      <c r="L588" s="659" t="str">
        <f>IFERROR(VLOOKUP(I588,Stock1!F:J,5,False),"")</f>
        <v/>
      </c>
      <c r="M588" s="659" t="str">
        <f>IFERROR(VLOOKUP(I588,Stock2!F:J,5,False),"")</f>
        <v/>
      </c>
      <c r="V588" s="102" t="str">
        <f t="array" ref="V588">_xlfn.XLOOKUP("Charger",Stock1!B588,Stock1!I588,"")</f>
        <v/>
      </c>
      <c r="W588" s="102" t="str">
        <f t="array" ref="W588">_xlfn.XLOOKUP(V588,Stock1!I588,Stock1!F588,"")</f>
        <v/>
      </c>
      <c r="X588" s="102" t="str">
        <f t="array" ref="X588">_xlfn.XLOOKUP(V588,Stock1!I588,Stock1!J588,"")</f>
        <v/>
      </c>
      <c r="Y588" s="102" t="str">
        <f t="array" ref="Y588">_xlfn.XLOOKUP("Screen Protector for Android Phone and Other",Stock1!B588,Stock1!I588,"")</f>
        <v/>
      </c>
      <c r="Z588" s="102" t="str">
        <f t="array" ref="Z588">_xlfn.XLOOKUP("Screen Protector for Galaxy Phone",Stock1!B588,Stock1!I588,"")</f>
        <v/>
      </c>
      <c r="AA588" s="102" t="str">
        <f t="array" ref="AA588">_xlfn.XLOOKUP("Screen Protector for Galaxy Tab",Stock1!B588,Stock1!I588,"")</f>
        <v/>
      </c>
      <c r="AB588" s="102" t="str">
        <f t="shared" si="4"/>
        <v/>
      </c>
      <c r="AC588" s="102" t="str">
        <f t="array" ref="AC588">_xlfn.XLOOKUP(AB588,Stock1!I588,Stock1!F588,"")</f>
        <v/>
      </c>
      <c r="AD588" s="102" t="str">
        <f t="array" ref="AD588">_xlfn.XLOOKUP(AB588,Stock1!I588,Stock1!J588,"")</f>
        <v/>
      </c>
      <c r="AE588" s="102" t="str">
        <f t="array" ref="AE588">_xlfn.XLOOKUP("Storage",Stock1!B588,Stock1!I588,"")</f>
        <v/>
      </c>
      <c r="AF588" s="102" t="str">
        <f t="array" ref="AF588">_xlfn.XLOOKUP(AE588,Stock1!I588,Stock1!F588,"")</f>
        <v/>
      </c>
      <c r="AG588" s="102" t="str">
        <f t="array" ref="AG588">_xlfn.XLOOKUP(AE588,Stock1!I588,Stock1!J588,"")</f>
        <v/>
      </c>
    </row>
    <row r="589">
      <c r="K589" s="660" t="str">
        <f t="array" ref="K589">IFERROR(_xlfn.XLOOKUP(I589,Incentive!B:B,Incentive!E:E,""),"")</f>
        <v/>
      </c>
      <c r="L589" s="659" t="str">
        <f>IFERROR(VLOOKUP(I589,Stock1!F:J,5,False),"")</f>
        <v/>
      </c>
      <c r="M589" s="659" t="str">
        <f>IFERROR(VLOOKUP(I589,Stock2!F:J,5,False),"")</f>
        <v/>
      </c>
      <c r="V589" s="102" t="str">
        <f t="array" ref="V589">_xlfn.XLOOKUP("Charger",Stock1!B589,Stock1!I589,"")</f>
        <v/>
      </c>
      <c r="W589" s="102" t="str">
        <f t="array" ref="W589">_xlfn.XLOOKUP(V589,Stock1!I589,Stock1!F589,"")</f>
        <v/>
      </c>
      <c r="X589" s="102" t="str">
        <f t="array" ref="X589">_xlfn.XLOOKUP(V589,Stock1!I589,Stock1!J589,"")</f>
        <v/>
      </c>
      <c r="Y589" s="102" t="str">
        <f t="array" ref="Y589">_xlfn.XLOOKUP("Screen Protector for Android Phone and Other",Stock1!B589,Stock1!I589,"")</f>
        <v/>
      </c>
      <c r="Z589" s="102" t="str">
        <f t="array" ref="Z589">_xlfn.XLOOKUP("Screen Protector for Galaxy Phone",Stock1!B589,Stock1!I589,"")</f>
        <v/>
      </c>
      <c r="AA589" s="102" t="str">
        <f t="array" ref="AA589">_xlfn.XLOOKUP("Screen Protector for Galaxy Tab",Stock1!B589,Stock1!I589,"")</f>
        <v/>
      </c>
      <c r="AB589" s="102" t="str">
        <f t="shared" si="4"/>
        <v/>
      </c>
      <c r="AC589" s="102" t="str">
        <f t="array" ref="AC589">_xlfn.XLOOKUP(AB589,Stock1!I589,Stock1!F589,"")</f>
        <v/>
      </c>
      <c r="AD589" s="102" t="str">
        <f t="array" ref="AD589">_xlfn.XLOOKUP(AB589,Stock1!I589,Stock1!J589,"")</f>
        <v/>
      </c>
      <c r="AE589" s="102" t="str">
        <f t="array" ref="AE589">_xlfn.XLOOKUP("Storage",Stock1!B589,Stock1!I589,"")</f>
        <v/>
      </c>
      <c r="AF589" s="102" t="str">
        <f t="array" ref="AF589">_xlfn.XLOOKUP(AE589,Stock1!I589,Stock1!F589,"")</f>
        <v/>
      </c>
      <c r="AG589" s="102" t="str">
        <f t="array" ref="AG589">_xlfn.XLOOKUP(AE589,Stock1!I589,Stock1!J589,"")</f>
        <v/>
      </c>
    </row>
    <row r="590">
      <c r="K590" s="660" t="str">
        <f t="array" ref="K590">IFERROR(_xlfn.XLOOKUP(I590,Incentive!B:B,Incentive!E:E,""),"")</f>
        <v/>
      </c>
      <c r="L590" s="659" t="str">
        <f>IFERROR(VLOOKUP(I590,Stock1!F:J,5,False),"")</f>
        <v/>
      </c>
      <c r="M590" s="659" t="str">
        <f>IFERROR(VLOOKUP(I590,Stock2!F:J,5,False),"")</f>
        <v/>
      </c>
      <c r="V590" s="102" t="str">
        <f t="array" ref="V590">_xlfn.XLOOKUP("Charger",Stock1!B590,Stock1!I590,"")</f>
        <v/>
      </c>
      <c r="W590" s="102" t="str">
        <f t="array" ref="W590">_xlfn.XLOOKUP(V590,Stock1!I590,Stock1!F590,"")</f>
        <v/>
      </c>
      <c r="X590" s="102" t="str">
        <f t="array" ref="X590">_xlfn.XLOOKUP(V590,Stock1!I590,Stock1!J590,"")</f>
        <v/>
      </c>
      <c r="Y590" s="102" t="str">
        <f t="array" ref="Y590">_xlfn.XLOOKUP("Screen Protector for Android Phone and Other",Stock1!B590,Stock1!I590,"")</f>
        <v/>
      </c>
      <c r="Z590" s="102" t="str">
        <f t="array" ref="Z590">_xlfn.XLOOKUP("Screen Protector for Galaxy Phone",Stock1!B590,Stock1!I590,"")</f>
        <v/>
      </c>
      <c r="AA590" s="102" t="str">
        <f t="array" ref="AA590">_xlfn.XLOOKUP("Screen Protector for Galaxy Tab",Stock1!B590,Stock1!I590,"")</f>
        <v/>
      </c>
      <c r="AB590" s="102" t="str">
        <f t="shared" si="4"/>
        <v/>
      </c>
      <c r="AC590" s="102" t="str">
        <f t="array" ref="AC590">_xlfn.XLOOKUP(AB590,Stock1!I590,Stock1!F590,"")</f>
        <v/>
      </c>
      <c r="AD590" s="102" t="str">
        <f t="array" ref="AD590">_xlfn.XLOOKUP(AB590,Stock1!I590,Stock1!J590,"")</f>
        <v/>
      </c>
      <c r="AE590" s="102" t="str">
        <f t="array" ref="AE590">_xlfn.XLOOKUP("Storage",Stock1!B590,Stock1!I590,"")</f>
        <v/>
      </c>
      <c r="AF590" s="102" t="str">
        <f t="array" ref="AF590">_xlfn.XLOOKUP(AE590,Stock1!I590,Stock1!F590,"")</f>
        <v/>
      </c>
      <c r="AG590" s="102" t="str">
        <f t="array" ref="AG590">_xlfn.XLOOKUP(AE590,Stock1!I590,Stock1!J590,"")</f>
        <v/>
      </c>
    </row>
    <row r="591">
      <c r="K591" s="660" t="str">
        <f t="array" ref="K591">IFERROR(_xlfn.XLOOKUP(I591,Incentive!B:B,Incentive!E:E,""),"")</f>
        <v/>
      </c>
      <c r="L591" s="659" t="str">
        <f>IFERROR(VLOOKUP(I591,Stock1!F:J,5,False),"")</f>
        <v/>
      </c>
      <c r="M591" s="659" t="str">
        <f>IFERROR(VLOOKUP(I591,Stock2!F:J,5,False),"")</f>
        <v/>
      </c>
      <c r="V591" s="102" t="str">
        <f t="array" ref="V591">_xlfn.XLOOKUP("Charger",Stock1!B591,Stock1!I591,"")</f>
        <v/>
      </c>
      <c r="W591" s="102" t="str">
        <f t="array" ref="W591">_xlfn.XLOOKUP(V591,Stock1!I591,Stock1!F591,"")</f>
        <v/>
      </c>
      <c r="X591" s="102" t="str">
        <f t="array" ref="X591">_xlfn.XLOOKUP(V591,Stock1!I591,Stock1!J591,"")</f>
        <v/>
      </c>
      <c r="Y591" s="102" t="str">
        <f t="array" ref="Y591">_xlfn.XLOOKUP("Screen Protector for Android Phone and Other",Stock1!B591,Stock1!I591,"")</f>
        <v/>
      </c>
      <c r="Z591" s="102" t="str">
        <f t="array" ref="Z591">_xlfn.XLOOKUP("Screen Protector for Galaxy Phone",Stock1!B591,Stock1!I591,"")</f>
        <v/>
      </c>
      <c r="AA591" s="102" t="str">
        <f t="array" ref="AA591">_xlfn.XLOOKUP("Screen Protector for Galaxy Tab",Stock1!B591,Stock1!I591,"")</f>
        <v/>
      </c>
      <c r="AB591" s="102" t="str">
        <f t="shared" si="4"/>
        <v/>
      </c>
      <c r="AC591" s="102" t="str">
        <f t="array" ref="AC591">_xlfn.XLOOKUP(AB591,Stock1!I591,Stock1!F591,"")</f>
        <v/>
      </c>
      <c r="AD591" s="102" t="str">
        <f t="array" ref="AD591">_xlfn.XLOOKUP(AB591,Stock1!I591,Stock1!J591,"")</f>
        <v/>
      </c>
      <c r="AE591" s="102" t="str">
        <f t="array" ref="AE591">_xlfn.XLOOKUP("Storage",Stock1!B591,Stock1!I591,"")</f>
        <v/>
      </c>
      <c r="AF591" s="102" t="str">
        <f t="array" ref="AF591">_xlfn.XLOOKUP(AE591,Stock1!I591,Stock1!F591,"")</f>
        <v/>
      </c>
      <c r="AG591" s="102" t="str">
        <f t="array" ref="AG591">_xlfn.XLOOKUP(AE591,Stock1!I591,Stock1!J591,"")</f>
        <v/>
      </c>
    </row>
    <row r="592">
      <c r="K592" s="660" t="str">
        <f t="array" ref="K592">IFERROR(_xlfn.XLOOKUP(I592,Incentive!B:B,Incentive!E:E,""),"")</f>
        <v/>
      </c>
      <c r="L592" s="659" t="str">
        <f>IFERROR(VLOOKUP(I592,Stock1!F:J,5,False),"")</f>
        <v/>
      </c>
      <c r="M592" s="659" t="str">
        <f>IFERROR(VLOOKUP(I592,Stock2!F:J,5,False),"")</f>
        <v/>
      </c>
      <c r="V592" s="102" t="str">
        <f t="array" ref="V592">_xlfn.XLOOKUP("Charger",Stock1!B592,Stock1!I592,"")</f>
        <v/>
      </c>
      <c r="W592" s="102" t="str">
        <f t="array" ref="W592">_xlfn.XLOOKUP(V592,Stock1!I592,Stock1!F592,"")</f>
        <v/>
      </c>
      <c r="X592" s="102" t="str">
        <f t="array" ref="X592">_xlfn.XLOOKUP(V592,Stock1!I592,Stock1!J592,"")</f>
        <v/>
      </c>
      <c r="Y592" s="102" t="str">
        <f t="array" ref="Y592">_xlfn.XLOOKUP("Screen Protector for Android Phone and Other",Stock1!B592,Stock1!I592,"")</f>
        <v/>
      </c>
      <c r="Z592" s="102" t="str">
        <f t="array" ref="Z592">_xlfn.XLOOKUP("Screen Protector for Galaxy Phone",Stock1!B592,Stock1!I592,"")</f>
        <v/>
      </c>
      <c r="AA592" s="102" t="str">
        <f t="array" ref="AA592">_xlfn.XLOOKUP("Screen Protector for Galaxy Tab",Stock1!B592,Stock1!I592,"")</f>
        <v/>
      </c>
      <c r="AB592" s="102" t="str">
        <f t="shared" si="4"/>
        <v/>
      </c>
      <c r="AC592" s="102" t="str">
        <f t="array" ref="AC592">_xlfn.XLOOKUP(AB592,Stock1!I592,Stock1!F592,"")</f>
        <v/>
      </c>
      <c r="AD592" s="102" t="str">
        <f t="array" ref="AD592">_xlfn.XLOOKUP(AB592,Stock1!I592,Stock1!J592,"")</f>
        <v/>
      </c>
      <c r="AE592" s="102" t="str">
        <f t="array" ref="AE592">_xlfn.XLOOKUP("Storage",Stock1!B592,Stock1!I592,"")</f>
        <v/>
      </c>
      <c r="AF592" s="102" t="str">
        <f t="array" ref="AF592">_xlfn.XLOOKUP(AE592,Stock1!I592,Stock1!F592,"")</f>
        <v/>
      </c>
      <c r="AG592" s="102" t="str">
        <f t="array" ref="AG592">_xlfn.XLOOKUP(AE592,Stock1!I592,Stock1!J592,"")</f>
        <v/>
      </c>
    </row>
    <row r="593">
      <c r="K593" s="660" t="str">
        <f t="array" ref="K593">IFERROR(_xlfn.XLOOKUP(I593,Incentive!B:B,Incentive!E:E,""),"")</f>
        <v/>
      </c>
      <c r="L593" s="659" t="str">
        <f>IFERROR(VLOOKUP(I593,Stock1!F:J,5,False),"")</f>
        <v/>
      </c>
      <c r="M593" s="659" t="str">
        <f>IFERROR(VLOOKUP(I593,Stock2!F:J,5,False),"")</f>
        <v/>
      </c>
      <c r="V593" s="102" t="str">
        <f t="array" ref="V593">_xlfn.XLOOKUP("Charger",Stock1!B593,Stock1!I593,"")</f>
        <v/>
      </c>
      <c r="W593" s="102" t="str">
        <f t="array" ref="W593">_xlfn.XLOOKUP(V593,Stock1!I593,Stock1!F593,"")</f>
        <v/>
      </c>
      <c r="X593" s="102" t="str">
        <f t="array" ref="X593">_xlfn.XLOOKUP(V593,Stock1!I593,Stock1!J593,"")</f>
        <v/>
      </c>
      <c r="Y593" s="102" t="str">
        <f t="array" ref="Y593">_xlfn.XLOOKUP("Screen Protector for Android Phone and Other",Stock1!B593,Stock1!I593,"")</f>
        <v/>
      </c>
      <c r="Z593" s="102" t="str">
        <f t="array" ref="Z593">_xlfn.XLOOKUP("Screen Protector for Galaxy Phone",Stock1!B593,Stock1!I593,"")</f>
        <v/>
      </c>
      <c r="AA593" s="102" t="str">
        <f t="array" ref="AA593">_xlfn.XLOOKUP("Screen Protector for Galaxy Tab",Stock1!B593,Stock1!I593,"")</f>
        <v/>
      </c>
      <c r="AB593" s="102" t="str">
        <f t="shared" si="4"/>
        <v/>
      </c>
      <c r="AC593" s="102" t="str">
        <f t="array" ref="AC593">_xlfn.XLOOKUP(AB593,Stock1!I593,Stock1!F593,"")</f>
        <v/>
      </c>
      <c r="AD593" s="102" t="str">
        <f t="array" ref="AD593">_xlfn.XLOOKUP(AB593,Stock1!I593,Stock1!J593,"")</f>
        <v/>
      </c>
      <c r="AE593" s="102" t="str">
        <f t="array" ref="AE593">_xlfn.XLOOKUP("Storage",Stock1!B593,Stock1!I593,"")</f>
        <v/>
      </c>
      <c r="AF593" s="102" t="str">
        <f t="array" ref="AF593">_xlfn.XLOOKUP(AE593,Stock1!I593,Stock1!F593,"")</f>
        <v/>
      </c>
      <c r="AG593" s="102" t="str">
        <f t="array" ref="AG593">_xlfn.XLOOKUP(AE593,Stock1!I593,Stock1!J593,"")</f>
        <v/>
      </c>
    </row>
    <row r="594">
      <c r="K594" s="660" t="str">
        <f t="array" ref="K594">IFERROR(_xlfn.XLOOKUP(I594,Incentive!B:B,Incentive!E:E,""),"")</f>
        <v/>
      </c>
      <c r="L594" s="659" t="str">
        <f>IFERROR(VLOOKUP(I594,Stock1!F:J,5,False),"")</f>
        <v/>
      </c>
      <c r="M594" s="659" t="str">
        <f>IFERROR(VLOOKUP(I594,Stock2!F:J,5,False),"")</f>
        <v/>
      </c>
      <c r="V594" s="102" t="str">
        <f t="array" ref="V594">_xlfn.XLOOKUP("Charger",Stock1!B594,Stock1!I594,"")</f>
        <v/>
      </c>
      <c r="W594" s="102" t="str">
        <f t="array" ref="W594">_xlfn.XLOOKUP(V594,Stock1!I594,Stock1!F594,"")</f>
        <v/>
      </c>
      <c r="X594" s="102" t="str">
        <f t="array" ref="X594">_xlfn.XLOOKUP(V594,Stock1!I594,Stock1!J594,"")</f>
        <v/>
      </c>
      <c r="Y594" s="102" t="str">
        <f t="array" ref="Y594">_xlfn.XLOOKUP("Screen Protector for Android Phone and Other",Stock1!B594,Stock1!I594,"")</f>
        <v/>
      </c>
      <c r="Z594" s="102" t="str">
        <f t="array" ref="Z594">_xlfn.XLOOKUP("Screen Protector for Galaxy Phone",Stock1!B594,Stock1!I594,"")</f>
        <v/>
      </c>
      <c r="AA594" s="102" t="str">
        <f t="array" ref="AA594">_xlfn.XLOOKUP("Screen Protector for Galaxy Tab",Stock1!B594,Stock1!I594,"")</f>
        <v/>
      </c>
      <c r="AB594" s="102" t="str">
        <f t="shared" si="4"/>
        <v/>
      </c>
      <c r="AC594" s="102" t="str">
        <f t="array" ref="AC594">_xlfn.XLOOKUP(AB594,Stock1!I594,Stock1!F594,"")</f>
        <v/>
      </c>
      <c r="AD594" s="102" t="str">
        <f t="array" ref="AD594">_xlfn.XLOOKUP(AB594,Stock1!I594,Stock1!J594,"")</f>
        <v/>
      </c>
      <c r="AE594" s="102" t="str">
        <f t="array" ref="AE594">_xlfn.XLOOKUP("Storage",Stock1!B594,Stock1!I594,"")</f>
        <v/>
      </c>
      <c r="AF594" s="102" t="str">
        <f t="array" ref="AF594">_xlfn.XLOOKUP(AE594,Stock1!I594,Stock1!F594,"")</f>
        <v/>
      </c>
      <c r="AG594" s="102" t="str">
        <f t="array" ref="AG594">_xlfn.XLOOKUP(AE594,Stock1!I594,Stock1!J594,"")</f>
        <v/>
      </c>
    </row>
    <row r="595">
      <c r="K595" s="660" t="str">
        <f t="array" ref="K595">IFERROR(_xlfn.XLOOKUP(I595,Incentive!B:B,Incentive!E:E,""),"")</f>
        <v/>
      </c>
      <c r="L595" s="659" t="str">
        <f>IFERROR(VLOOKUP(I595,Stock1!F:J,5,False),"")</f>
        <v/>
      </c>
      <c r="M595" s="659" t="str">
        <f>IFERROR(VLOOKUP(I595,Stock2!F:J,5,False),"")</f>
        <v/>
      </c>
      <c r="V595" s="102" t="str">
        <f t="array" ref="V595">_xlfn.XLOOKUP("Charger",Stock1!B595,Stock1!I595,"")</f>
        <v/>
      </c>
      <c r="W595" s="102" t="str">
        <f t="array" ref="W595">_xlfn.XLOOKUP(V595,Stock1!I595,Stock1!F595,"")</f>
        <v/>
      </c>
      <c r="X595" s="102" t="str">
        <f t="array" ref="X595">_xlfn.XLOOKUP(V595,Stock1!I595,Stock1!J595,"")</f>
        <v/>
      </c>
      <c r="Y595" s="102" t="str">
        <f t="array" ref="Y595">_xlfn.XLOOKUP("Screen Protector for Android Phone and Other",Stock1!B595,Stock1!I595,"")</f>
        <v/>
      </c>
      <c r="Z595" s="102" t="str">
        <f t="array" ref="Z595">_xlfn.XLOOKUP("Screen Protector for Galaxy Phone",Stock1!B595,Stock1!I595,"")</f>
        <v/>
      </c>
      <c r="AA595" s="102" t="str">
        <f t="array" ref="AA595">_xlfn.XLOOKUP("Screen Protector for Galaxy Tab",Stock1!B595,Stock1!I595,"")</f>
        <v/>
      </c>
      <c r="AB595" s="102" t="str">
        <f t="shared" si="4"/>
        <v/>
      </c>
      <c r="AC595" s="102" t="str">
        <f t="array" ref="AC595">_xlfn.XLOOKUP(AB595,Stock1!I595,Stock1!F595,"")</f>
        <v/>
      </c>
      <c r="AD595" s="102" t="str">
        <f t="array" ref="AD595">_xlfn.XLOOKUP(AB595,Stock1!I595,Stock1!J595,"")</f>
        <v/>
      </c>
      <c r="AE595" s="102" t="str">
        <f t="array" ref="AE595">_xlfn.XLOOKUP("Storage",Stock1!B595,Stock1!I595,"")</f>
        <v/>
      </c>
      <c r="AF595" s="102" t="str">
        <f t="array" ref="AF595">_xlfn.XLOOKUP(AE595,Stock1!I595,Stock1!F595,"")</f>
        <v/>
      </c>
      <c r="AG595" s="102" t="str">
        <f t="array" ref="AG595">_xlfn.XLOOKUP(AE595,Stock1!I595,Stock1!J595,"")</f>
        <v/>
      </c>
    </row>
    <row r="596">
      <c r="K596" s="660" t="str">
        <f t="array" ref="K596">IFERROR(_xlfn.XLOOKUP(I596,Incentive!B:B,Incentive!E:E,""),"")</f>
        <v/>
      </c>
      <c r="L596" s="659" t="str">
        <f>IFERROR(VLOOKUP(I596,Stock1!F:J,5,False),"")</f>
        <v/>
      </c>
      <c r="M596" s="659" t="str">
        <f>IFERROR(VLOOKUP(I596,Stock2!F:J,5,False),"")</f>
        <v/>
      </c>
      <c r="V596" s="102" t="str">
        <f t="array" ref="V596">_xlfn.XLOOKUP("Charger",Stock1!B596,Stock1!I596,"")</f>
        <v/>
      </c>
      <c r="W596" s="102" t="str">
        <f t="array" ref="W596">_xlfn.XLOOKUP(V596,Stock1!I596,Stock1!F596,"")</f>
        <v/>
      </c>
      <c r="X596" s="102" t="str">
        <f t="array" ref="X596">_xlfn.XLOOKUP(V596,Stock1!I596,Stock1!J596,"")</f>
        <v/>
      </c>
      <c r="Y596" s="102" t="str">
        <f t="array" ref="Y596">_xlfn.XLOOKUP("Screen Protector for Android Phone and Other",Stock1!B596,Stock1!I596,"")</f>
        <v/>
      </c>
      <c r="Z596" s="102" t="str">
        <f t="array" ref="Z596">_xlfn.XLOOKUP("Screen Protector for Galaxy Phone",Stock1!B596,Stock1!I596,"")</f>
        <v/>
      </c>
      <c r="AA596" s="102" t="str">
        <f t="array" ref="AA596">_xlfn.XLOOKUP("Screen Protector for Galaxy Tab",Stock1!B596,Stock1!I596,"")</f>
        <v/>
      </c>
      <c r="AB596" s="102" t="str">
        <f t="shared" si="4"/>
        <v/>
      </c>
      <c r="AC596" s="102" t="str">
        <f t="array" ref="AC596">_xlfn.XLOOKUP(AB596,Stock1!I596,Stock1!F596,"")</f>
        <v/>
      </c>
      <c r="AD596" s="102" t="str">
        <f t="array" ref="AD596">_xlfn.XLOOKUP(AB596,Stock1!I596,Stock1!J596,"")</f>
        <v/>
      </c>
      <c r="AE596" s="102" t="str">
        <f t="array" ref="AE596">_xlfn.XLOOKUP("Storage",Stock1!B596,Stock1!I596,"")</f>
        <v/>
      </c>
      <c r="AF596" s="102" t="str">
        <f t="array" ref="AF596">_xlfn.XLOOKUP(AE596,Stock1!I596,Stock1!F596,"")</f>
        <v/>
      </c>
      <c r="AG596" s="102" t="str">
        <f t="array" ref="AG596">_xlfn.XLOOKUP(AE596,Stock1!I596,Stock1!J596,"")</f>
        <v/>
      </c>
    </row>
    <row r="597">
      <c r="K597" s="660" t="str">
        <f t="array" ref="K597">IFERROR(_xlfn.XLOOKUP(I597,Incentive!B:B,Incentive!E:E,""),"")</f>
        <v/>
      </c>
      <c r="L597" s="659" t="str">
        <f>IFERROR(VLOOKUP(I597,Stock1!F:J,5,False),"")</f>
        <v/>
      </c>
      <c r="M597" s="659" t="str">
        <f>IFERROR(VLOOKUP(I597,Stock2!F:J,5,False),"")</f>
        <v/>
      </c>
      <c r="V597" s="102" t="str">
        <f t="array" ref="V597">_xlfn.XLOOKUP("Charger",Stock1!B597,Stock1!I597,"")</f>
        <v/>
      </c>
      <c r="W597" s="102" t="str">
        <f t="array" ref="W597">_xlfn.XLOOKUP(V597,Stock1!I597,Stock1!F597,"")</f>
        <v/>
      </c>
      <c r="X597" s="102" t="str">
        <f t="array" ref="X597">_xlfn.XLOOKUP(V597,Stock1!I597,Stock1!J597,"")</f>
        <v/>
      </c>
      <c r="Y597" s="102" t="str">
        <f t="array" ref="Y597">_xlfn.XLOOKUP("Screen Protector for Android Phone and Other",Stock1!B597,Stock1!I597,"")</f>
        <v/>
      </c>
      <c r="Z597" s="102" t="str">
        <f t="array" ref="Z597">_xlfn.XLOOKUP("Screen Protector for Galaxy Phone",Stock1!B597,Stock1!I597,"")</f>
        <v/>
      </c>
      <c r="AA597" s="102" t="str">
        <f t="array" ref="AA597">_xlfn.XLOOKUP("Screen Protector for Galaxy Tab",Stock1!B597,Stock1!I597,"")</f>
        <v/>
      </c>
      <c r="AB597" s="102" t="str">
        <f t="shared" si="4"/>
        <v/>
      </c>
      <c r="AC597" s="102" t="str">
        <f t="array" ref="AC597">_xlfn.XLOOKUP(AB597,Stock1!I597,Stock1!F597,"")</f>
        <v/>
      </c>
      <c r="AD597" s="102" t="str">
        <f t="array" ref="AD597">_xlfn.XLOOKUP(AB597,Stock1!I597,Stock1!J597,"")</f>
        <v/>
      </c>
      <c r="AE597" s="102" t="str">
        <f t="array" ref="AE597">_xlfn.XLOOKUP("Storage",Stock1!B597,Stock1!I597,"")</f>
        <v/>
      </c>
      <c r="AF597" s="102" t="str">
        <f t="array" ref="AF597">_xlfn.XLOOKUP(AE597,Stock1!I597,Stock1!F597,"")</f>
        <v/>
      </c>
      <c r="AG597" s="102" t="str">
        <f t="array" ref="AG597">_xlfn.XLOOKUP(AE597,Stock1!I597,Stock1!J597,"")</f>
        <v/>
      </c>
    </row>
    <row r="598">
      <c r="K598" s="660" t="str">
        <f t="array" ref="K598">IFERROR(_xlfn.XLOOKUP(I598,Incentive!B:B,Incentive!E:E,""),"")</f>
        <v/>
      </c>
      <c r="L598" s="659" t="str">
        <f>IFERROR(VLOOKUP(I598,Stock1!F:J,5,False),"")</f>
        <v/>
      </c>
      <c r="M598" s="659" t="str">
        <f>IFERROR(VLOOKUP(I598,Stock2!F:J,5,False),"")</f>
        <v/>
      </c>
      <c r="V598" s="102" t="str">
        <f t="array" ref="V598">_xlfn.XLOOKUP("Charger",Stock1!B598,Stock1!I598,"")</f>
        <v/>
      </c>
      <c r="W598" s="102" t="str">
        <f t="array" ref="W598">_xlfn.XLOOKUP(V598,Stock1!I598,Stock1!F598,"")</f>
        <v/>
      </c>
      <c r="X598" s="102" t="str">
        <f t="array" ref="X598">_xlfn.XLOOKUP(V598,Stock1!I598,Stock1!J598,"")</f>
        <v/>
      </c>
      <c r="Y598" s="102" t="str">
        <f t="array" ref="Y598">_xlfn.XLOOKUP("Screen Protector for Android Phone and Other",Stock1!B598,Stock1!I598,"")</f>
        <v/>
      </c>
      <c r="Z598" s="102" t="str">
        <f t="array" ref="Z598">_xlfn.XLOOKUP("Screen Protector for Galaxy Phone",Stock1!B598,Stock1!I598,"")</f>
        <v/>
      </c>
      <c r="AA598" s="102" t="str">
        <f t="array" ref="AA598">_xlfn.XLOOKUP("Screen Protector for Galaxy Tab",Stock1!B598,Stock1!I598,"")</f>
        <v/>
      </c>
      <c r="AB598" s="102" t="str">
        <f t="shared" si="4"/>
        <v/>
      </c>
      <c r="AC598" s="102" t="str">
        <f t="array" ref="AC598">_xlfn.XLOOKUP(AB598,Stock1!I598,Stock1!F598,"")</f>
        <v/>
      </c>
      <c r="AD598" s="102" t="str">
        <f t="array" ref="AD598">_xlfn.XLOOKUP(AB598,Stock1!I598,Stock1!J598,"")</f>
        <v/>
      </c>
      <c r="AE598" s="102" t="str">
        <f t="array" ref="AE598">_xlfn.XLOOKUP("Storage",Stock1!B598,Stock1!I598,"")</f>
        <v/>
      </c>
      <c r="AF598" s="102" t="str">
        <f t="array" ref="AF598">_xlfn.XLOOKUP(AE598,Stock1!I598,Stock1!F598,"")</f>
        <v/>
      </c>
      <c r="AG598" s="102" t="str">
        <f t="array" ref="AG598">_xlfn.XLOOKUP(AE598,Stock1!I598,Stock1!J598,"")</f>
        <v/>
      </c>
    </row>
    <row r="599">
      <c r="K599" s="660" t="str">
        <f t="array" ref="K599">IFERROR(_xlfn.XLOOKUP(I599,Incentive!B:B,Incentive!E:E,""),"")</f>
        <v/>
      </c>
      <c r="L599" s="659" t="str">
        <f>IFERROR(VLOOKUP(I599,Stock1!F:J,5,False),"")</f>
        <v/>
      </c>
      <c r="M599" s="659" t="str">
        <f>IFERROR(VLOOKUP(I599,Stock2!F:J,5,False),"")</f>
        <v/>
      </c>
      <c r="V599" s="102" t="str">
        <f t="array" ref="V599">_xlfn.XLOOKUP("Charger",Stock1!B599,Stock1!I599,"")</f>
        <v/>
      </c>
      <c r="W599" s="102" t="str">
        <f t="array" ref="W599">_xlfn.XLOOKUP(V599,Stock1!I599,Stock1!F599,"")</f>
        <v/>
      </c>
      <c r="X599" s="102" t="str">
        <f t="array" ref="X599">_xlfn.XLOOKUP(V599,Stock1!I599,Stock1!J599,"")</f>
        <v/>
      </c>
      <c r="Y599" s="102" t="str">
        <f t="array" ref="Y599">_xlfn.XLOOKUP("Screen Protector for Android Phone and Other",Stock1!B599,Stock1!I599,"")</f>
        <v/>
      </c>
      <c r="Z599" s="102" t="str">
        <f t="array" ref="Z599">_xlfn.XLOOKUP("Screen Protector for Galaxy Phone",Stock1!B599,Stock1!I599,"")</f>
        <v/>
      </c>
      <c r="AA599" s="102" t="str">
        <f t="array" ref="AA599">_xlfn.XLOOKUP("Screen Protector for Galaxy Tab",Stock1!B599,Stock1!I599,"")</f>
        <v/>
      </c>
      <c r="AB599" s="102" t="str">
        <f t="shared" si="4"/>
        <v/>
      </c>
      <c r="AC599" s="102" t="str">
        <f t="array" ref="AC599">_xlfn.XLOOKUP(AB599,Stock1!I599,Stock1!F599,"")</f>
        <v/>
      </c>
      <c r="AD599" s="102" t="str">
        <f t="array" ref="AD599">_xlfn.XLOOKUP(AB599,Stock1!I599,Stock1!J599,"")</f>
        <v/>
      </c>
      <c r="AE599" s="102" t="str">
        <f t="array" ref="AE599">_xlfn.XLOOKUP("Storage",Stock1!B599,Stock1!I599,"")</f>
        <v/>
      </c>
      <c r="AF599" s="102" t="str">
        <f t="array" ref="AF599">_xlfn.XLOOKUP(AE599,Stock1!I599,Stock1!F599,"")</f>
        <v/>
      </c>
      <c r="AG599" s="102" t="str">
        <f t="array" ref="AG599">_xlfn.XLOOKUP(AE599,Stock1!I599,Stock1!J599,"")</f>
        <v/>
      </c>
    </row>
    <row r="600">
      <c r="K600" s="660" t="str">
        <f t="array" ref="K600">IFERROR(_xlfn.XLOOKUP(I600,Incentive!B:B,Incentive!E:E,""),"")</f>
        <v/>
      </c>
      <c r="L600" s="659" t="str">
        <f>IFERROR(VLOOKUP(I600,Stock1!F:J,5,False),"")</f>
        <v/>
      </c>
      <c r="M600" s="659" t="str">
        <f>IFERROR(VLOOKUP(I600,Stock2!F:J,5,False),"")</f>
        <v/>
      </c>
      <c r="V600" s="102" t="str">
        <f t="array" ref="V600">_xlfn.XLOOKUP("Charger",Stock1!B600,Stock1!I600,"")</f>
        <v/>
      </c>
      <c r="W600" s="102" t="str">
        <f t="array" ref="W600">_xlfn.XLOOKUP(V600,Stock1!I600,Stock1!F600,"")</f>
        <v/>
      </c>
      <c r="X600" s="102" t="str">
        <f t="array" ref="X600">_xlfn.XLOOKUP(V600,Stock1!I600,Stock1!J600,"")</f>
        <v/>
      </c>
      <c r="Y600" s="102" t="str">
        <f t="array" ref="Y600">_xlfn.XLOOKUP("Screen Protector for Android Phone and Other",Stock1!B600,Stock1!I600,"")</f>
        <v/>
      </c>
      <c r="Z600" s="102" t="str">
        <f t="array" ref="Z600">_xlfn.XLOOKUP("Screen Protector for Galaxy Phone",Stock1!B600,Stock1!I600,"")</f>
        <v/>
      </c>
      <c r="AA600" s="102" t="str">
        <f t="array" ref="AA600">_xlfn.XLOOKUP("Screen Protector for Galaxy Tab",Stock1!B600,Stock1!I600,"")</f>
        <v/>
      </c>
      <c r="AB600" s="102" t="str">
        <f t="shared" si="4"/>
        <v/>
      </c>
      <c r="AC600" s="102" t="str">
        <f t="array" ref="AC600">_xlfn.XLOOKUP(AB600,Stock1!I600,Stock1!F600,"")</f>
        <v/>
      </c>
      <c r="AD600" s="102" t="str">
        <f t="array" ref="AD600">_xlfn.XLOOKUP(AB600,Stock1!I600,Stock1!J600,"")</f>
        <v/>
      </c>
      <c r="AE600" s="102" t="str">
        <f t="array" ref="AE600">_xlfn.XLOOKUP("Storage",Stock1!B600,Stock1!I600,"")</f>
        <v/>
      </c>
      <c r="AF600" s="102" t="str">
        <f t="array" ref="AF600">_xlfn.XLOOKUP(AE600,Stock1!I600,Stock1!F600,"")</f>
        <v/>
      </c>
      <c r="AG600" s="102" t="str">
        <f t="array" ref="AG600">_xlfn.XLOOKUP(AE600,Stock1!I600,Stock1!J600,"")</f>
        <v/>
      </c>
    </row>
    <row r="601">
      <c r="K601" s="660" t="str">
        <f t="array" ref="K601">IFERROR(_xlfn.XLOOKUP(I601,Incentive!B:B,Incentive!E:E,""),"")</f>
        <v/>
      </c>
      <c r="L601" s="659" t="str">
        <f>IFERROR(VLOOKUP(I601,Stock1!F:J,5,False),"")</f>
        <v/>
      </c>
      <c r="M601" s="659" t="str">
        <f>IFERROR(VLOOKUP(I601,Stock2!F:J,5,False),"")</f>
        <v/>
      </c>
      <c r="V601" s="102" t="str">
        <f t="array" ref="V601">_xlfn.XLOOKUP("Charger",Stock1!B601,Stock1!I601,"")</f>
        <v/>
      </c>
      <c r="W601" s="102" t="str">
        <f t="array" ref="W601">_xlfn.XLOOKUP(V601,Stock1!I601,Stock1!F601,"")</f>
        <v/>
      </c>
      <c r="X601" s="102" t="str">
        <f t="array" ref="X601">_xlfn.XLOOKUP(V601,Stock1!I601,Stock1!J601,"")</f>
        <v/>
      </c>
      <c r="Y601" s="102" t="str">
        <f t="array" ref="Y601">_xlfn.XLOOKUP("Screen Protector for Android Phone and Other",Stock1!B601,Stock1!I601,"")</f>
        <v/>
      </c>
      <c r="Z601" s="102" t="str">
        <f t="array" ref="Z601">_xlfn.XLOOKUP("Screen Protector for Galaxy Phone",Stock1!B601,Stock1!I601,"")</f>
        <v/>
      </c>
      <c r="AA601" s="102" t="str">
        <f t="array" ref="AA601">_xlfn.XLOOKUP("Screen Protector for Galaxy Tab",Stock1!B601,Stock1!I601,"")</f>
        <v/>
      </c>
      <c r="AB601" s="102" t="str">
        <f t="shared" si="4"/>
        <v/>
      </c>
      <c r="AC601" s="102" t="str">
        <f t="array" ref="AC601">_xlfn.XLOOKUP(AB601,Stock1!I601,Stock1!F601,"")</f>
        <v/>
      </c>
      <c r="AD601" s="102" t="str">
        <f t="array" ref="AD601">_xlfn.XLOOKUP(AB601,Stock1!I601,Stock1!J601,"")</f>
        <v/>
      </c>
      <c r="AE601" s="102" t="str">
        <f t="array" ref="AE601">_xlfn.XLOOKUP("Storage",Stock1!B601,Stock1!I601,"")</f>
        <v/>
      </c>
      <c r="AF601" s="102" t="str">
        <f t="array" ref="AF601">_xlfn.XLOOKUP(AE601,Stock1!I601,Stock1!F601,"")</f>
        <v/>
      </c>
      <c r="AG601" s="102" t="str">
        <f t="array" ref="AG601">_xlfn.XLOOKUP(AE601,Stock1!I601,Stock1!J601,"")</f>
        <v/>
      </c>
    </row>
    <row r="602">
      <c r="K602" s="660" t="str">
        <f t="array" ref="K602">IFERROR(_xlfn.XLOOKUP(I602,Incentive!B:B,Incentive!E:E,""),"")</f>
        <v/>
      </c>
      <c r="L602" s="659" t="str">
        <f>IFERROR(VLOOKUP(I602,Stock1!F:J,5,False),"")</f>
        <v/>
      </c>
      <c r="M602" s="659" t="str">
        <f>IFERROR(VLOOKUP(I602,Stock2!F:J,5,False),"")</f>
        <v/>
      </c>
      <c r="V602" s="102" t="str">
        <f t="array" ref="V602">_xlfn.XLOOKUP("Charger",Stock1!B602,Stock1!I602,"")</f>
        <v/>
      </c>
      <c r="W602" s="102" t="str">
        <f t="array" ref="W602">_xlfn.XLOOKUP(V602,Stock1!I602,Stock1!F602,"")</f>
        <v/>
      </c>
      <c r="X602" s="102" t="str">
        <f t="array" ref="X602">_xlfn.XLOOKUP(V602,Stock1!I602,Stock1!J602,"")</f>
        <v/>
      </c>
      <c r="Y602" s="102" t="str">
        <f t="array" ref="Y602">_xlfn.XLOOKUP("Screen Protector for Android Phone and Other",Stock1!B602,Stock1!I602,"")</f>
        <v/>
      </c>
      <c r="Z602" s="102" t="str">
        <f t="array" ref="Z602">_xlfn.XLOOKUP("Screen Protector for Galaxy Phone",Stock1!B602,Stock1!I602,"")</f>
        <v/>
      </c>
      <c r="AA602" s="102" t="str">
        <f t="array" ref="AA602">_xlfn.XLOOKUP("Screen Protector for Galaxy Tab",Stock1!B602,Stock1!I602,"")</f>
        <v/>
      </c>
      <c r="AB602" s="102" t="str">
        <f t="shared" si="4"/>
        <v/>
      </c>
      <c r="AC602" s="102" t="str">
        <f t="array" ref="AC602">_xlfn.XLOOKUP(AB602,Stock1!I602,Stock1!F602,"")</f>
        <v/>
      </c>
      <c r="AD602" s="102" t="str">
        <f t="array" ref="AD602">_xlfn.XLOOKUP(AB602,Stock1!I602,Stock1!J602,"")</f>
        <v/>
      </c>
      <c r="AE602" s="102" t="str">
        <f t="array" ref="AE602">_xlfn.XLOOKUP("Storage",Stock1!B602,Stock1!I602,"")</f>
        <v/>
      </c>
      <c r="AF602" s="102" t="str">
        <f t="array" ref="AF602">_xlfn.XLOOKUP(AE602,Stock1!I602,Stock1!F602,"")</f>
        <v/>
      </c>
      <c r="AG602" s="102" t="str">
        <f t="array" ref="AG602">_xlfn.XLOOKUP(AE602,Stock1!I602,Stock1!J602,"")</f>
        <v/>
      </c>
    </row>
    <row r="603">
      <c r="K603" s="660" t="str">
        <f t="array" ref="K603">IFERROR(_xlfn.XLOOKUP(I603,Incentive!B:B,Incentive!E:E,""),"")</f>
        <v/>
      </c>
      <c r="L603" s="659" t="str">
        <f>IFERROR(VLOOKUP(I603,Stock1!F:J,5,False),"")</f>
        <v/>
      </c>
      <c r="M603" s="659" t="str">
        <f>IFERROR(VLOOKUP(I603,Stock2!F:J,5,False),"")</f>
        <v/>
      </c>
      <c r="V603" s="102" t="str">
        <f t="array" ref="V603">_xlfn.XLOOKUP("Charger",Stock1!B603,Stock1!I603,"")</f>
        <v/>
      </c>
      <c r="W603" s="102" t="str">
        <f t="array" ref="W603">_xlfn.XLOOKUP(V603,Stock1!I603,Stock1!F603,"")</f>
        <v/>
      </c>
      <c r="X603" s="102" t="str">
        <f t="array" ref="X603">_xlfn.XLOOKUP(V603,Stock1!I603,Stock1!J603,"")</f>
        <v/>
      </c>
      <c r="Y603" s="102" t="str">
        <f t="array" ref="Y603">_xlfn.XLOOKUP("Screen Protector for Android Phone and Other",Stock1!B603,Stock1!I603,"")</f>
        <v/>
      </c>
      <c r="Z603" s="102" t="str">
        <f t="array" ref="Z603">_xlfn.XLOOKUP("Screen Protector for Galaxy Phone",Stock1!B603,Stock1!I603,"")</f>
        <v/>
      </c>
      <c r="AA603" s="102" t="str">
        <f t="array" ref="AA603">_xlfn.XLOOKUP("Screen Protector for Galaxy Tab",Stock1!B603,Stock1!I603,"")</f>
        <v/>
      </c>
      <c r="AB603" s="102" t="str">
        <f t="shared" si="4"/>
        <v/>
      </c>
      <c r="AC603" s="102" t="str">
        <f t="array" ref="AC603">_xlfn.XLOOKUP(AB603,Stock1!I603,Stock1!F603,"")</f>
        <v/>
      </c>
      <c r="AD603" s="102" t="str">
        <f t="array" ref="AD603">_xlfn.XLOOKUP(AB603,Stock1!I603,Stock1!J603,"")</f>
        <v/>
      </c>
      <c r="AE603" s="102" t="str">
        <f t="array" ref="AE603">_xlfn.XLOOKUP("Storage",Stock1!B603,Stock1!I603,"")</f>
        <v/>
      </c>
      <c r="AF603" s="102" t="str">
        <f t="array" ref="AF603">_xlfn.XLOOKUP(AE603,Stock1!I603,Stock1!F603,"")</f>
        <v/>
      </c>
      <c r="AG603" s="102" t="str">
        <f t="array" ref="AG603">_xlfn.XLOOKUP(AE603,Stock1!I603,Stock1!J603,"")</f>
        <v/>
      </c>
    </row>
    <row r="604">
      <c r="K604" s="660" t="str">
        <f t="array" ref="K604">IFERROR(_xlfn.XLOOKUP(I604,Incentive!B:B,Incentive!E:E,""),"")</f>
        <v/>
      </c>
      <c r="L604" s="659" t="str">
        <f>IFERROR(VLOOKUP(I604,Stock1!F:J,5,False),"")</f>
        <v/>
      </c>
      <c r="M604" s="659" t="str">
        <f>IFERROR(VLOOKUP(I604,Stock2!F:J,5,False),"")</f>
        <v/>
      </c>
      <c r="V604" s="102" t="str">
        <f t="array" ref="V604">_xlfn.XLOOKUP("Charger",Stock1!B604,Stock1!I604,"")</f>
        <v/>
      </c>
      <c r="W604" s="102" t="str">
        <f t="array" ref="W604">_xlfn.XLOOKUP(V604,Stock1!I604,Stock1!F604,"")</f>
        <v/>
      </c>
      <c r="X604" s="102" t="str">
        <f t="array" ref="X604">_xlfn.XLOOKUP(V604,Stock1!I604,Stock1!J604,"")</f>
        <v/>
      </c>
      <c r="Y604" s="102" t="str">
        <f t="array" ref="Y604">_xlfn.XLOOKUP("Screen Protector for Android Phone and Other",Stock1!B604,Stock1!I604,"")</f>
        <v/>
      </c>
      <c r="Z604" s="102" t="str">
        <f t="array" ref="Z604">_xlfn.XLOOKUP("Screen Protector for Galaxy Phone",Stock1!B604,Stock1!I604,"")</f>
        <v/>
      </c>
      <c r="AA604" s="102" t="str">
        <f t="array" ref="AA604">_xlfn.XLOOKUP("Screen Protector for Galaxy Tab",Stock1!B604,Stock1!I604,"")</f>
        <v/>
      </c>
      <c r="AB604" s="102" t="str">
        <f t="shared" si="4"/>
        <v/>
      </c>
      <c r="AC604" s="102" t="str">
        <f t="array" ref="AC604">_xlfn.XLOOKUP(AB604,Stock1!I604,Stock1!F604,"")</f>
        <v/>
      </c>
      <c r="AD604" s="102" t="str">
        <f t="array" ref="AD604">_xlfn.XLOOKUP(AB604,Stock1!I604,Stock1!J604,"")</f>
        <v/>
      </c>
      <c r="AE604" s="102" t="str">
        <f t="array" ref="AE604">_xlfn.XLOOKUP("Storage",Stock1!B604,Stock1!I604,"")</f>
        <v/>
      </c>
      <c r="AF604" s="102" t="str">
        <f t="array" ref="AF604">_xlfn.XLOOKUP(AE604,Stock1!I604,Stock1!F604,"")</f>
        <v/>
      </c>
      <c r="AG604" s="102" t="str">
        <f t="array" ref="AG604">_xlfn.XLOOKUP(AE604,Stock1!I604,Stock1!J604,"")</f>
        <v/>
      </c>
    </row>
    <row r="605">
      <c r="K605" s="660" t="str">
        <f t="array" ref="K605">IFERROR(_xlfn.XLOOKUP(I605,Incentive!B:B,Incentive!E:E,""),"")</f>
        <v/>
      </c>
      <c r="L605" s="659" t="str">
        <f>IFERROR(VLOOKUP(I605,Stock1!F:J,5,False),"")</f>
        <v/>
      </c>
      <c r="M605" s="659" t="str">
        <f>IFERROR(VLOOKUP(I605,Stock2!F:J,5,False),"")</f>
        <v/>
      </c>
      <c r="V605" s="102" t="str">
        <f t="array" ref="V605">_xlfn.XLOOKUP("Charger",Stock1!B605,Stock1!I605,"")</f>
        <v/>
      </c>
      <c r="W605" s="102" t="str">
        <f t="array" ref="W605">_xlfn.XLOOKUP(V605,Stock1!I605,Stock1!F605,"")</f>
        <v/>
      </c>
      <c r="X605" s="102" t="str">
        <f t="array" ref="X605">_xlfn.XLOOKUP(V605,Stock1!I605,Stock1!J605,"")</f>
        <v/>
      </c>
      <c r="Y605" s="102" t="str">
        <f t="array" ref="Y605">_xlfn.XLOOKUP("Screen Protector for Android Phone and Other",Stock1!B605,Stock1!I605,"")</f>
        <v/>
      </c>
      <c r="Z605" s="102" t="str">
        <f t="array" ref="Z605">_xlfn.XLOOKUP("Screen Protector for Galaxy Phone",Stock1!B605,Stock1!I605,"")</f>
        <v/>
      </c>
      <c r="AA605" s="102" t="str">
        <f t="array" ref="AA605">_xlfn.XLOOKUP("Screen Protector for Galaxy Tab",Stock1!B605,Stock1!I605,"")</f>
        <v/>
      </c>
      <c r="AB605" s="102" t="str">
        <f t="shared" si="4"/>
        <v/>
      </c>
      <c r="AC605" s="102" t="str">
        <f t="array" ref="AC605">_xlfn.XLOOKUP(AB605,Stock1!I605,Stock1!F605,"")</f>
        <v/>
      </c>
      <c r="AD605" s="102" t="str">
        <f t="array" ref="AD605">_xlfn.XLOOKUP(AB605,Stock1!I605,Stock1!J605,"")</f>
        <v/>
      </c>
      <c r="AE605" s="102" t="str">
        <f t="array" ref="AE605">_xlfn.XLOOKUP("Storage",Stock1!B605,Stock1!I605,"")</f>
        <v/>
      </c>
      <c r="AF605" s="102" t="str">
        <f t="array" ref="AF605">_xlfn.XLOOKUP(AE605,Stock1!I605,Stock1!F605,"")</f>
        <v/>
      </c>
      <c r="AG605" s="102" t="str">
        <f t="array" ref="AG605">_xlfn.XLOOKUP(AE605,Stock1!I605,Stock1!J605,"")</f>
        <v/>
      </c>
    </row>
    <row r="606">
      <c r="K606" s="660" t="str">
        <f t="array" ref="K606">IFERROR(_xlfn.XLOOKUP(I606,Incentive!B:B,Incentive!E:E,""),"")</f>
        <v/>
      </c>
      <c r="L606" s="659" t="str">
        <f>IFERROR(VLOOKUP(I606,Stock1!F:J,5,False),"")</f>
        <v/>
      </c>
      <c r="M606" s="659" t="str">
        <f>IFERROR(VLOOKUP(I606,Stock2!F:J,5,False),"")</f>
        <v/>
      </c>
      <c r="V606" s="102" t="str">
        <f t="array" ref="V606">_xlfn.XLOOKUP("Charger",Stock1!B606,Stock1!I606,"")</f>
        <v/>
      </c>
      <c r="W606" s="102" t="str">
        <f t="array" ref="W606">_xlfn.XLOOKUP(V606,Stock1!I606,Stock1!F606,"")</f>
        <v/>
      </c>
      <c r="X606" s="102" t="str">
        <f t="array" ref="X606">_xlfn.XLOOKUP(V606,Stock1!I606,Stock1!J606,"")</f>
        <v/>
      </c>
      <c r="Y606" s="102" t="str">
        <f t="array" ref="Y606">_xlfn.XLOOKUP("Screen Protector for Android Phone and Other",Stock1!B606,Stock1!I606,"")</f>
        <v/>
      </c>
      <c r="Z606" s="102" t="str">
        <f t="array" ref="Z606">_xlfn.XLOOKUP("Screen Protector for Galaxy Phone",Stock1!B606,Stock1!I606,"")</f>
        <v/>
      </c>
      <c r="AA606" s="102" t="str">
        <f t="array" ref="AA606">_xlfn.XLOOKUP("Screen Protector for Galaxy Tab",Stock1!B606,Stock1!I606,"")</f>
        <v/>
      </c>
      <c r="AB606" s="102" t="str">
        <f t="shared" si="4"/>
        <v/>
      </c>
      <c r="AC606" s="102" t="str">
        <f t="array" ref="AC606">_xlfn.XLOOKUP(AB606,Stock1!I606,Stock1!F606,"")</f>
        <v/>
      </c>
      <c r="AD606" s="102" t="str">
        <f t="array" ref="AD606">_xlfn.XLOOKUP(AB606,Stock1!I606,Stock1!J606,"")</f>
        <v/>
      </c>
      <c r="AE606" s="102" t="str">
        <f t="array" ref="AE606">_xlfn.XLOOKUP("Storage",Stock1!B606,Stock1!I606,"")</f>
        <v/>
      </c>
      <c r="AF606" s="102" t="str">
        <f t="array" ref="AF606">_xlfn.XLOOKUP(AE606,Stock1!I606,Stock1!F606,"")</f>
        <v/>
      </c>
      <c r="AG606" s="102" t="str">
        <f t="array" ref="AG606">_xlfn.XLOOKUP(AE606,Stock1!I606,Stock1!J606,"")</f>
        <v/>
      </c>
    </row>
    <row r="607">
      <c r="K607" s="660" t="str">
        <f t="array" ref="K607">IFERROR(_xlfn.XLOOKUP(I607,Incentive!B:B,Incentive!E:E,""),"")</f>
        <v/>
      </c>
      <c r="L607" s="659" t="str">
        <f>IFERROR(VLOOKUP(I607,Stock1!F:J,5,False),"")</f>
        <v/>
      </c>
      <c r="M607" s="659" t="str">
        <f>IFERROR(VLOOKUP(I607,Stock2!F:J,5,False),"")</f>
        <v/>
      </c>
      <c r="V607" s="102" t="str">
        <f t="array" ref="V607">_xlfn.XLOOKUP("Charger",Stock1!B607,Stock1!I607,"")</f>
        <v/>
      </c>
      <c r="W607" s="102" t="str">
        <f t="array" ref="W607">_xlfn.XLOOKUP(V607,Stock1!I607,Stock1!F607,"")</f>
        <v/>
      </c>
      <c r="X607" s="102" t="str">
        <f t="array" ref="X607">_xlfn.XLOOKUP(V607,Stock1!I607,Stock1!J607,"")</f>
        <v/>
      </c>
      <c r="Y607" s="102" t="str">
        <f t="array" ref="Y607">_xlfn.XLOOKUP("Screen Protector for Android Phone and Other",Stock1!B607,Stock1!I607,"")</f>
        <v/>
      </c>
      <c r="Z607" s="102" t="str">
        <f t="array" ref="Z607">_xlfn.XLOOKUP("Screen Protector for Galaxy Phone",Stock1!B607,Stock1!I607,"")</f>
        <v/>
      </c>
      <c r="AA607" s="102" t="str">
        <f t="array" ref="AA607">_xlfn.XLOOKUP("Screen Protector for Galaxy Tab",Stock1!B607,Stock1!I607,"")</f>
        <v/>
      </c>
      <c r="AB607" s="102" t="str">
        <f t="shared" si="4"/>
        <v/>
      </c>
      <c r="AC607" s="102" t="str">
        <f t="array" ref="AC607">_xlfn.XLOOKUP(AB607,Stock1!I607,Stock1!F607,"")</f>
        <v/>
      </c>
      <c r="AD607" s="102" t="str">
        <f t="array" ref="AD607">_xlfn.XLOOKUP(AB607,Stock1!I607,Stock1!J607,"")</f>
        <v/>
      </c>
      <c r="AE607" s="102" t="str">
        <f t="array" ref="AE607">_xlfn.XLOOKUP("Storage",Stock1!B607,Stock1!I607,"")</f>
        <v/>
      </c>
      <c r="AF607" s="102" t="str">
        <f t="array" ref="AF607">_xlfn.XLOOKUP(AE607,Stock1!I607,Stock1!F607,"")</f>
        <v/>
      </c>
      <c r="AG607" s="102" t="str">
        <f t="array" ref="AG607">_xlfn.XLOOKUP(AE607,Stock1!I607,Stock1!J607,"")</f>
        <v/>
      </c>
    </row>
    <row r="608">
      <c r="K608" s="660" t="str">
        <f t="array" ref="K608">IFERROR(_xlfn.XLOOKUP(I608,Incentive!B:B,Incentive!E:E,""),"")</f>
        <v/>
      </c>
      <c r="L608" s="659" t="str">
        <f>IFERROR(VLOOKUP(I608,Stock1!F:J,5,False),"")</f>
        <v/>
      </c>
      <c r="M608" s="659" t="str">
        <f>IFERROR(VLOOKUP(I608,Stock2!F:J,5,False),"")</f>
        <v/>
      </c>
      <c r="V608" s="102" t="str">
        <f t="array" ref="V608">_xlfn.XLOOKUP("Charger",Stock1!B608,Stock1!I608,"")</f>
        <v/>
      </c>
      <c r="W608" s="102" t="str">
        <f t="array" ref="W608">_xlfn.XLOOKUP(V608,Stock1!I608,Stock1!F608,"")</f>
        <v/>
      </c>
      <c r="X608" s="102" t="str">
        <f t="array" ref="X608">_xlfn.XLOOKUP(V608,Stock1!I608,Stock1!J608,"")</f>
        <v/>
      </c>
      <c r="Y608" s="102" t="str">
        <f t="array" ref="Y608">_xlfn.XLOOKUP("Screen Protector for Android Phone and Other",Stock1!B608,Stock1!I608,"")</f>
        <v/>
      </c>
      <c r="Z608" s="102" t="str">
        <f t="array" ref="Z608">_xlfn.XLOOKUP("Screen Protector for Galaxy Phone",Stock1!B608,Stock1!I608,"")</f>
        <v/>
      </c>
      <c r="AA608" s="102" t="str">
        <f t="array" ref="AA608">_xlfn.XLOOKUP("Screen Protector for Galaxy Tab",Stock1!B608,Stock1!I608,"")</f>
        <v/>
      </c>
      <c r="AB608" s="102" t="str">
        <f t="shared" si="4"/>
        <v/>
      </c>
      <c r="AC608" s="102" t="str">
        <f t="array" ref="AC608">_xlfn.XLOOKUP(AB608,Stock1!I608,Stock1!F608,"")</f>
        <v/>
      </c>
      <c r="AD608" s="102" t="str">
        <f t="array" ref="AD608">_xlfn.XLOOKUP(AB608,Stock1!I608,Stock1!J608,"")</f>
        <v/>
      </c>
      <c r="AE608" s="102" t="str">
        <f t="array" ref="AE608">_xlfn.XLOOKUP("Storage",Stock1!B608,Stock1!I608,"")</f>
        <v/>
      </c>
      <c r="AF608" s="102" t="str">
        <f t="array" ref="AF608">_xlfn.XLOOKUP(AE608,Stock1!I608,Stock1!F608,"")</f>
        <v/>
      </c>
      <c r="AG608" s="102" t="str">
        <f t="array" ref="AG608">_xlfn.XLOOKUP(AE608,Stock1!I608,Stock1!J608,"")</f>
        <v/>
      </c>
    </row>
    <row r="609">
      <c r="K609" s="660" t="str">
        <f t="array" ref="K609">IFERROR(_xlfn.XLOOKUP(I609,Incentive!B:B,Incentive!E:E,""),"")</f>
        <v/>
      </c>
      <c r="L609" s="659" t="str">
        <f>IFERROR(VLOOKUP(I609,Stock1!F:J,5,False),"")</f>
        <v/>
      </c>
      <c r="M609" s="659" t="str">
        <f>IFERROR(VLOOKUP(I609,Stock2!F:J,5,False),"")</f>
        <v/>
      </c>
      <c r="V609" s="102" t="str">
        <f t="array" ref="V609">_xlfn.XLOOKUP("Charger",Stock1!B609,Stock1!I609,"")</f>
        <v/>
      </c>
      <c r="W609" s="102" t="str">
        <f t="array" ref="W609">_xlfn.XLOOKUP(V609,Stock1!I609,Stock1!F609,"")</f>
        <v/>
      </c>
      <c r="X609" s="102" t="str">
        <f t="array" ref="X609">_xlfn.XLOOKUP(V609,Stock1!I609,Stock1!J609,"")</f>
        <v/>
      </c>
      <c r="Y609" s="102" t="str">
        <f t="array" ref="Y609">_xlfn.XLOOKUP("Screen Protector for Android Phone and Other",Stock1!B609,Stock1!I609,"")</f>
        <v/>
      </c>
      <c r="Z609" s="102" t="str">
        <f t="array" ref="Z609">_xlfn.XLOOKUP("Screen Protector for Galaxy Phone",Stock1!B609,Stock1!I609,"")</f>
        <v/>
      </c>
      <c r="AA609" s="102" t="str">
        <f t="array" ref="AA609">_xlfn.XLOOKUP("Screen Protector for Galaxy Tab",Stock1!B609,Stock1!I609,"")</f>
        <v/>
      </c>
      <c r="AB609" s="102" t="str">
        <f t="shared" si="4"/>
        <v/>
      </c>
      <c r="AC609" s="102" t="str">
        <f t="array" ref="AC609">_xlfn.XLOOKUP(AB609,Stock1!I609,Stock1!F609,"")</f>
        <v/>
      </c>
      <c r="AD609" s="102" t="str">
        <f t="array" ref="AD609">_xlfn.XLOOKUP(AB609,Stock1!I609,Stock1!J609,"")</f>
        <v/>
      </c>
      <c r="AE609" s="102" t="str">
        <f t="array" ref="AE609">_xlfn.XLOOKUP("Storage",Stock1!B609,Stock1!I609,"")</f>
        <v/>
      </c>
      <c r="AF609" s="102" t="str">
        <f t="array" ref="AF609">_xlfn.XLOOKUP(AE609,Stock1!I609,Stock1!F609,"")</f>
        <v/>
      </c>
      <c r="AG609" s="102" t="str">
        <f t="array" ref="AG609">_xlfn.XLOOKUP(AE609,Stock1!I609,Stock1!J609,"")</f>
        <v/>
      </c>
    </row>
    <row r="610">
      <c r="K610" s="660" t="str">
        <f t="array" ref="K610">IFERROR(_xlfn.XLOOKUP(I610,Incentive!B:B,Incentive!E:E,""),"")</f>
        <v/>
      </c>
      <c r="L610" s="659" t="str">
        <f>IFERROR(VLOOKUP(I610,Stock1!F:J,5,False),"")</f>
        <v/>
      </c>
      <c r="M610" s="659" t="str">
        <f>IFERROR(VLOOKUP(I610,Stock2!F:J,5,False),"")</f>
        <v/>
      </c>
      <c r="V610" s="102" t="str">
        <f t="array" ref="V610">_xlfn.XLOOKUP("Charger",Stock1!B610,Stock1!I610,"")</f>
        <v/>
      </c>
      <c r="W610" s="102" t="str">
        <f t="array" ref="W610">_xlfn.XLOOKUP(V610,Stock1!I610,Stock1!F610,"")</f>
        <v/>
      </c>
      <c r="X610" s="102" t="str">
        <f t="array" ref="X610">_xlfn.XLOOKUP(V610,Stock1!I610,Stock1!J610,"")</f>
        <v/>
      </c>
      <c r="Y610" s="102" t="str">
        <f t="array" ref="Y610">_xlfn.XLOOKUP("Screen Protector for Android Phone and Other",Stock1!B610,Stock1!I610,"")</f>
        <v/>
      </c>
      <c r="Z610" s="102" t="str">
        <f t="array" ref="Z610">_xlfn.XLOOKUP("Screen Protector for Galaxy Phone",Stock1!B610,Stock1!I610,"")</f>
        <v/>
      </c>
      <c r="AA610" s="102" t="str">
        <f t="array" ref="AA610">_xlfn.XLOOKUP("Screen Protector for Galaxy Tab",Stock1!B610,Stock1!I610,"")</f>
        <v/>
      </c>
      <c r="AB610" s="102" t="str">
        <f t="shared" si="4"/>
        <v/>
      </c>
      <c r="AC610" s="102" t="str">
        <f t="array" ref="AC610">_xlfn.XLOOKUP(AB610,Stock1!I610,Stock1!F610,"")</f>
        <v/>
      </c>
      <c r="AD610" s="102" t="str">
        <f t="array" ref="AD610">_xlfn.XLOOKUP(AB610,Stock1!I610,Stock1!J610,"")</f>
        <v/>
      </c>
      <c r="AE610" s="102" t="str">
        <f t="array" ref="AE610">_xlfn.XLOOKUP("Storage",Stock1!B610,Stock1!I610,"")</f>
        <v/>
      </c>
      <c r="AF610" s="102" t="str">
        <f t="array" ref="AF610">_xlfn.XLOOKUP(AE610,Stock1!I610,Stock1!F610,"")</f>
        <v/>
      </c>
      <c r="AG610" s="102" t="str">
        <f t="array" ref="AG610">_xlfn.XLOOKUP(AE610,Stock1!I610,Stock1!J610,"")</f>
        <v/>
      </c>
    </row>
    <row r="611">
      <c r="K611" s="660" t="str">
        <f t="array" ref="K611">IFERROR(_xlfn.XLOOKUP(I611,Incentive!B:B,Incentive!E:E,""),"")</f>
        <v/>
      </c>
      <c r="L611" s="659" t="str">
        <f>IFERROR(VLOOKUP(I611,Stock1!F:J,5,False),"")</f>
        <v/>
      </c>
      <c r="M611" s="659" t="str">
        <f>IFERROR(VLOOKUP(I611,Stock2!F:J,5,False),"")</f>
        <v/>
      </c>
      <c r="V611" s="102" t="str">
        <f t="array" ref="V611">_xlfn.XLOOKUP("Charger",Stock1!B611,Stock1!I611,"")</f>
        <v/>
      </c>
      <c r="W611" s="102" t="str">
        <f t="array" ref="W611">_xlfn.XLOOKUP(V611,Stock1!I611,Stock1!F611,"")</f>
        <v/>
      </c>
      <c r="X611" s="102" t="str">
        <f t="array" ref="X611">_xlfn.XLOOKUP(V611,Stock1!I611,Stock1!J611,"")</f>
        <v/>
      </c>
      <c r="Y611" s="102" t="str">
        <f t="array" ref="Y611">_xlfn.XLOOKUP("Screen Protector for Android Phone and Other",Stock1!B611,Stock1!I611,"")</f>
        <v/>
      </c>
      <c r="Z611" s="102" t="str">
        <f t="array" ref="Z611">_xlfn.XLOOKUP("Screen Protector for Galaxy Phone",Stock1!B611,Stock1!I611,"")</f>
        <v/>
      </c>
      <c r="AA611" s="102" t="str">
        <f t="array" ref="AA611">_xlfn.XLOOKUP("Screen Protector for Galaxy Tab",Stock1!B611,Stock1!I611,"")</f>
        <v/>
      </c>
      <c r="AB611" s="102" t="str">
        <f t="shared" si="4"/>
        <v/>
      </c>
      <c r="AC611" s="102" t="str">
        <f t="array" ref="AC611">_xlfn.XLOOKUP(AB611,Stock1!I611,Stock1!F611,"")</f>
        <v/>
      </c>
      <c r="AD611" s="102" t="str">
        <f t="array" ref="AD611">_xlfn.XLOOKUP(AB611,Stock1!I611,Stock1!J611,"")</f>
        <v/>
      </c>
      <c r="AE611" s="102" t="str">
        <f t="array" ref="AE611">_xlfn.XLOOKUP("Storage",Stock1!B611,Stock1!I611,"")</f>
        <v/>
      </c>
      <c r="AF611" s="102" t="str">
        <f t="array" ref="AF611">_xlfn.XLOOKUP(AE611,Stock1!I611,Stock1!F611,"")</f>
        <v/>
      </c>
      <c r="AG611" s="102" t="str">
        <f t="array" ref="AG611">_xlfn.XLOOKUP(AE611,Stock1!I611,Stock1!J611,"")</f>
        <v/>
      </c>
    </row>
    <row r="612">
      <c r="K612" s="660" t="str">
        <f t="array" ref="K612">IFERROR(_xlfn.XLOOKUP(I612,Incentive!B:B,Incentive!E:E,""),"")</f>
        <v/>
      </c>
      <c r="L612" s="659" t="str">
        <f>IFERROR(VLOOKUP(I612,Stock1!F:J,5,False),"")</f>
        <v/>
      </c>
      <c r="M612" s="659" t="str">
        <f>IFERROR(VLOOKUP(I612,Stock2!F:J,5,False),"")</f>
        <v/>
      </c>
      <c r="V612" s="102" t="str">
        <f t="array" ref="V612">_xlfn.XLOOKUP("Charger",Stock1!B612,Stock1!I612,"")</f>
        <v/>
      </c>
      <c r="W612" s="102" t="str">
        <f t="array" ref="W612">_xlfn.XLOOKUP(V612,Stock1!I612,Stock1!F612,"")</f>
        <v/>
      </c>
      <c r="X612" s="102" t="str">
        <f t="array" ref="X612">_xlfn.XLOOKUP(V612,Stock1!I612,Stock1!J612,"")</f>
        <v/>
      </c>
      <c r="Y612" s="102" t="str">
        <f t="array" ref="Y612">_xlfn.XLOOKUP("Screen Protector for Android Phone and Other",Stock1!B612,Stock1!I612,"")</f>
        <v/>
      </c>
      <c r="Z612" s="102" t="str">
        <f t="array" ref="Z612">_xlfn.XLOOKUP("Screen Protector for Galaxy Phone",Stock1!B612,Stock1!I612,"")</f>
        <v/>
      </c>
      <c r="AA612" s="102" t="str">
        <f t="array" ref="AA612">_xlfn.XLOOKUP("Screen Protector for Galaxy Tab",Stock1!B612,Stock1!I612,"")</f>
        <v/>
      </c>
      <c r="AB612" s="102" t="str">
        <f t="shared" si="4"/>
        <v/>
      </c>
      <c r="AC612" s="102" t="str">
        <f t="array" ref="AC612">_xlfn.XLOOKUP(AB612,Stock1!I612,Stock1!F612,"")</f>
        <v/>
      </c>
      <c r="AD612" s="102" t="str">
        <f t="array" ref="AD612">_xlfn.XLOOKUP(AB612,Stock1!I612,Stock1!J612,"")</f>
        <v/>
      </c>
      <c r="AE612" s="102" t="str">
        <f t="array" ref="AE612">_xlfn.XLOOKUP("Storage",Stock1!B612,Stock1!I612,"")</f>
        <v/>
      </c>
      <c r="AF612" s="102" t="str">
        <f t="array" ref="AF612">_xlfn.XLOOKUP(AE612,Stock1!I612,Stock1!F612,"")</f>
        <v/>
      </c>
      <c r="AG612" s="102" t="str">
        <f t="array" ref="AG612">_xlfn.XLOOKUP(AE612,Stock1!I612,Stock1!J612,"")</f>
        <v/>
      </c>
    </row>
    <row r="613">
      <c r="K613" s="660" t="str">
        <f t="array" ref="K613">IFERROR(_xlfn.XLOOKUP(I613,Incentive!B:B,Incentive!E:E,""),"")</f>
        <v/>
      </c>
      <c r="L613" s="659" t="str">
        <f>IFERROR(VLOOKUP(I613,Stock1!F:J,5,False),"")</f>
        <v/>
      </c>
      <c r="M613" s="659" t="str">
        <f>IFERROR(VLOOKUP(I613,Stock2!F:J,5,False),"")</f>
        <v/>
      </c>
      <c r="V613" s="102" t="str">
        <f t="array" ref="V613">_xlfn.XLOOKUP("Charger",Stock1!B613,Stock1!I613,"")</f>
        <v/>
      </c>
      <c r="W613" s="102" t="str">
        <f t="array" ref="W613">_xlfn.XLOOKUP(V613,Stock1!I613,Stock1!F613,"")</f>
        <v/>
      </c>
      <c r="X613" s="102" t="str">
        <f t="array" ref="X613">_xlfn.XLOOKUP(V613,Stock1!I613,Stock1!J613,"")</f>
        <v/>
      </c>
      <c r="Y613" s="102" t="str">
        <f t="array" ref="Y613">_xlfn.XLOOKUP("Screen Protector for Android Phone and Other",Stock1!B613,Stock1!I613,"")</f>
        <v/>
      </c>
      <c r="Z613" s="102" t="str">
        <f t="array" ref="Z613">_xlfn.XLOOKUP("Screen Protector for Galaxy Phone",Stock1!B613,Stock1!I613,"")</f>
        <v/>
      </c>
      <c r="AA613" s="102" t="str">
        <f t="array" ref="AA613">_xlfn.XLOOKUP("Screen Protector for Galaxy Tab",Stock1!B613,Stock1!I613,"")</f>
        <v/>
      </c>
      <c r="AB613" s="102" t="str">
        <f t="shared" si="4"/>
        <v/>
      </c>
      <c r="AC613" s="102" t="str">
        <f t="array" ref="AC613">_xlfn.XLOOKUP(AB613,Stock1!I613,Stock1!F613,"")</f>
        <v/>
      </c>
      <c r="AD613" s="102" t="str">
        <f t="array" ref="AD613">_xlfn.XLOOKUP(AB613,Stock1!I613,Stock1!J613,"")</f>
        <v/>
      </c>
      <c r="AE613" s="102" t="str">
        <f t="array" ref="AE613">_xlfn.XLOOKUP("Storage",Stock1!B613,Stock1!I613,"")</f>
        <v/>
      </c>
      <c r="AF613" s="102" t="str">
        <f t="array" ref="AF613">_xlfn.XLOOKUP(AE613,Stock1!I613,Stock1!F613,"")</f>
        <v/>
      </c>
      <c r="AG613" s="102" t="str">
        <f t="array" ref="AG613">_xlfn.XLOOKUP(AE613,Stock1!I613,Stock1!J613,"")</f>
        <v/>
      </c>
    </row>
    <row r="614">
      <c r="K614" s="660" t="str">
        <f t="array" ref="K614">IFERROR(_xlfn.XLOOKUP(I614,Incentive!B:B,Incentive!E:E,""),"")</f>
        <v/>
      </c>
      <c r="L614" s="659" t="str">
        <f>IFERROR(VLOOKUP(I614,Stock1!F:J,5,False),"")</f>
        <v/>
      </c>
      <c r="M614" s="659" t="str">
        <f>IFERROR(VLOOKUP(I614,Stock2!F:J,5,False),"")</f>
        <v/>
      </c>
      <c r="V614" s="102" t="str">
        <f t="array" ref="V614">_xlfn.XLOOKUP("Charger",Stock1!B614,Stock1!I614,"")</f>
        <v/>
      </c>
      <c r="W614" s="102" t="str">
        <f t="array" ref="W614">_xlfn.XLOOKUP(V614,Stock1!I614,Stock1!F614,"")</f>
        <v/>
      </c>
      <c r="X614" s="102" t="str">
        <f t="array" ref="X614">_xlfn.XLOOKUP(V614,Stock1!I614,Stock1!J614,"")</f>
        <v/>
      </c>
      <c r="Y614" s="102" t="str">
        <f t="array" ref="Y614">_xlfn.XLOOKUP("Screen Protector for Android Phone and Other",Stock1!B614,Stock1!I614,"")</f>
        <v/>
      </c>
      <c r="Z614" s="102" t="str">
        <f t="array" ref="Z614">_xlfn.XLOOKUP("Screen Protector for Galaxy Phone",Stock1!B614,Stock1!I614,"")</f>
        <v/>
      </c>
      <c r="AA614" s="102" t="str">
        <f t="array" ref="AA614">_xlfn.XLOOKUP("Screen Protector for Galaxy Tab",Stock1!B614,Stock1!I614,"")</f>
        <v/>
      </c>
      <c r="AB614" s="102" t="str">
        <f t="shared" si="4"/>
        <v/>
      </c>
      <c r="AC614" s="102" t="str">
        <f t="array" ref="AC614">_xlfn.XLOOKUP(AB614,Stock1!I614,Stock1!F614,"")</f>
        <v/>
      </c>
      <c r="AD614" s="102" t="str">
        <f t="array" ref="AD614">_xlfn.XLOOKUP(AB614,Stock1!I614,Stock1!J614,"")</f>
        <v/>
      </c>
      <c r="AE614" s="102" t="str">
        <f t="array" ref="AE614">_xlfn.XLOOKUP("Storage",Stock1!B614,Stock1!I614,"")</f>
        <v/>
      </c>
      <c r="AF614" s="102" t="str">
        <f t="array" ref="AF614">_xlfn.XLOOKUP(AE614,Stock1!I614,Stock1!F614,"")</f>
        <v/>
      </c>
      <c r="AG614" s="102" t="str">
        <f t="array" ref="AG614">_xlfn.XLOOKUP(AE614,Stock1!I614,Stock1!J614,"")</f>
        <v/>
      </c>
    </row>
    <row r="615">
      <c r="K615" s="660" t="str">
        <f t="array" ref="K615">IFERROR(_xlfn.XLOOKUP(I615,Incentive!B:B,Incentive!E:E,""),"")</f>
        <v/>
      </c>
      <c r="L615" s="659" t="str">
        <f>IFERROR(VLOOKUP(I615,Stock1!F:J,5,False),"")</f>
        <v/>
      </c>
      <c r="M615" s="659" t="str">
        <f>IFERROR(VLOOKUP(I615,Stock2!F:J,5,False),"")</f>
        <v/>
      </c>
      <c r="V615" s="102" t="str">
        <f t="array" ref="V615">_xlfn.XLOOKUP("Charger",Stock1!B615,Stock1!I615,"")</f>
        <v/>
      </c>
      <c r="W615" s="102" t="str">
        <f t="array" ref="W615">_xlfn.XLOOKUP(V615,Stock1!I615,Stock1!F615,"")</f>
        <v/>
      </c>
      <c r="X615" s="102" t="str">
        <f t="array" ref="X615">_xlfn.XLOOKUP(V615,Stock1!I615,Stock1!J615,"")</f>
        <v/>
      </c>
      <c r="Y615" s="102" t="str">
        <f t="array" ref="Y615">_xlfn.XLOOKUP("Screen Protector for Android Phone and Other",Stock1!B615,Stock1!I615,"")</f>
        <v/>
      </c>
      <c r="Z615" s="102" t="str">
        <f t="array" ref="Z615">_xlfn.XLOOKUP("Screen Protector for Galaxy Phone",Stock1!B615,Stock1!I615,"")</f>
        <v/>
      </c>
      <c r="AA615" s="102" t="str">
        <f t="array" ref="AA615">_xlfn.XLOOKUP("Screen Protector for Galaxy Tab",Stock1!B615,Stock1!I615,"")</f>
        <v/>
      </c>
      <c r="AB615" s="102" t="str">
        <f t="shared" si="4"/>
        <v/>
      </c>
      <c r="AC615" s="102" t="str">
        <f t="array" ref="AC615">_xlfn.XLOOKUP(AB615,Stock1!I615,Stock1!F615,"")</f>
        <v/>
      </c>
      <c r="AD615" s="102" t="str">
        <f t="array" ref="AD615">_xlfn.XLOOKUP(AB615,Stock1!I615,Stock1!J615,"")</f>
        <v/>
      </c>
      <c r="AE615" s="102" t="str">
        <f t="array" ref="AE615">_xlfn.XLOOKUP("Storage",Stock1!B615,Stock1!I615,"")</f>
        <v/>
      </c>
      <c r="AF615" s="102" t="str">
        <f t="array" ref="AF615">_xlfn.XLOOKUP(AE615,Stock1!I615,Stock1!F615,"")</f>
        <v/>
      </c>
      <c r="AG615" s="102" t="str">
        <f t="array" ref="AG615">_xlfn.XLOOKUP(AE615,Stock1!I615,Stock1!J615,"")</f>
        <v/>
      </c>
    </row>
    <row r="616">
      <c r="K616" s="660" t="str">
        <f t="array" ref="K616">IFERROR(_xlfn.XLOOKUP(I616,Incentive!B:B,Incentive!E:E,""),"")</f>
        <v/>
      </c>
      <c r="L616" s="659" t="str">
        <f>IFERROR(VLOOKUP(I616,Stock1!F:J,5,False),"")</f>
        <v/>
      </c>
      <c r="M616" s="659" t="str">
        <f>IFERROR(VLOOKUP(I616,Stock2!F:J,5,False),"")</f>
        <v/>
      </c>
      <c r="V616" s="102" t="str">
        <f t="array" ref="V616">_xlfn.XLOOKUP("Charger",Stock1!B616,Stock1!I616,"")</f>
        <v/>
      </c>
      <c r="W616" s="102" t="str">
        <f t="array" ref="W616">_xlfn.XLOOKUP(V616,Stock1!I616,Stock1!F616,"")</f>
        <v/>
      </c>
      <c r="X616" s="102" t="str">
        <f t="array" ref="X616">_xlfn.XLOOKUP(V616,Stock1!I616,Stock1!J616,"")</f>
        <v/>
      </c>
      <c r="Y616" s="102" t="str">
        <f t="array" ref="Y616">_xlfn.XLOOKUP("Screen Protector for Android Phone and Other",Stock1!B616,Stock1!I616,"")</f>
        <v/>
      </c>
      <c r="Z616" s="102" t="str">
        <f t="array" ref="Z616">_xlfn.XLOOKUP("Screen Protector for Galaxy Phone",Stock1!B616,Stock1!I616,"")</f>
        <v/>
      </c>
      <c r="AA616" s="102" t="str">
        <f t="array" ref="AA616">_xlfn.XLOOKUP("Screen Protector for Galaxy Tab",Stock1!B616,Stock1!I616,"")</f>
        <v/>
      </c>
      <c r="AB616" s="102" t="str">
        <f t="shared" si="4"/>
        <v/>
      </c>
      <c r="AC616" s="102" t="str">
        <f t="array" ref="AC616">_xlfn.XLOOKUP(AB616,Stock1!I616,Stock1!F616,"")</f>
        <v/>
      </c>
      <c r="AD616" s="102" t="str">
        <f t="array" ref="AD616">_xlfn.XLOOKUP(AB616,Stock1!I616,Stock1!J616,"")</f>
        <v/>
      </c>
      <c r="AE616" s="102" t="str">
        <f t="array" ref="AE616">_xlfn.XLOOKUP("Storage",Stock1!B616,Stock1!I616,"")</f>
        <v/>
      </c>
      <c r="AF616" s="102" t="str">
        <f t="array" ref="AF616">_xlfn.XLOOKUP(AE616,Stock1!I616,Stock1!F616,"")</f>
        <v/>
      </c>
      <c r="AG616" s="102" t="str">
        <f t="array" ref="AG616">_xlfn.XLOOKUP(AE616,Stock1!I616,Stock1!J616,"")</f>
        <v/>
      </c>
    </row>
    <row r="617">
      <c r="K617" s="660" t="str">
        <f t="array" ref="K617">IFERROR(_xlfn.XLOOKUP(I617,Incentive!B:B,Incentive!E:E,""),"")</f>
        <v/>
      </c>
      <c r="L617" s="659" t="str">
        <f>IFERROR(VLOOKUP(I617,Stock1!F:J,5,False),"")</f>
        <v/>
      </c>
      <c r="M617" s="659" t="str">
        <f>IFERROR(VLOOKUP(I617,Stock2!F:J,5,False),"")</f>
        <v/>
      </c>
      <c r="V617" s="102" t="str">
        <f t="array" ref="V617">_xlfn.XLOOKUP("Charger",Stock1!B617,Stock1!I617,"")</f>
        <v/>
      </c>
      <c r="W617" s="102" t="str">
        <f t="array" ref="W617">_xlfn.XLOOKUP(V617,Stock1!I617,Stock1!F617,"")</f>
        <v/>
      </c>
      <c r="X617" s="102" t="str">
        <f t="array" ref="X617">_xlfn.XLOOKUP(V617,Stock1!I617,Stock1!J617,"")</f>
        <v/>
      </c>
      <c r="Y617" s="102" t="str">
        <f t="array" ref="Y617">_xlfn.XLOOKUP("Screen Protector for Android Phone and Other",Stock1!B617,Stock1!I617,"")</f>
        <v/>
      </c>
      <c r="Z617" s="102" t="str">
        <f t="array" ref="Z617">_xlfn.XLOOKUP("Screen Protector for Galaxy Phone",Stock1!B617,Stock1!I617,"")</f>
        <v/>
      </c>
      <c r="AA617" s="102" t="str">
        <f t="array" ref="AA617">_xlfn.XLOOKUP("Screen Protector for Galaxy Tab",Stock1!B617,Stock1!I617,"")</f>
        <v/>
      </c>
      <c r="AB617" s="102" t="str">
        <f t="shared" si="4"/>
        <v/>
      </c>
      <c r="AC617" s="102" t="str">
        <f t="array" ref="AC617">_xlfn.XLOOKUP(AB617,Stock1!I617,Stock1!F617,"")</f>
        <v/>
      </c>
      <c r="AD617" s="102" t="str">
        <f t="array" ref="AD617">_xlfn.XLOOKUP(AB617,Stock1!I617,Stock1!J617,"")</f>
        <v/>
      </c>
      <c r="AE617" s="102" t="str">
        <f t="array" ref="AE617">_xlfn.XLOOKUP("Storage",Stock1!B617,Stock1!I617,"")</f>
        <v/>
      </c>
      <c r="AF617" s="102" t="str">
        <f t="array" ref="AF617">_xlfn.XLOOKUP(AE617,Stock1!I617,Stock1!F617,"")</f>
        <v/>
      </c>
      <c r="AG617" s="102" t="str">
        <f t="array" ref="AG617">_xlfn.XLOOKUP(AE617,Stock1!I617,Stock1!J617,"")</f>
        <v/>
      </c>
    </row>
    <row r="618">
      <c r="K618" s="660" t="str">
        <f t="array" ref="K618">IFERROR(_xlfn.XLOOKUP(I618,Incentive!B:B,Incentive!E:E,""),"")</f>
        <v/>
      </c>
      <c r="L618" s="659" t="str">
        <f>IFERROR(VLOOKUP(I618,Stock1!F:J,5,False),"")</f>
        <v/>
      </c>
      <c r="M618" s="659" t="str">
        <f>IFERROR(VLOOKUP(I618,Stock2!F:J,5,False),"")</f>
        <v/>
      </c>
      <c r="V618" s="102" t="str">
        <f t="array" ref="V618">_xlfn.XLOOKUP("Charger",Stock1!B618,Stock1!I618,"")</f>
        <v/>
      </c>
      <c r="W618" s="102" t="str">
        <f t="array" ref="W618">_xlfn.XLOOKUP(V618,Stock1!I618,Stock1!F618,"")</f>
        <v/>
      </c>
      <c r="X618" s="102" t="str">
        <f t="array" ref="X618">_xlfn.XLOOKUP(V618,Stock1!I618,Stock1!J618,"")</f>
        <v/>
      </c>
      <c r="Y618" s="102" t="str">
        <f t="array" ref="Y618">_xlfn.XLOOKUP("Screen Protector for Android Phone and Other",Stock1!B618,Stock1!I618,"")</f>
        <v/>
      </c>
      <c r="Z618" s="102" t="str">
        <f t="array" ref="Z618">_xlfn.XLOOKUP("Screen Protector for Galaxy Phone",Stock1!B618,Stock1!I618,"")</f>
        <v/>
      </c>
      <c r="AA618" s="102" t="str">
        <f t="array" ref="AA618">_xlfn.XLOOKUP("Screen Protector for Galaxy Tab",Stock1!B618,Stock1!I618,"")</f>
        <v/>
      </c>
      <c r="AB618" s="102" t="str">
        <f t="shared" si="4"/>
        <v/>
      </c>
      <c r="AC618" s="102" t="str">
        <f t="array" ref="AC618">_xlfn.XLOOKUP(AB618,Stock1!I618,Stock1!F618,"")</f>
        <v/>
      </c>
      <c r="AD618" s="102" t="str">
        <f t="array" ref="AD618">_xlfn.XLOOKUP(AB618,Stock1!I618,Stock1!J618,"")</f>
        <v/>
      </c>
      <c r="AE618" s="102" t="str">
        <f t="array" ref="AE618">_xlfn.XLOOKUP("Storage",Stock1!B618,Stock1!I618,"")</f>
        <v/>
      </c>
      <c r="AF618" s="102" t="str">
        <f t="array" ref="AF618">_xlfn.XLOOKUP(AE618,Stock1!I618,Stock1!F618,"")</f>
        <v/>
      </c>
      <c r="AG618" s="102" t="str">
        <f t="array" ref="AG618">_xlfn.XLOOKUP(AE618,Stock1!I618,Stock1!J618,"")</f>
        <v/>
      </c>
    </row>
    <row r="619">
      <c r="K619" s="660" t="str">
        <f t="array" ref="K619">IFERROR(_xlfn.XLOOKUP(I619,Incentive!B:B,Incentive!E:E,""),"")</f>
        <v/>
      </c>
      <c r="L619" s="659" t="str">
        <f>IFERROR(VLOOKUP(I619,Stock1!F:J,5,False),"")</f>
        <v/>
      </c>
      <c r="M619" s="659" t="str">
        <f>IFERROR(VLOOKUP(I619,Stock2!F:J,5,False),"")</f>
        <v/>
      </c>
      <c r="V619" s="102" t="str">
        <f t="array" ref="V619">_xlfn.XLOOKUP("Charger",Stock1!B619,Stock1!I619,"")</f>
        <v/>
      </c>
      <c r="W619" s="102" t="str">
        <f t="array" ref="W619">_xlfn.XLOOKUP(V619,Stock1!I619,Stock1!F619,"")</f>
        <v/>
      </c>
      <c r="X619" s="102" t="str">
        <f t="array" ref="X619">_xlfn.XLOOKUP(V619,Stock1!I619,Stock1!J619,"")</f>
        <v/>
      </c>
      <c r="Y619" s="102" t="str">
        <f t="array" ref="Y619">_xlfn.XLOOKUP("Screen Protector for Android Phone and Other",Stock1!B619,Stock1!I619,"")</f>
        <v/>
      </c>
      <c r="Z619" s="102" t="str">
        <f t="array" ref="Z619">_xlfn.XLOOKUP("Screen Protector for Galaxy Phone",Stock1!B619,Stock1!I619,"")</f>
        <v/>
      </c>
      <c r="AA619" s="102" t="str">
        <f t="array" ref="AA619">_xlfn.XLOOKUP("Screen Protector for Galaxy Tab",Stock1!B619,Stock1!I619,"")</f>
        <v/>
      </c>
      <c r="AB619" s="102" t="str">
        <f t="shared" si="4"/>
        <v/>
      </c>
      <c r="AC619" s="102" t="str">
        <f t="array" ref="AC619">_xlfn.XLOOKUP(AB619,Stock1!I619,Stock1!F619,"")</f>
        <v/>
      </c>
      <c r="AD619" s="102" t="str">
        <f t="array" ref="AD619">_xlfn.XLOOKUP(AB619,Stock1!I619,Stock1!J619,"")</f>
        <v/>
      </c>
      <c r="AE619" s="102" t="str">
        <f t="array" ref="AE619">_xlfn.XLOOKUP("Storage",Stock1!B619,Stock1!I619,"")</f>
        <v/>
      </c>
      <c r="AF619" s="102" t="str">
        <f t="array" ref="AF619">_xlfn.XLOOKUP(AE619,Stock1!I619,Stock1!F619,"")</f>
        <v/>
      </c>
      <c r="AG619" s="102" t="str">
        <f t="array" ref="AG619">_xlfn.XLOOKUP(AE619,Stock1!I619,Stock1!J619,"")</f>
        <v/>
      </c>
    </row>
    <row r="620">
      <c r="K620" s="660" t="str">
        <f t="array" ref="K620">IFERROR(_xlfn.XLOOKUP(I620,Incentive!B:B,Incentive!E:E,""),"")</f>
        <v/>
      </c>
      <c r="L620" s="659" t="str">
        <f>IFERROR(VLOOKUP(I620,Stock1!F:J,5,False),"")</f>
        <v/>
      </c>
      <c r="M620" s="659" t="str">
        <f>IFERROR(VLOOKUP(I620,Stock2!F:J,5,False),"")</f>
        <v/>
      </c>
      <c r="V620" s="102" t="str">
        <f t="array" ref="V620">_xlfn.XLOOKUP("Charger",Stock1!B620,Stock1!I620,"")</f>
        <v/>
      </c>
      <c r="W620" s="102" t="str">
        <f t="array" ref="W620">_xlfn.XLOOKUP(V620,Stock1!I620,Stock1!F620,"")</f>
        <v/>
      </c>
      <c r="X620" s="102" t="str">
        <f t="array" ref="X620">_xlfn.XLOOKUP(V620,Stock1!I620,Stock1!J620,"")</f>
        <v/>
      </c>
      <c r="Y620" s="102" t="str">
        <f t="array" ref="Y620">_xlfn.XLOOKUP("Screen Protector for Android Phone and Other",Stock1!B620,Stock1!I620,"")</f>
        <v/>
      </c>
      <c r="Z620" s="102" t="str">
        <f t="array" ref="Z620">_xlfn.XLOOKUP("Screen Protector for Galaxy Phone",Stock1!B620,Stock1!I620,"")</f>
        <v/>
      </c>
      <c r="AA620" s="102" t="str">
        <f t="array" ref="AA620">_xlfn.XLOOKUP("Screen Protector for Galaxy Tab",Stock1!B620,Stock1!I620,"")</f>
        <v/>
      </c>
      <c r="AB620" s="102" t="str">
        <f t="shared" si="4"/>
        <v/>
      </c>
      <c r="AC620" s="102" t="str">
        <f t="array" ref="AC620">_xlfn.XLOOKUP(AB620,Stock1!I620,Stock1!F620,"")</f>
        <v/>
      </c>
      <c r="AD620" s="102" t="str">
        <f t="array" ref="AD620">_xlfn.XLOOKUP(AB620,Stock1!I620,Stock1!J620,"")</f>
        <v/>
      </c>
      <c r="AE620" s="102" t="str">
        <f t="array" ref="AE620">_xlfn.XLOOKUP("Storage",Stock1!B620,Stock1!I620,"")</f>
        <v/>
      </c>
      <c r="AF620" s="102" t="str">
        <f t="array" ref="AF620">_xlfn.XLOOKUP(AE620,Stock1!I620,Stock1!F620,"")</f>
        <v/>
      </c>
      <c r="AG620" s="102" t="str">
        <f t="array" ref="AG620">_xlfn.XLOOKUP(AE620,Stock1!I620,Stock1!J620,"")</f>
        <v/>
      </c>
    </row>
    <row r="621">
      <c r="K621" s="660" t="str">
        <f t="array" ref="K621">IFERROR(_xlfn.XLOOKUP(I621,Incentive!B:B,Incentive!E:E,""),"")</f>
        <v/>
      </c>
      <c r="L621" s="659" t="str">
        <f>IFERROR(VLOOKUP(I621,Stock1!F:J,5,False),"")</f>
        <v/>
      </c>
      <c r="M621" s="659" t="str">
        <f>IFERROR(VLOOKUP(I621,Stock2!F:J,5,False),"")</f>
        <v/>
      </c>
      <c r="V621" s="102" t="str">
        <f t="array" ref="V621">_xlfn.XLOOKUP("Charger",Stock1!B621,Stock1!I621,"")</f>
        <v/>
      </c>
      <c r="W621" s="102" t="str">
        <f t="array" ref="W621">_xlfn.XLOOKUP(V621,Stock1!I621,Stock1!F621,"")</f>
        <v/>
      </c>
      <c r="X621" s="102" t="str">
        <f t="array" ref="X621">_xlfn.XLOOKUP(V621,Stock1!I621,Stock1!J621,"")</f>
        <v/>
      </c>
      <c r="Y621" s="102" t="str">
        <f t="array" ref="Y621">_xlfn.XLOOKUP("Screen Protector for Android Phone and Other",Stock1!B621,Stock1!I621,"")</f>
        <v/>
      </c>
      <c r="Z621" s="102" t="str">
        <f t="array" ref="Z621">_xlfn.XLOOKUP("Screen Protector for Galaxy Phone",Stock1!B621,Stock1!I621,"")</f>
        <v/>
      </c>
      <c r="AA621" s="102" t="str">
        <f t="array" ref="AA621">_xlfn.XLOOKUP("Screen Protector for Galaxy Tab",Stock1!B621,Stock1!I621,"")</f>
        <v/>
      </c>
      <c r="AB621" s="102" t="str">
        <f t="shared" si="4"/>
        <v/>
      </c>
      <c r="AC621" s="102" t="str">
        <f t="array" ref="AC621">_xlfn.XLOOKUP(AB621,Stock1!I621,Stock1!F621,"")</f>
        <v/>
      </c>
      <c r="AD621" s="102" t="str">
        <f t="array" ref="AD621">_xlfn.XLOOKUP(AB621,Stock1!I621,Stock1!J621,"")</f>
        <v/>
      </c>
      <c r="AE621" s="102" t="str">
        <f t="array" ref="AE621">_xlfn.XLOOKUP("Storage",Stock1!B621,Stock1!I621,"")</f>
        <v/>
      </c>
      <c r="AF621" s="102" t="str">
        <f t="array" ref="AF621">_xlfn.XLOOKUP(AE621,Stock1!I621,Stock1!F621,"")</f>
        <v/>
      </c>
      <c r="AG621" s="102" t="str">
        <f t="array" ref="AG621">_xlfn.XLOOKUP(AE621,Stock1!I621,Stock1!J621,"")</f>
        <v/>
      </c>
    </row>
    <row r="622">
      <c r="K622" s="660" t="str">
        <f t="array" ref="K622">IFERROR(_xlfn.XLOOKUP(I622,Incentive!B:B,Incentive!E:E,""),"")</f>
        <v/>
      </c>
      <c r="L622" s="659" t="str">
        <f>IFERROR(VLOOKUP(I622,Stock1!F:J,5,False),"")</f>
        <v/>
      </c>
      <c r="M622" s="659" t="str">
        <f>IFERROR(VLOOKUP(I622,Stock2!F:J,5,False),"")</f>
        <v/>
      </c>
      <c r="V622" s="102" t="str">
        <f t="array" ref="V622">_xlfn.XLOOKUP("Charger",Stock1!B622,Stock1!I622,"")</f>
        <v/>
      </c>
      <c r="W622" s="102" t="str">
        <f t="array" ref="W622">_xlfn.XLOOKUP(V622,Stock1!I622,Stock1!F622,"")</f>
        <v/>
      </c>
      <c r="X622" s="102" t="str">
        <f t="array" ref="X622">_xlfn.XLOOKUP(V622,Stock1!I622,Stock1!J622,"")</f>
        <v/>
      </c>
      <c r="Y622" s="102" t="str">
        <f t="array" ref="Y622">_xlfn.XLOOKUP("Screen Protector for Android Phone and Other",Stock1!B622,Stock1!I622,"")</f>
        <v/>
      </c>
      <c r="Z622" s="102" t="str">
        <f t="array" ref="Z622">_xlfn.XLOOKUP("Screen Protector for Galaxy Phone",Stock1!B622,Stock1!I622,"")</f>
        <v/>
      </c>
      <c r="AA622" s="102" t="str">
        <f t="array" ref="AA622">_xlfn.XLOOKUP("Screen Protector for Galaxy Tab",Stock1!B622,Stock1!I622,"")</f>
        <v/>
      </c>
      <c r="AB622" s="102" t="str">
        <f t="shared" si="4"/>
        <v/>
      </c>
      <c r="AC622" s="102" t="str">
        <f t="array" ref="AC622">_xlfn.XLOOKUP(AB622,Stock1!I622,Stock1!F622,"")</f>
        <v/>
      </c>
      <c r="AD622" s="102" t="str">
        <f t="array" ref="AD622">_xlfn.XLOOKUP(AB622,Stock1!I622,Stock1!J622,"")</f>
        <v/>
      </c>
      <c r="AE622" s="102" t="str">
        <f t="array" ref="AE622">_xlfn.XLOOKUP("Storage",Stock1!B622,Stock1!I622,"")</f>
        <v/>
      </c>
      <c r="AF622" s="102" t="str">
        <f t="array" ref="AF622">_xlfn.XLOOKUP(AE622,Stock1!I622,Stock1!F622,"")</f>
        <v/>
      </c>
      <c r="AG622" s="102" t="str">
        <f t="array" ref="AG622">_xlfn.XLOOKUP(AE622,Stock1!I622,Stock1!J622,"")</f>
        <v/>
      </c>
    </row>
    <row r="623">
      <c r="K623" s="660" t="str">
        <f t="array" ref="K623">IFERROR(_xlfn.XLOOKUP(I623,Incentive!B:B,Incentive!E:E,""),"")</f>
        <v/>
      </c>
      <c r="L623" s="659" t="str">
        <f>IFERROR(VLOOKUP(I623,Stock1!F:J,5,False),"")</f>
        <v/>
      </c>
      <c r="M623" s="659" t="str">
        <f>IFERROR(VLOOKUP(I623,Stock2!F:J,5,False),"")</f>
        <v/>
      </c>
      <c r="V623" s="102" t="str">
        <f t="array" ref="V623">_xlfn.XLOOKUP("Charger",Stock1!B623,Stock1!I623,"")</f>
        <v/>
      </c>
      <c r="W623" s="102" t="str">
        <f t="array" ref="W623">_xlfn.XLOOKUP(V623,Stock1!I623,Stock1!F623,"")</f>
        <v/>
      </c>
      <c r="X623" s="102" t="str">
        <f t="array" ref="X623">_xlfn.XLOOKUP(V623,Stock1!I623,Stock1!J623,"")</f>
        <v/>
      </c>
      <c r="Y623" s="102" t="str">
        <f t="array" ref="Y623">_xlfn.XLOOKUP("Screen Protector for Android Phone and Other",Stock1!B623,Stock1!I623,"")</f>
        <v/>
      </c>
      <c r="Z623" s="102" t="str">
        <f t="array" ref="Z623">_xlfn.XLOOKUP("Screen Protector for Galaxy Phone",Stock1!B623,Stock1!I623,"")</f>
        <v/>
      </c>
      <c r="AA623" s="102" t="str">
        <f t="array" ref="AA623">_xlfn.XLOOKUP("Screen Protector for Galaxy Tab",Stock1!B623,Stock1!I623,"")</f>
        <v/>
      </c>
      <c r="AB623" s="102" t="str">
        <f t="shared" si="4"/>
        <v/>
      </c>
      <c r="AC623" s="102" t="str">
        <f t="array" ref="AC623">_xlfn.XLOOKUP(AB623,Stock1!I623,Stock1!F623,"")</f>
        <v/>
      </c>
      <c r="AD623" s="102" t="str">
        <f t="array" ref="AD623">_xlfn.XLOOKUP(AB623,Stock1!I623,Stock1!J623,"")</f>
        <v/>
      </c>
      <c r="AE623" s="102" t="str">
        <f t="array" ref="AE623">_xlfn.XLOOKUP("Storage",Stock1!B623,Stock1!I623,"")</f>
        <v/>
      </c>
      <c r="AF623" s="102" t="str">
        <f t="array" ref="AF623">_xlfn.XLOOKUP(AE623,Stock1!I623,Stock1!F623,"")</f>
        <v/>
      </c>
      <c r="AG623" s="102" t="str">
        <f t="array" ref="AG623">_xlfn.XLOOKUP(AE623,Stock1!I623,Stock1!J623,"")</f>
        <v/>
      </c>
    </row>
    <row r="624">
      <c r="K624" s="660" t="str">
        <f t="array" ref="K624">IFERROR(_xlfn.XLOOKUP(I624,Incentive!B:B,Incentive!E:E,""),"")</f>
        <v/>
      </c>
      <c r="L624" s="659" t="str">
        <f>IFERROR(VLOOKUP(I624,Stock1!F:J,5,False),"")</f>
        <v/>
      </c>
      <c r="M624" s="659" t="str">
        <f>IFERROR(VLOOKUP(I624,Stock2!F:J,5,False),"")</f>
        <v/>
      </c>
      <c r="V624" s="102" t="str">
        <f t="array" ref="V624">_xlfn.XLOOKUP("Charger",Stock1!B624,Stock1!I624,"")</f>
        <v/>
      </c>
      <c r="W624" s="102" t="str">
        <f t="array" ref="W624">_xlfn.XLOOKUP(V624,Stock1!I624,Stock1!F624,"")</f>
        <v/>
      </c>
      <c r="X624" s="102" t="str">
        <f t="array" ref="X624">_xlfn.XLOOKUP(V624,Stock1!I624,Stock1!J624,"")</f>
        <v/>
      </c>
      <c r="Y624" s="102" t="str">
        <f t="array" ref="Y624">_xlfn.XLOOKUP("Screen Protector for Android Phone and Other",Stock1!B624,Stock1!I624,"")</f>
        <v/>
      </c>
      <c r="Z624" s="102" t="str">
        <f t="array" ref="Z624">_xlfn.XLOOKUP("Screen Protector for Galaxy Phone",Stock1!B624,Stock1!I624,"")</f>
        <v/>
      </c>
      <c r="AA624" s="102" t="str">
        <f t="array" ref="AA624">_xlfn.XLOOKUP("Screen Protector for Galaxy Tab",Stock1!B624,Stock1!I624,"")</f>
        <v/>
      </c>
      <c r="AB624" s="102" t="str">
        <f t="shared" si="4"/>
        <v/>
      </c>
      <c r="AC624" s="102" t="str">
        <f t="array" ref="AC624">_xlfn.XLOOKUP(AB624,Stock1!I624,Stock1!F624,"")</f>
        <v/>
      </c>
      <c r="AD624" s="102" t="str">
        <f t="array" ref="AD624">_xlfn.XLOOKUP(AB624,Stock1!I624,Stock1!J624,"")</f>
        <v/>
      </c>
      <c r="AE624" s="102" t="str">
        <f t="array" ref="AE624">_xlfn.XLOOKUP("Storage",Stock1!B624,Stock1!I624,"")</f>
        <v/>
      </c>
      <c r="AF624" s="102" t="str">
        <f t="array" ref="AF624">_xlfn.XLOOKUP(AE624,Stock1!I624,Stock1!F624,"")</f>
        <v/>
      </c>
      <c r="AG624" s="102" t="str">
        <f t="array" ref="AG624">_xlfn.XLOOKUP(AE624,Stock1!I624,Stock1!J624,"")</f>
        <v/>
      </c>
    </row>
    <row r="625">
      <c r="K625" s="660" t="str">
        <f t="array" ref="K625">IFERROR(_xlfn.XLOOKUP(I625,Incentive!B:B,Incentive!E:E,""),"")</f>
        <v/>
      </c>
      <c r="L625" s="659" t="str">
        <f>IFERROR(VLOOKUP(I625,Stock1!F:J,5,False),"")</f>
        <v/>
      </c>
      <c r="M625" s="659" t="str">
        <f>IFERROR(VLOOKUP(I625,Stock2!F:J,5,False),"")</f>
        <v/>
      </c>
      <c r="V625" s="102" t="str">
        <f t="array" ref="V625">_xlfn.XLOOKUP("Charger",Stock1!B625,Stock1!I625,"")</f>
        <v/>
      </c>
      <c r="W625" s="102" t="str">
        <f t="array" ref="W625">_xlfn.XLOOKUP(V625,Stock1!I625,Stock1!F625,"")</f>
        <v/>
      </c>
      <c r="X625" s="102" t="str">
        <f t="array" ref="X625">_xlfn.XLOOKUP(V625,Stock1!I625,Stock1!J625,"")</f>
        <v/>
      </c>
      <c r="Y625" s="102" t="str">
        <f t="array" ref="Y625">_xlfn.XLOOKUP("Screen Protector for Android Phone and Other",Stock1!B625,Stock1!I625,"")</f>
        <v/>
      </c>
      <c r="Z625" s="102" t="str">
        <f t="array" ref="Z625">_xlfn.XLOOKUP("Screen Protector for Galaxy Phone",Stock1!B625,Stock1!I625,"")</f>
        <v/>
      </c>
      <c r="AA625" s="102" t="str">
        <f t="array" ref="AA625">_xlfn.XLOOKUP("Screen Protector for Galaxy Tab",Stock1!B625,Stock1!I625,"")</f>
        <v/>
      </c>
      <c r="AB625" s="102" t="str">
        <f t="shared" si="4"/>
        <v/>
      </c>
      <c r="AC625" s="102" t="str">
        <f t="array" ref="AC625">_xlfn.XLOOKUP(AB625,Stock1!I625,Stock1!F625,"")</f>
        <v/>
      </c>
      <c r="AD625" s="102" t="str">
        <f t="array" ref="AD625">_xlfn.XLOOKUP(AB625,Stock1!I625,Stock1!J625,"")</f>
        <v/>
      </c>
      <c r="AE625" s="102" t="str">
        <f t="array" ref="AE625">_xlfn.XLOOKUP("Storage",Stock1!B625,Stock1!I625,"")</f>
        <v/>
      </c>
      <c r="AF625" s="102" t="str">
        <f t="array" ref="AF625">_xlfn.XLOOKUP(AE625,Stock1!I625,Stock1!F625,"")</f>
        <v/>
      </c>
      <c r="AG625" s="102" t="str">
        <f t="array" ref="AG625">_xlfn.XLOOKUP(AE625,Stock1!I625,Stock1!J625,"")</f>
        <v/>
      </c>
    </row>
    <row r="626">
      <c r="K626" s="660" t="str">
        <f t="array" ref="K626">IFERROR(_xlfn.XLOOKUP(I626,Incentive!B:B,Incentive!E:E,""),"")</f>
        <v/>
      </c>
      <c r="L626" s="659" t="str">
        <f>IFERROR(VLOOKUP(I626,Stock1!F:J,5,False),"")</f>
        <v/>
      </c>
      <c r="M626" s="659" t="str">
        <f>IFERROR(VLOOKUP(I626,Stock2!F:J,5,False),"")</f>
        <v/>
      </c>
      <c r="V626" s="102" t="str">
        <f t="array" ref="V626">_xlfn.XLOOKUP("Charger",Stock1!B626,Stock1!I626,"")</f>
        <v/>
      </c>
      <c r="W626" s="102" t="str">
        <f t="array" ref="W626">_xlfn.XLOOKUP(V626,Stock1!I626,Stock1!F626,"")</f>
        <v/>
      </c>
      <c r="X626" s="102" t="str">
        <f t="array" ref="X626">_xlfn.XLOOKUP(V626,Stock1!I626,Stock1!J626,"")</f>
        <v/>
      </c>
      <c r="Y626" s="102" t="str">
        <f t="array" ref="Y626">_xlfn.XLOOKUP("Screen Protector for Android Phone and Other",Stock1!B626,Stock1!I626,"")</f>
        <v/>
      </c>
      <c r="Z626" s="102" t="str">
        <f t="array" ref="Z626">_xlfn.XLOOKUP("Screen Protector for Galaxy Phone",Stock1!B626,Stock1!I626,"")</f>
        <v/>
      </c>
      <c r="AA626" s="102" t="str">
        <f t="array" ref="AA626">_xlfn.XLOOKUP("Screen Protector for Galaxy Tab",Stock1!B626,Stock1!I626,"")</f>
        <v/>
      </c>
      <c r="AB626" s="102" t="str">
        <f t="shared" si="4"/>
        <v/>
      </c>
      <c r="AC626" s="102" t="str">
        <f t="array" ref="AC626">_xlfn.XLOOKUP(AB626,Stock1!I626,Stock1!F626,"")</f>
        <v/>
      </c>
      <c r="AD626" s="102" t="str">
        <f t="array" ref="AD626">_xlfn.XLOOKUP(AB626,Stock1!I626,Stock1!J626,"")</f>
        <v/>
      </c>
      <c r="AE626" s="102" t="str">
        <f t="array" ref="AE626">_xlfn.XLOOKUP("Storage",Stock1!B626,Stock1!I626,"")</f>
        <v/>
      </c>
      <c r="AF626" s="102" t="str">
        <f t="array" ref="AF626">_xlfn.XLOOKUP(AE626,Stock1!I626,Stock1!F626,"")</f>
        <v/>
      </c>
      <c r="AG626" s="102" t="str">
        <f t="array" ref="AG626">_xlfn.XLOOKUP(AE626,Stock1!I626,Stock1!J626,"")</f>
        <v/>
      </c>
    </row>
    <row r="627">
      <c r="K627" s="660" t="str">
        <f t="array" ref="K627">IFERROR(_xlfn.XLOOKUP(I627,Incentive!B:B,Incentive!E:E,""),"")</f>
        <v/>
      </c>
      <c r="L627" s="659" t="str">
        <f>IFERROR(VLOOKUP(I627,Stock1!F:J,5,False),"")</f>
        <v/>
      </c>
      <c r="M627" s="659" t="str">
        <f>IFERROR(VLOOKUP(I627,Stock2!F:J,5,False),"")</f>
        <v/>
      </c>
      <c r="V627" s="102" t="str">
        <f t="array" ref="V627">_xlfn.XLOOKUP("Charger",Stock1!B627,Stock1!I627,"")</f>
        <v/>
      </c>
      <c r="W627" s="102" t="str">
        <f t="array" ref="W627">_xlfn.XLOOKUP(V627,Stock1!I627,Stock1!F627,"")</f>
        <v/>
      </c>
      <c r="X627" s="102" t="str">
        <f t="array" ref="X627">_xlfn.XLOOKUP(V627,Stock1!I627,Stock1!J627,"")</f>
        <v/>
      </c>
      <c r="Y627" s="102" t="str">
        <f t="array" ref="Y627">_xlfn.XLOOKUP("Screen Protector for Android Phone and Other",Stock1!B627,Stock1!I627,"")</f>
        <v/>
      </c>
      <c r="Z627" s="102" t="str">
        <f t="array" ref="Z627">_xlfn.XLOOKUP("Screen Protector for Galaxy Phone",Stock1!B627,Stock1!I627,"")</f>
        <v/>
      </c>
      <c r="AA627" s="102" t="str">
        <f t="array" ref="AA627">_xlfn.XLOOKUP("Screen Protector for Galaxy Tab",Stock1!B627,Stock1!I627,"")</f>
        <v/>
      </c>
      <c r="AB627" s="102" t="str">
        <f t="shared" si="4"/>
        <v/>
      </c>
      <c r="AC627" s="102" t="str">
        <f t="array" ref="AC627">_xlfn.XLOOKUP(AB627,Stock1!I627,Stock1!F627,"")</f>
        <v/>
      </c>
      <c r="AD627" s="102" t="str">
        <f t="array" ref="AD627">_xlfn.XLOOKUP(AB627,Stock1!I627,Stock1!J627,"")</f>
        <v/>
      </c>
      <c r="AE627" s="102" t="str">
        <f t="array" ref="AE627">_xlfn.XLOOKUP("Storage",Stock1!B627,Stock1!I627,"")</f>
        <v/>
      </c>
      <c r="AF627" s="102" t="str">
        <f t="array" ref="AF627">_xlfn.XLOOKUP(AE627,Stock1!I627,Stock1!F627,"")</f>
        <v/>
      </c>
      <c r="AG627" s="102" t="str">
        <f t="array" ref="AG627">_xlfn.XLOOKUP(AE627,Stock1!I627,Stock1!J627,"")</f>
        <v/>
      </c>
    </row>
    <row r="628">
      <c r="K628" s="660" t="str">
        <f t="array" ref="K628">IFERROR(_xlfn.XLOOKUP(I628,Incentive!B:B,Incentive!E:E,""),"")</f>
        <v/>
      </c>
      <c r="L628" s="659" t="str">
        <f>IFERROR(VLOOKUP(I628,Stock1!F:J,5,False),"")</f>
        <v/>
      </c>
      <c r="M628" s="659" t="str">
        <f>IFERROR(VLOOKUP(I628,Stock2!F:J,5,False),"")</f>
        <v/>
      </c>
      <c r="V628" s="102" t="str">
        <f t="array" ref="V628">_xlfn.XLOOKUP("Charger",Stock1!B628,Stock1!I628,"")</f>
        <v/>
      </c>
      <c r="W628" s="102" t="str">
        <f t="array" ref="W628">_xlfn.XLOOKUP(V628,Stock1!I628,Stock1!F628,"")</f>
        <v/>
      </c>
      <c r="X628" s="102" t="str">
        <f t="array" ref="X628">_xlfn.XLOOKUP(V628,Stock1!I628,Stock1!J628,"")</f>
        <v/>
      </c>
      <c r="Y628" s="102" t="str">
        <f t="array" ref="Y628">_xlfn.XLOOKUP("Screen Protector for Android Phone and Other",Stock1!B628,Stock1!I628,"")</f>
        <v/>
      </c>
      <c r="Z628" s="102" t="str">
        <f t="array" ref="Z628">_xlfn.XLOOKUP("Screen Protector for Galaxy Phone",Stock1!B628,Stock1!I628,"")</f>
        <v/>
      </c>
      <c r="AA628" s="102" t="str">
        <f t="array" ref="AA628">_xlfn.XLOOKUP("Screen Protector for Galaxy Tab",Stock1!B628,Stock1!I628,"")</f>
        <v/>
      </c>
      <c r="AB628" s="102" t="str">
        <f t="shared" si="4"/>
        <v/>
      </c>
      <c r="AC628" s="102" t="str">
        <f t="array" ref="AC628">_xlfn.XLOOKUP(AB628,Stock1!I628,Stock1!F628,"")</f>
        <v/>
      </c>
      <c r="AD628" s="102" t="str">
        <f t="array" ref="AD628">_xlfn.XLOOKUP(AB628,Stock1!I628,Stock1!J628,"")</f>
        <v/>
      </c>
      <c r="AE628" s="102" t="str">
        <f t="array" ref="AE628">_xlfn.XLOOKUP("Storage",Stock1!B628,Stock1!I628,"")</f>
        <v/>
      </c>
      <c r="AF628" s="102" t="str">
        <f t="array" ref="AF628">_xlfn.XLOOKUP(AE628,Stock1!I628,Stock1!F628,"")</f>
        <v/>
      </c>
      <c r="AG628" s="102" t="str">
        <f t="array" ref="AG628">_xlfn.XLOOKUP(AE628,Stock1!I628,Stock1!J628,"")</f>
        <v/>
      </c>
    </row>
    <row r="629">
      <c r="K629" s="660" t="str">
        <f t="array" ref="K629">IFERROR(_xlfn.XLOOKUP(I629,Incentive!B:B,Incentive!E:E,""),"")</f>
        <v/>
      </c>
      <c r="L629" s="659" t="str">
        <f>IFERROR(VLOOKUP(I629,Stock1!F:J,5,False),"")</f>
        <v/>
      </c>
      <c r="M629" s="659" t="str">
        <f>IFERROR(VLOOKUP(I629,Stock2!F:J,5,False),"")</f>
        <v/>
      </c>
      <c r="V629" s="102" t="str">
        <f t="array" ref="V629">_xlfn.XLOOKUP("Charger",Stock1!B629,Stock1!I629,"")</f>
        <v/>
      </c>
      <c r="W629" s="102" t="str">
        <f t="array" ref="W629">_xlfn.XLOOKUP(V629,Stock1!I629,Stock1!F629,"")</f>
        <v/>
      </c>
      <c r="X629" s="102" t="str">
        <f t="array" ref="X629">_xlfn.XLOOKUP(V629,Stock1!I629,Stock1!J629,"")</f>
        <v/>
      </c>
      <c r="Y629" s="102" t="str">
        <f t="array" ref="Y629">_xlfn.XLOOKUP("Screen Protector for Android Phone and Other",Stock1!B629,Stock1!I629,"")</f>
        <v/>
      </c>
      <c r="Z629" s="102" t="str">
        <f t="array" ref="Z629">_xlfn.XLOOKUP("Screen Protector for Galaxy Phone",Stock1!B629,Stock1!I629,"")</f>
        <v/>
      </c>
      <c r="AA629" s="102" t="str">
        <f t="array" ref="AA629">_xlfn.XLOOKUP("Screen Protector for Galaxy Tab",Stock1!B629,Stock1!I629,"")</f>
        <v/>
      </c>
      <c r="AB629" s="102" t="str">
        <f t="shared" si="4"/>
        <v/>
      </c>
      <c r="AC629" s="102" t="str">
        <f t="array" ref="AC629">_xlfn.XLOOKUP(AB629,Stock1!I629,Stock1!F629,"")</f>
        <v/>
      </c>
      <c r="AD629" s="102" t="str">
        <f t="array" ref="AD629">_xlfn.XLOOKUP(AB629,Stock1!I629,Stock1!J629,"")</f>
        <v/>
      </c>
      <c r="AE629" s="102" t="str">
        <f t="array" ref="AE629">_xlfn.XLOOKUP("Storage",Stock1!B629,Stock1!I629,"")</f>
        <v/>
      </c>
      <c r="AF629" s="102" t="str">
        <f t="array" ref="AF629">_xlfn.XLOOKUP(AE629,Stock1!I629,Stock1!F629,"")</f>
        <v/>
      </c>
      <c r="AG629" s="102" t="str">
        <f t="array" ref="AG629">_xlfn.XLOOKUP(AE629,Stock1!I629,Stock1!J629,"")</f>
        <v/>
      </c>
    </row>
    <row r="630">
      <c r="K630" s="660" t="str">
        <f t="array" ref="K630">IFERROR(_xlfn.XLOOKUP(I630,Incentive!B:B,Incentive!E:E,""),"")</f>
        <v/>
      </c>
      <c r="L630" s="659" t="str">
        <f>IFERROR(VLOOKUP(I630,Stock1!F:J,5,False),"")</f>
        <v/>
      </c>
      <c r="M630" s="659" t="str">
        <f>IFERROR(VLOOKUP(I630,Stock2!F:J,5,False),"")</f>
        <v/>
      </c>
      <c r="V630" s="102" t="str">
        <f t="array" ref="V630">_xlfn.XLOOKUP("Charger",Stock1!B630,Stock1!I630,"")</f>
        <v/>
      </c>
      <c r="W630" s="102" t="str">
        <f t="array" ref="W630">_xlfn.XLOOKUP(V630,Stock1!I630,Stock1!F630,"")</f>
        <v/>
      </c>
      <c r="X630" s="102" t="str">
        <f t="array" ref="X630">_xlfn.XLOOKUP(V630,Stock1!I630,Stock1!J630,"")</f>
        <v/>
      </c>
      <c r="Y630" s="102" t="str">
        <f t="array" ref="Y630">_xlfn.XLOOKUP("Screen Protector for Android Phone and Other",Stock1!B630,Stock1!I630,"")</f>
        <v/>
      </c>
      <c r="Z630" s="102" t="str">
        <f t="array" ref="Z630">_xlfn.XLOOKUP("Screen Protector for Galaxy Phone",Stock1!B630,Stock1!I630,"")</f>
        <v/>
      </c>
      <c r="AA630" s="102" t="str">
        <f t="array" ref="AA630">_xlfn.XLOOKUP("Screen Protector for Galaxy Tab",Stock1!B630,Stock1!I630,"")</f>
        <v/>
      </c>
      <c r="AB630" s="102" t="str">
        <f t="shared" si="4"/>
        <v/>
      </c>
      <c r="AC630" s="102" t="str">
        <f t="array" ref="AC630">_xlfn.XLOOKUP(AB630,Stock1!I630,Stock1!F630,"")</f>
        <v/>
      </c>
      <c r="AD630" s="102" t="str">
        <f t="array" ref="AD630">_xlfn.XLOOKUP(AB630,Stock1!I630,Stock1!J630,"")</f>
        <v/>
      </c>
      <c r="AE630" s="102" t="str">
        <f t="array" ref="AE630">_xlfn.XLOOKUP("Storage",Stock1!B630,Stock1!I630,"")</f>
        <v/>
      </c>
      <c r="AF630" s="102" t="str">
        <f t="array" ref="AF630">_xlfn.XLOOKUP(AE630,Stock1!I630,Stock1!F630,"")</f>
        <v/>
      </c>
      <c r="AG630" s="102" t="str">
        <f t="array" ref="AG630">_xlfn.XLOOKUP(AE630,Stock1!I630,Stock1!J630,"")</f>
        <v/>
      </c>
    </row>
    <row r="631">
      <c r="K631" s="660" t="str">
        <f t="array" ref="K631">IFERROR(_xlfn.XLOOKUP(I631,Incentive!B:B,Incentive!E:E,""),"")</f>
        <v/>
      </c>
      <c r="L631" s="659" t="str">
        <f>IFERROR(VLOOKUP(I631,Stock1!F:J,5,False),"")</f>
        <v/>
      </c>
      <c r="M631" s="659" t="str">
        <f>IFERROR(VLOOKUP(I631,Stock2!F:J,5,False),"")</f>
        <v/>
      </c>
      <c r="V631" s="102" t="str">
        <f t="array" ref="V631">_xlfn.XLOOKUP("Charger",Stock1!B631,Stock1!I631,"")</f>
        <v/>
      </c>
      <c r="W631" s="102" t="str">
        <f t="array" ref="W631">_xlfn.XLOOKUP(V631,Stock1!I631,Stock1!F631,"")</f>
        <v/>
      </c>
      <c r="X631" s="102" t="str">
        <f t="array" ref="X631">_xlfn.XLOOKUP(V631,Stock1!I631,Stock1!J631,"")</f>
        <v/>
      </c>
      <c r="Y631" s="102" t="str">
        <f t="array" ref="Y631">_xlfn.XLOOKUP("Screen Protector for Android Phone and Other",Stock1!B631,Stock1!I631,"")</f>
        <v/>
      </c>
      <c r="Z631" s="102" t="str">
        <f t="array" ref="Z631">_xlfn.XLOOKUP("Screen Protector for Galaxy Phone",Stock1!B631,Stock1!I631,"")</f>
        <v/>
      </c>
      <c r="AA631" s="102" t="str">
        <f t="array" ref="AA631">_xlfn.XLOOKUP("Screen Protector for Galaxy Tab",Stock1!B631,Stock1!I631,"")</f>
        <v/>
      </c>
      <c r="AB631" s="102" t="str">
        <f t="shared" si="4"/>
        <v/>
      </c>
      <c r="AC631" s="102" t="str">
        <f t="array" ref="AC631">_xlfn.XLOOKUP(AB631,Stock1!I631,Stock1!F631,"")</f>
        <v/>
      </c>
      <c r="AD631" s="102" t="str">
        <f t="array" ref="AD631">_xlfn.XLOOKUP(AB631,Stock1!I631,Stock1!J631,"")</f>
        <v/>
      </c>
      <c r="AE631" s="102" t="str">
        <f t="array" ref="AE631">_xlfn.XLOOKUP("Storage",Stock1!B631,Stock1!I631,"")</f>
        <v/>
      </c>
      <c r="AF631" s="102" t="str">
        <f t="array" ref="AF631">_xlfn.XLOOKUP(AE631,Stock1!I631,Stock1!F631,"")</f>
        <v/>
      </c>
      <c r="AG631" s="102" t="str">
        <f t="array" ref="AG631">_xlfn.XLOOKUP(AE631,Stock1!I631,Stock1!J631,"")</f>
        <v/>
      </c>
    </row>
    <row r="632">
      <c r="K632" s="660" t="str">
        <f t="array" ref="K632">IFERROR(_xlfn.XLOOKUP(I632,Incentive!B:B,Incentive!E:E,""),"")</f>
        <v/>
      </c>
      <c r="L632" s="659" t="str">
        <f>IFERROR(VLOOKUP(I632,Stock1!F:J,5,False),"")</f>
        <v/>
      </c>
      <c r="M632" s="659" t="str">
        <f>IFERROR(VLOOKUP(I632,Stock2!F:J,5,False),"")</f>
        <v/>
      </c>
      <c r="V632" s="102" t="str">
        <f t="array" ref="V632">_xlfn.XLOOKUP("Charger",Stock1!B632,Stock1!I632,"")</f>
        <v/>
      </c>
      <c r="W632" s="102" t="str">
        <f t="array" ref="W632">_xlfn.XLOOKUP(V632,Stock1!I632,Stock1!F632,"")</f>
        <v/>
      </c>
      <c r="X632" s="102" t="str">
        <f t="array" ref="X632">_xlfn.XLOOKUP(V632,Stock1!I632,Stock1!J632,"")</f>
        <v/>
      </c>
      <c r="Y632" s="102" t="str">
        <f t="array" ref="Y632">_xlfn.XLOOKUP("Screen Protector for Android Phone and Other",Stock1!B632,Stock1!I632,"")</f>
        <v/>
      </c>
      <c r="Z632" s="102" t="str">
        <f t="array" ref="Z632">_xlfn.XLOOKUP("Screen Protector for Galaxy Phone",Stock1!B632,Stock1!I632,"")</f>
        <v/>
      </c>
      <c r="AA632" s="102" t="str">
        <f t="array" ref="AA632">_xlfn.XLOOKUP("Screen Protector for Galaxy Tab",Stock1!B632,Stock1!I632,"")</f>
        <v/>
      </c>
      <c r="AB632" s="102" t="str">
        <f t="shared" si="4"/>
        <v/>
      </c>
      <c r="AC632" s="102" t="str">
        <f t="array" ref="AC632">_xlfn.XLOOKUP(AB632,Stock1!I632,Stock1!F632,"")</f>
        <v/>
      </c>
      <c r="AD632" s="102" t="str">
        <f t="array" ref="AD632">_xlfn.XLOOKUP(AB632,Stock1!I632,Stock1!J632,"")</f>
        <v/>
      </c>
      <c r="AE632" s="102" t="str">
        <f t="array" ref="AE632">_xlfn.XLOOKUP("Storage",Stock1!B632,Stock1!I632,"")</f>
        <v/>
      </c>
      <c r="AF632" s="102" t="str">
        <f t="array" ref="AF632">_xlfn.XLOOKUP(AE632,Stock1!I632,Stock1!F632,"")</f>
        <v/>
      </c>
      <c r="AG632" s="102" t="str">
        <f t="array" ref="AG632">_xlfn.XLOOKUP(AE632,Stock1!I632,Stock1!J632,"")</f>
        <v/>
      </c>
    </row>
    <row r="633">
      <c r="K633" s="660" t="str">
        <f t="array" ref="K633">IFERROR(_xlfn.XLOOKUP(I633,Incentive!B:B,Incentive!E:E,""),"")</f>
        <v/>
      </c>
      <c r="L633" s="659" t="str">
        <f>IFERROR(VLOOKUP(I633,Stock1!F:J,5,False),"")</f>
        <v/>
      </c>
      <c r="M633" s="659" t="str">
        <f>IFERROR(VLOOKUP(I633,Stock2!F:J,5,False),"")</f>
        <v/>
      </c>
      <c r="V633" s="102" t="str">
        <f t="array" ref="V633">_xlfn.XLOOKUP("Charger",Stock1!B633,Stock1!I633,"")</f>
        <v/>
      </c>
      <c r="W633" s="102" t="str">
        <f t="array" ref="W633">_xlfn.XLOOKUP(V633,Stock1!I633,Stock1!F633,"")</f>
        <v/>
      </c>
      <c r="X633" s="102" t="str">
        <f t="array" ref="X633">_xlfn.XLOOKUP(V633,Stock1!I633,Stock1!J633,"")</f>
        <v/>
      </c>
      <c r="Y633" s="102" t="str">
        <f t="array" ref="Y633">_xlfn.XLOOKUP("Screen Protector for Android Phone and Other",Stock1!B633,Stock1!I633,"")</f>
        <v/>
      </c>
      <c r="Z633" s="102" t="str">
        <f t="array" ref="Z633">_xlfn.XLOOKUP("Screen Protector for Galaxy Phone",Stock1!B633,Stock1!I633,"")</f>
        <v/>
      </c>
      <c r="AA633" s="102" t="str">
        <f t="array" ref="AA633">_xlfn.XLOOKUP("Screen Protector for Galaxy Tab",Stock1!B633,Stock1!I633,"")</f>
        <v/>
      </c>
      <c r="AB633" s="102" t="str">
        <f t="shared" si="4"/>
        <v/>
      </c>
      <c r="AC633" s="102" t="str">
        <f t="array" ref="AC633">_xlfn.XLOOKUP(AB633,Stock1!I633,Stock1!F633,"")</f>
        <v/>
      </c>
      <c r="AD633" s="102" t="str">
        <f t="array" ref="AD633">_xlfn.XLOOKUP(AB633,Stock1!I633,Stock1!J633,"")</f>
        <v/>
      </c>
      <c r="AE633" s="102" t="str">
        <f t="array" ref="AE633">_xlfn.XLOOKUP("Storage",Stock1!B633,Stock1!I633,"")</f>
        <v/>
      </c>
      <c r="AF633" s="102" t="str">
        <f t="array" ref="AF633">_xlfn.XLOOKUP(AE633,Stock1!I633,Stock1!F633,"")</f>
        <v/>
      </c>
      <c r="AG633" s="102" t="str">
        <f t="array" ref="AG633">_xlfn.XLOOKUP(AE633,Stock1!I633,Stock1!J633,"")</f>
        <v/>
      </c>
    </row>
    <row r="634">
      <c r="K634" s="660" t="str">
        <f t="array" ref="K634">IFERROR(_xlfn.XLOOKUP(I634,Incentive!B:B,Incentive!E:E,""),"")</f>
        <v/>
      </c>
      <c r="L634" s="659" t="str">
        <f>IFERROR(VLOOKUP(I634,Stock1!F:J,5,False),"")</f>
        <v/>
      </c>
      <c r="M634" s="659" t="str">
        <f>IFERROR(VLOOKUP(I634,Stock2!F:J,5,False),"")</f>
        <v/>
      </c>
      <c r="V634" s="102" t="str">
        <f t="array" ref="V634">_xlfn.XLOOKUP("Charger",Stock1!B634,Stock1!I634,"")</f>
        <v/>
      </c>
      <c r="W634" s="102" t="str">
        <f t="array" ref="W634">_xlfn.XLOOKUP(V634,Stock1!I634,Stock1!F634,"")</f>
        <v/>
      </c>
      <c r="X634" s="102" t="str">
        <f t="array" ref="X634">_xlfn.XLOOKUP(V634,Stock1!I634,Stock1!J634,"")</f>
        <v/>
      </c>
      <c r="Y634" s="102" t="str">
        <f t="array" ref="Y634">_xlfn.XLOOKUP("Screen Protector for Android Phone and Other",Stock1!B634,Stock1!I634,"")</f>
        <v/>
      </c>
      <c r="Z634" s="102" t="str">
        <f t="array" ref="Z634">_xlfn.XLOOKUP("Screen Protector for Galaxy Phone",Stock1!B634,Stock1!I634,"")</f>
        <v/>
      </c>
      <c r="AA634" s="102" t="str">
        <f t="array" ref="AA634">_xlfn.XLOOKUP("Screen Protector for Galaxy Tab",Stock1!B634,Stock1!I634,"")</f>
        <v/>
      </c>
      <c r="AB634" s="102" t="str">
        <f t="shared" si="4"/>
        <v/>
      </c>
      <c r="AC634" s="102" t="str">
        <f t="array" ref="AC634">_xlfn.XLOOKUP(AB634,Stock1!I634,Stock1!F634,"")</f>
        <v/>
      </c>
      <c r="AD634" s="102" t="str">
        <f t="array" ref="AD634">_xlfn.XLOOKUP(AB634,Stock1!I634,Stock1!J634,"")</f>
        <v/>
      </c>
      <c r="AE634" s="102" t="str">
        <f t="array" ref="AE634">_xlfn.XLOOKUP("Storage",Stock1!B634,Stock1!I634,"")</f>
        <v/>
      </c>
      <c r="AF634" s="102" t="str">
        <f t="array" ref="AF634">_xlfn.XLOOKUP(AE634,Stock1!I634,Stock1!F634,"")</f>
        <v/>
      </c>
      <c r="AG634" s="102" t="str">
        <f t="array" ref="AG634">_xlfn.XLOOKUP(AE634,Stock1!I634,Stock1!J634,"")</f>
        <v/>
      </c>
    </row>
    <row r="635">
      <c r="K635" s="660" t="str">
        <f t="array" ref="K635">IFERROR(_xlfn.XLOOKUP(I635,Incentive!B:B,Incentive!E:E,""),"")</f>
        <v/>
      </c>
      <c r="L635" s="659" t="str">
        <f>IFERROR(VLOOKUP(I635,Stock1!F:J,5,False),"")</f>
        <v/>
      </c>
      <c r="M635" s="659" t="str">
        <f>IFERROR(VLOOKUP(I635,Stock2!F:J,5,False),"")</f>
        <v/>
      </c>
      <c r="V635" s="102" t="str">
        <f t="array" ref="V635">_xlfn.XLOOKUP("Charger",Stock1!B635,Stock1!I635,"")</f>
        <v/>
      </c>
      <c r="W635" s="102" t="str">
        <f t="array" ref="W635">_xlfn.XLOOKUP(V635,Stock1!I635,Stock1!F635,"")</f>
        <v/>
      </c>
      <c r="X635" s="102" t="str">
        <f t="array" ref="X635">_xlfn.XLOOKUP(V635,Stock1!I635,Stock1!J635,"")</f>
        <v/>
      </c>
      <c r="Y635" s="102" t="str">
        <f t="array" ref="Y635">_xlfn.XLOOKUP("Screen Protector for Android Phone and Other",Stock1!B635,Stock1!I635,"")</f>
        <v/>
      </c>
      <c r="Z635" s="102" t="str">
        <f t="array" ref="Z635">_xlfn.XLOOKUP("Screen Protector for Galaxy Phone",Stock1!B635,Stock1!I635,"")</f>
        <v/>
      </c>
      <c r="AA635" s="102" t="str">
        <f t="array" ref="AA635">_xlfn.XLOOKUP("Screen Protector for Galaxy Tab",Stock1!B635,Stock1!I635,"")</f>
        <v/>
      </c>
      <c r="AB635" s="102" t="str">
        <f t="shared" si="4"/>
        <v/>
      </c>
      <c r="AC635" s="102" t="str">
        <f t="array" ref="AC635">_xlfn.XLOOKUP(AB635,Stock1!I635,Stock1!F635,"")</f>
        <v/>
      </c>
      <c r="AD635" s="102" t="str">
        <f t="array" ref="AD635">_xlfn.XLOOKUP(AB635,Stock1!I635,Stock1!J635,"")</f>
        <v/>
      </c>
      <c r="AE635" s="102" t="str">
        <f t="array" ref="AE635">_xlfn.XLOOKUP("Storage",Stock1!B635,Stock1!I635,"")</f>
        <v/>
      </c>
      <c r="AF635" s="102" t="str">
        <f t="array" ref="AF635">_xlfn.XLOOKUP(AE635,Stock1!I635,Stock1!F635,"")</f>
        <v/>
      </c>
      <c r="AG635" s="102" t="str">
        <f t="array" ref="AG635">_xlfn.XLOOKUP(AE635,Stock1!I635,Stock1!J635,"")</f>
        <v/>
      </c>
    </row>
    <row r="636">
      <c r="K636" s="660" t="str">
        <f t="array" ref="K636">IFERROR(_xlfn.XLOOKUP(I636,Incentive!B:B,Incentive!E:E,""),"")</f>
        <v/>
      </c>
      <c r="L636" s="659" t="str">
        <f>IFERROR(VLOOKUP(I636,Stock1!F:J,5,False),"")</f>
        <v/>
      </c>
      <c r="M636" s="659" t="str">
        <f>IFERROR(VLOOKUP(I636,Stock2!F:J,5,False),"")</f>
        <v/>
      </c>
      <c r="V636" s="102" t="str">
        <f t="array" ref="V636">_xlfn.XLOOKUP("Charger",Stock1!B636,Stock1!I636,"")</f>
        <v/>
      </c>
      <c r="W636" s="102" t="str">
        <f t="array" ref="W636">_xlfn.XLOOKUP(V636,Stock1!I636,Stock1!F636,"")</f>
        <v/>
      </c>
      <c r="X636" s="102" t="str">
        <f t="array" ref="X636">_xlfn.XLOOKUP(V636,Stock1!I636,Stock1!J636,"")</f>
        <v/>
      </c>
      <c r="Y636" s="102" t="str">
        <f t="array" ref="Y636">_xlfn.XLOOKUP("Screen Protector for Android Phone and Other",Stock1!B636,Stock1!I636,"")</f>
        <v/>
      </c>
      <c r="Z636" s="102" t="str">
        <f t="array" ref="Z636">_xlfn.XLOOKUP("Screen Protector for Galaxy Phone",Stock1!B636,Stock1!I636,"")</f>
        <v/>
      </c>
      <c r="AA636" s="102" t="str">
        <f t="array" ref="AA636">_xlfn.XLOOKUP("Screen Protector for Galaxy Tab",Stock1!B636,Stock1!I636,"")</f>
        <v/>
      </c>
      <c r="AB636" s="102" t="str">
        <f t="shared" si="4"/>
        <v/>
      </c>
      <c r="AC636" s="102" t="str">
        <f t="array" ref="AC636">_xlfn.XLOOKUP(AB636,Stock1!I636,Stock1!F636,"")</f>
        <v/>
      </c>
      <c r="AD636" s="102" t="str">
        <f t="array" ref="AD636">_xlfn.XLOOKUP(AB636,Stock1!I636,Stock1!J636,"")</f>
        <v/>
      </c>
      <c r="AE636" s="102" t="str">
        <f t="array" ref="AE636">_xlfn.XLOOKUP("Storage",Stock1!B636,Stock1!I636,"")</f>
        <v/>
      </c>
      <c r="AF636" s="102" t="str">
        <f t="array" ref="AF636">_xlfn.XLOOKUP(AE636,Stock1!I636,Stock1!F636,"")</f>
        <v/>
      </c>
      <c r="AG636" s="102" t="str">
        <f t="array" ref="AG636">_xlfn.XLOOKUP(AE636,Stock1!I636,Stock1!J636,"")</f>
        <v/>
      </c>
    </row>
    <row r="637">
      <c r="K637" s="660" t="str">
        <f t="array" ref="K637">IFERROR(_xlfn.XLOOKUP(I637,Incentive!B:B,Incentive!E:E,""),"")</f>
        <v/>
      </c>
      <c r="L637" s="659" t="str">
        <f>IFERROR(VLOOKUP(I637,Stock1!F:J,5,False),"")</f>
        <v/>
      </c>
      <c r="M637" s="659" t="str">
        <f>IFERROR(VLOOKUP(I637,Stock2!F:J,5,False),"")</f>
        <v/>
      </c>
      <c r="V637" s="102" t="str">
        <f t="array" ref="V637">_xlfn.XLOOKUP("Charger",Stock1!B637,Stock1!I637,"")</f>
        <v/>
      </c>
      <c r="W637" s="102" t="str">
        <f t="array" ref="W637">_xlfn.XLOOKUP(V637,Stock1!I637,Stock1!F637,"")</f>
        <v/>
      </c>
      <c r="X637" s="102" t="str">
        <f t="array" ref="X637">_xlfn.XLOOKUP(V637,Stock1!I637,Stock1!J637,"")</f>
        <v/>
      </c>
      <c r="Y637" s="102" t="str">
        <f t="array" ref="Y637">_xlfn.XLOOKUP("Screen Protector for Android Phone and Other",Stock1!B637,Stock1!I637,"")</f>
        <v/>
      </c>
      <c r="Z637" s="102" t="str">
        <f t="array" ref="Z637">_xlfn.XLOOKUP("Screen Protector for Galaxy Phone",Stock1!B637,Stock1!I637,"")</f>
        <v/>
      </c>
      <c r="AA637" s="102" t="str">
        <f t="array" ref="AA637">_xlfn.XLOOKUP("Screen Protector for Galaxy Tab",Stock1!B637,Stock1!I637,"")</f>
        <v/>
      </c>
      <c r="AB637" s="102" t="str">
        <f t="shared" si="4"/>
        <v/>
      </c>
      <c r="AC637" s="102" t="str">
        <f t="array" ref="AC637">_xlfn.XLOOKUP(AB637,Stock1!I637,Stock1!F637,"")</f>
        <v/>
      </c>
      <c r="AD637" s="102" t="str">
        <f t="array" ref="AD637">_xlfn.XLOOKUP(AB637,Stock1!I637,Stock1!J637,"")</f>
        <v/>
      </c>
      <c r="AE637" s="102" t="str">
        <f t="array" ref="AE637">_xlfn.XLOOKUP("Storage",Stock1!B637,Stock1!I637,"")</f>
        <v/>
      </c>
      <c r="AF637" s="102" t="str">
        <f t="array" ref="AF637">_xlfn.XLOOKUP(AE637,Stock1!I637,Stock1!F637,"")</f>
        <v/>
      </c>
      <c r="AG637" s="102" t="str">
        <f t="array" ref="AG637">_xlfn.XLOOKUP(AE637,Stock1!I637,Stock1!J637,"")</f>
        <v/>
      </c>
    </row>
    <row r="638">
      <c r="K638" s="660" t="str">
        <f t="array" ref="K638">IFERROR(_xlfn.XLOOKUP(I638,Incentive!B:B,Incentive!E:E,""),"")</f>
        <v/>
      </c>
      <c r="L638" s="659" t="str">
        <f>IFERROR(VLOOKUP(I638,Stock1!F:J,5,False),"")</f>
        <v/>
      </c>
      <c r="M638" s="659" t="str">
        <f>IFERROR(VLOOKUP(I638,Stock2!F:J,5,False),"")</f>
        <v/>
      </c>
      <c r="V638" s="102" t="str">
        <f t="array" ref="V638">_xlfn.XLOOKUP("Charger",Stock1!B638,Stock1!I638,"")</f>
        <v/>
      </c>
      <c r="W638" s="102" t="str">
        <f t="array" ref="W638">_xlfn.XLOOKUP(V638,Stock1!I638,Stock1!F638,"")</f>
        <v/>
      </c>
      <c r="X638" s="102" t="str">
        <f t="array" ref="X638">_xlfn.XLOOKUP(V638,Stock1!I638,Stock1!J638,"")</f>
        <v/>
      </c>
      <c r="Y638" s="102" t="str">
        <f t="array" ref="Y638">_xlfn.XLOOKUP("Screen Protector for Android Phone and Other",Stock1!B638,Stock1!I638,"")</f>
        <v/>
      </c>
      <c r="Z638" s="102" t="str">
        <f t="array" ref="Z638">_xlfn.XLOOKUP("Screen Protector for Galaxy Phone",Stock1!B638,Stock1!I638,"")</f>
        <v/>
      </c>
      <c r="AA638" s="102" t="str">
        <f t="array" ref="AA638">_xlfn.XLOOKUP("Screen Protector for Galaxy Tab",Stock1!B638,Stock1!I638,"")</f>
        <v/>
      </c>
      <c r="AB638" s="102" t="str">
        <f t="shared" si="4"/>
        <v/>
      </c>
      <c r="AC638" s="102" t="str">
        <f t="array" ref="AC638">_xlfn.XLOOKUP(AB638,Stock1!I638,Stock1!F638,"")</f>
        <v/>
      </c>
      <c r="AD638" s="102" t="str">
        <f t="array" ref="AD638">_xlfn.XLOOKUP(AB638,Stock1!I638,Stock1!J638,"")</f>
        <v/>
      </c>
      <c r="AE638" s="102" t="str">
        <f t="array" ref="AE638">_xlfn.XLOOKUP("Storage",Stock1!B638,Stock1!I638,"")</f>
        <v/>
      </c>
      <c r="AF638" s="102" t="str">
        <f t="array" ref="AF638">_xlfn.XLOOKUP(AE638,Stock1!I638,Stock1!F638,"")</f>
        <v/>
      </c>
      <c r="AG638" s="102" t="str">
        <f t="array" ref="AG638">_xlfn.XLOOKUP(AE638,Stock1!I638,Stock1!J638,"")</f>
        <v/>
      </c>
    </row>
    <row r="639">
      <c r="K639" s="660" t="str">
        <f t="array" ref="K639">IFERROR(_xlfn.XLOOKUP(I639,Incentive!B:B,Incentive!E:E,""),"")</f>
        <v/>
      </c>
      <c r="L639" s="659" t="str">
        <f>IFERROR(VLOOKUP(I639,Stock1!F:J,5,False),"")</f>
        <v/>
      </c>
      <c r="M639" s="659" t="str">
        <f>IFERROR(VLOOKUP(I639,Stock2!F:J,5,False),"")</f>
        <v/>
      </c>
      <c r="V639" s="102" t="str">
        <f t="array" ref="V639">_xlfn.XLOOKUP("Charger",Stock1!B639,Stock1!I639,"")</f>
        <v/>
      </c>
      <c r="W639" s="102" t="str">
        <f t="array" ref="W639">_xlfn.XLOOKUP(V639,Stock1!I639,Stock1!F639,"")</f>
        <v/>
      </c>
      <c r="X639" s="102" t="str">
        <f t="array" ref="X639">_xlfn.XLOOKUP(V639,Stock1!I639,Stock1!J639,"")</f>
        <v/>
      </c>
      <c r="Y639" s="102" t="str">
        <f t="array" ref="Y639">_xlfn.XLOOKUP("Screen Protector for Android Phone and Other",Stock1!B639,Stock1!I639,"")</f>
        <v/>
      </c>
      <c r="Z639" s="102" t="str">
        <f t="array" ref="Z639">_xlfn.XLOOKUP("Screen Protector for Galaxy Phone",Stock1!B639,Stock1!I639,"")</f>
        <v/>
      </c>
      <c r="AA639" s="102" t="str">
        <f t="array" ref="AA639">_xlfn.XLOOKUP("Screen Protector for Galaxy Tab",Stock1!B639,Stock1!I639,"")</f>
        <v/>
      </c>
      <c r="AB639" s="102" t="str">
        <f t="shared" si="4"/>
        <v/>
      </c>
      <c r="AC639" s="102" t="str">
        <f t="array" ref="AC639">_xlfn.XLOOKUP(AB639,Stock1!I639,Stock1!F639,"")</f>
        <v/>
      </c>
      <c r="AD639" s="102" t="str">
        <f t="array" ref="AD639">_xlfn.XLOOKUP(AB639,Stock1!I639,Stock1!J639,"")</f>
        <v/>
      </c>
      <c r="AE639" s="102" t="str">
        <f t="array" ref="AE639">_xlfn.XLOOKUP("Storage",Stock1!B639,Stock1!I639,"")</f>
        <v/>
      </c>
      <c r="AF639" s="102" t="str">
        <f t="array" ref="AF639">_xlfn.XLOOKUP(AE639,Stock1!I639,Stock1!F639,"")</f>
        <v/>
      </c>
      <c r="AG639" s="102" t="str">
        <f t="array" ref="AG639">_xlfn.XLOOKUP(AE639,Stock1!I639,Stock1!J639,"")</f>
        <v/>
      </c>
    </row>
    <row r="640">
      <c r="K640" s="660" t="str">
        <f t="array" ref="K640">IFERROR(_xlfn.XLOOKUP(I640,Incentive!B:B,Incentive!E:E,""),"")</f>
        <v/>
      </c>
      <c r="L640" s="659" t="str">
        <f>IFERROR(VLOOKUP(I640,Stock1!F:J,5,False),"")</f>
        <v/>
      </c>
      <c r="M640" s="659" t="str">
        <f>IFERROR(VLOOKUP(I640,Stock2!F:J,5,False),"")</f>
        <v/>
      </c>
      <c r="V640" s="102" t="str">
        <f t="array" ref="V640">_xlfn.XLOOKUP("Charger",Stock1!B640,Stock1!I640,"")</f>
        <v/>
      </c>
      <c r="W640" s="102" t="str">
        <f t="array" ref="W640">_xlfn.XLOOKUP(V640,Stock1!I640,Stock1!F640,"")</f>
        <v/>
      </c>
      <c r="X640" s="102" t="str">
        <f t="array" ref="X640">_xlfn.XLOOKUP(V640,Stock1!I640,Stock1!J640,"")</f>
        <v/>
      </c>
      <c r="Y640" s="102" t="str">
        <f t="array" ref="Y640">_xlfn.XLOOKUP("Screen Protector for Android Phone and Other",Stock1!B640,Stock1!I640,"")</f>
        <v/>
      </c>
      <c r="Z640" s="102" t="str">
        <f t="array" ref="Z640">_xlfn.XLOOKUP("Screen Protector for Galaxy Phone",Stock1!B640,Stock1!I640,"")</f>
        <v/>
      </c>
      <c r="AA640" s="102" t="str">
        <f t="array" ref="AA640">_xlfn.XLOOKUP("Screen Protector for Galaxy Tab",Stock1!B640,Stock1!I640,"")</f>
        <v/>
      </c>
      <c r="AB640" s="102" t="str">
        <f t="shared" si="4"/>
        <v/>
      </c>
      <c r="AC640" s="102" t="str">
        <f t="array" ref="AC640">_xlfn.XLOOKUP(AB640,Stock1!I640,Stock1!F640,"")</f>
        <v/>
      </c>
      <c r="AD640" s="102" t="str">
        <f t="array" ref="AD640">_xlfn.XLOOKUP(AB640,Stock1!I640,Stock1!J640,"")</f>
        <v/>
      </c>
      <c r="AE640" s="102" t="str">
        <f t="array" ref="AE640">_xlfn.XLOOKUP("Storage",Stock1!B640,Stock1!I640,"")</f>
        <v/>
      </c>
      <c r="AF640" s="102" t="str">
        <f t="array" ref="AF640">_xlfn.XLOOKUP(AE640,Stock1!I640,Stock1!F640,"")</f>
        <v/>
      </c>
      <c r="AG640" s="102" t="str">
        <f t="array" ref="AG640">_xlfn.XLOOKUP(AE640,Stock1!I640,Stock1!J640,"")</f>
        <v/>
      </c>
    </row>
    <row r="641">
      <c r="K641" s="660" t="str">
        <f t="array" ref="K641">IFERROR(_xlfn.XLOOKUP(I641,Incentive!B:B,Incentive!E:E,""),"")</f>
        <v/>
      </c>
      <c r="L641" s="659" t="str">
        <f>IFERROR(VLOOKUP(I641,Stock1!F:J,5,False),"")</f>
        <v/>
      </c>
      <c r="M641" s="659" t="str">
        <f>IFERROR(VLOOKUP(I641,Stock2!F:J,5,False),"")</f>
        <v/>
      </c>
      <c r="V641" s="102" t="str">
        <f t="array" ref="V641">_xlfn.XLOOKUP("Charger",Stock1!B641,Stock1!I641,"")</f>
        <v/>
      </c>
      <c r="W641" s="102" t="str">
        <f t="array" ref="W641">_xlfn.XLOOKUP(V641,Stock1!I641,Stock1!F641,"")</f>
        <v/>
      </c>
      <c r="X641" s="102" t="str">
        <f t="array" ref="X641">_xlfn.XLOOKUP(V641,Stock1!I641,Stock1!J641,"")</f>
        <v/>
      </c>
      <c r="Y641" s="102" t="str">
        <f t="array" ref="Y641">_xlfn.XLOOKUP("Screen Protector for Android Phone and Other",Stock1!B641,Stock1!I641,"")</f>
        <v/>
      </c>
      <c r="Z641" s="102" t="str">
        <f t="array" ref="Z641">_xlfn.XLOOKUP("Screen Protector for Galaxy Phone",Stock1!B641,Stock1!I641,"")</f>
        <v/>
      </c>
      <c r="AA641" s="102" t="str">
        <f t="array" ref="AA641">_xlfn.XLOOKUP("Screen Protector for Galaxy Tab",Stock1!B641,Stock1!I641,"")</f>
        <v/>
      </c>
      <c r="AB641" s="102" t="str">
        <f t="shared" si="4"/>
        <v/>
      </c>
      <c r="AC641" s="102" t="str">
        <f t="array" ref="AC641">_xlfn.XLOOKUP(AB641,Stock1!I641,Stock1!F641,"")</f>
        <v/>
      </c>
      <c r="AD641" s="102" t="str">
        <f t="array" ref="AD641">_xlfn.XLOOKUP(AB641,Stock1!I641,Stock1!J641,"")</f>
        <v/>
      </c>
      <c r="AE641" s="102" t="str">
        <f t="array" ref="AE641">_xlfn.XLOOKUP("Storage",Stock1!B641,Stock1!I641,"")</f>
        <v/>
      </c>
      <c r="AF641" s="102" t="str">
        <f t="array" ref="AF641">_xlfn.XLOOKUP(AE641,Stock1!I641,Stock1!F641,"")</f>
        <v/>
      </c>
      <c r="AG641" s="102" t="str">
        <f t="array" ref="AG641">_xlfn.XLOOKUP(AE641,Stock1!I641,Stock1!J641,"")</f>
        <v/>
      </c>
    </row>
    <row r="642">
      <c r="K642" s="660" t="str">
        <f t="array" ref="K642">IFERROR(_xlfn.XLOOKUP(I642,Incentive!B:B,Incentive!E:E,""),"")</f>
        <v/>
      </c>
      <c r="L642" s="659" t="str">
        <f>IFERROR(VLOOKUP(I642,Stock1!F:J,5,False),"")</f>
        <v/>
      </c>
      <c r="M642" s="659" t="str">
        <f>IFERROR(VLOOKUP(I642,Stock2!F:J,5,False),"")</f>
        <v/>
      </c>
      <c r="V642" s="102" t="str">
        <f t="array" ref="V642">_xlfn.XLOOKUP("Charger",Stock1!B642,Stock1!I642,"")</f>
        <v/>
      </c>
      <c r="W642" s="102" t="str">
        <f t="array" ref="W642">_xlfn.XLOOKUP(V642,Stock1!I642,Stock1!F642,"")</f>
        <v/>
      </c>
      <c r="X642" s="102" t="str">
        <f t="array" ref="X642">_xlfn.XLOOKUP(V642,Stock1!I642,Stock1!J642,"")</f>
        <v/>
      </c>
      <c r="Y642" s="102" t="str">
        <f t="array" ref="Y642">_xlfn.XLOOKUP("Screen Protector for Android Phone and Other",Stock1!B642,Stock1!I642,"")</f>
        <v/>
      </c>
      <c r="Z642" s="102" t="str">
        <f t="array" ref="Z642">_xlfn.XLOOKUP("Screen Protector for Galaxy Phone",Stock1!B642,Stock1!I642,"")</f>
        <v/>
      </c>
      <c r="AA642" s="102" t="str">
        <f t="array" ref="AA642">_xlfn.XLOOKUP("Screen Protector for Galaxy Tab",Stock1!B642,Stock1!I642,"")</f>
        <v/>
      </c>
      <c r="AB642" s="102" t="str">
        <f t="shared" si="4"/>
        <v/>
      </c>
      <c r="AC642" s="102" t="str">
        <f t="array" ref="AC642">_xlfn.XLOOKUP(AB642,Stock1!I642,Stock1!F642,"")</f>
        <v/>
      </c>
      <c r="AD642" s="102" t="str">
        <f t="array" ref="AD642">_xlfn.XLOOKUP(AB642,Stock1!I642,Stock1!J642,"")</f>
        <v/>
      </c>
      <c r="AE642" s="102" t="str">
        <f t="array" ref="AE642">_xlfn.XLOOKUP("Storage",Stock1!B642,Stock1!I642,"")</f>
        <v/>
      </c>
      <c r="AF642" s="102" t="str">
        <f t="array" ref="AF642">_xlfn.XLOOKUP(AE642,Stock1!I642,Stock1!F642,"")</f>
        <v/>
      </c>
      <c r="AG642" s="102" t="str">
        <f t="array" ref="AG642">_xlfn.XLOOKUP(AE642,Stock1!I642,Stock1!J642,"")</f>
        <v/>
      </c>
    </row>
    <row r="643">
      <c r="K643" s="660" t="str">
        <f t="array" ref="K643">IFERROR(_xlfn.XLOOKUP(I643,Incentive!B:B,Incentive!E:E,""),"")</f>
        <v/>
      </c>
      <c r="L643" s="659" t="str">
        <f>IFERROR(VLOOKUP(I643,Stock1!F:J,5,False),"")</f>
        <v/>
      </c>
      <c r="M643" s="659" t="str">
        <f>IFERROR(VLOOKUP(I643,Stock2!F:J,5,False),"")</f>
        <v/>
      </c>
      <c r="V643" s="102" t="str">
        <f t="array" ref="V643">_xlfn.XLOOKUP("Charger",Stock1!B643,Stock1!I643,"")</f>
        <v/>
      </c>
      <c r="W643" s="102" t="str">
        <f t="array" ref="W643">_xlfn.XLOOKUP(V643,Stock1!I643,Stock1!F643,"")</f>
        <v/>
      </c>
      <c r="X643" s="102" t="str">
        <f t="array" ref="X643">_xlfn.XLOOKUP(V643,Stock1!I643,Stock1!J643,"")</f>
        <v/>
      </c>
      <c r="Y643" s="102" t="str">
        <f t="array" ref="Y643">_xlfn.XLOOKUP("Screen Protector for Android Phone and Other",Stock1!B643,Stock1!I643,"")</f>
        <v/>
      </c>
      <c r="Z643" s="102" t="str">
        <f t="array" ref="Z643">_xlfn.XLOOKUP("Screen Protector for Galaxy Phone",Stock1!B643,Stock1!I643,"")</f>
        <v/>
      </c>
      <c r="AA643" s="102" t="str">
        <f t="array" ref="AA643">_xlfn.XLOOKUP("Screen Protector for Galaxy Tab",Stock1!B643,Stock1!I643,"")</f>
        <v/>
      </c>
      <c r="AB643" s="102" t="str">
        <f t="shared" si="4"/>
        <v/>
      </c>
      <c r="AC643" s="102" t="str">
        <f t="array" ref="AC643">_xlfn.XLOOKUP(AB643,Stock1!I643,Stock1!F643,"")</f>
        <v/>
      </c>
      <c r="AD643" s="102" t="str">
        <f t="array" ref="AD643">_xlfn.XLOOKUP(AB643,Stock1!I643,Stock1!J643,"")</f>
        <v/>
      </c>
      <c r="AE643" s="102" t="str">
        <f t="array" ref="AE643">_xlfn.XLOOKUP("Storage",Stock1!B643,Stock1!I643,"")</f>
        <v/>
      </c>
      <c r="AF643" s="102" t="str">
        <f t="array" ref="AF643">_xlfn.XLOOKUP(AE643,Stock1!I643,Stock1!F643,"")</f>
        <v/>
      </c>
      <c r="AG643" s="102" t="str">
        <f t="array" ref="AG643">_xlfn.XLOOKUP(AE643,Stock1!I643,Stock1!J643,"")</f>
        <v/>
      </c>
    </row>
    <row r="644">
      <c r="K644" s="660" t="str">
        <f t="array" ref="K644">IFERROR(_xlfn.XLOOKUP(I644,Incentive!B:B,Incentive!E:E,""),"")</f>
        <v/>
      </c>
      <c r="L644" s="659" t="str">
        <f>IFERROR(VLOOKUP(I644,Stock1!F:J,5,False),"")</f>
        <v/>
      </c>
      <c r="M644" s="659" t="str">
        <f>IFERROR(VLOOKUP(I644,Stock2!F:J,5,False),"")</f>
        <v/>
      </c>
      <c r="V644" s="102" t="str">
        <f t="array" ref="V644">_xlfn.XLOOKUP("Charger",Stock1!B644,Stock1!I644,"")</f>
        <v/>
      </c>
      <c r="W644" s="102" t="str">
        <f t="array" ref="W644">_xlfn.XLOOKUP(V644,Stock1!I644,Stock1!F644,"")</f>
        <v/>
      </c>
      <c r="X644" s="102" t="str">
        <f t="array" ref="X644">_xlfn.XLOOKUP(V644,Stock1!I644,Stock1!J644,"")</f>
        <v/>
      </c>
      <c r="Y644" s="102" t="str">
        <f t="array" ref="Y644">_xlfn.XLOOKUP("Screen Protector for Android Phone and Other",Stock1!B644,Stock1!I644,"")</f>
        <v/>
      </c>
      <c r="Z644" s="102" t="str">
        <f t="array" ref="Z644">_xlfn.XLOOKUP("Screen Protector for Galaxy Phone",Stock1!B644,Stock1!I644,"")</f>
        <v/>
      </c>
      <c r="AA644" s="102" t="str">
        <f t="array" ref="AA644">_xlfn.XLOOKUP("Screen Protector for Galaxy Tab",Stock1!B644,Stock1!I644,"")</f>
        <v/>
      </c>
      <c r="AB644" s="102" t="str">
        <f t="shared" si="4"/>
        <v/>
      </c>
      <c r="AC644" s="102" t="str">
        <f t="array" ref="AC644">_xlfn.XLOOKUP(AB644,Stock1!I644,Stock1!F644,"")</f>
        <v/>
      </c>
      <c r="AD644" s="102" t="str">
        <f t="array" ref="AD644">_xlfn.XLOOKUP(AB644,Stock1!I644,Stock1!J644,"")</f>
        <v/>
      </c>
      <c r="AE644" s="102" t="str">
        <f t="array" ref="AE644">_xlfn.XLOOKUP("Storage",Stock1!B644,Stock1!I644,"")</f>
        <v/>
      </c>
      <c r="AF644" s="102" t="str">
        <f t="array" ref="AF644">_xlfn.XLOOKUP(AE644,Stock1!I644,Stock1!F644,"")</f>
        <v/>
      </c>
      <c r="AG644" s="102" t="str">
        <f t="array" ref="AG644">_xlfn.XLOOKUP(AE644,Stock1!I644,Stock1!J644,"")</f>
        <v/>
      </c>
    </row>
    <row r="645">
      <c r="K645" s="660" t="str">
        <f t="array" ref="K645">IFERROR(_xlfn.XLOOKUP(I645,Incentive!B:B,Incentive!E:E,""),"")</f>
        <v/>
      </c>
      <c r="L645" s="659" t="str">
        <f>IFERROR(VLOOKUP(I645,Stock1!F:J,5,False),"")</f>
        <v/>
      </c>
      <c r="M645" s="659" t="str">
        <f>IFERROR(VLOOKUP(I645,Stock2!F:J,5,False),"")</f>
        <v/>
      </c>
      <c r="V645" s="102" t="str">
        <f t="array" ref="V645">_xlfn.XLOOKUP("Charger",Stock1!B645,Stock1!I645,"")</f>
        <v/>
      </c>
      <c r="W645" s="102" t="str">
        <f t="array" ref="W645">_xlfn.XLOOKUP(V645,Stock1!I645,Stock1!F645,"")</f>
        <v/>
      </c>
      <c r="X645" s="102" t="str">
        <f t="array" ref="X645">_xlfn.XLOOKUP(V645,Stock1!I645,Stock1!J645,"")</f>
        <v/>
      </c>
      <c r="Y645" s="102" t="str">
        <f t="array" ref="Y645">_xlfn.XLOOKUP("Screen Protector for Android Phone and Other",Stock1!B645,Stock1!I645,"")</f>
        <v/>
      </c>
      <c r="Z645" s="102" t="str">
        <f t="array" ref="Z645">_xlfn.XLOOKUP("Screen Protector for Galaxy Phone",Stock1!B645,Stock1!I645,"")</f>
        <v/>
      </c>
      <c r="AA645" s="102" t="str">
        <f t="array" ref="AA645">_xlfn.XLOOKUP("Screen Protector for Galaxy Tab",Stock1!B645,Stock1!I645,"")</f>
        <v/>
      </c>
      <c r="AB645" s="102" t="str">
        <f t="shared" si="4"/>
        <v/>
      </c>
      <c r="AC645" s="102" t="str">
        <f t="array" ref="AC645">_xlfn.XLOOKUP(AB645,Stock1!I645,Stock1!F645,"")</f>
        <v/>
      </c>
      <c r="AD645" s="102" t="str">
        <f t="array" ref="AD645">_xlfn.XLOOKUP(AB645,Stock1!I645,Stock1!J645,"")</f>
        <v/>
      </c>
      <c r="AE645" s="102" t="str">
        <f t="array" ref="AE645">_xlfn.XLOOKUP("Storage",Stock1!B645,Stock1!I645,"")</f>
        <v/>
      </c>
      <c r="AF645" s="102" t="str">
        <f t="array" ref="AF645">_xlfn.XLOOKUP(AE645,Stock1!I645,Stock1!F645,"")</f>
        <v/>
      </c>
      <c r="AG645" s="102" t="str">
        <f t="array" ref="AG645">_xlfn.XLOOKUP(AE645,Stock1!I645,Stock1!J645,"")</f>
        <v/>
      </c>
    </row>
    <row r="646">
      <c r="K646" s="660" t="str">
        <f t="array" ref="K646">IFERROR(_xlfn.XLOOKUP(I646,Incentive!B:B,Incentive!E:E,""),"")</f>
        <v/>
      </c>
      <c r="L646" s="659" t="str">
        <f>IFERROR(VLOOKUP(I646,Stock1!F:J,5,False),"")</f>
        <v/>
      </c>
      <c r="M646" s="659" t="str">
        <f>IFERROR(VLOOKUP(I646,Stock2!F:J,5,False),"")</f>
        <v/>
      </c>
      <c r="V646" s="102" t="str">
        <f t="array" ref="V646">_xlfn.XLOOKUP("Charger",Stock1!B646,Stock1!I646,"")</f>
        <v/>
      </c>
      <c r="W646" s="102" t="str">
        <f t="array" ref="W646">_xlfn.XLOOKUP(V646,Stock1!I646,Stock1!F646,"")</f>
        <v/>
      </c>
      <c r="X646" s="102" t="str">
        <f t="array" ref="X646">_xlfn.XLOOKUP(V646,Stock1!I646,Stock1!J646,"")</f>
        <v/>
      </c>
      <c r="Y646" s="102" t="str">
        <f t="array" ref="Y646">_xlfn.XLOOKUP("Screen Protector for Android Phone and Other",Stock1!B646,Stock1!I646,"")</f>
        <v/>
      </c>
      <c r="Z646" s="102" t="str">
        <f t="array" ref="Z646">_xlfn.XLOOKUP("Screen Protector for Galaxy Phone",Stock1!B646,Stock1!I646,"")</f>
        <v/>
      </c>
      <c r="AA646" s="102" t="str">
        <f t="array" ref="AA646">_xlfn.XLOOKUP("Screen Protector for Galaxy Tab",Stock1!B646,Stock1!I646,"")</f>
        <v/>
      </c>
      <c r="AB646" s="102" t="str">
        <f t="shared" si="4"/>
        <v/>
      </c>
      <c r="AC646" s="102" t="str">
        <f t="array" ref="AC646">_xlfn.XLOOKUP(AB646,Stock1!I646,Stock1!F646,"")</f>
        <v/>
      </c>
      <c r="AD646" s="102" t="str">
        <f t="array" ref="AD646">_xlfn.XLOOKUP(AB646,Stock1!I646,Stock1!J646,"")</f>
        <v/>
      </c>
      <c r="AE646" s="102" t="str">
        <f t="array" ref="AE646">_xlfn.XLOOKUP("Storage",Stock1!B646,Stock1!I646,"")</f>
        <v/>
      </c>
      <c r="AF646" s="102" t="str">
        <f t="array" ref="AF646">_xlfn.XLOOKUP(AE646,Stock1!I646,Stock1!F646,"")</f>
        <v/>
      </c>
      <c r="AG646" s="102" t="str">
        <f t="array" ref="AG646">_xlfn.XLOOKUP(AE646,Stock1!I646,Stock1!J646,"")</f>
        <v/>
      </c>
    </row>
    <row r="647">
      <c r="K647" s="660" t="str">
        <f t="array" ref="K647">IFERROR(_xlfn.XLOOKUP(I647,Incentive!B:B,Incentive!E:E,""),"")</f>
        <v/>
      </c>
      <c r="L647" s="659" t="str">
        <f>IFERROR(VLOOKUP(I647,Stock1!F:J,5,False),"")</f>
        <v/>
      </c>
      <c r="M647" s="659" t="str">
        <f>IFERROR(VLOOKUP(I647,Stock2!F:J,5,False),"")</f>
        <v/>
      </c>
      <c r="V647" s="102" t="str">
        <f t="array" ref="V647">_xlfn.XLOOKUP("Charger",Stock1!B647,Stock1!I647,"")</f>
        <v/>
      </c>
      <c r="W647" s="102" t="str">
        <f t="array" ref="W647">_xlfn.XLOOKUP(V647,Stock1!I647,Stock1!F647,"")</f>
        <v/>
      </c>
      <c r="X647" s="102" t="str">
        <f t="array" ref="X647">_xlfn.XLOOKUP(V647,Stock1!I647,Stock1!J647,"")</f>
        <v/>
      </c>
      <c r="Y647" s="102" t="str">
        <f t="array" ref="Y647">_xlfn.XLOOKUP("Screen Protector for Android Phone and Other",Stock1!B647,Stock1!I647,"")</f>
        <v/>
      </c>
      <c r="Z647" s="102" t="str">
        <f t="array" ref="Z647">_xlfn.XLOOKUP("Screen Protector for Galaxy Phone",Stock1!B647,Stock1!I647,"")</f>
        <v/>
      </c>
      <c r="AA647" s="102" t="str">
        <f t="array" ref="AA647">_xlfn.XLOOKUP("Screen Protector for Galaxy Tab",Stock1!B647,Stock1!I647,"")</f>
        <v/>
      </c>
      <c r="AB647" s="102" t="str">
        <f t="shared" si="4"/>
        <v/>
      </c>
      <c r="AC647" s="102" t="str">
        <f t="array" ref="AC647">_xlfn.XLOOKUP(AB647,Stock1!I647,Stock1!F647,"")</f>
        <v/>
      </c>
      <c r="AD647" s="102" t="str">
        <f t="array" ref="AD647">_xlfn.XLOOKUP(AB647,Stock1!I647,Stock1!J647,"")</f>
        <v/>
      </c>
      <c r="AE647" s="102" t="str">
        <f t="array" ref="AE647">_xlfn.XLOOKUP("Storage",Stock1!B647,Stock1!I647,"")</f>
        <v/>
      </c>
      <c r="AF647" s="102" t="str">
        <f t="array" ref="AF647">_xlfn.XLOOKUP(AE647,Stock1!I647,Stock1!F647,"")</f>
        <v/>
      </c>
      <c r="AG647" s="102" t="str">
        <f t="array" ref="AG647">_xlfn.XLOOKUP(AE647,Stock1!I647,Stock1!J647,"")</f>
        <v/>
      </c>
    </row>
    <row r="648">
      <c r="K648" s="660" t="str">
        <f t="array" ref="K648">IFERROR(_xlfn.XLOOKUP(I648,Incentive!B:B,Incentive!E:E,""),"")</f>
        <v/>
      </c>
      <c r="L648" s="659" t="str">
        <f>IFERROR(VLOOKUP(I648,Stock1!F:J,5,False),"")</f>
        <v/>
      </c>
      <c r="M648" s="659" t="str">
        <f>IFERROR(VLOOKUP(I648,Stock2!F:J,5,False),"")</f>
        <v/>
      </c>
      <c r="V648" s="102" t="str">
        <f t="array" ref="V648">_xlfn.XLOOKUP("Charger",Stock1!B648,Stock1!I648,"")</f>
        <v/>
      </c>
      <c r="W648" s="102" t="str">
        <f t="array" ref="W648">_xlfn.XLOOKUP(V648,Stock1!I648,Stock1!F648,"")</f>
        <v/>
      </c>
      <c r="X648" s="102" t="str">
        <f t="array" ref="X648">_xlfn.XLOOKUP(V648,Stock1!I648,Stock1!J648,"")</f>
        <v/>
      </c>
      <c r="Y648" s="102" t="str">
        <f t="array" ref="Y648">_xlfn.XLOOKUP("Screen Protector for Android Phone and Other",Stock1!B648,Stock1!I648,"")</f>
        <v/>
      </c>
      <c r="Z648" s="102" t="str">
        <f t="array" ref="Z648">_xlfn.XLOOKUP("Screen Protector for Galaxy Phone",Stock1!B648,Stock1!I648,"")</f>
        <v/>
      </c>
      <c r="AA648" s="102" t="str">
        <f t="array" ref="AA648">_xlfn.XLOOKUP("Screen Protector for Galaxy Tab",Stock1!B648,Stock1!I648,"")</f>
        <v/>
      </c>
      <c r="AB648" s="102" t="str">
        <f t="shared" si="4"/>
        <v/>
      </c>
      <c r="AC648" s="102" t="str">
        <f t="array" ref="AC648">_xlfn.XLOOKUP(AB648,Stock1!I648,Stock1!F648,"")</f>
        <v/>
      </c>
      <c r="AD648" s="102" t="str">
        <f t="array" ref="AD648">_xlfn.XLOOKUP(AB648,Stock1!I648,Stock1!J648,"")</f>
        <v/>
      </c>
      <c r="AE648" s="102" t="str">
        <f t="array" ref="AE648">_xlfn.XLOOKUP("Storage",Stock1!B648,Stock1!I648,"")</f>
        <v/>
      </c>
      <c r="AF648" s="102" t="str">
        <f t="array" ref="AF648">_xlfn.XLOOKUP(AE648,Stock1!I648,Stock1!F648,"")</f>
        <v/>
      </c>
      <c r="AG648" s="102" t="str">
        <f t="array" ref="AG648">_xlfn.XLOOKUP(AE648,Stock1!I648,Stock1!J648,"")</f>
        <v/>
      </c>
    </row>
    <row r="649">
      <c r="K649" s="660" t="str">
        <f t="array" ref="K649">IFERROR(_xlfn.XLOOKUP(I649,Incentive!B:B,Incentive!E:E,""),"")</f>
        <v/>
      </c>
      <c r="L649" s="659" t="str">
        <f>IFERROR(VLOOKUP(I649,Stock1!F:J,5,False),"")</f>
        <v/>
      </c>
      <c r="M649" s="659" t="str">
        <f>IFERROR(VLOOKUP(I649,Stock2!F:J,5,False),"")</f>
        <v/>
      </c>
      <c r="V649" s="102" t="str">
        <f t="array" ref="V649">_xlfn.XLOOKUP("Charger",Stock1!B649,Stock1!I649,"")</f>
        <v/>
      </c>
      <c r="W649" s="102" t="str">
        <f t="array" ref="W649">_xlfn.XLOOKUP(V649,Stock1!I649,Stock1!F649,"")</f>
        <v/>
      </c>
      <c r="X649" s="102" t="str">
        <f t="array" ref="X649">_xlfn.XLOOKUP(V649,Stock1!I649,Stock1!J649,"")</f>
        <v/>
      </c>
      <c r="Y649" s="102" t="str">
        <f t="array" ref="Y649">_xlfn.XLOOKUP("Screen Protector for Android Phone and Other",Stock1!B649,Stock1!I649,"")</f>
        <v/>
      </c>
      <c r="Z649" s="102" t="str">
        <f t="array" ref="Z649">_xlfn.XLOOKUP("Screen Protector for Galaxy Phone",Stock1!B649,Stock1!I649,"")</f>
        <v/>
      </c>
      <c r="AA649" s="102" t="str">
        <f t="array" ref="AA649">_xlfn.XLOOKUP("Screen Protector for Galaxy Tab",Stock1!B649,Stock1!I649,"")</f>
        <v/>
      </c>
      <c r="AB649" s="102" t="str">
        <f t="shared" si="4"/>
        <v/>
      </c>
      <c r="AC649" s="102" t="str">
        <f t="array" ref="AC649">_xlfn.XLOOKUP(AB649,Stock1!I649,Stock1!F649,"")</f>
        <v/>
      </c>
      <c r="AD649" s="102" t="str">
        <f t="array" ref="AD649">_xlfn.XLOOKUP(AB649,Stock1!I649,Stock1!J649,"")</f>
        <v/>
      </c>
      <c r="AE649" s="102" t="str">
        <f t="array" ref="AE649">_xlfn.XLOOKUP("Storage",Stock1!B649,Stock1!I649,"")</f>
        <v/>
      </c>
      <c r="AF649" s="102" t="str">
        <f t="array" ref="AF649">_xlfn.XLOOKUP(AE649,Stock1!I649,Stock1!F649,"")</f>
        <v/>
      </c>
      <c r="AG649" s="102" t="str">
        <f t="array" ref="AG649">_xlfn.XLOOKUP(AE649,Stock1!I649,Stock1!J649,"")</f>
        <v/>
      </c>
    </row>
    <row r="650">
      <c r="K650" s="660" t="str">
        <f t="array" ref="K650">IFERROR(_xlfn.XLOOKUP(I650,Incentive!B:B,Incentive!E:E,""),"")</f>
        <v/>
      </c>
      <c r="L650" s="659" t="str">
        <f>IFERROR(VLOOKUP(I650,Stock1!F:J,5,False),"")</f>
        <v/>
      </c>
      <c r="M650" s="659" t="str">
        <f>IFERROR(VLOOKUP(I650,Stock2!F:J,5,False),"")</f>
        <v/>
      </c>
      <c r="V650" s="102" t="str">
        <f t="array" ref="V650">_xlfn.XLOOKUP("Charger",Stock1!B650,Stock1!I650,"")</f>
        <v/>
      </c>
      <c r="W650" s="102" t="str">
        <f t="array" ref="W650">_xlfn.XLOOKUP(V650,Stock1!I650,Stock1!F650,"")</f>
        <v/>
      </c>
      <c r="X650" s="102" t="str">
        <f t="array" ref="X650">_xlfn.XLOOKUP(V650,Stock1!I650,Stock1!J650,"")</f>
        <v/>
      </c>
      <c r="Y650" s="102" t="str">
        <f t="array" ref="Y650">_xlfn.XLOOKUP("Screen Protector for Android Phone and Other",Stock1!B650,Stock1!I650,"")</f>
        <v/>
      </c>
      <c r="Z650" s="102" t="str">
        <f t="array" ref="Z650">_xlfn.XLOOKUP("Screen Protector for Galaxy Phone",Stock1!B650,Stock1!I650,"")</f>
        <v/>
      </c>
      <c r="AA650" s="102" t="str">
        <f t="array" ref="AA650">_xlfn.XLOOKUP("Screen Protector for Galaxy Tab",Stock1!B650,Stock1!I650,"")</f>
        <v/>
      </c>
      <c r="AB650" s="102" t="str">
        <f t="shared" si="4"/>
        <v/>
      </c>
      <c r="AC650" s="102" t="str">
        <f t="array" ref="AC650">_xlfn.XLOOKUP(AB650,Stock1!I650,Stock1!F650,"")</f>
        <v/>
      </c>
      <c r="AD650" s="102" t="str">
        <f t="array" ref="AD650">_xlfn.XLOOKUP(AB650,Stock1!I650,Stock1!J650,"")</f>
        <v/>
      </c>
      <c r="AE650" s="102" t="str">
        <f t="array" ref="AE650">_xlfn.XLOOKUP("Storage",Stock1!B650,Stock1!I650,"")</f>
        <v/>
      </c>
      <c r="AF650" s="102" t="str">
        <f t="array" ref="AF650">_xlfn.XLOOKUP(AE650,Stock1!I650,Stock1!F650,"")</f>
        <v/>
      </c>
      <c r="AG650" s="102" t="str">
        <f t="array" ref="AG650">_xlfn.XLOOKUP(AE650,Stock1!I650,Stock1!J650,"")</f>
        <v/>
      </c>
    </row>
    <row r="651">
      <c r="K651" s="660" t="str">
        <f t="array" ref="K651">IFERROR(_xlfn.XLOOKUP(I651,Incentive!B:B,Incentive!E:E,""),"")</f>
        <v/>
      </c>
      <c r="L651" s="659" t="str">
        <f>IFERROR(VLOOKUP(I651,Stock1!F:J,5,False),"")</f>
        <v/>
      </c>
      <c r="M651" s="659" t="str">
        <f>IFERROR(VLOOKUP(I651,Stock2!F:J,5,False),"")</f>
        <v/>
      </c>
      <c r="V651" s="102" t="str">
        <f t="array" ref="V651">_xlfn.XLOOKUP("Charger",Stock1!B651,Stock1!I651,"")</f>
        <v/>
      </c>
      <c r="W651" s="102" t="str">
        <f t="array" ref="W651">_xlfn.XLOOKUP(V651,Stock1!I651,Stock1!F651,"")</f>
        <v/>
      </c>
      <c r="X651" s="102" t="str">
        <f t="array" ref="X651">_xlfn.XLOOKUP(V651,Stock1!I651,Stock1!J651,"")</f>
        <v/>
      </c>
      <c r="Y651" s="102" t="str">
        <f t="array" ref="Y651">_xlfn.XLOOKUP("Screen Protector for Android Phone and Other",Stock1!B651,Stock1!I651,"")</f>
        <v/>
      </c>
      <c r="Z651" s="102" t="str">
        <f t="array" ref="Z651">_xlfn.XLOOKUP("Screen Protector for Galaxy Phone",Stock1!B651,Stock1!I651,"")</f>
        <v/>
      </c>
      <c r="AA651" s="102" t="str">
        <f t="array" ref="AA651">_xlfn.XLOOKUP("Screen Protector for Galaxy Tab",Stock1!B651,Stock1!I651,"")</f>
        <v/>
      </c>
      <c r="AB651" s="102" t="str">
        <f t="shared" si="4"/>
        <v/>
      </c>
      <c r="AC651" s="102" t="str">
        <f t="array" ref="AC651">_xlfn.XLOOKUP(AB651,Stock1!I651,Stock1!F651,"")</f>
        <v/>
      </c>
      <c r="AD651" s="102" t="str">
        <f t="array" ref="AD651">_xlfn.XLOOKUP(AB651,Stock1!I651,Stock1!J651,"")</f>
        <v/>
      </c>
      <c r="AE651" s="102" t="str">
        <f t="array" ref="AE651">_xlfn.XLOOKUP("Storage",Stock1!B651,Stock1!I651,"")</f>
        <v/>
      </c>
      <c r="AF651" s="102" t="str">
        <f t="array" ref="AF651">_xlfn.XLOOKUP(AE651,Stock1!I651,Stock1!F651,"")</f>
        <v/>
      </c>
      <c r="AG651" s="102" t="str">
        <f t="array" ref="AG651">_xlfn.XLOOKUP(AE651,Stock1!I651,Stock1!J651,"")</f>
        <v/>
      </c>
    </row>
    <row r="652">
      <c r="K652" s="660" t="str">
        <f t="array" ref="K652">IFERROR(_xlfn.XLOOKUP(I652,Incentive!B:B,Incentive!E:E,""),"")</f>
        <v/>
      </c>
      <c r="L652" s="659" t="str">
        <f>IFERROR(VLOOKUP(I652,Stock1!F:J,5,False),"")</f>
        <v/>
      </c>
      <c r="M652" s="659" t="str">
        <f>IFERROR(VLOOKUP(I652,Stock2!F:J,5,False),"")</f>
        <v/>
      </c>
      <c r="V652" s="102" t="str">
        <f t="array" ref="V652">_xlfn.XLOOKUP("Charger",Stock1!B652,Stock1!I652,"")</f>
        <v/>
      </c>
      <c r="W652" s="102" t="str">
        <f t="array" ref="W652">_xlfn.XLOOKUP(V652,Stock1!I652,Stock1!F652,"")</f>
        <v/>
      </c>
      <c r="X652" s="102" t="str">
        <f t="array" ref="X652">_xlfn.XLOOKUP(V652,Stock1!I652,Stock1!J652,"")</f>
        <v/>
      </c>
      <c r="Y652" s="102" t="str">
        <f t="array" ref="Y652">_xlfn.XLOOKUP("Screen Protector for Android Phone and Other",Stock1!B652,Stock1!I652,"")</f>
        <v/>
      </c>
      <c r="Z652" s="102" t="str">
        <f t="array" ref="Z652">_xlfn.XLOOKUP("Screen Protector for Galaxy Phone",Stock1!B652,Stock1!I652,"")</f>
        <v/>
      </c>
      <c r="AA652" s="102" t="str">
        <f t="array" ref="AA652">_xlfn.XLOOKUP("Screen Protector for Galaxy Tab",Stock1!B652,Stock1!I652,"")</f>
        <v/>
      </c>
      <c r="AB652" s="102" t="str">
        <f t="shared" si="4"/>
        <v/>
      </c>
      <c r="AC652" s="102" t="str">
        <f t="array" ref="AC652">_xlfn.XLOOKUP(AB652,Stock1!I652,Stock1!F652,"")</f>
        <v/>
      </c>
      <c r="AD652" s="102" t="str">
        <f t="array" ref="AD652">_xlfn.XLOOKUP(AB652,Stock1!I652,Stock1!J652,"")</f>
        <v/>
      </c>
      <c r="AE652" s="102" t="str">
        <f t="array" ref="AE652">_xlfn.XLOOKUP("Storage",Stock1!B652,Stock1!I652,"")</f>
        <v/>
      </c>
      <c r="AF652" s="102" t="str">
        <f t="array" ref="AF652">_xlfn.XLOOKUP(AE652,Stock1!I652,Stock1!F652,"")</f>
        <v/>
      </c>
      <c r="AG652" s="102" t="str">
        <f t="array" ref="AG652">_xlfn.XLOOKUP(AE652,Stock1!I652,Stock1!J652,"")</f>
        <v/>
      </c>
    </row>
    <row r="653">
      <c r="K653" s="660" t="str">
        <f t="array" ref="K653">IFERROR(_xlfn.XLOOKUP(I653,Incentive!B:B,Incentive!E:E,""),"")</f>
        <v/>
      </c>
      <c r="L653" s="659" t="str">
        <f>IFERROR(VLOOKUP(I653,Stock1!F:J,5,False),"")</f>
        <v/>
      </c>
      <c r="M653" s="659" t="str">
        <f>IFERROR(VLOOKUP(I653,Stock2!F:J,5,False),"")</f>
        <v/>
      </c>
      <c r="V653" s="102" t="str">
        <f t="array" ref="V653">_xlfn.XLOOKUP("Charger",Stock1!B653,Stock1!I653,"")</f>
        <v/>
      </c>
      <c r="W653" s="102" t="str">
        <f t="array" ref="W653">_xlfn.XLOOKUP(V653,Stock1!I653,Stock1!F653,"")</f>
        <v/>
      </c>
      <c r="X653" s="102" t="str">
        <f t="array" ref="X653">_xlfn.XLOOKUP(V653,Stock1!I653,Stock1!J653,"")</f>
        <v/>
      </c>
      <c r="Y653" s="102" t="str">
        <f t="array" ref="Y653">_xlfn.XLOOKUP("Screen Protector for Android Phone and Other",Stock1!B653,Stock1!I653,"")</f>
        <v/>
      </c>
      <c r="Z653" s="102" t="str">
        <f t="array" ref="Z653">_xlfn.XLOOKUP("Screen Protector for Galaxy Phone",Stock1!B653,Stock1!I653,"")</f>
        <v/>
      </c>
      <c r="AA653" s="102" t="str">
        <f t="array" ref="AA653">_xlfn.XLOOKUP("Screen Protector for Galaxy Tab",Stock1!B653,Stock1!I653,"")</f>
        <v/>
      </c>
      <c r="AB653" s="102" t="str">
        <f t="shared" si="4"/>
        <v/>
      </c>
      <c r="AC653" s="102" t="str">
        <f t="array" ref="AC653">_xlfn.XLOOKUP(AB653,Stock1!I653,Stock1!F653,"")</f>
        <v/>
      </c>
      <c r="AD653" s="102" t="str">
        <f t="array" ref="AD653">_xlfn.XLOOKUP(AB653,Stock1!I653,Stock1!J653,"")</f>
        <v/>
      </c>
      <c r="AE653" s="102" t="str">
        <f t="array" ref="AE653">_xlfn.XLOOKUP("Storage",Stock1!B653,Stock1!I653,"")</f>
        <v/>
      </c>
      <c r="AF653" s="102" t="str">
        <f t="array" ref="AF653">_xlfn.XLOOKUP(AE653,Stock1!I653,Stock1!F653,"")</f>
        <v/>
      </c>
      <c r="AG653" s="102" t="str">
        <f t="array" ref="AG653">_xlfn.XLOOKUP(AE653,Stock1!I653,Stock1!J653,"")</f>
        <v/>
      </c>
    </row>
    <row r="654">
      <c r="K654" s="660" t="str">
        <f t="array" ref="K654">IFERROR(_xlfn.XLOOKUP(I654,Incentive!B:B,Incentive!E:E,""),"")</f>
        <v/>
      </c>
      <c r="L654" s="659" t="str">
        <f>IFERROR(VLOOKUP(I654,Stock1!F:J,5,False),"")</f>
        <v/>
      </c>
      <c r="M654" s="659" t="str">
        <f>IFERROR(VLOOKUP(I654,Stock2!F:J,5,False),"")</f>
        <v/>
      </c>
      <c r="V654" s="102" t="str">
        <f t="array" ref="V654">_xlfn.XLOOKUP("Charger",Stock1!B654,Stock1!I654,"")</f>
        <v/>
      </c>
      <c r="W654" s="102" t="str">
        <f t="array" ref="W654">_xlfn.XLOOKUP(V654,Stock1!I654,Stock1!F654,"")</f>
        <v/>
      </c>
      <c r="X654" s="102" t="str">
        <f t="array" ref="X654">_xlfn.XLOOKUP(V654,Stock1!I654,Stock1!J654,"")</f>
        <v/>
      </c>
      <c r="Y654" s="102" t="str">
        <f t="array" ref="Y654">_xlfn.XLOOKUP("Screen Protector for Android Phone and Other",Stock1!B654,Stock1!I654,"")</f>
        <v/>
      </c>
      <c r="Z654" s="102" t="str">
        <f t="array" ref="Z654">_xlfn.XLOOKUP("Screen Protector for Galaxy Phone",Stock1!B654,Stock1!I654,"")</f>
        <v/>
      </c>
      <c r="AA654" s="102" t="str">
        <f t="array" ref="AA654">_xlfn.XLOOKUP("Screen Protector for Galaxy Tab",Stock1!B654,Stock1!I654,"")</f>
        <v/>
      </c>
      <c r="AB654" s="102" t="str">
        <f t="shared" si="4"/>
        <v/>
      </c>
      <c r="AC654" s="102" t="str">
        <f t="array" ref="AC654">_xlfn.XLOOKUP(AB654,Stock1!I654,Stock1!F654,"")</f>
        <v/>
      </c>
      <c r="AD654" s="102" t="str">
        <f t="array" ref="AD654">_xlfn.XLOOKUP(AB654,Stock1!I654,Stock1!J654,"")</f>
        <v/>
      </c>
      <c r="AE654" s="102" t="str">
        <f t="array" ref="AE654">_xlfn.XLOOKUP("Storage",Stock1!B654,Stock1!I654,"")</f>
        <v/>
      </c>
      <c r="AF654" s="102" t="str">
        <f t="array" ref="AF654">_xlfn.XLOOKUP(AE654,Stock1!I654,Stock1!F654,"")</f>
        <v/>
      </c>
      <c r="AG654" s="102" t="str">
        <f t="array" ref="AG654">_xlfn.XLOOKUP(AE654,Stock1!I654,Stock1!J654,"")</f>
        <v/>
      </c>
    </row>
    <row r="655">
      <c r="K655" s="660" t="str">
        <f t="array" ref="K655">IFERROR(_xlfn.XLOOKUP(I655,Incentive!B:B,Incentive!E:E,""),"")</f>
        <v/>
      </c>
      <c r="L655" s="659" t="str">
        <f>IFERROR(VLOOKUP(I655,Stock1!F:J,5,False),"")</f>
        <v/>
      </c>
      <c r="M655" s="659" t="str">
        <f>IFERROR(VLOOKUP(I655,Stock2!F:J,5,False),"")</f>
        <v/>
      </c>
      <c r="V655" s="102" t="str">
        <f t="array" ref="V655">_xlfn.XLOOKUP("Charger",Stock1!B655,Stock1!I655,"")</f>
        <v/>
      </c>
      <c r="W655" s="102" t="str">
        <f t="array" ref="W655">_xlfn.XLOOKUP(V655,Stock1!I655,Stock1!F655,"")</f>
        <v/>
      </c>
      <c r="X655" s="102" t="str">
        <f t="array" ref="X655">_xlfn.XLOOKUP(V655,Stock1!I655,Stock1!J655,"")</f>
        <v/>
      </c>
      <c r="Y655" s="102" t="str">
        <f t="array" ref="Y655">_xlfn.XLOOKUP("Screen Protector for Android Phone and Other",Stock1!B655,Stock1!I655,"")</f>
        <v/>
      </c>
      <c r="Z655" s="102" t="str">
        <f t="array" ref="Z655">_xlfn.XLOOKUP("Screen Protector for Galaxy Phone",Stock1!B655,Stock1!I655,"")</f>
        <v/>
      </c>
      <c r="AA655" s="102" t="str">
        <f t="array" ref="AA655">_xlfn.XLOOKUP("Screen Protector for Galaxy Tab",Stock1!B655,Stock1!I655,"")</f>
        <v/>
      </c>
      <c r="AB655" s="102" t="str">
        <f t="shared" si="4"/>
        <v/>
      </c>
      <c r="AC655" s="102" t="str">
        <f t="array" ref="AC655">_xlfn.XLOOKUP(AB655,Stock1!I655,Stock1!F655,"")</f>
        <v/>
      </c>
      <c r="AD655" s="102" t="str">
        <f t="array" ref="AD655">_xlfn.XLOOKUP(AB655,Stock1!I655,Stock1!J655,"")</f>
        <v/>
      </c>
      <c r="AE655" s="102" t="str">
        <f t="array" ref="AE655">_xlfn.XLOOKUP("Storage",Stock1!B655,Stock1!I655,"")</f>
        <v/>
      </c>
      <c r="AF655" s="102" t="str">
        <f t="array" ref="AF655">_xlfn.XLOOKUP(AE655,Stock1!I655,Stock1!F655,"")</f>
        <v/>
      </c>
      <c r="AG655" s="102" t="str">
        <f t="array" ref="AG655">_xlfn.XLOOKUP(AE655,Stock1!I655,Stock1!J655,"")</f>
        <v/>
      </c>
    </row>
    <row r="656">
      <c r="K656" s="660" t="str">
        <f t="array" ref="K656">IFERROR(_xlfn.XLOOKUP(I656,Incentive!B:B,Incentive!E:E,""),"")</f>
        <v/>
      </c>
      <c r="L656" s="659" t="str">
        <f>IFERROR(VLOOKUP(I656,Stock1!F:J,5,False),"")</f>
        <v/>
      </c>
      <c r="M656" s="659" t="str">
        <f>IFERROR(VLOOKUP(I656,Stock2!F:J,5,False),"")</f>
        <v/>
      </c>
      <c r="V656" s="102" t="str">
        <f t="array" ref="V656">_xlfn.XLOOKUP("Charger",Stock1!B656,Stock1!I656,"")</f>
        <v/>
      </c>
      <c r="W656" s="102" t="str">
        <f t="array" ref="W656">_xlfn.XLOOKUP(V656,Stock1!I656,Stock1!F656,"")</f>
        <v/>
      </c>
      <c r="X656" s="102" t="str">
        <f t="array" ref="X656">_xlfn.XLOOKUP(V656,Stock1!I656,Stock1!J656,"")</f>
        <v/>
      </c>
      <c r="Y656" s="102" t="str">
        <f t="array" ref="Y656">_xlfn.XLOOKUP("Screen Protector for Android Phone and Other",Stock1!B656,Stock1!I656,"")</f>
        <v/>
      </c>
      <c r="Z656" s="102" t="str">
        <f t="array" ref="Z656">_xlfn.XLOOKUP("Screen Protector for Galaxy Phone",Stock1!B656,Stock1!I656,"")</f>
        <v/>
      </c>
      <c r="AA656" s="102" t="str">
        <f t="array" ref="AA656">_xlfn.XLOOKUP("Screen Protector for Galaxy Tab",Stock1!B656,Stock1!I656,"")</f>
        <v/>
      </c>
      <c r="AB656" s="102" t="str">
        <f t="shared" si="4"/>
        <v/>
      </c>
      <c r="AC656" s="102" t="str">
        <f t="array" ref="AC656">_xlfn.XLOOKUP(AB656,Stock1!I656,Stock1!F656,"")</f>
        <v/>
      </c>
      <c r="AD656" s="102" t="str">
        <f t="array" ref="AD656">_xlfn.XLOOKUP(AB656,Stock1!I656,Stock1!J656,"")</f>
        <v/>
      </c>
      <c r="AE656" s="102" t="str">
        <f t="array" ref="AE656">_xlfn.XLOOKUP("Storage",Stock1!B656,Stock1!I656,"")</f>
        <v/>
      </c>
      <c r="AF656" s="102" t="str">
        <f t="array" ref="AF656">_xlfn.XLOOKUP(AE656,Stock1!I656,Stock1!F656,"")</f>
        <v/>
      </c>
      <c r="AG656" s="102" t="str">
        <f t="array" ref="AG656">_xlfn.XLOOKUP(AE656,Stock1!I656,Stock1!J656,"")</f>
        <v/>
      </c>
    </row>
    <row r="657">
      <c r="K657" s="660" t="str">
        <f t="array" ref="K657">IFERROR(_xlfn.XLOOKUP(I657,Incentive!B:B,Incentive!E:E,""),"")</f>
        <v/>
      </c>
      <c r="L657" s="659" t="str">
        <f>IFERROR(VLOOKUP(I657,Stock1!F:J,5,False),"")</f>
        <v/>
      </c>
      <c r="M657" s="659" t="str">
        <f>IFERROR(VLOOKUP(I657,Stock2!F:J,5,False),"")</f>
        <v/>
      </c>
      <c r="V657" s="102" t="str">
        <f t="array" ref="V657">_xlfn.XLOOKUP("Charger",Stock1!B657,Stock1!I657,"")</f>
        <v/>
      </c>
      <c r="W657" s="102" t="str">
        <f t="array" ref="W657">_xlfn.XLOOKUP(V657,Stock1!I657,Stock1!F657,"")</f>
        <v/>
      </c>
      <c r="X657" s="102" t="str">
        <f t="array" ref="X657">_xlfn.XLOOKUP(V657,Stock1!I657,Stock1!J657,"")</f>
        <v/>
      </c>
      <c r="Y657" s="102" t="str">
        <f t="array" ref="Y657">_xlfn.XLOOKUP("Screen Protector for Android Phone and Other",Stock1!B657,Stock1!I657,"")</f>
        <v/>
      </c>
      <c r="Z657" s="102" t="str">
        <f t="array" ref="Z657">_xlfn.XLOOKUP("Screen Protector for Galaxy Phone",Stock1!B657,Stock1!I657,"")</f>
        <v/>
      </c>
      <c r="AA657" s="102" t="str">
        <f t="array" ref="AA657">_xlfn.XLOOKUP("Screen Protector for Galaxy Tab",Stock1!B657,Stock1!I657,"")</f>
        <v/>
      </c>
      <c r="AB657" s="102" t="str">
        <f t="shared" si="4"/>
        <v/>
      </c>
      <c r="AC657" s="102" t="str">
        <f t="array" ref="AC657">_xlfn.XLOOKUP(AB657,Stock1!I657,Stock1!F657,"")</f>
        <v/>
      </c>
      <c r="AD657" s="102" t="str">
        <f t="array" ref="AD657">_xlfn.XLOOKUP(AB657,Stock1!I657,Stock1!J657,"")</f>
        <v/>
      </c>
      <c r="AE657" s="102" t="str">
        <f t="array" ref="AE657">_xlfn.XLOOKUP("Storage",Stock1!B657,Stock1!I657,"")</f>
        <v/>
      </c>
      <c r="AF657" s="102" t="str">
        <f t="array" ref="AF657">_xlfn.XLOOKUP(AE657,Stock1!I657,Stock1!F657,"")</f>
        <v/>
      </c>
      <c r="AG657" s="102" t="str">
        <f t="array" ref="AG657">_xlfn.XLOOKUP(AE657,Stock1!I657,Stock1!J657,"")</f>
        <v/>
      </c>
    </row>
    <row r="658">
      <c r="K658" s="660" t="str">
        <f t="array" ref="K658">IFERROR(_xlfn.XLOOKUP(I658,Incentive!B:B,Incentive!E:E,""),"")</f>
        <v/>
      </c>
      <c r="L658" s="659" t="str">
        <f>IFERROR(VLOOKUP(I658,Stock1!F:J,5,False),"")</f>
        <v/>
      </c>
      <c r="M658" s="659" t="str">
        <f>IFERROR(VLOOKUP(I658,Stock2!F:J,5,False),"")</f>
        <v/>
      </c>
      <c r="V658" s="102" t="str">
        <f t="array" ref="V658">_xlfn.XLOOKUP("Charger",Stock1!B658,Stock1!I658,"")</f>
        <v/>
      </c>
      <c r="W658" s="102" t="str">
        <f t="array" ref="W658">_xlfn.XLOOKUP(V658,Stock1!I658,Stock1!F658,"")</f>
        <v/>
      </c>
      <c r="X658" s="102" t="str">
        <f t="array" ref="X658">_xlfn.XLOOKUP(V658,Stock1!I658,Stock1!J658,"")</f>
        <v/>
      </c>
      <c r="Y658" s="102" t="str">
        <f t="array" ref="Y658">_xlfn.XLOOKUP("Screen Protector for Android Phone and Other",Stock1!B658,Stock1!I658,"")</f>
        <v/>
      </c>
      <c r="Z658" s="102" t="str">
        <f t="array" ref="Z658">_xlfn.XLOOKUP("Screen Protector for Galaxy Phone",Stock1!B658,Stock1!I658,"")</f>
        <v/>
      </c>
      <c r="AA658" s="102" t="str">
        <f t="array" ref="AA658">_xlfn.XLOOKUP("Screen Protector for Galaxy Tab",Stock1!B658,Stock1!I658,"")</f>
        <v/>
      </c>
      <c r="AB658" s="102" t="str">
        <f t="shared" si="4"/>
        <v/>
      </c>
      <c r="AC658" s="102" t="str">
        <f t="array" ref="AC658">_xlfn.XLOOKUP(AB658,Stock1!I658,Stock1!F658,"")</f>
        <v/>
      </c>
      <c r="AD658" s="102" t="str">
        <f t="array" ref="AD658">_xlfn.XLOOKUP(AB658,Stock1!I658,Stock1!J658,"")</f>
        <v/>
      </c>
      <c r="AE658" s="102" t="str">
        <f t="array" ref="AE658">_xlfn.XLOOKUP("Storage",Stock1!B658,Stock1!I658,"")</f>
        <v/>
      </c>
      <c r="AF658" s="102" t="str">
        <f t="array" ref="AF658">_xlfn.XLOOKUP(AE658,Stock1!I658,Stock1!F658,"")</f>
        <v/>
      </c>
      <c r="AG658" s="102" t="str">
        <f t="array" ref="AG658">_xlfn.XLOOKUP(AE658,Stock1!I658,Stock1!J658,"")</f>
        <v/>
      </c>
    </row>
    <row r="659">
      <c r="K659" s="660" t="str">
        <f t="array" ref="K659">IFERROR(_xlfn.XLOOKUP(I659,Incentive!B:B,Incentive!E:E,""),"")</f>
        <v/>
      </c>
      <c r="L659" s="659" t="str">
        <f>IFERROR(VLOOKUP(I659,Stock1!F:J,5,False),"")</f>
        <v/>
      </c>
      <c r="M659" s="659" t="str">
        <f>IFERROR(VLOOKUP(I659,Stock2!F:J,5,False),"")</f>
        <v/>
      </c>
      <c r="V659" s="102" t="str">
        <f t="array" ref="V659">_xlfn.XLOOKUP("Charger",Stock1!B659,Stock1!I659,"")</f>
        <v/>
      </c>
      <c r="W659" s="102" t="str">
        <f t="array" ref="W659">_xlfn.XLOOKUP(V659,Stock1!I659,Stock1!F659,"")</f>
        <v/>
      </c>
      <c r="X659" s="102" t="str">
        <f t="array" ref="X659">_xlfn.XLOOKUP(V659,Stock1!I659,Stock1!J659,"")</f>
        <v/>
      </c>
      <c r="Y659" s="102" t="str">
        <f t="array" ref="Y659">_xlfn.XLOOKUP("Screen Protector for Android Phone and Other",Stock1!B659,Stock1!I659,"")</f>
        <v/>
      </c>
      <c r="Z659" s="102" t="str">
        <f t="array" ref="Z659">_xlfn.XLOOKUP("Screen Protector for Galaxy Phone",Stock1!B659,Stock1!I659,"")</f>
        <v/>
      </c>
      <c r="AA659" s="102" t="str">
        <f t="array" ref="AA659">_xlfn.XLOOKUP("Screen Protector for Galaxy Tab",Stock1!B659,Stock1!I659,"")</f>
        <v/>
      </c>
      <c r="AB659" s="102" t="str">
        <f t="shared" si="4"/>
        <v/>
      </c>
      <c r="AC659" s="102" t="str">
        <f t="array" ref="AC659">_xlfn.XLOOKUP(AB659,Stock1!I659,Stock1!F659,"")</f>
        <v/>
      </c>
      <c r="AD659" s="102" t="str">
        <f t="array" ref="AD659">_xlfn.XLOOKUP(AB659,Stock1!I659,Stock1!J659,"")</f>
        <v/>
      </c>
      <c r="AE659" s="102" t="str">
        <f t="array" ref="AE659">_xlfn.XLOOKUP("Storage",Stock1!B659,Stock1!I659,"")</f>
        <v/>
      </c>
      <c r="AF659" s="102" t="str">
        <f t="array" ref="AF659">_xlfn.XLOOKUP(AE659,Stock1!I659,Stock1!F659,"")</f>
        <v/>
      </c>
      <c r="AG659" s="102" t="str">
        <f t="array" ref="AG659">_xlfn.XLOOKUP(AE659,Stock1!I659,Stock1!J659,"")</f>
        <v/>
      </c>
    </row>
    <row r="660">
      <c r="K660" s="660" t="str">
        <f t="array" ref="K660">IFERROR(_xlfn.XLOOKUP(I660,Incentive!B:B,Incentive!E:E,""),"")</f>
        <v/>
      </c>
      <c r="L660" s="659" t="str">
        <f>IFERROR(VLOOKUP(I660,Stock1!F:J,5,False),"")</f>
        <v/>
      </c>
      <c r="M660" s="659" t="str">
        <f>IFERROR(VLOOKUP(I660,Stock2!F:J,5,False),"")</f>
        <v/>
      </c>
      <c r="V660" s="102" t="str">
        <f t="array" ref="V660">_xlfn.XLOOKUP("Charger",Stock1!B660,Stock1!I660,"")</f>
        <v/>
      </c>
      <c r="W660" s="102" t="str">
        <f t="array" ref="W660">_xlfn.XLOOKUP(V660,Stock1!I660,Stock1!F660,"")</f>
        <v/>
      </c>
      <c r="X660" s="102" t="str">
        <f t="array" ref="X660">_xlfn.XLOOKUP(V660,Stock1!I660,Stock1!J660,"")</f>
        <v/>
      </c>
      <c r="Y660" s="102" t="str">
        <f t="array" ref="Y660">_xlfn.XLOOKUP("Screen Protector for Android Phone and Other",Stock1!B660,Stock1!I660,"")</f>
        <v/>
      </c>
      <c r="Z660" s="102" t="str">
        <f t="array" ref="Z660">_xlfn.XLOOKUP("Screen Protector for Galaxy Phone",Stock1!B660,Stock1!I660,"")</f>
        <v/>
      </c>
      <c r="AA660" s="102" t="str">
        <f t="array" ref="AA660">_xlfn.XLOOKUP("Screen Protector for Galaxy Tab",Stock1!B660,Stock1!I660,"")</f>
        <v/>
      </c>
      <c r="AB660" s="102" t="str">
        <f t="shared" si="4"/>
        <v/>
      </c>
      <c r="AC660" s="102" t="str">
        <f t="array" ref="AC660">_xlfn.XLOOKUP(AB660,Stock1!I660,Stock1!F660,"")</f>
        <v/>
      </c>
      <c r="AD660" s="102" t="str">
        <f t="array" ref="AD660">_xlfn.XLOOKUP(AB660,Stock1!I660,Stock1!J660,"")</f>
        <v/>
      </c>
      <c r="AE660" s="102" t="str">
        <f t="array" ref="AE660">_xlfn.XLOOKUP("Storage",Stock1!B660,Stock1!I660,"")</f>
        <v/>
      </c>
      <c r="AF660" s="102" t="str">
        <f t="array" ref="AF660">_xlfn.XLOOKUP(AE660,Stock1!I660,Stock1!F660,"")</f>
        <v/>
      </c>
      <c r="AG660" s="102" t="str">
        <f t="array" ref="AG660">_xlfn.XLOOKUP(AE660,Stock1!I660,Stock1!J660,"")</f>
        <v/>
      </c>
    </row>
    <row r="661">
      <c r="K661" s="660" t="str">
        <f t="array" ref="K661">IFERROR(_xlfn.XLOOKUP(I661,Incentive!B:B,Incentive!E:E,""),"")</f>
        <v/>
      </c>
      <c r="L661" s="659" t="str">
        <f>IFERROR(VLOOKUP(I661,Stock1!F:J,5,False),"")</f>
        <v/>
      </c>
      <c r="M661" s="659" t="str">
        <f>IFERROR(VLOOKUP(I661,Stock2!F:J,5,False),"")</f>
        <v/>
      </c>
      <c r="V661" s="102" t="str">
        <f t="array" ref="V661">_xlfn.XLOOKUP("Charger",Stock1!B661,Stock1!I661,"")</f>
        <v/>
      </c>
      <c r="W661" s="102" t="str">
        <f t="array" ref="W661">_xlfn.XLOOKUP(V661,Stock1!I661,Stock1!F661,"")</f>
        <v/>
      </c>
      <c r="X661" s="102" t="str">
        <f t="array" ref="X661">_xlfn.XLOOKUP(V661,Stock1!I661,Stock1!J661,"")</f>
        <v/>
      </c>
      <c r="Y661" s="102" t="str">
        <f t="array" ref="Y661">_xlfn.XLOOKUP("Screen Protector for Android Phone and Other",Stock1!B661,Stock1!I661,"")</f>
        <v/>
      </c>
      <c r="Z661" s="102" t="str">
        <f t="array" ref="Z661">_xlfn.XLOOKUP("Screen Protector for Galaxy Phone",Stock1!B661,Stock1!I661,"")</f>
        <v/>
      </c>
      <c r="AA661" s="102" t="str">
        <f t="array" ref="AA661">_xlfn.XLOOKUP("Screen Protector for Galaxy Tab",Stock1!B661,Stock1!I661,"")</f>
        <v/>
      </c>
      <c r="AB661" s="102" t="str">
        <f t="shared" si="4"/>
        <v/>
      </c>
      <c r="AC661" s="102" t="str">
        <f t="array" ref="AC661">_xlfn.XLOOKUP(AB661,Stock1!I661,Stock1!F661,"")</f>
        <v/>
      </c>
      <c r="AD661" s="102" t="str">
        <f t="array" ref="AD661">_xlfn.XLOOKUP(AB661,Stock1!I661,Stock1!J661,"")</f>
        <v/>
      </c>
      <c r="AE661" s="102" t="str">
        <f t="array" ref="AE661">_xlfn.XLOOKUP("Storage",Stock1!B661,Stock1!I661,"")</f>
        <v/>
      </c>
      <c r="AF661" s="102" t="str">
        <f t="array" ref="AF661">_xlfn.XLOOKUP(AE661,Stock1!I661,Stock1!F661,"")</f>
        <v/>
      </c>
      <c r="AG661" s="102" t="str">
        <f t="array" ref="AG661">_xlfn.XLOOKUP(AE661,Stock1!I661,Stock1!J661,"")</f>
        <v/>
      </c>
    </row>
    <row r="662">
      <c r="K662" s="660" t="str">
        <f t="array" ref="K662">IFERROR(_xlfn.XLOOKUP(I662,Incentive!B:B,Incentive!E:E,""),"")</f>
        <v/>
      </c>
      <c r="L662" s="659" t="str">
        <f>IFERROR(VLOOKUP(I662,Stock1!F:J,5,False),"")</f>
        <v/>
      </c>
      <c r="M662" s="659" t="str">
        <f>IFERROR(VLOOKUP(I662,Stock2!F:J,5,False),"")</f>
        <v/>
      </c>
      <c r="V662" s="102" t="str">
        <f t="array" ref="V662">_xlfn.XLOOKUP("Charger",Stock1!B662,Stock1!I662,"")</f>
        <v/>
      </c>
      <c r="W662" s="102" t="str">
        <f t="array" ref="W662">_xlfn.XLOOKUP(V662,Stock1!I662,Stock1!F662,"")</f>
        <v/>
      </c>
      <c r="X662" s="102" t="str">
        <f t="array" ref="X662">_xlfn.XLOOKUP(V662,Stock1!I662,Stock1!J662,"")</f>
        <v/>
      </c>
      <c r="Y662" s="102" t="str">
        <f t="array" ref="Y662">_xlfn.XLOOKUP("Screen Protector for Android Phone and Other",Stock1!B662,Stock1!I662,"")</f>
        <v/>
      </c>
      <c r="Z662" s="102" t="str">
        <f t="array" ref="Z662">_xlfn.XLOOKUP("Screen Protector for Galaxy Phone",Stock1!B662,Stock1!I662,"")</f>
        <v/>
      </c>
      <c r="AA662" s="102" t="str">
        <f t="array" ref="AA662">_xlfn.XLOOKUP("Screen Protector for Galaxy Tab",Stock1!B662,Stock1!I662,"")</f>
        <v/>
      </c>
      <c r="AB662" s="102" t="str">
        <f t="shared" si="4"/>
        <v/>
      </c>
      <c r="AC662" s="102" t="str">
        <f t="array" ref="AC662">_xlfn.XLOOKUP(AB662,Stock1!I662,Stock1!F662,"")</f>
        <v/>
      </c>
      <c r="AD662" s="102" t="str">
        <f t="array" ref="AD662">_xlfn.XLOOKUP(AB662,Stock1!I662,Stock1!J662,"")</f>
        <v/>
      </c>
      <c r="AE662" s="102" t="str">
        <f t="array" ref="AE662">_xlfn.XLOOKUP("Storage",Stock1!B662,Stock1!I662,"")</f>
        <v/>
      </c>
      <c r="AF662" s="102" t="str">
        <f t="array" ref="AF662">_xlfn.XLOOKUP(AE662,Stock1!I662,Stock1!F662,"")</f>
        <v/>
      </c>
      <c r="AG662" s="102" t="str">
        <f t="array" ref="AG662">_xlfn.XLOOKUP(AE662,Stock1!I662,Stock1!J662,"")</f>
        <v/>
      </c>
    </row>
    <row r="663">
      <c r="K663" s="660" t="str">
        <f t="array" ref="K663">IFERROR(_xlfn.XLOOKUP(I663,Incentive!B:B,Incentive!E:E,""),"")</f>
        <v/>
      </c>
      <c r="L663" s="659" t="str">
        <f>IFERROR(VLOOKUP(I663,Stock1!F:J,5,False),"")</f>
        <v/>
      </c>
      <c r="M663" s="659" t="str">
        <f>IFERROR(VLOOKUP(I663,Stock2!F:J,5,False),"")</f>
        <v/>
      </c>
      <c r="V663" s="102" t="str">
        <f t="array" ref="V663">_xlfn.XLOOKUP("Charger",Stock1!B663,Stock1!I663,"")</f>
        <v/>
      </c>
      <c r="W663" s="102" t="str">
        <f t="array" ref="W663">_xlfn.XLOOKUP(V663,Stock1!I663,Stock1!F663,"")</f>
        <v/>
      </c>
      <c r="X663" s="102" t="str">
        <f t="array" ref="X663">_xlfn.XLOOKUP(V663,Stock1!I663,Stock1!J663,"")</f>
        <v/>
      </c>
      <c r="Y663" s="102" t="str">
        <f t="array" ref="Y663">_xlfn.XLOOKUP("Screen Protector for Android Phone and Other",Stock1!B663,Stock1!I663,"")</f>
        <v/>
      </c>
      <c r="Z663" s="102" t="str">
        <f t="array" ref="Z663">_xlfn.XLOOKUP("Screen Protector for Galaxy Phone",Stock1!B663,Stock1!I663,"")</f>
        <v/>
      </c>
      <c r="AA663" s="102" t="str">
        <f t="array" ref="AA663">_xlfn.XLOOKUP("Screen Protector for Galaxy Tab",Stock1!B663,Stock1!I663,"")</f>
        <v/>
      </c>
      <c r="AB663" s="102" t="str">
        <f t="shared" si="4"/>
        <v/>
      </c>
      <c r="AC663" s="102" t="str">
        <f t="array" ref="AC663">_xlfn.XLOOKUP(AB663,Stock1!I663,Stock1!F663,"")</f>
        <v/>
      </c>
      <c r="AD663" s="102" t="str">
        <f t="array" ref="AD663">_xlfn.XLOOKUP(AB663,Stock1!I663,Stock1!J663,"")</f>
        <v/>
      </c>
      <c r="AE663" s="102" t="str">
        <f t="array" ref="AE663">_xlfn.XLOOKUP("Storage",Stock1!B663,Stock1!I663,"")</f>
        <v/>
      </c>
      <c r="AF663" s="102" t="str">
        <f t="array" ref="AF663">_xlfn.XLOOKUP(AE663,Stock1!I663,Stock1!F663,"")</f>
        <v/>
      </c>
      <c r="AG663" s="102" t="str">
        <f t="array" ref="AG663">_xlfn.XLOOKUP(AE663,Stock1!I663,Stock1!J663,"")</f>
        <v/>
      </c>
    </row>
    <row r="664">
      <c r="K664" s="660" t="str">
        <f t="array" ref="K664">IFERROR(_xlfn.XLOOKUP(I664,Incentive!B:B,Incentive!E:E,""),"")</f>
        <v/>
      </c>
      <c r="L664" s="659" t="str">
        <f>IFERROR(VLOOKUP(I664,Stock1!F:J,5,False),"")</f>
        <v/>
      </c>
      <c r="M664" s="659" t="str">
        <f>IFERROR(VLOOKUP(I664,Stock2!F:J,5,False),"")</f>
        <v/>
      </c>
      <c r="V664" s="102" t="str">
        <f t="array" ref="V664">_xlfn.XLOOKUP("Charger",Stock1!B664,Stock1!I664,"")</f>
        <v/>
      </c>
      <c r="W664" s="102" t="str">
        <f t="array" ref="W664">_xlfn.XLOOKUP(V664,Stock1!I664,Stock1!F664,"")</f>
        <v/>
      </c>
      <c r="X664" s="102" t="str">
        <f t="array" ref="X664">_xlfn.XLOOKUP(V664,Stock1!I664,Stock1!J664,"")</f>
        <v/>
      </c>
      <c r="Y664" s="102" t="str">
        <f t="array" ref="Y664">_xlfn.XLOOKUP("Screen Protector for Android Phone and Other",Stock1!B664,Stock1!I664,"")</f>
        <v/>
      </c>
      <c r="Z664" s="102" t="str">
        <f t="array" ref="Z664">_xlfn.XLOOKUP("Screen Protector for Galaxy Phone",Stock1!B664,Stock1!I664,"")</f>
        <v/>
      </c>
      <c r="AA664" s="102" t="str">
        <f t="array" ref="AA664">_xlfn.XLOOKUP("Screen Protector for Galaxy Tab",Stock1!B664,Stock1!I664,"")</f>
        <v/>
      </c>
      <c r="AB664" s="102" t="str">
        <f t="shared" si="4"/>
        <v/>
      </c>
      <c r="AC664" s="102" t="str">
        <f t="array" ref="AC664">_xlfn.XLOOKUP(AB664,Stock1!I664,Stock1!F664,"")</f>
        <v/>
      </c>
      <c r="AD664" s="102" t="str">
        <f t="array" ref="AD664">_xlfn.XLOOKUP(AB664,Stock1!I664,Stock1!J664,"")</f>
        <v/>
      </c>
      <c r="AE664" s="102" t="str">
        <f t="array" ref="AE664">_xlfn.XLOOKUP("Storage",Stock1!B664,Stock1!I664,"")</f>
        <v/>
      </c>
      <c r="AF664" s="102" t="str">
        <f t="array" ref="AF664">_xlfn.XLOOKUP(AE664,Stock1!I664,Stock1!F664,"")</f>
        <v/>
      </c>
      <c r="AG664" s="102" t="str">
        <f t="array" ref="AG664">_xlfn.XLOOKUP(AE664,Stock1!I664,Stock1!J664,"")</f>
        <v/>
      </c>
    </row>
    <row r="665">
      <c r="K665" s="660" t="str">
        <f t="array" ref="K665">IFERROR(_xlfn.XLOOKUP(I665,Incentive!B:B,Incentive!E:E,""),"")</f>
        <v/>
      </c>
      <c r="L665" s="659" t="str">
        <f>IFERROR(VLOOKUP(I665,Stock1!F:J,5,False),"")</f>
        <v/>
      </c>
      <c r="M665" s="659" t="str">
        <f>IFERROR(VLOOKUP(I665,Stock2!F:J,5,False),"")</f>
        <v/>
      </c>
      <c r="V665" s="102" t="str">
        <f t="array" ref="V665">_xlfn.XLOOKUP("Charger",Stock1!B665,Stock1!I665,"")</f>
        <v/>
      </c>
      <c r="W665" s="102" t="str">
        <f t="array" ref="W665">_xlfn.XLOOKUP(V665,Stock1!I665,Stock1!F665,"")</f>
        <v/>
      </c>
      <c r="X665" s="102" t="str">
        <f t="array" ref="X665">_xlfn.XLOOKUP(V665,Stock1!I665,Stock1!J665,"")</f>
        <v/>
      </c>
      <c r="Y665" s="102" t="str">
        <f t="array" ref="Y665">_xlfn.XLOOKUP("Screen Protector for Android Phone and Other",Stock1!B665,Stock1!I665,"")</f>
        <v/>
      </c>
      <c r="Z665" s="102" t="str">
        <f t="array" ref="Z665">_xlfn.XLOOKUP("Screen Protector for Galaxy Phone",Stock1!B665,Stock1!I665,"")</f>
        <v/>
      </c>
      <c r="AA665" s="102" t="str">
        <f t="array" ref="AA665">_xlfn.XLOOKUP("Screen Protector for Galaxy Tab",Stock1!B665,Stock1!I665,"")</f>
        <v/>
      </c>
      <c r="AB665" s="102" t="str">
        <f t="shared" si="4"/>
        <v/>
      </c>
      <c r="AC665" s="102" t="str">
        <f t="array" ref="AC665">_xlfn.XLOOKUP(AB665,Stock1!I665,Stock1!F665,"")</f>
        <v/>
      </c>
      <c r="AD665" s="102" t="str">
        <f t="array" ref="AD665">_xlfn.XLOOKUP(AB665,Stock1!I665,Stock1!J665,"")</f>
        <v/>
      </c>
      <c r="AE665" s="102" t="str">
        <f t="array" ref="AE665">_xlfn.XLOOKUP("Storage",Stock1!B665,Stock1!I665,"")</f>
        <v/>
      </c>
      <c r="AF665" s="102" t="str">
        <f t="array" ref="AF665">_xlfn.XLOOKUP(AE665,Stock1!I665,Stock1!F665,"")</f>
        <v/>
      </c>
      <c r="AG665" s="102" t="str">
        <f t="array" ref="AG665">_xlfn.XLOOKUP(AE665,Stock1!I665,Stock1!J665,"")</f>
        <v/>
      </c>
    </row>
    <row r="666">
      <c r="K666" s="660" t="str">
        <f t="array" ref="K666">IFERROR(_xlfn.XLOOKUP(I666,Incentive!B:B,Incentive!E:E,""),"")</f>
        <v/>
      </c>
      <c r="L666" s="659" t="str">
        <f>IFERROR(VLOOKUP(I666,Stock1!F:J,5,False),"")</f>
        <v/>
      </c>
      <c r="M666" s="659" t="str">
        <f>IFERROR(VLOOKUP(I666,Stock2!F:J,5,False),"")</f>
        <v/>
      </c>
      <c r="V666" s="102" t="str">
        <f t="array" ref="V666">_xlfn.XLOOKUP("Charger",Stock1!B666,Stock1!I666,"")</f>
        <v/>
      </c>
      <c r="W666" s="102" t="str">
        <f t="array" ref="W666">_xlfn.XLOOKUP(V666,Stock1!I666,Stock1!F666,"")</f>
        <v/>
      </c>
      <c r="X666" s="102" t="str">
        <f t="array" ref="X666">_xlfn.XLOOKUP(V666,Stock1!I666,Stock1!J666,"")</f>
        <v/>
      </c>
      <c r="Y666" s="102" t="str">
        <f t="array" ref="Y666">_xlfn.XLOOKUP("Screen Protector for Android Phone and Other",Stock1!B666,Stock1!I666,"")</f>
        <v/>
      </c>
      <c r="Z666" s="102" t="str">
        <f t="array" ref="Z666">_xlfn.XLOOKUP("Screen Protector for Galaxy Phone",Stock1!B666,Stock1!I666,"")</f>
        <v/>
      </c>
      <c r="AA666" s="102" t="str">
        <f t="array" ref="AA666">_xlfn.XLOOKUP("Screen Protector for Galaxy Tab",Stock1!B666,Stock1!I666,"")</f>
        <v/>
      </c>
      <c r="AB666" s="102" t="str">
        <f t="shared" si="4"/>
        <v/>
      </c>
      <c r="AC666" s="102" t="str">
        <f t="array" ref="AC666">_xlfn.XLOOKUP(AB666,Stock1!I666,Stock1!F666,"")</f>
        <v/>
      </c>
      <c r="AD666" s="102" t="str">
        <f t="array" ref="AD666">_xlfn.XLOOKUP(AB666,Stock1!I666,Stock1!J666,"")</f>
        <v/>
      </c>
      <c r="AE666" s="102" t="str">
        <f t="array" ref="AE666">_xlfn.XLOOKUP("Storage",Stock1!B666,Stock1!I666,"")</f>
        <v/>
      </c>
      <c r="AF666" s="102" t="str">
        <f t="array" ref="AF666">_xlfn.XLOOKUP(AE666,Stock1!I666,Stock1!F666,"")</f>
        <v/>
      </c>
      <c r="AG666" s="102" t="str">
        <f t="array" ref="AG666">_xlfn.XLOOKUP(AE666,Stock1!I666,Stock1!J666,"")</f>
        <v/>
      </c>
    </row>
    <row r="667">
      <c r="K667" s="660" t="str">
        <f t="array" ref="K667">IFERROR(_xlfn.XLOOKUP(I667,Incentive!B:B,Incentive!E:E,""),"")</f>
        <v/>
      </c>
      <c r="L667" s="659" t="str">
        <f>IFERROR(VLOOKUP(I667,Stock1!F:J,5,False),"")</f>
        <v/>
      </c>
      <c r="M667" s="659" t="str">
        <f>IFERROR(VLOOKUP(I667,Stock2!F:J,5,False),"")</f>
        <v/>
      </c>
      <c r="V667" s="102" t="str">
        <f t="array" ref="V667">_xlfn.XLOOKUP("Charger",Stock1!B667,Stock1!I667,"")</f>
        <v/>
      </c>
      <c r="W667" s="102" t="str">
        <f t="array" ref="W667">_xlfn.XLOOKUP(V667,Stock1!I667,Stock1!F667,"")</f>
        <v/>
      </c>
      <c r="X667" s="102" t="str">
        <f t="array" ref="X667">_xlfn.XLOOKUP(V667,Stock1!I667,Stock1!J667,"")</f>
        <v/>
      </c>
      <c r="Y667" s="102" t="str">
        <f t="array" ref="Y667">_xlfn.XLOOKUP("Screen Protector for Android Phone and Other",Stock1!B667,Stock1!I667,"")</f>
        <v/>
      </c>
      <c r="Z667" s="102" t="str">
        <f t="array" ref="Z667">_xlfn.XLOOKUP("Screen Protector for Galaxy Phone",Stock1!B667,Stock1!I667,"")</f>
        <v/>
      </c>
      <c r="AA667" s="102" t="str">
        <f t="array" ref="AA667">_xlfn.XLOOKUP("Screen Protector for Galaxy Tab",Stock1!B667,Stock1!I667,"")</f>
        <v/>
      </c>
      <c r="AB667" s="102" t="str">
        <f t="shared" si="4"/>
        <v/>
      </c>
      <c r="AC667" s="102" t="str">
        <f t="array" ref="AC667">_xlfn.XLOOKUP(AB667,Stock1!I667,Stock1!F667,"")</f>
        <v/>
      </c>
      <c r="AD667" s="102" t="str">
        <f t="array" ref="AD667">_xlfn.XLOOKUP(AB667,Stock1!I667,Stock1!J667,"")</f>
        <v/>
      </c>
      <c r="AE667" s="102" t="str">
        <f t="array" ref="AE667">_xlfn.XLOOKUP("Storage",Stock1!B667,Stock1!I667,"")</f>
        <v/>
      </c>
      <c r="AF667" s="102" t="str">
        <f t="array" ref="AF667">_xlfn.XLOOKUP(AE667,Stock1!I667,Stock1!F667,"")</f>
        <v/>
      </c>
      <c r="AG667" s="102" t="str">
        <f t="array" ref="AG667">_xlfn.XLOOKUP(AE667,Stock1!I667,Stock1!J667,"")</f>
        <v/>
      </c>
    </row>
    <row r="668">
      <c r="K668" s="660" t="str">
        <f t="array" ref="K668">IFERROR(_xlfn.XLOOKUP(I668,Incentive!B:B,Incentive!E:E,""),"")</f>
        <v/>
      </c>
      <c r="L668" s="659" t="str">
        <f>IFERROR(VLOOKUP(I668,Stock1!F:J,5,False),"")</f>
        <v/>
      </c>
      <c r="M668" s="659" t="str">
        <f>IFERROR(VLOOKUP(I668,Stock2!F:J,5,False),"")</f>
        <v/>
      </c>
      <c r="V668" s="102" t="str">
        <f t="array" ref="V668">_xlfn.XLOOKUP("Charger",Stock1!B668,Stock1!I668,"")</f>
        <v/>
      </c>
      <c r="W668" s="102" t="str">
        <f t="array" ref="W668">_xlfn.XLOOKUP(V668,Stock1!I668,Stock1!F668,"")</f>
        <v/>
      </c>
      <c r="X668" s="102" t="str">
        <f t="array" ref="X668">_xlfn.XLOOKUP(V668,Stock1!I668,Stock1!J668,"")</f>
        <v/>
      </c>
      <c r="Y668" s="102" t="str">
        <f t="array" ref="Y668">_xlfn.XLOOKUP("Screen Protector for Android Phone and Other",Stock1!B668,Stock1!I668,"")</f>
        <v/>
      </c>
      <c r="Z668" s="102" t="str">
        <f t="array" ref="Z668">_xlfn.XLOOKUP("Screen Protector for Galaxy Phone",Stock1!B668,Stock1!I668,"")</f>
        <v/>
      </c>
      <c r="AA668" s="102" t="str">
        <f t="array" ref="AA668">_xlfn.XLOOKUP("Screen Protector for Galaxy Tab",Stock1!B668,Stock1!I668,"")</f>
        <v/>
      </c>
      <c r="AB668" s="102" t="str">
        <f t="shared" si="4"/>
        <v/>
      </c>
      <c r="AC668" s="102" t="str">
        <f t="array" ref="AC668">_xlfn.XLOOKUP(AB668,Stock1!I668,Stock1!F668,"")</f>
        <v/>
      </c>
      <c r="AD668" s="102" t="str">
        <f t="array" ref="AD668">_xlfn.XLOOKUP(AB668,Stock1!I668,Stock1!J668,"")</f>
        <v/>
      </c>
      <c r="AE668" s="102" t="str">
        <f t="array" ref="AE668">_xlfn.XLOOKUP("Storage",Stock1!B668,Stock1!I668,"")</f>
        <v/>
      </c>
      <c r="AF668" s="102" t="str">
        <f t="array" ref="AF668">_xlfn.XLOOKUP(AE668,Stock1!I668,Stock1!F668,"")</f>
        <v/>
      </c>
      <c r="AG668" s="102" t="str">
        <f t="array" ref="AG668">_xlfn.XLOOKUP(AE668,Stock1!I668,Stock1!J668,"")</f>
        <v/>
      </c>
    </row>
    <row r="669">
      <c r="K669" s="660" t="str">
        <f t="array" ref="K669">IFERROR(_xlfn.XLOOKUP(I669,Incentive!B:B,Incentive!E:E,""),"")</f>
        <v/>
      </c>
      <c r="L669" s="659" t="str">
        <f>IFERROR(VLOOKUP(I669,Stock1!F:J,5,False),"")</f>
        <v/>
      </c>
      <c r="M669" s="659" t="str">
        <f>IFERROR(VLOOKUP(I669,Stock2!F:J,5,False),"")</f>
        <v/>
      </c>
      <c r="V669" s="102" t="str">
        <f t="array" ref="V669">_xlfn.XLOOKUP("Charger",Stock1!B669,Stock1!I669,"")</f>
        <v/>
      </c>
      <c r="W669" s="102" t="str">
        <f t="array" ref="W669">_xlfn.XLOOKUP(V669,Stock1!I669,Stock1!F669,"")</f>
        <v/>
      </c>
      <c r="X669" s="102" t="str">
        <f t="array" ref="X669">_xlfn.XLOOKUP(V669,Stock1!I669,Stock1!J669,"")</f>
        <v/>
      </c>
      <c r="Y669" s="102" t="str">
        <f t="array" ref="Y669">_xlfn.XLOOKUP("Screen Protector for Android Phone and Other",Stock1!B669,Stock1!I669,"")</f>
        <v/>
      </c>
      <c r="Z669" s="102" t="str">
        <f t="array" ref="Z669">_xlfn.XLOOKUP("Screen Protector for Galaxy Phone",Stock1!B669,Stock1!I669,"")</f>
        <v/>
      </c>
      <c r="AA669" s="102" t="str">
        <f t="array" ref="AA669">_xlfn.XLOOKUP("Screen Protector for Galaxy Tab",Stock1!B669,Stock1!I669,"")</f>
        <v/>
      </c>
      <c r="AB669" s="102" t="str">
        <f t="shared" si="4"/>
        <v/>
      </c>
      <c r="AC669" s="102" t="str">
        <f t="array" ref="AC669">_xlfn.XLOOKUP(AB669,Stock1!I669,Stock1!F669,"")</f>
        <v/>
      </c>
      <c r="AD669" s="102" t="str">
        <f t="array" ref="AD669">_xlfn.XLOOKUP(AB669,Stock1!I669,Stock1!J669,"")</f>
        <v/>
      </c>
      <c r="AE669" s="102" t="str">
        <f t="array" ref="AE669">_xlfn.XLOOKUP("Storage",Stock1!B669,Stock1!I669,"")</f>
        <v/>
      </c>
      <c r="AF669" s="102" t="str">
        <f t="array" ref="AF669">_xlfn.XLOOKUP(AE669,Stock1!I669,Stock1!F669,"")</f>
        <v/>
      </c>
      <c r="AG669" s="102" t="str">
        <f t="array" ref="AG669">_xlfn.XLOOKUP(AE669,Stock1!I669,Stock1!J669,"")</f>
        <v/>
      </c>
    </row>
    <row r="670">
      <c r="K670" s="660" t="str">
        <f t="array" ref="K670">IFERROR(_xlfn.XLOOKUP(I670,Incentive!B:B,Incentive!E:E,""),"")</f>
        <v/>
      </c>
      <c r="L670" s="659" t="str">
        <f>IFERROR(VLOOKUP(I670,Stock1!F:J,5,False),"")</f>
        <v/>
      </c>
      <c r="M670" s="659" t="str">
        <f>IFERROR(VLOOKUP(I670,Stock2!F:J,5,False),"")</f>
        <v/>
      </c>
      <c r="V670" s="102" t="str">
        <f t="array" ref="V670">_xlfn.XLOOKUP("Charger",Stock1!B670,Stock1!I670,"")</f>
        <v/>
      </c>
      <c r="W670" s="102" t="str">
        <f t="array" ref="W670">_xlfn.XLOOKUP(V670,Stock1!I670,Stock1!F670,"")</f>
        <v/>
      </c>
      <c r="X670" s="102" t="str">
        <f t="array" ref="X670">_xlfn.XLOOKUP(V670,Stock1!I670,Stock1!J670,"")</f>
        <v/>
      </c>
      <c r="Y670" s="102" t="str">
        <f t="array" ref="Y670">_xlfn.XLOOKUP("Screen Protector for Android Phone and Other",Stock1!B670,Stock1!I670,"")</f>
        <v/>
      </c>
      <c r="Z670" s="102" t="str">
        <f t="array" ref="Z670">_xlfn.XLOOKUP("Screen Protector for Galaxy Phone",Stock1!B670,Stock1!I670,"")</f>
        <v/>
      </c>
      <c r="AA670" s="102" t="str">
        <f t="array" ref="AA670">_xlfn.XLOOKUP("Screen Protector for Galaxy Tab",Stock1!B670,Stock1!I670,"")</f>
        <v/>
      </c>
      <c r="AB670" s="102" t="str">
        <f t="shared" si="4"/>
        <v/>
      </c>
      <c r="AC670" s="102" t="str">
        <f t="array" ref="AC670">_xlfn.XLOOKUP(AB670,Stock1!I670,Stock1!F670,"")</f>
        <v/>
      </c>
      <c r="AD670" s="102" t="str">
        <f t="array" ref="AD670">_xlfn.XLOOKUP(AB670,Stock1!I670,Stock1!J670,"")</f>
        <v/>
      </c>
      <c r="AE670" s="102" t="str">
        <f t="array" ref="AE670">_xlfn.XLOOKUP("Storage",Stock1!B670,Stock1!I670,"")</f>
        <v/>
      </c>
      <c r="AF670" s="102" t="str">
        <f t="array" ref="AF670">_xlfn.XLOOKUP(AE670,Stock1!I670,Stock1!F670,"")</f>
        <v/>
      </c>
      <c r="AG670" s="102" t="str">
        <f t="array" ref="AG670">_xlfn.XLOOKUP(AE670,Stock1!I670,Stock1!J670,"")</f>
        <v/>
      </c>
    </row>
    <row r="671">
      <c r="K671" s="660" t="str">
        <f t="array" ref="K671">IFERROR(_xlfn.XLOOKUP(I671,Incentive!B:B,Incentive!E:E,""),"")</f>
        <v/>
      </c>
      <c r="L671" s="659" t="str">
        <f>IFERROR(VLOOKUP(I671,Stock1!F:J,5,False),"")</f>
        <v/>
      </c>
      <c r="M671" s="659" t="str">
        <f>IFERROR(VLOOKUP(I671,Stock2!F:J,5,False),"")</f>
        <v/>
      </c>
      <c r="V671" s="102" t="str">
        <f t="array" ref="V671">_xlfn.XLOOKUP("Charger",Stock1!B671,Stock1!I671,"")</f>
        <v/>
      </c>
      <c r="W671" s="102" t="str">
        <f t="array" ref="W671">_xlfn.XLOOKUP(V671,Stock1!I671,Stock1!F671,"")</f>
        <v/>
      </c>
      <c r="X671" s="102" t="str">
        <f t="array" ref="X671">_xlfn.XLOOKUP(V671,Stock1!I671,Stock1!J671,"")</f>
        <v/>
      </c>
      <c r="Y671" s="102" t="str">
        <f t="array" ref="Y671">_xlfn.XLOOKUP("Screen Protector for Android Phone and Other",Stock1!B671,Stock1!I671,"")</f>
        <v/>
      </c>
      <c r="Z671" s="102" t="str">
        <f t="array" ref="Z671">_xlfn.XLOOKUP("Screen Protector for Galaxy Phone",Stock1!B671,Stock1!I671,"")</f>
        <v/>
      </c>
      <c r="AA671" s="102" t="str">
        <f t="array" ref="AA671">_xlfn.XLOOKUP("Screen Protector for Galaxy Tab",Stock1!B671,Stock1!I671,"")</f>
        <v/>
      </c>
      <c r="AB671" s="102" t="str">
        <f t="shared" si="4"/>
        <v/>
      </c>
      <c r="AC671" s="102" t="str">
        <f t="array" ref="AC671">_xlfn.XLOOKUP(AB671,Stock1!I671,Stock1!F671,"")</f>
        <v/>
      </c>
      <c r="AD671" s="102" t="str">
        <f t="array" ref="AD671">_xlfn.XLOOKUP(AB671,Stock1!I671,Stock1!J671,"")</f>
        <v/>
      </c>
      <c r="AE671" s="102" t="str">
        <f t="array" ref="AE671">_xlfn.XLOOKUP("Storage",Stock1!B671,Stock1!I671,"")</f>
        <v/>
      </c>
      <c r="AF671" s="102" t="str">
        <f t="array" ref="AF671">_xlfn.XLOOKUP(AE671,Stock1!I671,Stock1!F671,"")</f>
        <v/>
      </c>
      <c r="AG671" s="102" t="str">
        <f t="array" ref="AG671">_xlfn.XLOOKUP(AE671,Stock1!I671,Stock1!J671,"")</f>
        <v/>
      </c>
    </row>
    <row r="672">
      <c r="K672" s="660" t="str">
        <f t="array" ref="K672">IFERROR(_xlfn.XLOOKUP(I672,Incentive!B:B,Incentive!E:E,""),"")</f>
        <v/>
      </c>
      <c r="L672" s="659" t="str">
        <f>IFERROR(VLOOKUP(I672,Stock1!F:J,5,False),"")</f>
        <v/>
      </c>
      <c r="M672" s="659" t="str">
        <f>IFERROR(VLOOKUP(I672,Stock2!F:J,5,False),"")</f>
        <v/>
      </c>
      <c r="V672" s="102" t="str">
        <f t="array" ref="V672">_xlfn.XLOOKUP("Charger",Stock1!B672,Stock1!I672,"")</f>
        <v/>
      </c>
      <c r="W672" s="102" t="str">
        <f t="array" ref="W672">_xlfn.XLOOKUP(V672,Stock1!I672,Stock1!F672,"")</f>
        <v/>
      </c>
      <c r="X672" s="102" t="str">
        <f t="array" ref="X672">_xlfn.XLOOKUP(V672,Stock1!I672,Stock1!J672,"")</f>
        <v/>
      </c>
      <c r="Y672" s="102" t="str">
        <f t="array" ref="Y672">_xlfn.XLOOKUP("Screen Protector for Android Phone and Other",Stock1!B672,Stock1!I672,"")</f>
        <v/>
      </c>
      <c r="Z672" s="102" t="str">
        <f t="array" ref="Z672">_xlfn.XLOOKUP("Screen Protector for Galaxy Phone",Stock1!B672,Stock1!I672,"")</f>
        <v/>
      </c>
      <c r="AA672" s="102" t="str">
        <f t="array" ref="AA672">_xlfn.XLOOKUP("Screen Protector for Galaxy Tab",Stock1!B672,Stock1!I672,"")</f>
        <v/>
      </c>
      <c r="AB672" s="102" t="str">
        <f t="shared" si="4"/>
        <v/>
      </c>
      <c r="AC672" s="102" t="str">
        <f t="array" ref="AC672">_xlfn.XLOOKUP(AB672,Stock1!I672,Stock1!F672,"")</f>
        <v/>
      </c>
      <c r="AD672" s="102" t="str">
        <f t="array" ref="AD672">_xlfn.XLOOKUP(AB672,Stock1!I672,Stock1!J672,"")</f>
        <v/>
      </c>
      <c r="AE672" s="102" t="str">
        <f t="array" ref="AE672">_xlfn.XLOOKUP("Storage",Stock1!B672,Stock1!I672,"")</f>
        <v/>
      </c>
      <c r="AF672" s="102" t="str">
        <f t="array" ref="AF672">_xlfn.XLOOKUP(AE672,Stock1!I672,Stock1!F672,"")</f>
        <v/>
      </c>
      <c r="AG672" s="102" t="str">
        <f t="array" ref="AG672">_xlfn.XLOOKUP(AE672,Stock1!I672,Stock1!J672,"")</f>
        <v/>
      </c>
    </row>
    <row r="673">
      <c r="K673" s="660" t="str">
        <f t="array" ref="K673">IFERROR(_xlfn.XLOOKUP(I673,Incentive!B:B,Incentive!E:E,""),"")</f>
        <v/>
      </c>
      <c r="L673" s="659" t="str">
        <f>IFERROR(VLOOKUP(I673,Stock1!F:J,5,False),"")</f>
        <v/>
      </c>
      <c r="M673" s="659" t="str">
        <f>IFERROR(VLOOKUP(I673,Stock2!F:J,5,False),"")</f>
        <v/>
      </c>
      <c r="V673" s="102" t="str">
        <f t="array" ref="V673">_xlfn.XLOOKUP("Charger",Stock1!B673,Stock1!I673,"")</f>
        <v/>
      </c>
      <c r="W673" s="102" t="str">
        <f t="array" ref="W673">_xlfn.XLOOKUP(V673,Stock1!I673,Stock1!F673,"")</f>
        <v/>
      </c>
      <c r="X673" s="102" t="str">
        <f t="array" ref="X673">_xlfn.XLOOKUP(V673,Stock1!I673,Stock1!J673,"")</f>
        <v/>
      </c>
      <c r="Y673" s="102" t="str">
        <f t="array" ref="Y673">_xlfn.XLOOKUP("Screen Protector for Android Phone and Other",Stock1!B673,Stock1!I673,"")</f>
        <v/>
      </c>
      <c r="Z673" s="102" t="str">
        <f t="array" ref="Z673">_xlfn.XLOOKUP("Screen Protector for Galaxy Phone",Stock1!B673,Stock1!I673,"")</f>
        <v/>
      </c>
      <c r="AA673" s="102" t="str">
        <f t="array" ref="AA673">_xlfn.XLOOKUP("Screen Protector for Galaxy Tab",Stock1!B673,Stock1!I673,"")</f>
        <v/>
      </c>
      <c r="AB673" s="102" t="str">
        <f t="shared" si="4"/>
        <v/>
      </c>
      <c r="AC673" s="102" t="str">
        <f t="array" ref="AC673">_xlfn.XLOOKUP(AB673,Stock1!I673,Stock1!F673,"")</f>
        <v/>
      </c>
      <c r="AD673" s="102" t="str">
        <f t="array" ref="AD673">_xlfn.XLOOKUP(AB673,Stock1!I673,Stock1!J673,"")</f>
        <v/>
      </c>
      <c r="AE673" s="102" t="str">
        <f t="array" ref="AE673">_xlfn.XLOOKUP("Storage",Stock1!B673,Stock1!I673,"")</f>
        <v/>
      </c>
      <c r="AF673" s="102" t="str">
        <f t="array" ref="AF673">_xlfn.XLOOKUP(AE673,Stock1!I673,Stock1!F673,"")</f>
        <v/>
      </c>
      <c r="AG673" s="102" t="str">
        <f t="array" ref="AG673">_xlfn.XLOOKUP(AE673,Stock1!I673,Stock1!J673,"")</f>
        <v/>
      </c>
    </row>
    <row r="674">
      <c r="K674" s="660" t="str">
        <f t="array" ref="K674">IFERROR(_xlfn.XLOOKUP(I674,Incentive!B:B,Incentive!E:E,""),"")</f>
        <v/>
      </c>
      <c r="L674" s="659" t="str">
        <f>IFERROR(VLOOKUP(I674,Stock1!F:J,5,False),"")</f>
        <v/>
      </c>
      <c r="M674" s="659" t="str">
        <f>IFERROR(VLOOKUP(I674,Stock2!F:J,5,False),"")</f>
        <v/>
      </c>
      <c r="V674" s="102" t="str">
        <f t="array" ref="V674">_xlfn.XLOOKUP("Charger",Stock1!B674,Stock1!I674,"")</f>
        <v/>
      </c>
      <c r="W674" s="102" t="str">
        <f t="array" ref="W674">_xlfn.XLOOKUP(V674,Stock1!I674,Stock1!F674,"")</f>
        <v/>
      </c>
      <c r="X674" s="102" t="str">
        <f t="array" ref="X674">_xlfn.XLOOKUP(V674,Stock1!I674,Stock1!J674,"")</f>
        <v/>
      </c>
      <c r="Y674" s="102" t="str">
        <f t="array" ref="Y674">_xlfn.XLOOKUP("Screen Protector for Android Phone and Other",Stock1!B674,Stock1!I674,"")</f>
        <v/>
      </c>
      <c r="Z674" s="102" t="str">
        <f t="array" ref="Z674">_xlfn.XLOOKUP("Screen Protector for Galaxy Phone",Stock1!B674,Stock1!I674,"")</f>
        <v/>
      </c>
      <c r="AA674" s="102" t="str">
        <f t="array" ref="AA674">_xlfn.XLOOKUP("Screen Protector for Galaxy Tab",Stock1!B674,Stock1!I674,"")</f>
        <v/>
      </c>
      <c r="AB674" s="102" t="str">
        <f t="shared" si="4"/>
        <v/>
      </c>
      <c r="AC674" s="102" t="str">
        <f t="array" ref="AC674">_xlfn.XLOOKUP(AB674,Stock1!I674,Stock1!F674,"")</f>
        <v/>
      </c>
      <c r="AD674" s="102" t="str">
        <f t="array" ref="AD674">_xlfn.XLOOKUP(AB674,Stock1!I674,Stock1!J674,"")</f>
        <v/>
      </c>
      <c r="AE674" s="102" t="str">
        <f t="array" ref="AE674">_xlfn.XLOOKUP("Storage",Stock1!B674,Stock1!I674,"")</f>
        <v/>
      </c>
      <c r="AF674" s="102" t="str">
        <f t="array" ref="AF674">_xlfn.XLOOKUP(AE674,Stock1!I674,Stock1!F674,"")</f>
        <v/>
      </c>
      <c r="AG674" s="102" t="str">
        <f t="array" ref="AG674">_xlfn.XLOOKUP(AE674,Stock1!I674,Stock1!J674,"")</f>
        <v/>
      </c>
    </row>
    <row r="675">
      <c r="K675" s="660" t="str">
        <f t="array" ref="K675">IFERROR(_xlfn.XLOOKUP(I675,Incentive!B:B,Incentive!E:E,""),"")</f>
        <v/>
      </c>
      <c r="L675" s="659" t="str">
        <f>IFERROR(VLOOKUP(I675,Stock1!F:J,5,False),"")</f>
        <v/>
      </c>
      <c r="M675" s="659" t="str">
        <f>IFERROR(VLOOKUP(I675,Stock2!F:J,5,False),"")</f>
        <v/>
      </c>
      <c r="V675" s="102" t="str">
        <f t="array" ref="V675">_xlfn.XLOOKUP("Charger",Stock1!B675,Stock1!I675,"")</f>
        <v/>
      </c>
      <c r="W675" s="102" t="str">
        <f t="array" ref="W675">_xlfn.XLOOKUP(V675,Stock1!I675,Stock1!F675,"")</f>
        <v/>
      </c>
      <c r="X675" s="102" t="str">
        <f t="array" ref="X675">_xlfn.XLOOKUP(V675,Stock1!I675,Stock1!J675,"")</f>
        <v/>
      </c>
      <c r="Y675" s="102" t="str">
        <f t="array" ref="Y675">_xlfn.XLOOKUP("Screen Protector for Android Phone and Other",Stock1!B675,Stock1!I675,"")</f>
        <v/>
      </c>
      <c r="Z675" s="102" t="str">
        <f t="array" ref="Z675">_xlfn.XLOOKUP("Screen Protector for Galaxy Phone",Stock1!B675,Stock1!I675,"")</f>
        <v/>
      </c>
      <c r="AA675" s="102" t="str">
        <f t="array" ref="AA675">_xlfn.XLOOKUP("Screen Protector for Galaxy Tab",Stock1!B675,Stock1!I675,"")</f>
        <v/>
      </c>
      <c r="AB675" s="102" t="str">
        <f t="shared" si="4"/>
        <v/>
      </c>
      <c r="AC675" s="102" t="str">
        <f t="array" ref="AC675">_xlfn.XLOOKUP(AB675,Stock1!I675,Stock1!F675,"")</f>
        <v/>
      </c>
      <c r="AD675" s="102" t="str">
        <f t="array" ref="AD675">_xlfn.XLOOKUP(AB675,Stock1!I675,Stock1!J675,"")</f>
        <v/>
      </c>
      <c r="AE675" s="102" t="str">
        <f t="array" ref="AE675">_xlfn.XLOOKUP("Storage",Stock1!B675,Stock1!I675,"")</f>
        <v/>
      </c>
      <c r="AF675" s="102" t="str">
        <f t="array" ref="AF675">_xlfn.XLOOKUP(AE675,Stock1!I675,Stock1!F675,"")</f>
        <v/>
      </c>
      <c r="AG675" s="102" t="str">
        <f t="array" ref="AG675">_xlfn.XLOOKUP(AE675,Stock1!I675,Stock1!J675,"")</f>
        <v/>
      </c>
    </row>
    <row r="676">
      <c r="K676" s="660" t="str">
        <f t="array" ref="K676">IFERROR(_xlfn.XLOOKUP(I676,Incentive!B:B,Incentive!E:E,""),"")</f>
        <v/>
      </c>
      <c r="L676" s="659" t="str">
        <f>IFERROR(VLOOKUP(I676,Stock1!F:J,5,False),"")</f>
        <v/>
      </c>
      <c r="M676" s="659" t="str">
        <f>IFERROR(VLOOKUP(I676,Stock2!F:J,5,False),"")</f>
        <v/>
      </c>
      <c r="V676" s="102" t="str">
        <f t="array" ref="V676">_xlfn.XLOOKUP("Charger",Stock1!B676,Stock1!I676,"")</f>
        <v/>
      </c>
      <c r="W676" s="102" t="str">
        <f t="array" ref="W676">_xlfn.XLOOKUP(V676,Stock1!I676,Stock1!F676,"")</f>
        <v/>
      </c>
      <c r="X676" s="102" t="str">
        <f t="array" ref="X676">_xlfn.XLOOKUP(V676,Stock1!I676,Stock1!J676,"")</f>
        <v/>
      </c>
      <c r="Y676" s="102" t="str">
        <f t="array" ref="Y676">_xlfn.XLOOKUP("Screen Protector for Android Phone and Other",Stock1!B676,Stock1!I676,"")</f>
        <v/>
      </c>
      <c r="Z676" s="102" t="str">
        <f t="array" ref="Z676">_xlfn.XLOOKUP("Screen Protector for Galaxy Phone",Stock1!B676,Stock1!I676,"")</f>
        <v/>
      </c>
      <c r="AA676" s="102" t="str">
        <f t="array" ref="AA676">_xlfn.XLOOKUP("Screen Protector for Galaxy Tab",Stock1!B676,Stock1!I676,"")</f>
        <v/>
      </c>
      <c r="AB676" s="102" t="str">
        <f t="shared" si="4"/>
        <v/>
      </c>
      <c r="AC676" s="102" t="str">
        <f t="array" ref="AC676">_xlfn.XLOOKUP(AB676,Stock1!I676,Stock1!F676,"")</f>
        <v/>
      </c>
      <c r="AD676" s="102" t="str">
        <f t="array" ref="AD676">_xlfn.XLOOKUP(AB676,Stock1!I676,Stock1!J676,"")</f>
        <v/>
      </c>
      <c r="AE676" s="102" t="str">
        <f t="array" ref="AE676">_xlfn.XLOOKUP("Storage",Stock1!B676,Stock1!I676,"")</f>
        <v/>
      </c>
      <c r="AF676" s="102" t="str">
        <f t="array" ref="AF676">_xlfn.XLOOKUP(AE676,Stock1!I676,Stock1!F676,"")</f>
        <v/>
      </c>
      <c r="AG676" s="102" t="str">
        <f t="array" ref="AG676">_xlfn.XLOOKUP(AE676,Stock1!I676,Stock1!J676,"")</f>
        <v/>
      </c>
    </row>
    <row r="677">
      <c r="K677" s="660" t="str">
        <f t="array" ref="K677">IFERROR(_xlfn.XLOOKUP(I677,Incentive!B:B,Incentive!E:E,""),"")</f>
        <v/>
      </c>
      <c r="L677" s="659" t="str">
        <f>IFERROR(VLOOKUP(I677,Stock1!F:J,5,False),"")</f>
        <v/>
      </c>
      <c r="M677" s="659" t="str">
        <f>IFERROR(VLOOKUP(I677,Stock2!F:J,5,False),"")</f>
        <v/>
      </c>
      <c r="V677" s="102" t="str">
        <f t="array" ref="V677">_xlfn.XLOOKUP("Charger",Stock1!B677,Stock1!I677,"")</f>
        <v/>
      </c>
      <c r="W677" s="102" t="str">
        <f t="array" ref="W677">_xlfn.XLOOKUP(V677,Stock1!I677,Stock1!F677,"")</f>
        <v/>
      </c>
      <c r="X677" s="102" t="str">
        <f t="array" ref="X677">_xlfn.XLOOKUP(V677,Stock1!I677,Stock1!J677,"")</f>
        <v/>
      </c>
      <c r="Y677" s="102" t="str">
        <f t="array" ref="Y677">_xlfn.XLOOKUP("Screen Protector for Android Phone and Other",Stock1!B677,Stock1!I677,"")</f>
        <v/>
      </c>
      <c r="Z677" s="102" t="str">
        <f t="array" ref="Z677">_xlfn.XLOOKUP("Screen Protector for Galaxy Phone",Stock1!B677,Stock1!I677,"")</f>
        <v/>
      </c>
      <c r="AA677" s="102" t="str">
        <f t="array" ref="AA677">_xlfn.XLOOKUP("Screen Protector for Galaxy Tab",Stock1!B677,Stock1!I677,"")</f>
        <v/>
      </c>
      <c r="AB677" s="102" t="str">
        <f t="shared" si="4"/>
        <v/>
      </c>
      <c r="AC677" s="102" t="str">
        <f t="array" ref="AC677">_xlfn.XLOOKUP(AB677,Stock1!I677,Stock1!F677,"")</f>
        <v/>
      </c>
      <c r="AD677" s="102" t="str">
        <f t="array" ref="AD677">_xlfn.XLOOKUP(AB677,Stock1!I677,Stock1!J677,"")</f>
        <v/>
      </c>
      <c r="AE677" s="102" t="str">
        <f t="array" ref="AE677">_xlfn.XLOOKUP("Storage",Stock1!B677,Stock1!I677,"")</f>
        <v/>
      </c>
      <c r="AF677" s="102" t="str">
        <f t="array" ref="AF677">_xlfn.XLOOKUP(AE677,Stock1!I677,Stock1!F677,"")</f>
        <v/>
      </c>
      <c r="AG677" s="102" t="str">
        <f t="array" ref="AG677">_xlfn.XLOOKUP(AE677,Stock1!I677,Stock1!J677,"")</f>
        <v/>
      </c>
    </row>
    <row r="678">
      <c r="K678" s="660" t="str">
        <f t="array" ref="K678">IFERROR(_xlfn.XLOOKUP(I678,Incentive!B:B,Incentive!E:E,""),"")</f>
        <v/>
      </c>
      <c r="L678" s="659" t="str">
        <f>IFERROR(VLOOKUP(I678,Stock1!F:J,5,False),"")</f>
        <v/>
      </c>
      <c r="M678" s="659" t="str">
        <f>IFERROR(VLOOKUP(I678,Stock2!F:J,5,False),"")</f>
        <v/>
      </c>
      <c r="V678" s="102" t="str">
        <f t="array" ref="V678">_xlfn.XLOOKUP("Charger",Stock1!B678,Stock1!I678,"")</f>
        <v/>
      </c>
      <c r="W678" s="102" t="str">
        <f t="array" ref="W678">_xlfn.XLOOKUP(V678,Stock1!I678,Stock1!F678,"")</f>
        <v/>
      </c>
      <c r="X678" s="102" t="str">
        <f t="array" ref="X678">_xlfn.XLOOKUP(V678,Stock1!I678,Stock1!J678,"")</f>
        <v/>
      </c>
      <c r="Y678" s="102" t="str">
        <f t="array" ref="Y678">_xlfn.XLOOKUP("Screen Protector for Android Phone and Other",Stock1!B678,Stock1!I678,"")</f>
        <v/>
      </c>
      <c r="Z678" s="102" t="str">
        <f t="array" ref="Z678">_xlfn.XLOOKUP("Screen Protector for Galaxy Phone",Stock1!B678,Stock1!I678,"")</f>
        <v/>
      </c>
      <c r="AA678" s="102" t="str">
        <f t="array" ref="AA678">_xlfn.XLOOKUP("Screen Protector for Galaxy Tab",Stock1!B678,Stock1!I678,"")</f>
        <v/>
      </c>
      <c r="AB678" s="102" t="str">
        <f t="shared" si="4"/>
        <v/>
      </c>
      <c r="AC678" s="102" t="str">
        <f t="array" ref="AC678">_xlfn.XLOOKUP(AB678,Stock1!I678,Stock1!F678,"")</f>
        <v/>
      </c>
      <c r="AD678" s="102" t="str">
        <f t="array" ref="AD678">_xlfn.XLOOKUP(AB678,Stock1!I678,Stock1!J678,"")</f>
        <v/>
      </c>
      <c r="AE678" s="102" t="str">
        <f t="array" ref="AE678">_xlfn.XLOOKUP("Storage",Stock1!B678,Stock1!I678,"")</f>
        <v/>
      </c>
      <c r="AF678" s="102" t="str">
        <f t="array" ref="AF678">_xlfn.XLOOKUP(AE678,Stock1!I678,Stock1!F678,"")</f>
        <v/>
      </c>
      <c r="AG678" s="102" t="str">
        <f t="array" ref="AG678">_xlfn.XLOOKUP(AE678,Stock1!I678,Stock1!J678,"")</f>
        <v/>
      </c>
    </row>
    <row r="679">
      <c r="K679" s="660" t="str">
        <f t="array" ref="K679">IFERROR(_xlfn.XLOOKUP(I679,Incentive!B:B,Incentive!E:E,""),"")</f>
        <v/>
      </c>
      <c r="L679" s="659" t="str">
        <f>IFERROR(VLOOKUP(I679,Stock1!F:J,5,False),"")</f>
        <v/>
      </c>
      <c r="M679" s="659" t="str">
        <f>IFERROR(VLOOKUP(I679,Stock2!F:J,5,False),"")</f>
        <v/>
      </c>
      <c r="V679" s="102" t="str">
        <f t="array" ref="V679">_xlfn.XLOOKUP("Charger",Stock1!B679,Stock1!I679,"")</f>
        <v/>
      </c>
      <c r="W679" s="102" t="str">
        <f t="array" ref="W679">_xlfn.XLOOKUP(V679,Stock1!I679,Stock1!F679,"")</f>
        <v/>
      </c>
      <c r="X679" s="102" t="str">
        <f t="array" ref="X679">_xlfn.XLOOKUP(V679,Stock1!I679,Stock1!J679,"")</f>
        <v/>
      </c>
      <c r="Y679" s="102" t="str">
        <f t="array" ref="Y679">_xlfn.XLOOKUP("Screen Protector for Android Phone and Other",Stock1!B679,Stock1!I679,"")</f>
        <v/>
      </c>
      <c r="Z679" s="102" t="str">
        <f t="array" ref="Z679">_xlfn.XLOOKUP("Screen Protector for Galaxy Phone",Stock1!B679,Stock1!I679,"")</f>
        <v/>
      </c>
      <c r="AA679" s="102" t="str">
        <f t="array" ref="AA679">_xlfn.XLOOKUP("Screen Protector for Galaxy Tab",Stock1!B679,Stock1!I679,"")</f>
        <v/>
      </c>
      <c r="AB679" s="102" t="str">
        <f t="shared" si="4"/>
        <v/>
      </c>
      <c r="AC679" s="102" t="str">
        <f t="array" ref="AC679">_xlfn.XLOOKUP(AB679,Stock1!I679,Stock1!F679,"")</f>
        <v/>
      </c>
      <c r="AD679" s="102" t="str">
        <f t="array" ref="AD679">_xlfn.XLOOKUP(AB679,Stock1!I679,Stock1!J679,"")</f>
        <v/>
      </c>
      <c r="AE679" s="102" t="str">
        <f t="array" ref="AE679">_xlfn.XLOOKUP("Storage",Stock1!B679,Stock1!I679,"")</f>
        <v/>
      </c>
      <c r="AF679" s="102" t="str">
        <f t="array" ref="AF679">_xlfn.XLOOKUP(AE679,Stock1!I679,Stock1!F679,"")</f>
        <v/>
      </c>
      <c r="AG679" s="102" t="str">
        <f t="array" ref="AG679">_xlfn.XLOOKUP(AE679,Stock1!I679,Stock1!J679,"")</f>
        <v/>
      </c>
    </row>
    <row r="680">
      <c r="K680" s="660" t="str">
        <f t="array" ref="K680">IFERROR(_xlfn.XLOOKUP(I680,Incentive!B:B,Incentive!E:E,""),"")</f>
        <v/>
      </c>
      <c r="L680" s="659" t="str">
        <f>IFERROR(VLOOKUP(I680,Stock1!F:J,5,False),"")</f>
        <v/>
      </c>
      <c r="M680" s="659" t="str">
        <f>IFERROR(VLOOKUP(I680,Stock2!F:J,5,False),"")</f>
        <v/>
      </c>
      <c r="V680" s="102" t="str">
        <f t="array" ref="V680">_xlfn.XLOOKUP("Charger",Stock1!B680,Stock1!I680,"")</f>
        <v/>
      </c>
      <c r="W680" s="102" t="str">
        <f t="array" ref="W680">_xlfn.XLOOKUP(V680,Stock1!I680,Stock1!F680,"")</f>
        <v/>
      </c>
      <c r="X680" s="102" t="str">
        <f t="array" ref="X680">_xlfn.XLOOKUP(V680,Stock1!I680,Stock1!J680,"")</f>
        <v/>
      </c>
      <c r="Y680" s="102" t="str">
        <f t="array" ref="Y680">_xlfn.XLOOKUP("Screen Protector for Android Phone and Other",Stock1!B680,Stock1!I680,"")</f>
        <v/>
      </c>
      <c r="Z680" s="102" t="str">
        <f t="array" ref="Z680">_xlfn.XLOOKUP("Screen Protector for Galaxy Phone",Stock1!B680,Stock1!I680,"")</f>
        <v/>
      </c>
      <c r="AA680" s="102" t="str">
        <f t="array" ref="AA680">_xlfn.XLOOKUP("Screen Protector for Galaxy Tab",Stock1!B680,Stock1!I680,"")</f>
        <v/>
      </c>
      <c r="AB680" s="102" t="str">
        <f t="shared" si="4"/>
        <v/>
      </c>
      <c r="AC680" s="102" t="str">
        <f t="array" ref="AC680">_xlfn.XLOOKUP(AB680,Stock1!I680,Stock1!F680,"")</f>
        <v/>
      </c>
      <c r="AD680" s="102" t="str">
        <f t="array" ref="AD680">_xlfn.XLOOKUP(AB680,Stock1!I680,Stock1!J680,"")</f>
        <v/>
      </c>
      <c r="AE680" s="102" t="str">
        <f t="array" ref="AE680">_xlfn.XLOOKUP("Storage",Stock1!B680,Stock1!I680,"")</f>
        <v/>
      </c>
      <c r="AF680" s="102" t="str">
        <f t="array" ref="AF680">_xlfn.XLOOKUP(AE680,Stock1!I680,Stock1!F680,"")</f>
        <v/>
      </c>
      <c r="AG680" s="102" t="str">
        <f t="array" ref="AG680">_xlfn.XLOOKUP(AE680,Stock1!I680,Stock1!J680,"")</f>
        <v/>
      </c>
    </row>
    <row r="681">
      <c r="K681" s="660" t="str">
        <f t="array" ref="K681">IFERROR(_xlfn.XLOOKUP(I681,Incentive!B:B,Incentive!E:E,""),"")</f>
        <v/>
      </c>
      <c r="L681" s="659" t="str">
        <f>IFERROR(VLOOKUP(I681,Stock1!F:J,5,False),"")</f>
        <v/>
      </c>
      <c r="M681" s="659" t="str">
        <f>IFERROR(VLOOKUP(I681,Stock2!F:J,5,False),"")</f>
        <v/>
      </c>
      <c r="V681" s="102" t="str">
        <f t="array" ref="V681">_xlfn.XLOOKUP("Charger",Stock1!B681,Stock1!I681,"")</f>
        <v/>
      </c>
      <c r="W681" s="102" t="str">
        <f t="array" ref="W681">_xlfn.XLOOKUP(V681,Stock1!I681,Stock1!F681,"")</f>
        <v/>
      </c>
      <c r="X681" s="102" t="str">
        <f t="array" ref="X681">_xlfn.XLOOKUP(V681,Stock1!I681,Stock1!J681,"")</f>
        <v/>
      </c>
      <c r="Y681" s="102" t="str">
        <f t="array" ref="Y681">_xlfn.XLOOKUP("Screen Protector for Android Phone and Other",Stock1!B681,Stock1!I681,"")</f>
        <v/>
      </c>
      <c r="Z681" s="102" t="str">
        <f t="array" ref="Z681">_xlfn.XLOOKUP("Screen Protector for Galaxy Phone",Stock1!B681,Stock1!I681,"")</f>
        <v/>
      </c>
      <c r="AA681" s="102" t="str">
        <f t="array" ref="AA681">_xlfn.XLOOKUP("Screen Protector for Galaxy Tab",Stock1!B681,Stock1!I681,"")</f>
        <v/>
      </c>
      <c r="AB681" s="102" t="str">
        <f t="shared" si="4"/>
        <v/>
      </c>
      <c r="AC681" s="102" t="str">
        <f t="array" ref="AC681">_xlfn.XLOOKUP(AB681,Stock1!I681,Stock1!F681,"")</f>
        <v/>
      </c>
      <c r="AD681" s="102" t="str">
        <f t="array" ref="AD681">_xlfn.XLOOKUP(AB681,Stock1!I681,Stock1!J681,"")</f>
        <v/>
      </c>
      <c r="AE681" s="102" t="str">
        <f t="array" ref="AE681">_xlfn.XLOOKUP("Storage",Stock1!B681,Stock1!I681,"")</f>
        <v/>
      </c>
      <c r="AF681" s="102" t="str">
        <f t="array" ref="AF681">_xlfn.XLOOKUP(AE681,Stock1!I681,Stock1!F681,"")</f>
        <v/>
      </c>
      <c r="AG681" s="102" t="str">
        <f t="array" ref="AG681">_xlfn.XLOOKUP(AE681,Stock1!I681,Stock1!J681,"")</f>
        <v/>
      </c>
    </row>
    <row r="682">
      <c r="K682" s="660" t="str">
        <f t="array" ref="K682">IFERROR(_xlfn.XLOOKUP(I682,Incentive!B:B,Incentive!E:E,""),"")</f>
        <v/>
      </c>
      <c r="L682" s="659" t="str">
        <f>IFERROR(VLOOKUP(I682,Stock1!F:J,5,False),"")</f>
        <v/>
      </c>
      <c r="M682" s="659" t="str">
        <f>IFERROR(VLOOKUP(I682,Stock2!F:J,5,False),"")</f>
        <v/>
      </c>
      <c r="V682" s="102" t="str">
        <f t="array" ref="V682">_xlfn.XLOOKUP("Charger",Stock1!B682,Stock1!I682,"")</f>
        <v/>
      </c>
      <c r="W682" s="102" t="str">
        <f t="array" ref="W682">_xlfn.XLOOKUP(V682,Stock1!I682,Stock1!F682,"")</f>
        <v/>
      </c>
      <c r="X682" s="102" t="str">
        <f t="array" ref="X682">_xlfn.XLOOKUP(V682,Stock1!I682,Stock1!J682,"")</f>
        <v/>
      </c>
      <c r="Y682" s="102" t="str">
        <f t="array" ref="Y682">_xlfn.XLOOKUP("Screen Protector for Android Phone and Other",Stock1!B682,Stock1!I682,"")</f>
        <v/>
      </c>
      <c r="Z682" s="102" t="str">
        <f t="array" ref="Z682">_xlfn.XLOOKUP("Screen Protector for Galaxy Phone",Stock1!B682,Stock1!I682,"")</f>
        <v/>
      </c>
      <c r="AA682" s="102" t="str">
        <f t="array" ref="AA682">_xlfn.XLOOKUP("Screen Protector for Galaxy Tab",Stock1!B682,Stock1!I682,"")</f>
        <v/>
      </c>
      <c r="AB682" s="102" t="str">
        <f t="shared" si="4"/>
        <v/>
      </c>
      <c r="AC682" s="102" t="str">
        <f t="array" ref="AC682">_xlfn.XLOOKUP(AB682,Stock1!I682,Stock1!F682,"")</f>
        <v/>
      </c>
      <c r="AD682" s="102" t="str">
        <f t="array" ref="AD682">_xlfn.XLOOKUP(AB682,Stock1!I682,Stock1!J682,"")</f>
        <v/>
      </c>
      <c r="AE682" s="102" t="str">
        <f t="array" ref="AE682">_xlfn.XLOOKUP("Storage",Stock1!B682,Stock1!I682,"")</f>
        <v/>
      </c>
      <c r="AF682" s="102" t="str">
        <f t="array" ref="AF682">_xlfn.XLOOKUP(AE682,Stock1!I682,Stock1!F682,"")</f>
        <v/>
      </c>
      <c r="AG682" s="102" t="str">
        <f t="array" ref="AG682">_xlfn.XLOOKUP(AE682,Stock1!I682,Stock1!J682,"")</f>
        <v/>
      </c>
    </row>
    <row r="683">
      <c r="K683" s="660" t="str">
        <f t="array" ref="K683">IFERROR(_xlfn.XLOOKUP(I683,Incentive!B:B,Incentive!E:E,""),"")</f>
        <v/>
      </c>
      <c r="L683" s="659" t="str">
        <f>IFERROR(VLOOKUP(I683,Stock1!F:J,5,False),"")</f>
        <v/>
      </c>
      <c r="M683" s="659" t="str">
        <f>IFERROR(VLOOKUP(I683,Stock2!F:J,5,False),"")</f>
        <v/>
      </c>
      <c r="V683" s="102" t="str">
        <f t="array" ref="V683">_xlfn.XLOOKUP("Charger",Stock1!B683,Stock1!I683,"")</f>
        <v/>
      </c>
      <c r="W683" s="102" t="str">
        <f t="array" ref="W683">_xlfn.XLOOKUP(V683,Stock1!I683,Stock1!F683,"")</f>
        <v/>
      </c>
      <c r="X683" s="102" t="str">
        <f t="array" ref="X683">_xlfn.XLOOKUP(V683,Stock1!I683,Stock1!J683,"")</f>
        <v/>
      </c>
      <c r="Y683" s="102" t="str">
        <f t="array" ref="Y683">_xlfn.XLOOKUP("Screen Protector for Android Phone and Other",Stock1!B683,Stock1!I683,"")</f>
        <v/>
      </c>
      <c r="Z683" s="102" t="str">
        <f t="array" ref="Z683">_xlfn.XLOOKUP("Screen Protector for Galaxy Phone",Stock1!B683,Stock1!I683,"")</f>
        <v/>
      </c>
      <c r="AA683" s="102" t="str">
        <f t="array" ref="AA683">_xlfn.XLOOKUP("Screen Protector for Galaxy Tab",Stock1!B683,Stock1!I683,"")</f>
        <v/>
      </c>
      <c r="AB683" s="102" t="str">
        <f t="shared" si="4"/>
        <v/>
      </c>
      <c r="AC683" s="102" t="str">
        <f t="array" ref="AC683">_xlfn.XLOOKUP(AB683,Stock1!I683,Stock1!F683,"")</f>
        <v/>
      </c>
      <c r="AD683" s="102" t="str">
        <f t="array" ref="AD683">_xlfn.XLOOKUP(AB683,Stock1!I683,Stock1!J683,"")</f>
        <v/>
      </c>
      <c r="AE683" s="102" t="str">
        <f t="array" ref="AE683">_xlfn.XLOOKUP("Storage",Stock1!B683,Stock1!I683,"")</f>
        <v/>
      </c>
      <c r="AF683" s="102" t="str">
        <f t="array" ref="AF683">_xlfn.XLOOKUP(AE683,Stock1!I683,Stock1!F683,"")</f>
        <v/>
      </c>
      <c r="AG683" s="102" t="str">
        <f t="array" ref="AG683">_xlfn.XLOOKUP(AE683,Stock1!I683,Stock1!J683,"")</f>
        <v/>
      </c>
    </row>
    <row r="684">
      <c r="K684" s="660" t="str">
        <f t="array" ref="K684">IFERROR(_xlfn.XLOOKUP(I684,Incentive!B:B,Incentive!E:E,""),"")</f>
        <v/>
      </c>
      <c r="L684" s="659" t="str">
        <f>IFERROR(VLOOKUP(I684,Stock1!F:J,5,False),"")</f>
        <v/>
      </c>
      <c r="M684" s="659" t="str">
        <f>IFERROR(VLOOKUP(I684,Stock2!F:J,5,False),"")</f>
        <v/>
      </c>
      <c r="V684" s="102" t="str">
        <f t="array" ref="V684">_xlfn.XLOOKUP("Charger",Stock1!B684,Stock1!I684,"")</f>
        <v/>
      </c>
      <c r="W684" s="102" t="str">
        <f t="array" ref="W684">_xlfn.XLOOKUP(V684,Stock1!I684,Stock1!F684,"")</f>
        <v/>
      </c>
      <c r="X684" s="102" t="str">
        <f t="array" ref="X684">_xlfn.XLOOKUP(V684,Stock1!I684,Stock1!J684,"")</f>
        <v/>
      </c>
      <c r="Y684" s="102" t="str">
        <f t="array" ref="Y684">_xlfn.XLOOKUP("Screen Protector for Android Phone and Other",Stock1!B684,Stock1!I684,"")</f>
        <v/>
      </c>
      <c r="Z684" s="102" t="str">
        <f t="array" ref="Z684">_xlfn.XLOOKUP("Screen Protector for Galaxy Phone",Stock1!B684,Stock1!I684,"")</f>
        <v/>
      </c>
      <c r="AA684" s="102" t="str">
        <f t="array" ref="AA684">_xlfn.XLOOKUP("Screen Protector for Galaxy Tab",Stock1!B684,Stock1!I684,"")</f>
        <v/>
      </c>
      <c r="AB684" s="102" t="str">
        <f t="shared" si="4"/>
        <v/>
      </c>
      <c r="AC684" s="102" t="str">
        <f t="array" ref="AC684">_xlfn.XLOOKUP(AB684,Stock1!I684,Stock1!F684,"")</f>
        <v/>
      </c>
      <c r="AD684" s="102" t="str">
        <f t="array" ref="AD684">_xlfn.XLOOKUP(AB684,Stock1!I684,Stock1!J684,"")</f>
        <v/>
      </c>
      <c r="AE684" s="102" t="str">
        <f t="array" ref="AE684">_xlfn.XLOOKUP("Storage",Stock1!B684,Stock1!I684,"")</f>
        <v/>
      </c>
      <c r="AF684" s="102" t="str">
        <f t="array" ref="AF684">_xlfn.XLOOKUP(AE684,Stock1!I684,Stock1!F684,"")</f>
        <v/>
      </c>
      <c r="AG684" s="102" t="str">
        <f t="array" ref="AG684">_xlfn.XLOOKUP(AE684,Stock1!I684,Stock1!J684,"")</f>
        <v/>
      </c>
    </row>
    <row r="685">
      <c r="K685" s="660" t="str">
        <f t="array" ref="K685">IFERROR(_xlfn.XLOOKUP(I685,Incentive!B:B,Incentive!E:E,""),"")</f>
        <v/>
      </c>
      <c r="L685" s="659" t="str">
        <f>IFERROR(VLOOKUP(I685,Stock1!F:J,5,False),"")</f>
        <v/>
      </c>
      <c r="M685" s="659" t="str">
        <f>IFERROR(VLOOKUP(I685,Stock2!F:J,5,False),"")</f>
        <v/>
      </c>
      <c r="V685" s="102" t="str">
        <f t="array" ref="V685">_xlfn.XLOOKUP("Charger",Stock1!B685,Stock1!I685,"")</f>
        <v/>
      </c>
      <c r="W685" s="102" t="str">
        <f t="array" ref="W685">_xlfn.XLOOKUP(V685,Stock1!I685,Stock1!F685,"")</f>
        <v/>
      </c>
      <c r="X685" s="102" t="str">
        <f t="array" ref="X685">_xlfn.XLOOKUP(V685,Stock1!I685,Stock1!J685,"")</f>
        <v/>
      </c>
      <c r="Y685" s="102" t="str">
        <f t="array" ref="Y685">_xlfn.XLOOKUP("Screen Protector for Android Phone and Other",Stock1!B685,Stock1!I685,"")</f>
        <v/>
      </c>
      <c r="Z685" s="102" t="str">
        <f t="array" ref="Z685">_xlfn.XLOOKUP("Screen Protector for Galaxy Phone",Stock1!B685,Stock1!I685,"")</f>
        <v/>
      </c>
      <c r="AA685" s="102" t="str">
        <f t="array" ref="AA685">_xlfn.XLOOKUP("Screen Protector for Galaxy Tab",Stock1!B685,Stock1!I685,"")</f>
        <v/>
      </c>
      <c r="AB685" s="102" t="str">
        <f t="shared" si="4"/>
        <v/>
      </c>
      <c r="AC685" s="102" t="str">
        <f t="array" ref="AC685">_xlfn.XLOOKUP(AB685,Stock1!I685,Stock1!F685,"")</f>
        <v/>
      </c>
      <c r="AD685" s="102" t="str">
        <f t="array" ref="AD685">_xlfn.XLOOKUP(AB685,Stock1!I685,Stock1!J685,"")</f>
        <v/>
      </c>
      <c r="AE685" s="102" t="str">
        <f t="array" ref="AE685">_xlfn.XLOOKUP("Storage",Stock1!B685,Stock1!I685,"")</f>
        <v/>
      </c>
      <c r="AF685" s="102" t="str">
        <f t="array" ref="AF685">_xlfn.XLOOKUP(AE685,Stock1!I685,Stock1!F685,"")</f>
        <v/>
      </c>
      <c r="AG685" s="102" t="str">
        <f t="array" ref="AG685">_xlfn.XLOOKUP(AE685,Stock1!I685,Stock1!J685,"")</f>
        <v/>
      </c>
    </row>
    <row r="686">
      <c r="K686" s="660" t="str">
        <f t="array" ref="K686">IFERROR(_xlfn.XLOOKUP(I686,Incentive!B:B,Incentive!E:E,""),"")</f>
        <v/>
      </c>
      <c r="L686" s="659" t="str">
        <f>IFERROR(VLOOKUP(I686,Stock1!F:J,5,False),"")</f>
        <v/>
      </c>
      <c r="M686" s="659" t="str">
        <f>IFERROR(VLOOKUP(I686,Stock2!F:J,5,False),"")</f>
        <v/>
      </c>
      <c r="V686" s="102" t="str">
        <f t="array" ref="V686">_xlfn.XLOOKUP("Charger",Stock1!B686,Stock1!I686,"")</f>
        <v/>
      </c>
      <c r="W686" s="102" t="str">
        <f t="array" ref="W686">_xlfn.XLOOKUP(V686,Stock1!I686,Stock1!F686,"")</f>
        <v/>
      </c>
      <c r="X686" s="102" t="str">
        <f t="array" ref="X686">_xlfn.XLOOKUP(V686,Stock1!I686,Stock1!J686,"")</f>
        <v/>
      </c>
      <c r="Y686" s="102" t="str">
        <f t="array" ref="Y686">_xlfn.XLOOKUP("Screen Protector for Android Phone and Other",Stock1!B686,Stock1!I686,"")</f>
        <v/>
      </c>
      <c r="Z686" s="102" t="str">
        <f t="array" ref="Z686">_xlfn.XLOOKUP("Screen Protector for Galaxy Phone",Stock1!B686,Stock1!I686,"")</f>
        <v/>
      </c>
      <c r="AA686" s="102" t="str">
        <f t="array" ref="AA686">_xlfn.XLOOKUP("Screen Protector for Galaxy Tab",Stock1!B686,Stock1!I686,"")</f>
        <v/>
      </c>
      <c r="AB686" s="102" t="str">
        <f t="shared" si="4"/>
        <v/>
      </c>
      <c r="AC686" s="102" t="str">
        <f t="array" ref="AC686">_xlfn.XLOOKUP(AB686,Stock1!I686,Stock1!F686,"")</f>
        <v/>
      </c>
      <c r="AD686" s="102" t="str">
        <f t="array" ref="AD686">_xlfn.XLOOKUP(AB686,Stock1!I686,Stock1!J686,"")</f>
        <v/>
      </c>
      <c r="AE686" s="102" t="str">
        <f t="array" ref="AE686">_xlfn.XLOOKUP("Storage",Stock1!B686,Stock1!I686,"")</f>
        <v/>
      </c>
      <c r="AF686" s="102" t="str">
        <f t="array" ref="AF686">_xlfn.XLOOKUP(AE686,Stock1!I686,Stock1!F686,"")</f>
        <v/>
      </c>
      <c r="AG686" s="102" t="str">
        <f t="array" ref="AG686">_xlfn.XLOOKUP(AE686,Stock1!I686,Stock1!J686,"")</f>
        <v/>
      </c>
    </row>
    <row r="687">
      <c r="K687" s="660" t="str">
        <f t="array" ref="K687">IFERROR(_xlfn.XLOOKUP(I687,Incentive!B:B,Incentive!E:E,""),"")</f>
        <v/>
      </c>
      <c r="L687" s="659" t="str">
        <f>IFERROR(VLOOKUP(I687,Stock1!F:J,5,False),"")</f>
        <v/>
      </c>
      <c r="M687" s="659" t="str">
        <f>IFERROR(VLOOKUP(I687,Stock2!F:J,5,False),"")</f>
        <v/>
      </c>
      <c r="V687" s="102" t="str">
        <f t="array" ref="V687">_xlfn.XLOOKUP("Charger",Stock1!B687,Stock1!I687,"")</f>
        <v/>
      </c>
      <c r="W687" s="102" t="str">
        <f t="array" ref="W687">_xlfn.XLOOKUP(V687,Stock1!I687,Stock1!F687,"")</f>
        <v/>
      </c>
      <c r="X687" s="102" t="str">
        <f t="array" ref="X687">_xlfn.XLOOKUP(V687,Stock1!I687,Stock1!J687,"")</f>
        <v/>
      </c>
      <c r="Y687" s="102" t="str">
        <f t="array" ref="Y687">_xlfn.XLOOKUP("Screen Protector for Android Phone and Other",Stock1!B687,Stock1!I687,"")</f>
        <v/>
      </c>
      <c r="Z687" s="102" t="str">
        <f t="array" ref="Z687">_xlfn.XLOOKUP("Screen Protector for Galaxy Phone",Stock1!B687,Stock1!I687,"")</f>
        <v/>
      </c>
      <c r="AA687" s="102" t="str">
        <f t="array" ref="AA687">_xlfn.XLOOKUP("Screen Protector for Galaxy Tab",Stock1!B687,Stock1!I687,"")</f>
        <v/>
      </c>
      <c r="AB687" s="102" t="str">
        <f t="shared" si="4"/>
        <v/>
      </c>
      <c r="AC687" s="102" t="str">
        <f t="array" ref="AC687">_xlfn.XLOOKUP(AB687,Stock1!I687,Stock1!F687,"")</f>
        <v/>
      </c>
      <c r="AD687" s="102" t="str">
        <f t="array" ref="AD687">_xlfn.XLOOKUP(AB687,Stock1!I687,Stock1!J687,"")</f>
        <v/>
      </c>
      <c r="AE687" s="102" t="str">
        <f t="array" ref="AE687">_xlfn.XLOOKUP("Storage",Stock1!B687,Stock1!I687,"")</f>
        <v/>
      </c>
      <c r="AF687" s="102" t="str">
        <f t="array" ref="AF687">_xlfn.XLOOKUP(AE687,Stock1!I687,Stock1!F687,"")</f>
        <v/>
      </c>
      <c r="AG687" s="102" t="str">
        <f t="array" ref="AG687">_xlfn.XLOOKUP(AE687,Stock1!I687,Stock1!J687,"")</f>
        <v/>
      </c>
    </row>
    <row r="688">
      <c r="K688" s="660" t="str">
        <f t="array" ref="K688">IFERROR(_xlfn.XLOOKUP(I688,Incentive!B:B,Incentive!E:E,""),"")</f>
        <v/>
      </c>
      <c r="L688" s="659" t="str">
        <f>IFERROR(VLOOKUP(I688,Stock1!F:J,5,False),"")</f>
        <v/>
      </c>
      <c r="M688" s="659" t="str">
        <f>IFERROR(VLOOKUP(I688,Stock2!F:J,5,False),"")</f>
        <v/>
      </c>
      <c r="V688" s="102" t="str">
        <f t="array" ref="V688">_xlfn.XLOOKUP("Charger",Stock1!B688,Stock1!I688,"")</f>
        <v/>
      </c>
      <c r="W688" s="102" t="str">
        <f t="array" ref="W688">_xlfn.XLOOKUP(V688,Stock1!I688,Stock1!F688,"")</f>
        <v/>
      </c>
      <c r="X688" s="102" t="str">
        <f t="array" ref="X688">_xlfn.XLOOKUP(V688,Stock1!I688,Stock1!J688,"")</f>
        <v/>
      </c>
      <c r="Y688" s="102" t="str">
        <f t="array" ref="Y688">_xlfn.XLOOKUP("Screen Protector for Android Phone and Other",Stock1!B688,Stock1!I688,"")</f>
        <v/>
      </c>
      <c r="Z688" s="102" t="str">
        <f t="array" ref="Z688">_xlfn.XLOOKUP("Screen Protector for Galaxy Phone",Stock1!B688,Stock1!I688,"")</f>
        <v/>
      </c>
      <c r="AA688" s="102" t="str">
        <f t="array" ref="AA688">_xlfn.XLOOKUP("Screen Protector for Galaxy Tab",Stock1!B688,Stock1!I688,"")</f>
        <v/>
      </c>
      <c r="AB688" s="102" t="str">
        <f t="shared" si="4"/>
        <v/>
      </c>
      <c r="AC688" s="102" t="str">
        <f t="array" ref="AC688">_xlfn.XLOOKUP(AB688,Stock1!I688,Stock1!F688,"")</f>
        <v/>
      </c>
      <c r="AD688" s="102" t="str">
        <f t="array" ref="AD688">_xlfn.XLOOKUP(AB688,Stock1!I688,Stock1!J688,"")</f>
        <v/>
      </c>
      <c r="AE688" s="102" t="str">
        <f t="array" ref="AE688">_xlfn.XLOOKUP("Storage",Stock1!B688,Stock1!I688,"")</f>
        <v/>
      </c>
      <c r="AF688" s="102" t="str">
        <f t="array" ref="AF688">_xlfn.XLOOKUP(AE688,Stock1!I688,Stock1!F688,"")</f>
        <v/>
      </c>
      <c r="AG688" s="102" t="str">
        <f t="array" ref="AG688">_xlfn.XLOOKUP(AE688,Stock1!I688,Stock1!J688,"")</f>
        <v/>
      </c>
    </row>
    <row r="689">
      <c r="K689" s="660" t="str">
        <f t="array" ref="K689">IFERROR(_xlfn.XLOOKUP(I689,Incentive!B:B,Incentive!E:E,""),"")</f>
        <v/>
      </c>
      <c r="L689" s="659" t="str">
        <f>IFERROR(VLOOKUP(I689,Stock1!F:J,5,False),"")</f>
        <v/>
      </c>
      <c r="M689" s="659" t="str">
        <f>IFERROR(VLOOKUP(I689,Stock2!F:J,5,False),"")</f>
        <v/>
      </c>
      <c r="V689" s="102" t="str">
        <f t="array" ref="V689">_xlfn.XLOOKUP("Charger",Stock1!B689,Stock1!I689,"")</f>
        <v/>
      </c>
      <c r="W689" s="102" t="str">
        <f t="array" ref="W689">_xlfn.XLOOKUP(V689,Stock1!I689,Stock1!F689,"")</f>
        <v/>
      </c>
      <c r="X689" s="102" t="str">
        <f t="array" ref="X689">_xlfn.XLOOKUP(V689,Stock1!I689,Stock1!J689,"")</f>
        <v/>
      </c>
      <c r="Y689" s="102" t="str">
        <f t="array" ref="Y689">_xlfn.XLOOKUP("Screen Protector for Android Phone and Other",Stock1!B689,Stock1!I689,"")</f>
        <v/>
      </c>
      <c r="Z689" s="102" t="str">
        <f t="array" ref="Z689">_xlfn.XLOOKUP("Screen Protector for Galaxy Phone",Stock1!B689,Stock1!I689,"")</f>
        <v/>
      </c>
      <c r="AA689" s="102" t="str">
        <f t="array" ref="AA689">_xlfn.XLOOKUP("Screen Protector for Galaxy Tab",Stock1!B689,Stock1!I689,"")</f>
        <v/>
      </c>
      <c r="AB689" s="102" t="str">
        <f t="shared" si="4"/>
        <v/>
      </c>
      <c r="AC689" s="102" t="str">
        <f t="array" ref="AC689">_xlfn.XLOOKUP(AB689,Stock1!I689,Stock1!F689,"")</f>
        <v/>
      </c>
      <c r="AD689" s="102" t="str">
        <f t="array" ref="AD689">_xlfn.XLOOKUP(AB689,Stock1!I689,Stock1!J689,"")</f>
        <v/>
      </c>
      <c r="AE689" s="102" t="str">
        <f t="array" ref="AE689">_xlfn.XLOOKUP("Storage",Stock1!B689,Stock1!I689,"")</f>
        <v/>
      </c>
      <c r="AF689" s="102" t="str">
        <f t="array" ref="AF689">_xlfn.XLOOKUP(AE689,Stock1!I689,Stock1!F689,"")</f>
        <v/>
      </c>
      <c r="AG689" s="102" t="str">
        <f t="array" ref="AG689">_xlfn.XLOOKUP(AE689,Stock1!I689,Stock1!J689,"")</f>
        <v/>
      </c>
    </row>
    <row r="690">
      <c r="K690" s="660" t="str">
        <f t="array" ref="K690">IFERROR(_xlfn.XLOOKUP(I690,Incentive!B:B,Incentive!E:E,""),"")</f>
        <v/>
      </c>
      <c r="L690" s="659" t="str">
        <f>IFERROR(VLOOKUP(I690,Stock1!F:J,5,False),"")</f>
        <v/>
      </c>
      <c r="M690" s="659" t="str">
        <f>IFERROR(VLOOKUP(I690,Stock2!F:J,5,False),"")</f>
        <v/>
      </c>
      <c r="V690" s="102" t="str">
        <f t="array" ref="V690">_xlfn.XLOOKUP("Charger",Stock1!B690,Stock1!I690,"")</f>
        <v/>
      </c>
      <c r="W690" s="102" t="str">
        <f t="array" ref="W690">_xlfn.XLOOKUP(V690,Stock1!I690,Stock1!F690,"")</f>
        <v/>
      </c>
      <c r="X690" s="102" t="str">
        <f t="array" ref="X690">_xlfn.XLOOKUP(V690,Stock1!I690,Stock1!J690,"")</f>
        <v/>
      </c>
      <c r="Y690" s="102" t="str">
        <f t="array" ref="Y690">_xlfn.XLOOKUP("Screen Protector for Android Phone and Other",Stock1!B690,Stock1!I690,"")</f>
        <v/>
      </c>
      <c r="Z690" s="102" t="str">
        <f t="array" ref="Z690">_xlfn.XLOOKUP("Screen Protector for Galaxy Phone",Stock1!B690,Stock1!I690,"")</f>
        <v/>
      </c>
      <c r="AA690" s="102" t="str">
        <f t="array" ref="AA690">_xlfn.XLOOKUP("Screen Protector for Galaxy Tab",Stock1!B690,Stock1!I690,"")</f>
        <v/>
      </c>
      <c r="AB690" s="102" t="str">
        <f t="shared" si="4"/>
        <v/>
      </c>
      <c r="AC690" s="102" t="str">
        <f t="array" ref="AC690">_xlfn.XLOOKUP(AB690,Stock1!I690,Stock1!F690,"")</f>
        <v/>
      </c>
      <c r="AD690" s="102" t="str">
        <f t="array" ref="AD690">_xlfn.XLOOKUP(AB690,Stock1!I690,Stock1!J690,"")</f>
        <v/>
      </c>
      <c r="AE690" s="102" t="str">
        <f t="array" ref="AE690">_xlfn.XLOOKUP("Storage",Stock1!B690,Stock1!I690,"")</f>
        <v/>
      </c>
      <c r="AF690" s="102" t="str">
        <f t="array" ref="AF690">_xlfn.XLOOKUP(AE690,Stock1!I690,Stock1!F690,"")</f>
        <v/>
      </c>
      <c r="AG690" s="102" t="str">
        <f t="array" ref="AG690">_xlfn.XLOOKUP(AE690,Stock1!I690,Stock1!J690,"")</f>
        <v/>
      </c>
    </row>
    <row r="691">
      <c r="K691" s="660" t="str">
        <f t="array" ref="K691">IFERROR(_xlfn.XLOOKUP(I691,Incentive!B:B,Incentive!E:E,""),"")</f>
        <v/>
      </c>
      <c r="L691" s="659" t="str">
        <f>IFERROR(VLOOKUP(I691,Stock1!F:J,5,False),"")</f>
        <v/>
      </c>
      <c r="M691" s="659" t="str">
        <f>IFERROR(VLOOKUP(I691,Stock2!F:J,5,False),"")</f>
        <v/>
      </c>
      <c r="V691" s="102" t="str">
        <f t="array" ref="V691">_xlfn.XLOOKUP("Charger",Stock1!B691,Stock1!I691,"")</f>
        <v/>
      </c>
      <c r="W691" s="102" t="str">
        <f t="array" ref="W691">_xlfn.XLOOKUP(V691,Stock1!I691,Stock1!F691,"")</f>
        <v/>
      </c>
      <c r="X691" s="102" t="str">
        <f t="array" ref="X691">_xlfn.XLOOKUP(V691,Stock1!I691,Stock1!J691,"")</f>
        <v/>
      </c>
      <c r="Y691" s="102" t="str">
        <f t="array" ref="Y691">_xlfn.XLOOKUP("Screen Protector for Android Phone and Other",Stock1!B691,Stock1!I691,"")</f>
        <v/>
      </c>
      <c r="Z691" s="102" t="str">
        <f t="array" ref="Z691">_xlfn.XLOOKUP("Screen Protector for Galaxy Phone",Stock1!B691,Stock1!I691,"")</f>
        <v/>
      </c>
      <c r="AA691" s="102" t="str">
        <f t="array" ref="AA691">_xlfn.XLOOKUP("Screen Protector for Galaxy Tab",Stock1!B691,Stock1!I691,"")</f>
        <v/>
      </c>
      <c r="AB691" s="102" t="str">
        <f t="shared" si="4"/>
        <v/>
      </c>
      <c r="AC691" s="102" t="str">
        <f t="array" ref="AC691">_xlfn.XLOOKUP(AB691,Stock1!I691,Stock1!F691,"")</f>
        <v/>
      </c>
      <c r="AD691" s="102" t="str">
        <f t="array" ref="AD691">_xlfn.XLOOKUP(AB691,Stock1!I691,Stock1!J691,"")</f>
        <v/>
      </c>
      <c r="AE691" s="102" t="str">
        <f t="array" ref="AE691">_xlfn.XLOOKUP("Storage",Stock1!B691,Stock1!I691,"")</f>
        <v/>
      </c>
      <c r="AF691" s="102" t="str">
        <f t="array" ref="AF691">_xlfn.XLOOKUP(AE691,Stock1!I691,Stock1!F691,"")</f>
        <v/>
      </c>
      <c r="AG691" s="102" t="str">
        <f t="array" ref="AG691">_xlfn.XLOOKUP(AE691,Stock1!I691,Stock1!J691,"")</f>
        <v/>
      </c>
    </row>
    <row r="692">
      <c r="K692" s="660" t="str">
        <f t="array" ref="K692">IFERROR(_xlfn.XLOOKUP(I692,Incentive!B:B,Incentive!E:E,""),"")</f>
        <v/>
      </c>
      <c r="L692" s="659" t="str">
        <f>IFERROR(VLOOKUP(I692,Stock1!F:J,5,False),"")</f>
        <v/>
      </c>
      <c r="M692" s="659" t="str">
        <f>IFERROR(VLOOKUP(I692,Stock2!F:J,5,False),"")</f>
        <v/>
      </c>
      <c r="V692" s="102" t="str">
        <f t="array" ref="V692">_xlfn.XLOOKUP("Charger",Stock1!B692,Stock1!I692,"")</f>
        <v/>
      </c>
      <c r="W692" s="102" t="str">
        <f t="array" ref="W692">_xlfn.XLOOKUP(V692,Stock1!I692,Stock1!F692,"")</f>
        <v/>
      </c>
      <c r="X692" s="102" t="str">
        <f t="array" ref="X692">_xlfn.XLOOKUP(V692,Stock1!I692,Stock1!J692,"")</f>
        <v/>
      </c>
      <c r="Y692" s="102" t="str">
        <f t="array" ref="Y692">_xlfn.XLOOKUP("Screen Protector for Android Phone and Other",Stock1!B692,Stock1!I692,"")</f>
        <v/>
      </c>
      <c r="Z692" s="102" t="str">
        <f t="array" ref="Z692">_xlfn.XLOOKUP("Screen Protector for Galaxy Phone",Stock1!B692,Stock1!I692,"")</f>
        <v/>
      </c>
      <c r="AA692" s="102" t="str">
        <f t="array" ref="AA692">_xlfn.XLOOKUP("Screen Protector for Galaxy Tab",Stock1!B692,Stock1!I692,"")</f>
        <v/>
      </c>
      <c r="AB692" s="102" t="str">
        <f t="shared" si="4"/>
        <v/>
      </c>
      <c r="AC692" s="102" t="str">
        <f t="array" ref="AC692">_xlfn.XLOOKUP(AB692,Stock1!I692,Stock1!F692,"")</f>
        <v/>
      </c>
      <c r="AD692" s="102" t="str">
        <f t="array" ref="AD692">_xlfn.XLOOKUP(AB692,Stock1!I692,Stock1!J692,"")</f>
        <v/>
      </c>
      <c r="AE692" s="102" t="str">
        <f t="array" ref="AE692">_xlfn.XLOOKUP("Storage",Stock1!B692,Stock1!I692,"")</f>
        <v/>
      </c>
      <c r="AF692" s="102" t="str">
        <f t="array" ref="AF692">_xlfn.XLOOKUP(AE692,Stock1!I692,Stock1!F692,"")</f>
        <v/>
      </c>
      <c r="AG692" s="102" t="str">
        <f t="array" ref="AG692">_xlfn.XLOOKUP(AE692,Stock1!I692,Stock1!J692,"")</f>
        <v/>
      </c>
    </row>
    <row r="693">
      <c r="K693" s="660" t="str">
        <f t="array" ref="K693">IFERROR(_xlfn.XLOOKUP(I693,Incentive!B:B,Incentive!E:E,""),"")</f>
        <v/>
      </c>
      <c r="L693" s="659" t="str">
        <f>IFERROR(VLOOKUP(I693,Stock1!F:J,5,False),"")</f>
        <v/>
      </c>
      <c r="M693" s="659" t="str">
        <f>IFERROR(VLOOKUP(I693,Stock2!F:J,5,False),"")</f>
        <v/>
      </c>
      <c r="V693" s="102" t="str">
        <f t="array" ref="V693">_xlfn.XLOOKUP("Charger",Stock1!B693,Stock1!I693,"")</f>
        <v/>
      </c>
      <c r="W693" s="102" t="str">
        <f t="array" ref="W693">_xlfn.XLOOKUP(V693,Stock1!I693,Stock1!F693,"")</f>
        <v/>
      </c>
      <c r="X693" s="102" t="str">
        <f t="array" ref="X693">_xlfn.XLOOKUP(V693,Stock1!I693,Stock1!J693,"")</f>
        <v/>
      </c>
      <c r="Y693" s="102" t="str">
        <f t="array" ref="Y693">_xlfn.XLOOKUP("Screen Protector for Android Phone and Other",Stock1!B693,Stock1!I693,"")</f>
        <v/>
      </c>
      <c r="Z693" s="102" t="str">
        <f t="array" ref="Z693">_xlfn.XLOOKUP("Screen Protector for Galaxy Phone",Stock1!B693,Stock1!I693,"")</f>
        <v/>
      </c>
      <c r="AA693" s="102" t="str">
        <f t="array" ref="AA693">_xlfn.XLOOKUP("Screen Protector for Galaxy Tab",Stock1!B693,Stock1!I693,"")</f>
        <v/>
      </c>
      <c r="AB693" s="102" t="str">
        <f t="shared" si="4"/>
        <v/>
      </c>
      <c r="AC693" s="102" t="str">
        <f t="array" ref="AC693">_xlfn.XLOOKUP(AB693,Stock1!I693,Stock1!F693,"")</f>
        <v/>
      </c>
      <c r="AD693" s="102" t="str">
        <f t="array" ref="AD693">_xlfn.XLOOKUP(AB693,Stock1!I693,Stock1!J693,"")</f>
        <v/>
      </c>
      <c r="AE693" s="102" t="str">
        <f t="array" ref="AE693">_xlfn.XLOOKUP("Storage",Stock1!B693,Stock1!I693,"")</f>
        <v/>
      </c>
      <c r="AF693" s="102" t="str">
        <f t="array" ref="AF693">_xlfn.XLOOKUP(AE693,Stock1!I693,Stock1!F693,"")</f>
        <v/>
      </c>
      <c r="AG693" s="102" t="str">
        <f t="array" ref="AG693">_xlfn.XLOOKUP(AE693,Stock1!I693,Stock1!J693,"")</f>
        <v/>
      </c>
    </row>
    <row r="694">
      <c r="K694" s="660" t="str">
        <f t="array" ref="K694">IFERROR(_xlfn.XLOOKUP(I694,Incentive!B:B,Incentive!E:E,""),"")</f>
        <v/>
      </c>
      <c r="L694" s="659" t="str">
        <f>IFERROR(VLOOKUP(I694,Stock1!F:J,5,False),"")</f>
        <v/>
      </c>
      <c r="M694" s="659" t="str">
        <f>IFERROR(VLOOKUP(I694,Stock2!F:J,5,False),"")</f>
        <v/>
      </c>
      <c r="V694" s="102" t="str">
        <f t="array" ref="V694">_xlfn.XLOOKUP("Charger",Stock1!B694,Stock1!I694,"")</f>
        <v/>
      </c>
      <c r="W694" s="102" t="str">
        <f t="array" ref="W694">_xlfn.XLOOKUP(V694,Stock1!I694,Stock1!F694,"")</f>
        <v/>
      </c>
      <c r="X694" s="102" t="str">
        <f t="array" ref="X694">_xlfn.XLOOKUP(V694,Stock1!I694,Stock1!J694,"")</f>
        <v/>
      </c>
      <c r="Y694" s="102" t="str">
        <f t="array" ref="Y694">_xlfn.XLOOKUP("Screen Protector for Android Phone and Other",Stock1!B694,Stock1!I694,"")</f>
        <v/>
      </c>
      <c r="Z694" s="102" t="str">
        <f t="array" ref="Z694">_xlfn.XLOOKUP("Screen Protector for Galaxy Phone",Stock1!B694,Stock1!I694,"")</f>
        <v/>
      </c>
      <c r="AA694" s="102" t="str">
        <f t="array" ref="AA694">_xlfn.XLOOKUP("Screen Protector for Galaxy Tab",Stock1!B694,Stock1!I694,"")</f>
        <v/>
      </c>
      <c r="AB694" s="102" t="str">
        <f t="shared" si="4"/>
        <v/>
      </c>
      <c r="AC694" s="102" t="str">
        <f t="array" ref="AC694">_xlfn.XLOOKUP(AB694,Stock1!I694,Stock1!F694,"")</f>
        <v/>
      </c>
      <c r="AD694" s="102" t="str">
        <f t="array" ref="AD694">_xlfn.XLOOKUP(AB694,Stock1!I694,Stock1!J694,"")</f>
        <v/>
      </c>
      <c r="AE694" s="102" t="str">
        <f t="array" ref="AE694">_xlfn.XLOOKUP("Storage",Stock1!B694,Stock1!I694,"")</f>
        <v/>
      </c>
      <c r="AF694" s="102" t="str">
        <f t="array" ref="AF694">_xlfn.XLOOKUP(AE694,Stock1!I694,Stock1!F694,"")</f>
        <v/>
      </c>
      <c r="AG694" s="102" t="str">
        <f t="array" ref="AG694">_xlfn.XLOOKUP(AE694,Stock1!I694,Stock1!J694,"")</f>
        <v/>
      </c>
    </row>
    <row r="695">
      <c r="K695" s="660" t="str">
        <f t="array" ref="K695">IFERROR(_xlfn.XLOOKUP(I695,Incentive!B:B,Incentive!E:E,""),"")</f>
        <v/>
      </c>
      <c r="L695" s="659" t="str">
        <f>IFERROR(VLOOKUP(I695,Stock1!F:J,5,False),"")</f>
        <v/>
      </c>
      <c r="M695" s="659" t="str">
        <f>IFERROR(VLOOKUP(I695,Stock2!F:J,5,False),"")</f>
        <v/>
      </c>
      <c r="V695" s="102" t="str">
        <f t="array" ref="V695">_xlfn.XLOOKUP("Charger",Stock1!B695,Stock1!I695,"")</f>
        <v/>
      </c>
      <c r="W695" s="102" t="str">
        <f t="array" ref="W695">_xlfn.XLOOKUP(V695,Stock1!I695,Stock1!F695,"")</f>
        <v/>
      </c>
      <c r="X695" s="102" t="str">
        <f t="array" ref="X695">_xlfn.XLOOKUP(V695,Stock1!I695,Stock1!J695,"")</f>
        <v/>
      </c>
      <c r="Y695" s="102" t="str">
        <f t="array" ref="Y695">_xlfn.XLOOKUP("Screen Protector for Android Phone and Other",Stock1!B695,Stock1!I695,"")</f>
        <v/>
      </c>
      <c r="Z695" s="102" t="str">
        <f t="array" ref="Z695">_xlfn.XLOOKUP("Screen Protector for Galaxy Phone",Stock1!B695,Stock1!I695,"")</f>
        <v/>
      </c>
      <c r="AA695" s="102" t="str">
        <f t="array" ref="AA695">_xlfn.XLOOKUP("Screen Protector for Galaxy Tab",Stock1!B695,Stock1!I695,"")</f>
        <v/>
      </c>
      <c r="AB695" s="102" t="str">
        <f t="shared" si="4"/>
        <v/>
      </c>
      <c r="AC695" s="102" t="str">
        <f t="array" ref="AC695">_xlfn.XLOOKUP(AB695,Stock1!I695,Stock1!F695,"")</f>
        <v/>
      </c>
      <c r="AD695" s="102" t="str">
        <f t="array" ref="AD695">_xlfn.XLOOKUP(AB695,Stock1!I695,Stock1!J695,"")</f>
        <v/>
      </c>
      <c r="AE695" s="102" t="str">
        <f t="array" ref="AE695">_xlfn.XLOOKUP("Storage",Stock1!B695,Stock1!I695,"")</f>
        <v/>
      </c>
      <c r="AF695" s="102" t="str">
        <f t="array" ref="AF695">_xlfn.XLOOKUP(AE695,Stock1!I695,Stock1!F695,"")</f>
        <v/>
      </c>
      <c r="AG695" s="102" t="str">
        <f t="array" ref="AG695">_xlfn.XLOOKUP(AE695,Stock1!I695,Stock1!J695,"")</f>
        <v/>
      </c>
    </row>
    <row r="696">
      <c r="K696" s="660" t="str">
        <f t="array" ref="K696">IFERROR(_xlfn.XLOOKUP(I696,Incentive!B:B,Incentive!E:E,""),"")</f>
        <v/>
      </c>
      <c r="L696" s="659" t="str">
        <f>IFERROR(VLOOKUP(I696,Stock1!F:J,5,False),"")</f>
        <v/>
      </c>
      <c r="M696" s="659" t="str">
        <f>IFERROR(VLOOKUP(I696,Stock2!F:J,5,False),"")</f>
        <v/>
      </c>
      <c r="V696" s="102" t="str">
        <f t="array" ref="V696">_xlfn.XLOOKUP("Charger",Stock1!B696,Stock1!I696,"")</f>
        <v/>
      </c>
      <c r="W696" s="102" t="str">
        <f t="array" ref="W696">_xlfn.XLOOKUP(V696,Stock1!I696,Stock1!F696,"")</f>
        <v/>
      </c>
      <c r="X696" s="102" t="str">
        <f t="array" ref="X696">_xlfn.XLOOKUP(V696,Stock1!I696,Stock1!J696,"")</f>
        <v/>
      </c>
      <c r="Y696" s="102" t="str">
        <f t="array" ref="Y696">_xlfn.XLOOKUP("Screen Protector for Android Phone and Other",Stock1!B696,Stock1!I696,"")</f>
        <v/>
      </c>
      <c r="Z696" s="102" t="str">
        <f t="array" ref="Z696">_xlfn.XLOOKUP("Screen Protector for Galaxy Phone",Stock1!B696,Stock1!I696,"")</f>
        <v/>
      </c>
      <c r="AA696" s="102" t="str">
        <f t="array" ref="AA696">_xlfn.XLOOKUP("Screen Protector for Galaxy Tab",Stock1!B696,Stock1!I696,"")</f>
        <v/>
      </c>
      <c r="AB696" s="102" t="str">
        <f t="shared" si="4"/>
        <v/>
      </c>
      <c r="AC696" s="102" t="str">
        <f t="array" ref="AC696">_xlfn.XLOOKUP(AB696,Stock1!I696,Stock1!F696,"")</f>
        <v/>
      </c>
      <c r="AD696" s="102" t="str">
        <f t="array" ref="AD696">_xlfn.XLOOKUP(AB696,Stock1!I696,Stock1!J696,"")</f>
        <v/>
      </c>
      <c r="AE696" s="102" t="str">
        <f t="array" ref="AE696">_xlfn.XLOOKUP("Storage",Stock1!B696,Stock1!I696,"")</f>
        <v/>
      </c>
      <c r="AF696" s="102" t="str">
        <f t="array" ref="AF696">_xlfn.XLOOKUP(AE696,Stock1!I696,Stock1!F696,"")</f>
        <v/>
      </c>
      <c r="AG696" s="102" t="str">
        <f t="array" ref="AG696">_xlfn.XLOOKUP(AE696,Stock1!I696,Stock1!J696,"")</f>
        <v/>
      </c>
    </row>
    <row r="697">
      <c r="K697" s="660" t="str">
        <f t="array" ref="K697">IFERROR(_xlfn.XLOOKUP(I697,Incentive!B:B,Incentive!E:E,""),"")</f>
        <v/>
      </c>
      <c r="L697" s="659" t="str">
        <f>IFERROR(VLOOKUP(I697,Stock1!F:J,5,False),"")</f>
        <v/>
      </c>
      <c r="M697" s="659" t="str">
        <f>IFERROR(VLOOKUP(I697,Stock2!F:J,5,False),"")</f>
        <v/>
      </c>
      <c r="V697" s="102" t="str">
        <f t="array" ref="V697">_xlfn.XLOOKUP("Charger",Stock1!B697,Stock1!I697,"")</f>
        <v/>
      </c>
      <c r="W697" s="102" t="str">
        <f t="array" ref="W697">_xlfn.XLOOKUP(V697,Stock1!I697,Stock1!F697,"")</f>
        <v/>
      </c>
      <c r="X697" s="102" t="str">
        <f t="array" ref="X697">_xlfn.XLOOKUP(V697,Stock1!I697,Stock1!J697,"")</f>
        <v/>
      </c>
      <c r="Y697" s="102" t="str">
        <f t="array" ref="Y697">_xlfn.XLOOKUP("Screen Protector for Android Phone and Other",Stock1!B697,Stock1!I697,"")</f>
        <v/>
      </c>
      <c r="Z697" s="102" t="str">
        <f t="array" ref="Z697">_xlfn.XLOOKUP("Screen Protector for Galaxy Phone",Stock1!B697,Stock1!I697,"")</f>
        <v/>
      </c>
      <c r="AA697" s="102" t="str">
        <f t="array" ref="AA697">_xlfn.XLOOKUP("Screen Protector for Galaxy Tab",Stock1!B697,Stock1!I697,"")</f>
        <v/>
      </c>
      <c r="AB697" s="102" t="str">
        <f t="shared" si="4"/>
        <v/>
      </c>
      <c r="AC697" s="102" t="str">
        <f t="array" ref="AC697">_xlfn.XLOOKUP(AB697,Stock1!I697,Stock1!F697,"")</f>
        <v/>
      </c>
      <c r="AD697" s="102" t="str">
        <f t="array" ref="AD697">_xlfn.XLOOKUP(AB697,Stock1!I697,Stock1!J697,"")</f>
        <v/>
      </c>
      <c r="AE697" s="102" t="str">
        <f t="array" ref="AE697">_xlfn.XLOOKUP("Storage",Stock1!B697,Stock1!I697,"")</f>
        <v/>
      </c>
      <c r="AF697" s="102" t="str">
        <f t="array" ref="AF697">_xlfn.XLOOKUP(AE697,Stock1!I697,Stock1!F697,"")</f>
        <v/>
      </c>
      <c r="AG697" s="102" t="str">
        <f t="array" ref="AG697">_xlfn.XLOOKUP(AE697,Stock1!I697,Stock1!J697,"")</f>
        <v/>
      </c>
    </row>
    <row r="698">
      <c r="K698" s="660" t="str">
        <f t="array" ref="K698">IFERROR(_xlfn.XLOOKUP(I698,Incentive!B:B,Incentive!E:E,""),"")</f>
        <v/>
      </c>
      <c r="L698" s="659" t="str">
        <f>IFERROR(VLOOKUP(I698,Stock1!F:J,5,False),"")</f>
        <v/>
      </c>
      <c r="M698" s="659" t="str">
        <f>IFERROR(VLOOKUP(I698,Stock2!F:J,5,False),"")</f>
        <v/>
      </c>
      <c r="V698" s="102" t="str">
        <f t="array" ref="V698">_xlfn.XLOOKUP("Charger",Stock1!B698,Stock1!I698,"")</f>
        <v/>
      </c>
      <c r="W698" s="102" t="str">
        <f t="array" ref="W698">_xlfn.XLOOKUP(V698,Stock1!I698,Stock1!F698,"")</f>
        <v/>
      </c>
      <c r="X698" s="102" t="str">
        <f t="array" ref="X698">_xlfn.XLOOKUP(V698,Stock1!I698,Stock1!J698,"")</f>
        <v/>
      </c>
      <c r="Y698" s="102" t="str">
        <f t="array" ref="Y698">_xlfn.XLOOKUP("Screen Protector for Android Phone and Other",Stock1!B698,Stock1!I698,"")</f>
        <v/>
      </c>
      <c r="Z698" s="102" t="str">
        <f t="array" ref="Z698">_xlfn.XLOOKUP("Screen Protector for Galaxy Phone",Stock1!B698,Stock1!I698,"")</f>
        <v/>
      </c>
      <c r="AA698" s="102" t="str">
        <f t="array" ref="AA698">_xlfn.XLOOKUP("Screen Protector for Galaxy Tab",Stock1!B698,Stock1!I698,"")</f>
        <v/>
      </c>
      <c r="AB698" s="102" t="str">
        <f t="shared" si="4"/>
        <v/>
      </c>
      <c r="AC698" s="102" t="str">
        <f t="array" ref="AC698">_xlfn.XLOOKUP(AB698,Stock1!I698,Stock1!F698,"")</f>
        <v/>
      </c>
      <c r="AD698" s="102" t="str">
        <f t="array" ref="AD698">_xlfn.XLOOKUP(AB698,Stock1!I698,Stock1!J698,"")</f>
        <v/>
      </c>
      <c r="AE698" s="102" t="str">
        <f t="array" ref="AE698">_xlfn.XLOOKUP("Storage",Stock1!B698,Stock1!I698,"")</f>
        <v/>
      </c>
      <c r="AF698" s="102" t="str">
        <f t="array" ref="AF698">_xlfn.XLOOKUP(AE698,Stock1!I698,Stock1!F698,"")</f>
        <v/>
      </c>
      <c r="AG698" s="102" t="str">
        <f t="array" ref="AG698">_xlfn.XLOOKUP(AE698,Stock1!I698,Stock1!J698,"")</f>
        <v/>
      </c>
    </row>
    <row r="699">
      <c r="K699" s="660" t="str">
        <f t="array" ref="K699">IFERROR(_xlfn.XLOOKUP(I699,Incentive!B:B,Incentive!E:E,""),"")</f>
        <v/>
      </c>
      <c r="L699" s="659" t="str">
        <f>IFERROR(VLOOKUP(I699,Stock1!F:J,5,False),"")</f>
        <v/>
      </c>
      <c r="M699" s="659" t="str">
        <f>IFERROR(VLOOKUP(I699,Stock2!F:J,5,False),"")</f>
        <v/>
      </c>
      <c r="V699" s="102" t="str">
        <f t="array" ref="V699">_xlfn.XLOOKUP("Charger",Stock1!B699,Stock1!I699,"")</f>
        <v/>
      </c>
      <c r="W699" s="102" t="str">
        <f t="array" ref="W699">_xlfn.XLOOKUP(V699,Stock1!I699,Stock1!F699,"")</f>
        <v/>
      </c>
      <c r="X699" s="102" t="str">
        <f t="array" ref="X699">_xlfn.XLOOKUP(V699,Stock1!I699,Stock1!J699,"")</f>
        <v/>
      </c>
      <c r="Y699" s="102" t="str">
        <f t="array" ref="Y699">_xlfn.XLOOKUP("Screen Protector for Android Phone and Other",Stock1!B699,Stock1!I699,"")</f>
        <v/>
      </c>
      <c r="Z699" s="102" t="str">
        <f t="array" ref="Z699">_xlfn.XLOOKUP("Screen Protector for Galaxy Phone",Stock1!B699,Stock1!I699,"")</f>
        <v/>
      </c>
      <c r="AA699" s="102" t="str">
        <f t="array" ref="AA699">_xlfn.XLOOKUP("Screen Protector for Galaxy Tab",Stock1!B699,Stock1!I699,"")</f>
        <v/>
      </c>
      <c r="AB699" s="102" t="str">
        <f t="shared" si="4"/>
        <v/>
      </c>
      <c r="AC699" s="102" t="str">
        <f t="array" ref="AC699">_xlfn.XLOOKUP(AB699,Stock1!I699,Stock1!F699,"")</f>
        <v/>
      </c>
      <c r="AD699" s="102" t="str">
        <f t="array" ref="AD699">_xlfn.XLOOKUP(AB699,Stock1!I699,Stock1!J699,"")</f>
        <v/>
      </c>
      <c r="AE699" s="102" t="str">
        <f t="array" ref="AE699">_xlfn.XLOOKUP("Storage",Stock1!B699,Stock1!I699,"")</f>
        <v/>
      </c>
      <c r="AF699" s="102" t="str">
        <f t="array" ref="AF699">_xlfn.XLOOKUP(AE699,Stock1!I699,Stock1!F699,"")</f>
        <v/>
      </c>
      <c r="AG699" s="102" t="str">
        <f t="array" ref="AG699">_xlfn.XLOOKUP(AE699,Stock1!I699,Stock1!J699,"")</f>
        <v/>
      </c>
    </row>
    <row r="700">
      <c r="K700" s="660" t="str">
        <f t="array" ref="K700">IFERROR(_xlfn.XLOOKUP(I700,Incentive!B:B,Incentive!E:E,""),"")</f>
        <v/>
      </c>
      <c r="L700" s="659" t="str">
        <f>IFERROR(VLOOKUP(I700,Stock1!F:J,5,False),"")</f>
        <v/>
      </c>
      <c r="M700" s="659" t="str">
        <f>IFERROR(VLOOKUP(I700,Stock2!F:J,5,False),"")</f>
        <v/>
      </c>
      <c r="V700" s="102" t="str">
        <f t="array" ref="V700">_xlfn.XLOOKUP("Charger",Stock1!B700,Stock1!I700,"")</f>
        <v/>
      </c>
      <c r="W700" s="102" t="str">
        <f t="array" ref="W700">_xlfn.XLOOKUP(V700,Stock1!I700,Stock1!F700,"")</f>
        <v/>
      </c>
      <c r="X700" s="102" t="str">
        <f t="array" ref="X700">_xlfn.XLOOKUP(V700,Stock1!I700,Stock1!J700,"")</f>
        <v/>
      </c>
      <c r="Y700" s="102" t="str">
        <f t="array" ref="Y700">_xlfn.XLOOKUP("Screen Protector for Android Phone and Other",Stock1!B700,Stock1!I700,"")</f>
        <v/>
      </c>
      <c r="Z700" s="102" t="str">
        <f t="array" ref="Z700">_xlfn.XLOOKUP("Screen Protector for Galaxy Phone",Stock1!B700,Stock1!I700,"")</f>
        <v/>
      </c>
      <c r="AA700" s="102" t="str">
        <f t="array" ref="AA700">_xlfn.XLOOKUP("Screen Protector for Galaxy Tab",Stock1!B700,Stock1!I700,"")</f>
        <v/>
      </c>
      <c r="AB700" s="102" t="str">
        <f t="shared" si="4"/>
        <v/>
      </c>
      <c r="AC700" s="102" t="str">
        <f t="array" ref="AC700">_xlfn.XLOOKUP(AB700,Stock1!I700,Stock1!F700,"")</f>
        <v/>
      </c>
      <c r="AD700" s="102" t="str">
        <f t="array" ref="AD700">_xlfn.XLOOKUP(AB700,Stock1!I700,Stock1!J700,"")</f>
        <v/>
      </c>
      <c r="AE700" s="102" t="str">
        <f t="array" ref="AE700">_xlfn.XLOOKUP("Storage",Stock1!B700,Stock1!I700,"")</f>
        <v/>
      </c>
      <c r="AF700" s="102" t="str">
        <f t="array" ref="AF700">_xlfn.XLOOKUP(AE700,Stock1!I700,Stock1!F700,"")</f>
        <v/>
      </c>
      <c r="AG700" s="102" t="str">
        <f t="array" ref="AG700">_xlfn.XLOOKUP(AE700,Stock1!I700,Stock1!J700,"")</f>
        <v/>
      </c>
    </row>
    <row r="701">
      <c r="K701" s="660" t="str">
        <f t="array" ref="K701">IFERROR(_xlfn.XLOOKUP(I701,Incentive!B:B,Incentive!E:E,""),"")</f>
        <v/>
      </c>
      <c r="L701" s="659" t="str">
        <f>IFERROR(VLOOKUP(I701,Stock1!F:J,5,False),"")</f>
        <v/>
      </c>
      <c r="M701" s="659" t="str">
        <f>IFERROR(VLOOKUP(I701,Stock2!F:J,5,False),"")</f>
        <v/>
      </c>
      <c r="V701" s="102" t="str">
        <f t="array" ref="V701">_xlfn.XLOOKUP("Charger",Stock1!B701,Stock1!I701,"")</f>
        <v/>
      </c>
      <c r="W701" s="102" t="str">
        <f t="array" ref="W701">_xlfn.XLOOKUP(V701,Stock1!I701,Stock1!F701,"")</f>
        <v/>
      </c>
      <c r="X701" s="102" t="str">
        <f t="array" ref="X701">_xlfn.XLOOKUP(V701,Stock1!I701,Stock1!J701,"")</f>
        <v/>
      </c>
      <c r="Y701" s="102" t="str">
        <f t="array" ref="Y701">_xlfn.XLOOKUP("Screen Protector for Android Phone and Other",Stock1!B701,Stock1!I701,"")</f>
        <v/>
      </c>
      <c r="Z701" s="102" t="str">
        <f t="array" ref="Z701">_xlfn.XLOOKUP("Screen Protector for Galaxy Phone",Stock1!B701,Stock1!I701,"")</f>
        <v/>
      </c>
      <c r="AA701" s="102" t="str">
        <f t="array" ref="AA701">_xlfn.XLOOKUP("Screen Protector for Galaxy Tab",Stock1!B701,Stock1!I701,"")</f>
        <v/>
      </c>
      <c r="AB701" s="102" t="str">
        <f t="shared" si="4"/>
        <v/>
      </c>
      <c r="AC701" s="102" t="str">
        <f t="array" ref="AC701">_xlfn.XLOOKUP(AB701,Stock1!I701,Stock1!F701,"")</f>
        <v/>
      </c>
      <c r="AD701" s="102" t="str">
        <f t="array" ref="AD701">_xlfn.XLOOKUP(AB701,Stock1!I701,Stock1!J701,"")</f>
        <v/>
      </c>
      <c r="AE701" s="102" t="str">
        <f t="array" ref="AE701">_xlfn.XLOOKUP("Storage",Stock1!B701,Stock1!I701,"")</f>
        <v/>
      </c>
      <c r="AF701" s="102" t="str">
        <f t="array" ref="AF701">_xlfn.XLOOKUP(AE701,Stock1!I701,Stock1!F701,"")</f>
        <v/>
      </c>
      <c r="AG701" s="102" t="str">
        <f t="array" ref="AG701">_xlfn.XLOOKUP(AE701,Stock1!I701,Stock1!J701,"")</f>
        <v/>
      </c>
    </row>
    <row r="702">
      <c r="K702" s="660" t="str">
        <f t="array" ref="K702">IFERROR(_xlfn.XLOOKUP(I702,Incentive!B:B,Incentive!E:E,""),"")</f>
        <v/>
      </c>
      <c r="L702" s="659" t="str">
        <f>IFERROR(VLOOKUP(I702,Stock1!F:J,5,False),"")</f>
        <v/>
      </c>
      <c r="M702" s="659" t="str">
        <f>IFERROR(VLOOKUP(I702,Stock2!F:J,5,False),"")</f>
        <v/>
      </c>
      <c r="V702" s="102" t="str">
        <f t="array" ref="V702">_xlfn.XLOOKUP("Charger",Stock1!B702,Stock1!I702,"")</f>
        <v/>
      </c>
      <c r="W702" s="102" t="str">
        <f t="array" ref="W702">_xlfn.XLOOKUP(V702,Stock1!I702,Stock1!F702,"")</f>
        <v/>
      </c>
      <c r="X702" s="102" t="str">
        <f t="array" ref="X702">_xlfn.XLOOKUP(V702,Stock1!I702,Stock1!J702,"")</f>
        <v/>
      </c>
      <c r="Y702" s="102" t="str">
        <f t="array" ref="Y702">_xlfn.XLOOKUP("Screen Protector for Android Phone and Other",Stock1!B702,Stock1!I702,"")</f>
        <v/>
      </c>
      <c r="Z702" s="102" t="str">
        <f t="array" ref="Z702">_xlfn.XLOOKUP("Screen Protector for Galaxy Phone",Stock1!B702,Stock1!I702,"")</f>
        <v/>
      </c>
      <c r="AA702" s="102" t="str">
        <f t="array" ref="AA702">_xlfn.XLOOKUP("Screen Protector for Galaxy Tab",Stock1!B702,Stock1!I702,"")</f>
        <v/>
      </c>
      <c r="AB702" s="102" t="str">
        <f t="shared" si="4"/>
        <v/>
      </c>
      <c r="AC702" s="102" t="str">
        <f t="array" ref="AC702">_xlfn.XLOOKUP(AB702,Stock1!I702,Stock1!F702,"")</f>
        <v/>
      </c>
      <c r="AD702" s="102" t="str">
        <f t="array" ref="AD702">_xlfn.XLOOKUP(AB702,Stock1!I702,Stock1!J702,"")</f>
        <v/>
      </c>
      <c r="AE702" s="102" t="str">
        <f t="array" ref="AE702">_xlfn.XLOOKUP("Storage",Stock1!B702,Stock1!I702,"")</f>
        <v/>
      </c>
      <c r="AF702" s="102" t="str">
        <f t="array" ref="AF702">_xlfn.XLOOKUP(AE702,Stock1!I702,Stock1!F702,"")</f>
        <v/>
      </c>
      <c r="AG702" s="102" t="str">
        <f t="array" ref="AG702">_xlfn.XLOOKUP(AE702,Stock1!I702,Stock1!J702,"")</f>
        <v/>
      </c>
    </row>
    <row r="703">
      <c r="K703" s="660" t="str">
        <f t="array" ref="K703">IFERROR(_xlfn.XLOOKUP(I703,Incentive!B:B,Incentive!E:E,""),"")</f>
        <v/>
      </c>
      <c r="L703" s="659" t="str">
        <f>IFERROR(VLOOKUP(I703,Stock1!F:J,5,False),"")</f>
        <v/>
      </c>
      <c r="M703" s="659" t="str">
        <f>IFERROR(VLOOKUP(I703,Stock2!F:J,5,False),"")</f>
        <v/>
      </c>
      <c r="V703" s="102" t="str">
        <f t="array" ref="V703">_xlfn.XLOOKUP("Charger",Stock1!B703,Stock1!I703,"")</f>
        <v/>
      </c>
      <c r="W703" s="102" t="str">
        <f t="array" ref="W703">_xlfn.XLOOKUP(V703,Stock1!I703,Stock1!F703,"")</f>
        <v/>
      </c>
      <c r="X703" s="102" t="str">
        <f t="array" ref="X703">_xlfn.XLOOKUP(V703,Stock1!I703,Stock1!J703,"")</f>
        <v/>
      </c>
      <c r="Y703" s="102" t="str">
        <f t="array" ref="Y703">_xlfn.XLOOKUP("Screen Protector for Android Phone and Other",Stock1!B703,Stock1!I703,"")</f>
        <v/>
      </c>
      <c r="Z703" s="102" t="str">
        <f t="array" ref="Z703">_xlfn.XLOOKUP("Screen Protector for Galaxy Phone",Stock1!B703,Stock1!I703,"")</f>
        <v/>
      </c>
      <c r="AA703" s="102" t="str">
        <f t="array" ref="AA703">_xlfn.XLOOKUP("Screen Protector for Galaxy Tab",Stock1!B703,Stock1!I703,"")</f>
        <v/>
      </c>
      <c r="AB703" s="102" t="str">
        <f t="shared" si="4"/>
        <v/>
      </c>
      <c r="AC703" s="102" t="str">
        <f t="array" ref="AC703">_xlfn.XLOOKUP(AB703,Stock1!I703,Stock1!F703,"")</f>
        <v/>
      </c>
      <c r="AD703" s="102" t="str">
        <f t="array" ref="AD703">_xlfn.XLOOKUP(AB703,Stock1!I703,Stock1!J703,"")</f>
        <v/>
      </c>
      <c r="AE703" s="102" t="str">
        <f t="array" ref="AE703">_xlfn.XLOOKUP("Storage",Stock1!B703,Stock1!I703,"")</f>
        <v/>
      </c>
      <c r="AF703" s="102" t="str">
        <f t="array" ref="AF703">_xlfn.XLOOKUP(AE703,Stock1!I703,Stock1!F703,"")</f>
        <v/>
      </c>
      <c r="AG703" s="102" t="str">
        <f t="array" ref="AG703">_xlfn.XLOOKUP(AE703,Stock1!I703,Stock1!J703,"")</f>
        <v/>
      </c>
    </row>
    <row r="704">
      <c r="K704" s="660" t="str">
        <f t="array" ref="K704">IFERROR(_xlfn.XLOOKUP(I704,Incentive!B:B,Incentive!E:E,""),"")</f>
        <v/>
      </c>
      <c r="L704" s="659" t="str">
        <f>IFERROR(VLOOKUP(I704,Stock1!F:J,5,False),"")</f>
        <v/>
      </c>
      <c r="M704" s="659" t="str">
        <f>IFERROR(VLOOKUP(I704,Stock2!F:J,5,False),"")</f>
        <v/>
      </c>
      <c r="V704" s="102" t="str">
        <f t="array" ref="V704">_xlfn.XLOOKUP("Charger",Stock1!B704,Stock1!I704,"")</f>
        <v/>
      </c>
      <c r="W704" s="102" t="str">
        <f t="array" ref="W704">_xlfn.XLOOKUP(V704,Stock1!I704,Stock1!F704,"")</f>
        <v/>
      </c>
      <c r="X704" s="102" t="str">
        <f t="array" ref="X704">_xlfn.XLOOKUP(V704,Stock1!I704,Stock1!J704,"")</f>
        <v/>
      </c>
      <c r="Y704" s="102" t="str">
        <f t="array" ref="Y704">_xlfn.XLOOKUP("Screen Protector for Android Phone and Other",Stock1!B704,Stock1!I704,"")</f>
        <v/>
      </c>
      <c r="Z704" s="102" t="str">
        <f t="array" ref="Z704">_xlfn.XLOOKUP("Screen Protector for Galaxy Phone",Stock1!B704,Stock1!I704,"")</f>
        <v/>
      </c>
      <c r="AA704" s="102" t="str">
        <f t="array" ref="AA704">_xlfn.XLOOKUP("Screen Protector for Galaxy Tab",Stock1!B704,Stock1!I704,"")</f>
        <v/>
      </c>
      <c r="AB704" s="102" t="str">
        <f t="shared" si="4"/>
        <v/>
      </c>
      <c r="AC704" s="102" t="str">
        <f t="array" ref="AC704">_xlfn.XLOOKUP(AB704,Stock1!I704,Stock1!F704,"")</f>
        <v/>
      </c>
      <c r="AD704" s="102" t="str">
        <f t="array" ref="AD704">_xlfn.XLOOKUP(AB704,Stock1!I704,Stock1!J704,"")</f>
        <v/>
      </c>
      <c r="AE704" s="102" t="str">
        <f t="array" ref="AE704">_xlfn.XLOOKUP("Storage",Stock1!B704,Stock1!I704,"")</f>
        <v/>
      </c>
      <c r="AF704" s="102" t="str">
        <f t="array" ref="AF704">_xlfn.XLOOKUP(AE704,Stock1!I704,Stock1!F704,"")</f>
        <v/>
      </c>
      <c r="AG704" s="102" t="str">
        <f t="array" ref="AG704">_xlfn.XLOOKUP(AE704,Stock1!I704,Stock1!J704,"")</f>
        <v/>
      </c>
    </row>
    <row r="705">
      <c r="K705" s="660" t="str">
        <f t="array" ref="K705">IFERROR(_xlfn.XLOOKUP(I705,Incentive!B:B,Incentive!E:E,""),"")</f>
        <v/>
      </c>
      <c r="L705" s="659" t="str">
        <f>IFERROR(VLOOKUP(I705,Stock1!F:J,5,False),"")</f>
        <v/>
      </c>
      <c r="M705" s="659" t="str">
        <f>IFERROR(VLOOKUP(I705,Stock2!F:J,5,False),"")</f>
        <v/>
      </c>
      <c r="V705" s="102" t="str">
        <f t="array" ref="V705">_xlfn.XLOOKUP("Charger",Stock1!B705,Stock1!I705,"")</f>
        <v/>
      </c>
      <c r="W705" s="102" t="str">
        <f t="array" ref="W705">_xlfn.XLOOKUP(V705,Stock1!I705,Stock1!F705,"")</f>
        <v/>
      </c>
      <c r="X705" s="102" t="str">
        <f t="array" ref="X705">_xlfn.XLOOKUP(V705,Stock1!I705,Stock1!J705,"")</f>
        <v/>
      </c>
      <c r="Y705" s="102" t="str">
        <f t="array" ref="Y705">_xlfn.XLOOKUP("Screen Protector for Android Phone and Other",Stock1!B705,Stock1!I705,"")</f>
        <v/>
      </c>
      <c r="Z705" s="102" t="str">
        <f t="array" ref="Z705">_xlfn.XLOOKUP("Screen Protector for Galaxy Phone",Stock1!B705,Stock1!I705,"")</f>
        <v/>
      </c>
      <c r="AA705" s="102" t="str">
        <f t="array" ref="AA705">_xlfn.XLOOKUP("Screen Protector for Galaxy Tab",Stock1!B705,Stock1!I705,"")</f>
        <v/>
      </c>
      <c r="AB705" s="102" t="str">
        <f t="shared" si="4"/>
        <v/>
      </c>
      <c r="AC705" s="102" t="str">
        <f t="array" ref="AC705">_xlfn.XLOOKUP(AB705,Stock1!I705,Stock1!F705,"")</f>
        <v/>
      </c>
      <c r="AD705" s="102" t="str">
        <f t="array" ref="AD705">_xlfn.XLOOKUP(AB705,Stock1!I705,Stock1!J705,"")</f>
        <v/>
      </c>
      <c r="AE705" s="102" t="str">
        <f t="array" ref="AE705">_xlfn.XLOOKUP("Storage",Stock1!B705,Stock1!I705,"")</f>
        <v/>
      </c>
      <c r="AF705" s="102" t="str">
        <f t="array" ref="AF705">_xlfn.XLOOKUP(AE705,Stock1!I705,Stock1!F705,"")</f>
        <v/>
      </c>
      <c r="AG705" s="102" t="str">
        <f t="array" ref="AG705">_xlfn.XLOOKUP(AE705,Stock1!I705,Stock1!J705,"")</f>
        <v/>
      </c>
    </row>
    <row r="706">
      <c r="K706" s="660" t="str">
        <f t="array" ref="K706">IFERROR(_xlfn.XLOOKUP(I706,Incentive!B:B,Incentive!E:E,""),"")</f>
        <v/>
      </c>
      <c r="L706" s="659" t="str">
        <f>IFERROR(VLOOKUP(I706,Stock1!F:J,5,False),"")</f>
        <v/>
      </c>
      <c r="M706" s="659" t="str">
        <f>IFERROR(VLOOKUP(I706,Stock2!F:J,5,False),"")</f>
        <v/>
      </c>
      <c r="V706" s="102" t="str">
        <f t="array" ref="V706">_xlfn.XLOOKUP("Charger",Stock1!B706,Stock1!I706,"")</f>
        <v/>
      </c>
      <c r="W706" s="102" t="str">
        <f t="array" ref="W706">_xlfn.XLOOKUP(V706,Stock1!I706,Stock1!F706,"")</f>
        <v/>
      </c>
      <c r="X706" s="102" t="str">
        <f t="array" ref="X706">_xlfn.XLOOKUP(V706,Stock1!I706,Stock1!J706,"")</f>
        <v/>
      </c>
      <c r="Y706" s="102" t="str">
        <f t="array" ref="Y706">_xlfn.XLOOKUP("Screen Protector for Android Phone and Other",Stock1!B706,Stock1!I706,"")</f>
        <v/>
      </c>
      <c r="Z706" s="102" t="str">
        <f t="array" ref="Z706">_xlfn.XLOOKUP("Screen Protector for Galaxy Phone",Stock1!B706,Stock1!I706,"")</f>
        <v/>
      </c>
      <c r="AA706" s="102" t="str">
        <f t="array" ref="AA706">_xlfn.XLOOKUP("Screen Protector for Galaxy Tab",Stock1!B706,Stock1!I706,"")</f>
        <v/>
      </c>
      <c r="AB706" s="102" t="str">
        <f t="shared" si="4"/>
        <v/>
      </c>
      <c r="AC706" s="102" t="str">
        <f t="array" ref="AC706">_xlfn.XLOOKUP(AB706,Stock1!I706,Stock1!F706,"")</f>
        <v/>
      </c>
      <c r="AD706" s="102" t="str">
        <f t="array" ref="AD706">_xlfn.XLOOKUP(AB706,Stock1!I706,Stock1!J706,"")</f>
        <v/>
      </c>
      <c r="AE706" s="102" t="str">
        <f t="array" ref="AE706">_xlfn.XLOOKUP("Storage",Stock1!B706,Stock1!I706,"")</f>
        <v/>
      </c>
      <c r="AF706" s="102" t="str">
        <f t="array" ref="AF706">_xlfn.XLOOKUP(AE706,Stock1!I706,Stock1!F706,"")</f>
        <v/>
      </c>
      <c r="AG706" s="102" t="str">
        <f t="array" ref="AG706">_xlfn.XLOOKUP(AE706,Stock1!I706,Stock1!J706,"")</f>
        <v/>
      </c>
    </row>
    <row r="707">
      <c r="K707" s="660" t="str">
        <f t="array" ref="K707">IFERROR(_xlfn.XLOOKUP(I707,Incentive!B:B,Incentive!E:E,""),"")</f>
        <v/>
      </c>
      <c r="L707" s="659" t="str">
        <f>IFERROR(VLOOKUP(I707,Stock1!F:J,5,False),"")</f>
        <v/>
      </c>
      <c r="M707" s="659" t="str">
        <f>IFERROR(VLOOKUP(I707,Stock2!F:J,5,False),"")</f>
        <v/>
      </c>
      <c r="V707" s="102" t="str">
        <f t="array" ref="V707">_xlfn.XLOOKUP("Charger",Stock1!B707,Stock1!I707,"")</f>
        <v/>
      </c>
      <c r="W707" s="102" t="str">
        <f t="array" ref="W707">_xlfn.XLOOKUP(V707,Stock1!I707,Stock1!F707,"")</f>
        <v/>
      </c>
      <c r="X707" s="102" t="str">
        <f t="array" ref="X707">_xlfn.XLOOKUP(V707,Stock1!I707,Stock1!J707,"")</f>
        <v/>
      </c>
      <c r="Y707" s="102" t="str">
        <f t="array" ref="Y707">_xlfn.XLOOKUP("Screen Protector for Android Phone and Other",Stock1!B707,Stock1!I707,"")</f>
        <v/>
      </c>
      <c r="Z707" s="102" t="str">
        <f t="array" ref="Z707">_xlfn.XLOOKUP("Screen Protector for Galaxy Phone",Stock1!B707,Stock1!I707,"")</f>
        <v/>
      </c>
      <c r="AA707" s="102" t="str">
        <f t="array" ref="AA707">_xlfn.XLOOKUP("Screen Protector for Galaxy Tab",Stock1!B707,Stock1!I707,"")</f>
        <v/>
      </c>
      <c r="AB707" s="102" t="str">
        <f t="shared" si="4"/>
        <v/>
      </c>
      <c r="AC707" s="102" t="str">
        <f t="array" ref="AC707">_xlfn.XLOOKUP(AB707,Stock1!I707,Stock1!F707,"")</f>
        <v/>
      </c>
      <c r="AD707" s="102" t="str">
        <f t="array" ref="AD707">_xlfn.XLOOKUP(AB707,Stock1!I707,Stock1!J707,"")</f>
        <v/>
      </c>
      <c r="AE707" s="102" t="str">
        <f t="array" ref="AE707">_xlfn.XLOOKUP("Storage",Stock1!B707,Stock1!I707,"")</f>
        <v/>
      </c>
      <c r="AF707" s="102" t="str">
        <f t="array" ref="AF707">_xlfn.XLOOKUP(AE707,Stock1!I707,Stock1!F707,"")</f>
        <v/>
      </c>
      <c r="AG707" s="102" t="str">
        <f t="array" ref="AG707">_xlfn.XLOOKUP(AE707,Stock1!I707,Stock1!J707,"")</f>
        <v/>
      </c>
    </row>
    <row r="708">
      <c r="K708" s="660" t="str">
        <f t="array" ref="K708">IFERROR(_xlfn.XLOOKUP(I708,Incentive!B:B,Incentive!E:E,""),"")</f>
        <v/>
      </c>
      <c r="L708" s="659" t="str">
        <f>IFERROR(VLOOKUP(I708,Stock1!F:J,5,False),"")</f>
        <v/>
      </c>
      <c r="M708" s="659" t="str">
        <f>IFERROR(VLOOKUP(I708,Stock2!F:J,5,False),"")</f>
        <v/>
      </c>
      <c r="V708" s="102" t="str">
        <f t="array" ref="V708">_xlfn.XLOOKUP("Charger",Stock1!B708,Stock1!I708,"")</f>
        <v/>
      </c>
      <c r="W708" s="102" t="str">
        <f t="array" ref="W708">_xlfn.XLOOKUP(V708,Stock1!I708,Stock1!F708,"")</f>
        <v/>
      </c>
      <c r="X708" s="102" t="str">
        <f t="array" ref="X708">_xlfn.XLOOKUP(V708,Stock1!I708,Stock1!J708,"")</f>
        <v/>
      </c>
      <c r="Y708" s="102" t="str">
        <f t="array" ref="Y708">_xlfn.XLOOKUP("Screen Protector for Android Phone and Other",Stock1!B708,Stock1!I708,"")</f>
        <v/>
      </c>
      <c r="Z708" s="102" t="str">
        <f t="array" ref="Z708">_xlfn.XLOOKUP("Screen Protector for Galaxy Phone",Stock1!B708,Stock1!I708,"")</f>
        <v/>
      </c>
      <c r="AA708" s="102" t="str">
        <f t="array" ref="AA708">_xlfn.XLOOKUP("Screen Protector for Galaxy Tab",Stock1!B708,Stock1!I708,"")</f>
        <v/>
      </c>
      <c r="AB708" s="102" t="str">
        <f t="shared" si="4"/>
        <v/>
      </c>
      <c r="AC708" s="102" t="str">
        <f t="array" ref="AC708">_xlfn.XLOOKUP(AB708,Stock1!I708,Stock1!F708,"")</f>
        <v/>
      </c>
      <c r="AD708" s="102" t="str">
        <f t="array" ref="AD708">_xlfn.XLOOKUP(AB708,Stock1!I708,Stock1!J708,"")</f>
        <v/>
      </c>
      <c r="AE708" s="102" t="str">
        <f t="array" ref="AE708">_xlfn.XLOOKUP("Storage",Stock1!B708,Stock1!I708,"")</f>
        <v/>
      </c>
      <c r="AF708" s="102" t="str">
        <f t="array" ref="AF708">_xlfn.XLOOKUP(AE708,Stock1!I708,Stock1!F708,"")</f>
        <v/>
      </c>
      <c r="AG708" s="102" t="str">
        <f t="array" ref="AG708">_xlfn.XLOOKUP(AE708,Stock1!I708,Stock1!J708,"")</f>
        <v/>
      </c>
    </row>
    <row r="709">
      <c r="K709" s="660" t="str">
        <f t="array" ref="K709">IFERROR(_xlfn.XLOOKUP(I709,Incentive!B:B,Incentive!E:E,""),"")</f>
        <v/>
      </c>
      <c r="L709" s="659" t="str">
        <f>IFERROR(VLOOKUP(I709,Stock1!F:J,5,False),"")</f>
        <v/>
      </c>
      <c r="M709" s="659" t="str">
        <f>IFERROR(VLOOKUP(I709,Stock2!F:J,5,False),"")</f>
        <v/>
      </c>
      <c r="V709" s="102" t="str">
        <f t="array" ref="V709">_xlfn.XLOOKUP("Charger",Stock1!B709,Stock1!I709,"")</f>
        <v/>
      </c>
      <c r="W709" s="102" t="str">
        <f t="array" ref="W709">_xlfn.XLOOKUP(V709,Stock1!I709,Stock1!F709,"")</f>
        <v/>
      </c>
      <c r="X709" s="102" t="str">
        <f t="array" ref="X709">_xlfn.XLOOKUP(V709,Stock1!I709,Stock1!J709,"")</f>
        <v/>
      </c>
      <c r="Y709" s="102" t="str">
        <f t="array" ref="Y709">_xlfn.XLOOKUP("Screen Protector for Android Phone and Other",Stock1!B709,Stock1!I709,"")</f>
        <v/>
      </c>
      <c r="Z709" s="102" t="str">
        <f t="array" ref="Z709">_xlfn.XLOOKUP("Screen Protector for Galaxy Phone",Stock1!B709,Stock1!I709,"")</f>
        <v/>
      </c>
      <c r="AA709" s="102" t="str">
        <f t="array" ref="AA709">_xlfn.XLOOKUP("Screen Protector for Galaxy Tab",Stock1!B709,Stock1!I709,"")</f>
        <v/>
      </c>
      <c r="AB709" s="102" t="str">
        <f t="shared" si="4"/>
        <v/>
      </c>
      <c r="AC709" s="102" t="str">
        <f t="array" ref="AC709">_xlfn.XLOOKUP(AB709,Stock1!I709,Stock1!F709,"")</f>
        <v/>
      </c>
      <c r="AD709" s="102" t="str">
        <f t="array" ref="AD709">_xlfn.XLOOKUP(AB709,Stock1!I709,Stock1!J709,"")</f>
        <v/>
      </c>
      <c r="AE709" s="102" t="str">
        <f t="array" ref="AE709">_xlfn.XLOOKUP("Storage",Stock1!B709,Stock1!I709,"")</f>
        <v/>
      </c>
      <c r="AF709" s="102" t="str">
        <f t="array" ref="AF709">_xlfn.XLOOKUP(AE709,Stock1!I709,Stock1!F709,"")</f>
        <v/>
      </c>
      <c r="AG709" s="102" t="str">
        <f t="array" ref="AG709">_xlfn.XLOOKUP(AE709,Stock1!I709,Stock1!J709,"")</f>
        <v/>
      </c>
    </row>
    <row r="710">
      <c r="K710" s="660" t="str">
        <f t="array" ref="K710">IFERROR(_xlfn.XLOOKUP(I710,Incentive!B:B,Incentive!E:E,""),"")</f>
        <v/>
      </c>
      <c r="L710" s="659" t="str">
        <f>IFERROR(VLOOKUP(I710,Stock1!F:J,5,False),"")</f>
        <v/>
      </c>
      <c r="M710" s="659" t="str">
        <f>IFERROR(VLOOKUP(I710,Stock2!F:J,5,False),"")</f>
        <v/>
      </c>
      <c r="V710" s="102" t="str">
        <f t="array" ref="V710">_xlfn.XLOOKUP("Charger",Stock1!B710,Stock1!I710,"")</f>
        <v/>
      </c>
      <c r="W710" s="102" t="str">
        <f t="array" ref="W710">_xlfn.XLOOKUP(V710,Stock1!I710,Stock1!F710,"")</f>
        <v/>
      </c>
      <c r="X710" s="102" t="str">
        <f t="array" ref="X710">_xlfn.XLOOKUP(V710,Stock1!I710,Stock1!J710,"")</f>
        <v/>
      </c>
      <c r="Y710" s="102" t="str">
        <f t="array" ref="Y710">_xlfn.XLOOKUP("Screen Protector for Android Phone and Other",Stock1!B710,Stock1!I710,"")</f>
        <v/>
      </c>
      <c r="Z710" s="102" t="str">
        <f t="array" ref="Z710">_xlfn.XLOOKUP("Screen Protector for Galaxy Phone",Stock1!B710,Stock1!I710,"")</f>
        <v/>
      </c>
      <c r="AA710" s="102" t="str">
        <f t="array" ref="AA710">_xlfn.XLOOKUP("Screen Protector for Galaxy Tab",Stock1!B710,Stock1!I710,"")</f>
        <v/>
      </c>
      <c r="AB710" s="102" t="str">
        <f t="shared" si="4"/>
        <v/>
      </c>
      <c r="AC710" s="102" t="str">
        <f t="array" ref="AC710">_xlfn.XLOOKUP(AB710,Stock1!I710,Stock1!F710,"")</f>
        <v/>
      </c>
      <c r="AD710" s="102" t="str">
        <f t="array" ref="AD710">_xlfn.XLOOKUP(AB710,Stock1!I710,Stock1!J710,"")</f>
        <v/>
      </c>
      <c r="AE710" s="102" t="str">
        <f t="array" ref="AE710">_xlfn.XLOOKUP("Storage",Stock1!B710,Stock1!I710,"")</f>
        <v/>
      </c>
      <c r="AF710" s="102" t="str">
        <f t="array" ref="AF710">_xlfn.XLOOKUP(AE710,Stock1!I710,Stock1!F710,"")</f>
        <v/>
      </c>
      <c r="AG710" s="102" t="str">
        <f t="array" ref="AG710">_xlfn.XLOOKUP(AE710,Stock1!I710,Stock1!J710,"")</f>
        <v/>
      </c>
    </row>
    <row r="711">
      <c r="K711" s="660" t="str">
        <f t="array" ref="K711">IFERROR(_xlfn.XLOOKUP(I711,Incentive!B:B,Incentive!E:E,""),"")</f>
        <v/>
      </c>
      <c r="L711" s="659" t="str">
        <f>IFERROR(VLOOKUP(I711,Stock1!F:J,5,False),"")</f>
        <v/>
      </c>
      <c r="M711" s="659" t="str">
        <f>IFERROR(VLOOKUP(I711,Stock2!F:J,5,False),"")</f>
        <v/>
      </c>
      <c r="V711" s="102" t="str">
        <f t="array" ref="V711">_xlfn.XLOOKUP("Charger",Stock1!B711,Stock1!I711,"")</f>
        <v/>
      </c>
      <c r="W711" s="102" t="str">
        <f t="array" ref="W711">_xlfn.XLOOKUP(V711,Stock1!I711,Stock1!F711,"")</f>
        <v/>
      </c>
      <c r="X711" s="102" t="str">
        <f t="array" ref="X711">_xlfn.XLOOKUP(V711,Stock1!I711,Stock1!J711,"")</f>
        <v/>
      </c>
      <c r="Y711" s="102" t="str">
        <f t="array" ref="Y711">_xlfn.XLOOKUP("Screen Protector for Android Phone and Other",Stock1!B711,Stock1!I711,"")</f>
        <v/>
      </c>
      <c r="Z711" s="102" t="str">
        <f t="array" ref="Z711">_xlfn.XLOOKUP("Screen Protector for Galaxy Phone",Stock1!B711,Stock1!I711,"")</f>
        <v/>
      </c>
      <c r="AA711" s="102" t="str">
        <f t="array" ref="AA711">_xlfn.XLOOKUP("Screen Protector for Galaxy Tab",Stock1!B711,Stock1!I711,"")</f>
        <v/>
      </c>
      <c r="AB711" s="102" t="str">
        <f t="shared" si="4"/>
        <v/>
      </c>
      <c r="AC711" s="102" t="str">
        <f t="array" ref="AC711">_xlfn.XLOOKUP(AB711,Stock1!I711,Stock1!F711,"")</f>
        <v/>
      </c>
      <c r="AD711" s="102" t="str">
        <f t="array" ref="AD711">_xlfn.XLOOKUP(AB711,Stock1!I711,Stock1!J711,"")</f>
        <v/>
      </c>
      <c r="AE711" s="102" t="str">
        <f t="array" ref="AE711">_xlfn.XLOOKUP("Storage",Stock1!B711,Stock1!I711,"")</f>
        <v/>
      </c>
      <c r="AF711" s="102" t="str">
        <f t="array" ref="AF711">_xlfn.XLOOKUP(AE711,Stock1!I711,Stock1!F711,"")</f>
        <v/>
      </c>
      <c r="AG711" s="102" t="str">
        <f t="array" ref="AG711">_xlfn.XLOOKUP(AE711,Stock1!I711,Stock1!J711,"")</f>
        <v/>
      </c>
    </row>
    <row r="712">
      <c r="K712" s="660" t="str">
        <f t="array" ref="K712">IFERROR(_xlfn.XLOOKUP(I712,Incentive!B:B,Incentive!E:E,""),"")</f>
        <v/>
      </c>
      <c r="L712" s="659" t="str">
        <f>IFERROR(VLOOKUP(I712,Stock1!F:J,5,False),"")</f>
        <v/>
      </c>
      <c r="M712" s="659" t="str">
        <f>IFERROR(VLOOKUP(I712,Stock2!F:J,5,False),"")</f>
        <v/>
      </c>
      <c r="V712" s="102" t="str">
        <f t="array" ref="V712">_xlfn.XLOOKUP("Charger",Stock1!B712,Stock1!I712,"")</f>
        <v/>
      </c>
      <c r="W712" s="102" t="str">
        <f t="array" ref="W712">_xlfn.XLOOKUP(V712,Stock1!I712,Stock1!F712,"")</f>
        <v/>
      </c>
      <c r="X712" s="102" t="str">
        <f t="array" ref="X712">_xlfn.XLOOKUP(V712,Stock1!I712,Stock1!J712,"")</f>
        <v/>
      </c>
      <c r="Y712" s="102" t="str">
        <f t="array" ref="Y712">_xlfn.XLOOKUP("Screen Protector for Android Phone and Other",Stock1!B712,Stock1!I712,"")</f>
        <v/>
      </c>
      <c r="Z712" s="102" t="str">
        <f t="array" ref="Z712">_xlfn.XLOOKUP("Screen Protector for Galaxy Phone",Stock1!B712,Stock1!I712,"")</f>
        <v/>
      </c>
      <c r="AA712" s="102" t="str">
        <f t="array" ref="AA712">_xlfn.XLOOKUP("Screen Protector for Galaxy Tab",Stock1!B712,Stock1!I712,"")</f>
        <v/>
      </c>
      <c r="AB712" s="102" t="str">
        <f t="shared" si="4"/>
        <v/>
      </c>
      <c r="AC712" s="102" t="str">
        <f t="array" ref="AC712">_xlfn.XLOOKUP(AB712,Stock1!I712,Stock1!F712,"")</f>
        <v/>
      </c>
      <c r="AD712" s="102" t="str">
        <f t="array" ref="AD712">_xlfn.XLOOKUP(AB712,Stock1!I712,Stock1!J712,"")</f>
        <v/>
      </c>
      <c r="AE712" s="102" t="str">
        <f t="array" ref="AE712">_xlfn.XLOOKUP("Storage",Stock1!B712,Stock1!I712,"")</f>
        <v/>
      </c>
      <c r="AF712" s="102" t="str">
        <f t="array" ref="AF712">_xlfn.XLOOKUP(AE712,Stock1!I712,Stock1!F712,"")</f>
        <v/>
      </c>
      <c r="AG712" s="102" t="str">
        <f t="array" ref="AG712">_xlfn.XLOOKUP(AE712,Stock1!I712,Stock1!J712,"")</f>
        <v/>
      </c>
    </row>
    <row r="713">
      <c r="K713" s="660" t="str">
        <f t="array" ref="K713">IFERROR(_xlfn.XLOOKUP(I713,Incentive!B:B,Incentive!E:E,""),"")</f>
        <v/>
      </c>
      <c r="L713" s="659" t="str">
        <f>IFERROR(VLOOKUP(I713,Stock1!F:J,5,False),"")</f>
        <v/>
      </c>
      <c r="M713" s="659" t="str">
        <f>IFERROR(VLOOKUP(I713,Stock2!F:J,5,False),"")</f>
        <v/>
      </c>
      <c r="V713" s="102" t="str">
        <f t="array" ref="V713">_xlfn.XLOOKUP("Charger",Stock1!B713,Stock1!I713,"")</f>
        <v/>
      </c>
      <c r="W713" s="102" t="str">
        <f t="array" ref="W713">_xlfn.XLOOKUP(V713,Stock1!I713,Stock1!F713,"")</f>
        <v/>
      </c>
      <c r="X713" s="102" t="str">
        <f t="array" ref="X713">_xlfn.XLOOKUP(V713,Stock1!I713,Stock1!J713,"")</f>
        <v/>
      </c>
      <c r="Y713" s="102" t="str">
        <f t="array" ref="Y713">_xlfn.XLOOKUP("Screen Protector for Android Phone and Other",Stock1!B713,Stock1!I713,"")</f>
        <v/>
      </c>
      <c r="Z713" s="102" t="str">
        <f t="array" ref="Z713">_xlfn.XLOOKUP("Screen Protector for Galaxy Phone",Stock1!B713,Stock1!I713,"")</f>
        <v/>
      </c>
      <c r="AA713" s="102" t="str">
        <f t="array" ref="AA713">_xlfn.XLOOKUP("Screen Protector for Galaxy Tab",Stock1!B713,Stock1!I713,"")</f>
        <v/>
      </c>
      <c r="AB713" s="102" t="str">
        <f t="shared" si="4"/>
        <v/>
      </c>
      <c r="AC713" s="102" t="str">
        <f t="array" ref="AC713">_xlfn.XLOOKUP(AB713,Stock1!I713,Stock1!F713,"")</f>
        <v/>
      </c>
      <c r="AD713" s="102" t="str">
        <f t="array" ref="AD713">_xlfn.XLOOKUP(AB713,Stock1!I713,Stock1!J713,"")</f>
        <v/>
      </c>
      <c r="AE713" s="102" t="str">
        <f t="array" ref="AE713">_xlfn.XLOOKUP("Storage",Stock1!B713,Stock1!I713,"")</f>
        <v/>
      </c>
      <c r="AF713" s="102" t="str">
        <f t="array" ref="AF713">_xlfn.XLOOKUP(AE713,Stock1!I713,Stock1!F713,"")</f>
        <v/>
      </c>
      <c r="AG713" s="102" t="str">
        <f t="array" ref="AG713">_xlfn.XLOOKUP(AE713,Stock1!I713,Stock1!J713,"")</f>
        <v/>
      </c>
    </row>
    <row r="714">
      <c r="K714" s="660" t="str">
        <f t="array" ref="K714">IFERROR(_xlfn.XLOOKUP(I714,Incentive!B:B,Incentive!E:E,""),"")</f>
        <v/>
      </c>
      <c r="L714" s="659" t="str">
        <f>IFERROR(VLOOKUP(I714,Stock1!F:J,5,False),"")</f>
        <v/>
      </c>
      <c r="M714" s="659" t="str">
        <f>IFERROR(VLOOKUP(I714,Stock2!F:J,5,False),"")</f>
        <v/>
      </c>
      <c r="V714" s="102" t="str">
        <f t="array" ref="V714">_xlfn.XLOOKUP("Charger",Stock1!B714,Stock1!I714,"")</f>
        <v/>
      </c>
      <c r="W714" s="102" t="str">
        <f t="array" ref="W714">_xlfn.XLOOKUP(V714,Stock1!I714,Stock1!F714,"")</f>
        <v/>
      </c>
      <c r="X714" s="102" t="str">
        <f t="array" ref="X714">_xlfn.XLOOKUP(V714,Stock1!I714,Stock1!J714,"")</f>
        <v/>
      </c>
      <c r="Y714" s="102" t="str">
        <f t="array" ref="Y714">_xlfn.XLOOKUP("Screen Protector for Android Phone and Other",Stock1!B714,Stock1!I714,"")</f>
        <v/>
      </c>
      <c r="Z714" s="102" t="str">
        <f t="array" ref="Z714">_xlfn.XLOOKUP("Screen Protector for Galaxy Phone",Stock1!B714,Stock1!I714,"")</f>
        <v/>
      </c>
      <c r="AA714" s="102" t="str">
        <f t="array" ref="AA714">_xlfn.XLOOKUP("Screen Protector for Galaxy Tab",Stock1!B714,Stock1!I714,"")</f>
        <v/>
      </c>
      <c r="AB714" s="102" t="str">
        <f t="shared" si="4"/>
        <v/>
      </c>
      <c r="AC714" s="102" t="str">
        <f t="array" ref="AC714">_xlfn.XLOOKUP(AB714,Stock1!I714,Stock1!F714,"")</f>
        <v/>
      </c>
      <c r="AD714" s="102" t="str">
        <f t="array" ref="AD714">_xlfn.XLOOKUP(AB714,Stock1!I714,Stock1!J714,"")</f>
        <v/>
      </c>
      <c r="AE714" s="102" t="str">
        <f t="array" ref="AE714">_xlfn.XLOOKUP("Storage",Stock1!B714,Stock1!I714,"")</f>
        <v/>
      </c>
      <c r="AF714" s="102" t="str">
        <f t="array" ref="AF714">_xlfn.XLOOKUP(AE714,Stock1!I714,Stock1!F714,"")</f>
        <v/>
      </c>
      <c r="AG714" s="102" t="str">
        <f t="array" ref="AG714">_xlfn.XLOOKUP(AE714,Stock1!I714,Stock1!J714,"")</f>
        <v/>
      </c>
    </row>
    <row r="715">
      <c r="K715" s="660" t="str">
        <f t="array" ref="K715">IFERROR(_xlfn.XLOOKUP(I715,Incentive!B:B,Incentive!E:E,""),"")</f>
        <v/>
      </c>
      <c r="L715" s="659" t="str">
        <f>IFERROR(VLOOKUP(I715,Stock1!F:J,5,False),"")</f>
        <v/>
      </c>
      <c r="M715" s="659" t="str">
        <f>IFERROR(VLOOKUP(I715,Stock2!F:J,5,False),"")</f>
        <v/>
      </c>
      <c r="V715" s="102" t="str">
        <f t="array" ref="V715">_xlfn.XLOOKUP("Charger",Stock1!B715,Stock1!I715,"")</f>
        <v/>
      </c>
      <c r="W715" s="102" t="str">
        <f t="array" ref="W715">_xlfn.XLOOKUP(V715,Stock1!I715,Stock1!F715,"")</f>
        <v/>
      </c>
      <c r="X715" s="102" t="str">
        <f t="array" ref="X715">_xlfn.XLOOKUP(V715,Stock1!I715,Stock1!J715,"")</f>
        <v/>
      </c>
      <c r="Y715" s="102" t="str">
        <f t="array" ref="Y715">_xlfn.XLOOKUP("Screen Protector for Android Phone and Other",Stock1!B715,Stock1!I715,"")</f>
        <v/>
      </c>
      <c r="Z715" s="102" t="str">
        <f t="array" ref="Z715">_xlfn.XLOOKUP("Screen Protector for Galaxy Phone",Stock1!B715,Stock1!I715,"")</f>
        <v/>
      </c>
      <c r="AA715" s="102" t="str">
        <f t="array" ref="AA715">_xlfn.XLOOKUP("Screen Protector for Galaxy Tab",Stock1!B715,Stock1!I715,"")</f>
        <v/>
      </c>
      <c r="AB715" s="102" t="str">
        <f t="shared" si="4"/>
        <v/>
      </c>
      <c r="AC715" s="102" t="str">
        <f t="array" ref="AC715">_xlfn.XLOOKUP(AB715,Stock1!I715,Stock1!F715,"")</f>
        <v/>
      </c>
      <c r="AD715" s="102" t="str">
        <f t="array" ref="AD715">_xlfn.XLOOKUP(AB715,Stock1!I715,Stock1!J715,"")</f>
        <v/>
      </c>
      <c r="AE715" s="102" t="str">
        <f t="array" ref="AE715">_xlfn.XLOOKUP("Storage",Stock1!B715,Stock1!I715,"")</f>
        <v/>
      </c>
      <c r="AF715" s="102" t="str">
        <f t="array" ref="AF715">_xlfn.XLOOKUP(AE715,Stock1!I715,Stock1!F715,"")</f>
        <v/>
      </c>
      <c r="AG715" s="102" t="str">
        <f t="array" ref="AG715">_xlfn.XLOOKUP(AE715,Stock1!I715,Stock1!J715,"")</f>
        <v/>
      </c>
    </row>
    <row r="716">
      <c r="K716" s="660" t="str">
        <f t="array" ref="K716">IFERROR(_xlfn.XLOOKUP(I716,Incentive!B:B,Incentive!E:E,""),"")</f>
        <v/>
      </c>
      <c r="L716" s="659" t="str">
        <f>IFERROR(VLOOKUP(I716,Stock1!F:J,5,False),"")</f>
        <v/>
      </c>
      <c r="M716" s="659" t="str">
        <f>IFERROR(VLOOKUP(I716,Stock2!F:J,5,False),"")</f>
        <v/>
      </c>
      <c r="V716" s="102" t="str">
        <f t="array" ref="V716">_xlfn.XLOOKUP("Charger",Stock1!B716,Stock1!I716,"")</f>
        <v/>
      </c>
      <c r="W716" s="102" t="str">
        <f t="array" ref="W716">_xlfn.XLOOKUP(V716,Stock1!I716,Stock1!F716,"")</f>
        <v/>
      </c>
      <c r="X716" s="102" t="str">
        <f t="array" ref="X716">_xlfn.XLOOKUP(V716,Stock1!I716,Stock1!J716,"")</f>
        <v/>
      </c>
      <c r="Y716" s="102" t="str">
        <f t="array" ref="Y716">_xlfn.XLOOKUP("Screen Protector for Android Phone and Other",Stock1!B716,Stock1!I716,"")</f>
        <v/>
      </c>
      <c r="Z716" s="102" t="str">
        <f t="array" ref="Z716">_xlfn.XLOOKUP("Screen Protector for Galaxy Phone",Stock1!B716,Stock1!I716,"")</f>
        <v/>
      </c>
      <c r="AA716" s="102" t="str">
        <f t="array" ref="AA716">_xlfn.XLOOKUP("Screen Protector for Galaxy Tab",Stock1!B716,Stock1!I716,"")</f>
        <v/>
      </c>
      <c r="AB716" s="102" t="str">
        <f t="shared" si="4"/>
        <v/>
      </c>
      <c r="AC716" s="102" t="str">
        <f t="array" ref="AC716">_xlfn.XLOOKUP(AB716,Stock1!I716,Stock1!F716,"")</f>
        <v/>
      </c>
      <c r="AD716" s="102" t="str">
        <f t="array" ref="AD716">_xlfn.XLOOKUP(AB716,Stock1!I716,Stock1!J716,"")</f>
        <v/>
      </c>
      <c r="AE716" s="102" t="str">
        <f t="array" ref="AE716">_xlfn.XLOOKUP("Storage",Stock1!B716,Stock1!I716,"")</f>
        <v/>
      </c>
      <c r="AF716" s="102" t="str">
        <f t="array" ref="AF716">_xlfn.XLOOKUP(AE716,Stock1!I716,Stock1!F716,"")</f>
        <v/>
      </c>
      <c r="AG716" s="102" t="str">
        <f t="array" ref="AG716">_xlfn.XLOOKUP(AE716,Stock1!I716,Stock1!J716,"")</f>
        <v/>
      </c>
    </row>
    <row r="717">
      <c r="K717" s="660" t="str">
        <f t="array" ref="K717">IFERROR(_xlfn.XLOOKUP(I717,Incentive!B:B,Incentive!E:E,""),"")</f>
        <v/>
      </c>
      <c r="L717" s="659" t="str">
        <f>IFERROR(VLOOKUP(I717,Stock1!F:J,5,False),"")</f>
        <v/>
      </c>
      <c r="M717" s="659" t="str">
        <f>IFERROR(VLOOKUP(I717,Stock2!F:J,5,False),"")</f>
        <v/>
      </c>
      <c r="V717" s="102" t="str">
        <f t="array" ref="V717">_xlfn.XLOOKUP("Charger",Stock1!B717,Stock1!I717,"")</f>
        <v/>
      </c>
      <c r="W717" s="102" t="str">
        <f t="array" ref="W717">_xlfn.XLOOKUP(V717,Stock1!I717,Stock1!F717,"")</f>
        <v/>
      </c>
      <c r="X717" s="102" t="str">
        <f t="array" ref="X717">_xlfn.XLOOKUP(V717,Stock1!I717,Stock1!J717,"")</f>
        <v/>
      </c>
      <c r="Y717" s="102" t="str">
        <f t="array" ref="Y717">_xlfn.XLOOKUP("Screen Protector for Android Phone and Other",Stock1!B717,Stock1!I717,"")</f>
        <v/>
      </c>
      <c r="Z717" s="102" t="str">
        <f t="array" ref="Z717">_xlfn.XLOOKUP("Screen Protector for Galaxy Phone",Stock1!B717,Stock1!I717,"")</f>
        <v/>
      </c>
      <c r="AA717" s="102" t="str">
        <f t="array" ref="AA717">_xlfn.XLOOKUP("Screen Protector for Galaxy Tab",Stock1!B717,Stock1!I717,"")</f>
        <v/>
      </c>
      <c r="AB717" s="102" t="str">
        <f t="shared" si="4"/>
        <v/>
      </c>
      <c r="AC717" s="102" t="str">
        <f t="array" ref="AC717">_xlfn.XLOOKUP(AB717,Stock1!I717,Stock1!F717,"")</f>
        <v/>
      </c>
      <c r="AD717" s="102" t="str">
        <f t="array" ref="AD717">_xlfn.XLOOKUP(AB717,Stock1!I717,Stock1!J717,"")</f>
        <v/>
      </c>
      <c r="AE717" s="102" t="str">
        <f t="array" ref="AE717">_xlfn.XLOOKUP("Storage",Stock1!B717,Stock1!I717,"")</f>
        <v/>
      </c>
      <c r="AF717" s="102" t="str">
        <f t="array" ref="AF717">_xlfn.XLOOKUP(AE717,Stock1!I717,Stock1!F717,"")</f>
        <v/>
      </c>
      <c r="AG717" s="102" t="str">
        <f t="array" ref="AG717">_xlfn.XLOOKUP(AE717,Stock1!I717,Stock1!J717,"")</f>
        <v/>
      </c>
    </row>
    <row r="718">
      <c r="K718" s="660" t="str">
        <f t="array" ref="K718">IFERROR(_xlfn.XLOOKUP(I718,Incentive!B:B,Incentive!E:E,""),"")</f>
        <v/>
      </c>
      <c r="L718" s="659" t="str">
        <f>IFERROR(VLOOKUP(I718,Stock1!F:J,5,False),"")</f>
        <v/>
      </c>
      <c r="M718" s="659" t="str">
        <f>IFERROR(VLOOKUP(I718,Stock2!F:J,5,False),"")</f>
        <v/>
      </c>
      <c r="V718" s="102" t="str">
        <f t="array" ref="V718">_xlfn.XLOOKUP("Charger",Stock1!B718,Stock1!I718,"")</f>
        <v/>
      </c>
      <c r="W718" s="102" t="str">
        <f t="array" ref="W718">_xlfn.XLOOKUP(V718,Stock1!I718,Stock1!F718,"")</f>
        <v/>
      </c>
      <c r="X718" s="102" t="str">
        <f t="array" ref="X718">_xlfn.XLOOKUP(V718,Stock1!I718,Stock1!J718,"")</f>
        <v/>
      </c>
      <c r="Y718" s="102" t="str">
        <f t="array" ref="Y718">_xlfn.XLOOKUP("Screen Protector for Android Phone and Other",Stock1!B718,Stock1!I718,"")</f>
        <v/>
      </c>
      <c r="Z718" s="102" t="str">
        <f t="array" ref="Z718">_xlfn.XLOOKUP("Screen Protector for Galaxy Phone",Stock1!B718,Stock1!I718,"")</f>
        <v/>
      </c>
      <c r="AA718" s="102" t="str">
        <f t="array" ref="AA718">_xlfn.XLOOKUP("Screen Protector for Galaxy Tab",Stock1!B718,Stock1!I718,"")</f>
        <v/>
      </c>
      <c r="AB718" s="102" t="str">
        <f t="shared" si="4"/>
        <v/>
      </c>
      <c r="AC718" s="102" t="str">
        <f t="array" ref="AC718">_xlfn.XLOOKUP(AB718,Stock1!I718,Stock1!F718,"")</f>
        <v/>
      </c>
      <c r="AD718" s="102" t="str">
        <f t="array" ref="AD718">_xlfn.XLOOKUP(AB718,Stock1!I718,Stock1!J718,"")</f>
        <v/>
      </c>
      <c r="AE718" s="102" t="str">
        <f t="array" ref="AE718">_xlfn.XLOOKUP("Storage",Stock1!B718,Stock1!I718,"")</f>
        <v/>
      </c>
      <c r="AF718" s="102" t="str">
        <f t="array" ref="AF718">_xlfn.XLOOKUP(AE718,Stock1!I718,Stock1!F718,"")</f>
        <v/>
      </c>
      <c r="AG718" s="102" t="str">
        <f t="array" ref="AG718">_xlfn.XLOOKUP(AE718,Stock1!I718,Stock1!J718,"")</f>
        <v/>
      </c>
    </row>
    <row r="719">
      <c r="K719" s="660" t="str">
        <f t="array" ref="K719">IFERROR(_xlfn.XLOOKUP(I719,Incentive!B:B,Incentive!E:E,""),"")</f>
        <v/>
      </c>
      <c r="L719" s="659" t="str">
        <f>IFERROR(VLOOKUP(I719,Stock1!F:J,5,False),"")</f>
        <v/>
      </c>
      <c r="M719" s="659" t="str">
        <f>IFERROR(VLOOKUP(I719,Stock2!F:J,5,False),"")</f>
        <v/>
      </c>
      <c r="V719" s="102" t="str">
        <f t="array" ref="V719">_xlfn.XLOOKUP("Charger",Stock1!B719,Stock1!I719,"")</f>
        <v/>
      </c>
      <c r="W719" s="102" t="str">
        <f t="array" ref="W719">_xlfn.XLOOKUP(V719,Stock1!I719,Stock1!F719,"")</f>
        <v/>
      </c>
      <c r="X719" s="102" t="str">
        <f t="array" ref="X719">_xlfn.XLOOKUP(V719,Stock1!I719,Stock1!J719,"")</f>
        <v/>
      </c>
      <c r="Y719" s="102" t="str">
        <f t="array" ref="Y719">_xlfn.XLOOKUP("Screen Protector for Android Phone and Other",Stock1!B719,Stock1!I719,"")</f>
        <v/>
      </c>
      <c r="Z719" s="102" t="str">
        <f t="array" ref="Z719">_xlfn.XLOOKUP("Screen Protector for Galaxy Phone",Stock1!B719,Stock1!I719,"")</f>
        <v/>
      </c>
      <c r="AA719" s="102" t="str">
        <f t="array" ref="AA719">_xlfn.XLOOKUP("Screen Protector for Galaxy Tab",Stock1!B719,Stock1!I719,"")</f>
        <v/>
      </c>
      <c r="AB719" s="102" t="str">
        <f t="shared" si="4"/>
        <v/>
      </c>
      <c r="AC719" s="102" t="str">
        <f t="array" ref="AC719">_xlfn.XLOOKUP(AB719,Stock1!I719,Stock1!F719,"")</f>
        <v/>
      </c>
      <c r="AD719" s="102" t="str">
        <f t="array" ref="AD719">_xlfn.XLOOKUP(AB719,Stock1!I719,Stock1!J719,"")</f>
        <v/>
      </c>
      <c r="AE719" s="102" t="str">
        <f t="array" ref="AE719">_xlfn.XLOOKUP("Storage",Stock1!B719,Stock1!I719,"")</f>
        <v/>
      </c>
      <c r="AF719" s="102" t="str">
        <f t="array" ref="AF719">_xlfn.XLOOKUP(AE719,Stock1!I719,Stock1!F719,"")</f>
        <v/>
      </c>
      <c r="AG719" s="102" t="str">
        <f t="array" ref="AG719">_xlfn.XLOOKUP(AE719,Stock1!I719,Stock1!J719,"")</f>
        <v/>
      </c>
    </row>
    <row r="720">
      <c r="K720" s="660" t="str">
        <f t="array" ref="K720">IFERROR(_xlfn.XLOOKUP(I720,Incentive!B:B,Incentive!E:E,""),"")</f>
        <v/>
      </c>
      <c r="L720" s="659" t="str">
        <f>IFERROR(VLOOKUP(I720,Stock1!F:J,5,False),"")</f>
        <v/>
      </c>
      <c r="M720" s="659" t="str">
        <f>IFERROR(VLOOKUP(I720,Stock2!F:J,5,False),"")</f>
        <v/>
      </c>
      <c r="V720" s="102" t="str">
        <f t="array" ref="V720">_xlfn.XLOOKUP("Charger",Stock1!B720,Stock1!I720,"")</f>
        <v/>
      </c>
      <c r="W720" s="102" t="str">
        <f t="array" ref="W720">_xlfn.XLOOKUP(V720,Stock1!I720,Stock1!F720,"")</f>
        <v/>
      </c>
      <c r="X720" s="102" t="str">
        <f t="array" ref="X720">_xlfn.XLOOKUP(V720,Stock1!I720,Stock1!J720,"")</f>
        <v/>
      </c>
      <c r="Y720" s="102" t="str">
        <f t="array" ref="Y720">_xlfn.XLOOKUP("Screen Protector for Android Phone and Other",Stock1!B720,Stock1!I720,"")</f>
        <v/>
      </c>
      <c r="Z720" s="102" t="str">
        <f t="array" ref="Z720">_xlfn.XLOOKUP("Screen Protector for Galaxy Phone",Stock1!B720,Stock1!I720,"")</f>
        <v/>
      </c>
      <c r="AA720" s="102" t="str">
        <f t="array" ref="AA720">_xlfn.XLOOKUP("Screen Protector for Galaxy Tab",Stock1!B720,Stock1!I720,"")</f>
        <v/>
      </c>
      <c r="AB720" s="102" t="str">
        <f t="shared" si="4"/>
        <v/>
      </c>
      <c r="AC720" s="102" t="str">
        <f t="array" ref="AC720">_xlfn.XLOOKUP(AB720,Stock1!I720,Stock1!F720,"")</f>
        <v/>
      </c>
      <c r="AD720" s="102" t="str">
        <f t="array" ref="AD720">_xlfn.XLOOKUP(AB720,Stock1!I720,Stock1!J720,"")</f>
        <v/>
      </c>
      <c r="AE720" s="102" t="str">
        <f t="array" ref="AE720">_xlfn.XLOOKUP("Storage",Stock1!B720,Stock1!I720,"")</f>
        <v/>
      </c>
      <c r="AF720" s="102" t="str">
        <f t="array" ref="AF720">_xlfn.XLOOKUP(AE720,Stock1!I720,Stock1!F720,"")</f>
        <v/>
      </c>
      <c r="AG720" s="102" t="str">
        <f t="array" ref="AG720">_xlfn.XLOOKUP(AE720,Stock1!I720,Stock1!J720,"")</f>
        <v/>
      </c>
    </row>
    <row r="721">
      <c r="K721" s="660" t="str">
        <f t="array" ref="K721">IFERROR(_xlfn.XLOOKUP(I721,Incentive!B:B,Incentive!E:E,""),"")</f>
        <v/>
      </c>
      <c r="L721" s="659" t="str">
        <f>IFERROR(VLOOKUP(I721,Stock1!F:J,5,False),"")</f>
        <v/>
      </c>
      <c r="M721" s="659" t="str">
        <f>IFERROR(VLOOKUP(I721,Stock2!F:J,5,False),"")</f>
        <v/>
      </c>
      <c r="V721" s="102" t="str">
        <f t="array" ref="V721">_xlfn.XLOOKUP("Charger",Stock1!B721,Stock1!I721,"")</f>
        <v/>
      </c>
      <c r="W721" s="102" t="str">
        <f t="array" ref="W721">_xlfn.XLOOKUP(V721,Stock1!I721,Stock1!F721,"")</f>
        <v/>
      </c>
      <c r="X721" s="102" t="str">
        <f t="array" ref="X721">_xlfn.XLOOKUP(V721,Stock1!I721,Stock1!J721,"")</f>
        <v/>
      </c>
      <c r="Y721" s="102" t="str">
        <f t="array" ref="Y721">_xlfn.XLOOKUP("Screen Protector for Android Phone and Other",Stock1!B721,Stock1!I721,"")</f>
        <v/>
      </c>
      <c r="Z721" s="102" t="str">
        <f t="array" ref="Z721">_xlfn.XLOOKUP("Screen Protector for Galaxy Phone",Stock1!B721,Stock1!I721,"")</f>
        <v/>
      </c>
      <c r="AA721" s="102" t="str">
        <f t="array" ref="AA721">_xlfn.XLOOKUP("Screen Protector for Galaxy Tab",Stock1!B721,Stock1!I721,"")</f>
        <v/>
      </c>
      <c r="AB721" s="102" t="str">
        <f t="shared" si="4"/>
        <v/>
      </c>
      <c r="AC721" s="102" t="str">
        <f t="array" ref="AC721">_xlfn.XLOOKUP(AB721,Stock1!I721,Stock1!F721,"")</f>
        <v/>
      </c>
      <c r="AD721" s="102" t="str">
        <f t="array" ref="AD721">_xlfn.XLOOKUP(AB721,Stock1!I721,Stock1!J721,"")</f>
        <v/>
      </c>
      <c r="AE721" s="102" t="str">
        <f t="array" ref="AE721">_xlfn.XLOOKUP("Storage",Stock1!B721,Stock1!I721,"")</f>
        <v/>
      </c>
      <c r="AF721" s="102" t="str">
        <f t="array" ref="AF721">_xlfn.XLOOKUP(AE721,Stock1!I721,Stock1!F721,"")</f>
        <v/>
      </c>
      <c r="AG721" s="102" t="str">
        <f t="array" ref="AG721">_xlfn.XLOOKUP(AE721,Stock1!I721,Stock1!J721,"")</f>
        <v/>
      </c>
    </row>
    <row r="722">
      <c r="K722" s="660" t="str">
        <f t="array" ref="K722">IFERROR(_xlfn.XLOOKUP(I722,Incentive!B:B,Incentive!E:E,""),"")</f>
        <v/>
      </c>
      <c r="L722" s="659" t="str">
        <f>IFERROR(VLOOKUP(I722,Stock1!F:J,5,False),"")</f>
        <v/>
      </c>
      <c r="M722" s="659" t="str">
        <f>IFERROR(VLOOKUP(I722,Stock2!F:J,5,False),"")</f>
        <v/>
      </c>
      <c r="V722" s="102" t="str">
        <f t="array" ref="V722">_xlfn.XLOOKUP("Charger",Stock1!B722,Stock1!I722,"")</f>
        <v/>
      </c>
      <c r="W722" s="102" t="str">
        <f t="array" ref="W722">_xlfn.XLOOKUP(V722,Stock1!I722,Stock1!F722,"")</f>
        <v/>
      </c>
      <c r="X722" s="102" t="str">
        <f t="array" ref="X722">_xlfn.XLOOKUP(V722,Stock1!I722,Stock1!J722,"")</f>
        <v/>
      </c>
      <c r="Y722" s="102" t="str">
        <f t="array" ref="Y722">_xlfn.XLOOKUP("Screen Protector for Android Phone and Other",Stock1!B722,Stock1!I722,"")</f>
        <v/>
      </c>
      <c r="Z722" s="102" t="str">
        <f t="array" ref="Z722">_xlfn.XLOOKUP("Screen Protector for Galaxy Phone",Stock1!B722,Stock1!I722,"")</f>
        <v/>
      </c>
      <c r="AA722" s="102" t="str">
        <f t="array" ref="AA722">_xlfn.XLOOKUP("Screen Protector for Galaxy Tab",Stock1!B722,Stock1!I722,"")</f>
        <v/>
      </c>
      <c r="AB722" s="102" t="str">
        <f t="shared" si="4"/>
        <v/>
      </c>
      <c r="AC722" s="102" t="str">
        <f t="array" ref="AC722">_xlfn.XLOOKUP(AB722,Stock1!I722,Stock1!F722,"")</f>
        <v/>
      </c>
      <c r="AD722" s="102" t="str">
        <f t="array" ref="AD722">_xlfn.XLOOKUP(AB722,Stock1!I722,Stock1!J722,"")</f>
        <v/>
      </c>
      <c r="AE722" s="102" t="str">
        <f t="array" ref="AE722">_xlfn.XLOOKUP("Storage",Stock1!B722,Stock1!I722,"")</f>
        <v/>
      </c>
      <c r="AF722" s="102" t="str">
        <f t="array" ref="AF722">_xlfn.XLOOKUP(AE722,Stock1!I722,Stock1!F722,"")</f>
        <v/>
      </c>
      <c r="AG722" s="102" t="str">
        <f t="array" ref="AG722">_xlfn.XLOOKUP(AE722,Stock1!I722,Stock1!J722,"")</f>
        <v/>
      </c>
    </row>
    <row r="723">
      <c r="K723" s="660" t="str">
        <f t="array" ref="K723">IFERROR(_xlfn.XLOOKUP(I723,Incentive!B:B,Incentive!E:E,""),"")</f>
        <v/>
      </c>
      <c r="L723" s="659" t="str">
        <f>IFERROR(VLOOKUP(I723,Stock1!F:J,5,False),"")</f>
        <v/>
      </c>
      <c r="M723" s="659" t="str">
        <f>IFERROR(VLOOKUP(I723,Stock2!F:J,5,False),"")</f>
        <v/>
      </c>
      <c r="V723" s="102" t="str">
        <f t="array" ref="V723">_xlfn.XLOOKUP("Charger",Stock1!B723,Stock1!I723,"")</f>
        <v/>
      </c>
      <c r="W723" s="102" t="str">
        <f t="array" ref="W723">_xlfn.XLOOKUP(V723,Stock1!I723,Stock1!F723,"")</f>
        <v/>
      </c>
      <c r="X723" s="102" t="str">
        <f t="array" ref="X723">_xlfn.XLOOKUP(V723,Stock1!I723,Stock1!J723,"")</f>
        <v/>
      </c>
      <c r="Y723" s="102" t="str">
        <f t="array" ref="Y723">_xlfn.XLOOKUP("Screen Protector for Android Phone and Other",Stock1!B723,Stock1!I723,"")</f>
        <v/>
      </c>
      <c r="Z723" s="102" t="str">
        <f t="array" ref="Z723">_xlfn.XLOOKUP("Screen Protector for Galaxy Phone",Stock1!B723,Stock1!I723,"")</f>
        <v/>
      </c>
      <c r="AA723" s="102" t="str">
        <f t="array" ref="AA723">_xlfn.XLOOKUP("Screen Protector for Galaxy Tab",Stock1!B723,Stock1!I723,"")</f>
        <v/>
      </c>
      <c r="AB723" s="102" t="str">
        <f t="shared" si="4"/>
        <v/>
      </c>
      <c r="AC723" s="102" t="str">
        <f t="array" ref="AC723">_xlfn.XLOOKUP(AB723,Stock1!I723,Stock1!F723,"")</f>
        <v/>
      </c>
      <c r="AD723" s="102" t="str">
        <f t="array" ref="AD723">_xlfn.XLOOKUP(AB723,Stock1!I723,Stock1!J723,"")</f>
        <v/>
      </c>
      <c r="AE723" s="102" t="str">
        <f t="array" ref="AE723">_xlfn.XLOOKUP("Storage",Stock1!B723,Stock1!I723,"")</f>
        <v/>
      </c>
      <c r="AF723" s="102" t="str">
        <f t="array" ref="AF723">_xlfn.XLOOKUP(AE723,Stock1!I723,Stock1!F723,"")</f>
        <v/>
      </c>
      <c r="AG723" s="102" t="str">
        <f t="array" ref="AG723">_xlfn.XLOOKUP(AE723,Stock1!I723,Stock1!J723,"")</f>
        <v/>
      </c>
    </row>
    <row r="724">
      <c r="K724" s="660" t="str">
        <f t="array" ref="K724">IFERROR(_xlfn.XLOOKUP(I724,Incentive!B:B,Incentive!E:E,""),"")</f>
        <v/>
      </c>
      <c r="L724" s="659" t="str">
        <f>IFERROR(VLOOKUP(I724,Stock1!F:J,5,False),"")</f>
        <v/>
      </c>
      <c r="M724" s="659" t="str">
        <f>IFERROR(VLOOKUP(I724,Stock2!F:J,5,False),"")</f>
        <v/>
      </c>
      <c r="V724" s="102" t="str">
        <f t="array" ref="V724">_xlfn.XLOOKUP("Charger",Stock1!B724,Stock1!I724,"")</f>
        <v/>
      </c>
      <c r="W724" s="102" t="str">
        <f t="array" ref="W724">_xlfn.XLOOKUP(V724,Stock1!I724,Stock1!F724,"")</f>
        <v/>
      </c>
      <c r="X724" s="102" t="str">
        <f t="array" ref="X724">_xlfn.XLOOKUP(V724,Stock1!I724,Stock1!J724,"")</f>
        <v/>
      </c>
      <c r="Y724" s="102" t="str">
        <f t="array" ref="Y724">_xlfn.XLOOKUP("Screen Protector for Android Phone and Other",Stock1!B724,Stock1!I724,"")</f>
        <v/>
      </c>
      <c r="Z724" s="102" t="str">
        <f t="array" ref="Z724">_xlfn.XLOOKUP("Screen Protector for Galaxy Phone",Stock1!B724,Stock1!I724,"")</f>
        <v/>
      </c>
      <c r="AA724" s="102" t="str">
        <f t="array" ref="AA724">_xlfn.XLOOKUP("Screen Protector for Galaxy Tab",Stock1!B724,Stock1!I724,"")</f>
        <v/>
      </c>
      <c r="AB724" s="102" t="str">
        <f t="shared" si="4"/>
        <v/>
      </c>
      <c r="AC724" s="102" t="str">
        <f t="array" ref="AC724">_xlfn.XLOOKUP(AB724,Stock1!I724,Stock1!F724,"")</f>
        <v/>
      </c>
      <c r="AD724" s="102" t="str">
        <f t="array" ref="AD724">_xlfn.XLOOKUP(AB724,Stock1!I724,Stock1!J724,"")</f>
        <v/>
      </c>
      <c r="AE724" s="102" t="str">
        <f t="array" ref="AE724">_xlfn.XLOOKUP("Storage",Stock1!B724,Stock1!I724,"")</f>
        <v/>
      </c>
      <c r="AF724" s="102" t="str">
        <f t="array" ref="AF724">_xlfn.XLOOKUP(AE724,Stock1!I724,Stock1!F724,"")</f>
        <v/>
      </c>
      <c r="AG724" s="102" t="str">
        <f t="array" ref="AG724">_xlfn.XLOOKUP(AE724,Stock1!I724,Stock1!J724,"")</f>
        <v/>
      </c>
    </row>
    <row r="725">
      <c r="K725" s="660" t="str">
        <f t="array" ref="K725">IFERROR(_xlfn.XLOOKUP(I725,Incentive!B:B,Incentive!E:E,""),"")</f>
        <v/>
      </c>
      <c r="L725" s="659" t="str">
        <f>IFERROR(VLOOKUP(I725,Stock1!F:J,5,False),"")</f>
        <v/>
      </c>
      <c r="M725" s="659" t="str">
        <f>IFERROR(VLOOKUP(I725,Stock2!F:J,5,False),"")</f>
        <v/>
      </c>
      <c r="V725" s="102" t="str">
        <f t="array" ref="V725">_xlfn.XLOOKUP("Charger",Stock1!B725,Stock1!I725,"")</f>
        <v/>
      </c>
      <c r="W725" s="102" t="str">
        <f t="array" ref="W725">_xlfn.XLOOKUP(V725,Stock1!I725,Stock1!F725,"")</f>
        <v/>
      </c>
      <c r="X725" s="102" t="str">
        <f t="array" ref="X725">_xlfn.XLOOKUP(V725,Stock1!I725,Stock1!J725,"")</f>
        <v/>
      </c>
      <c r="Y725" s="102" t="str">
        <f t="array" ref="Y725">_xlfn.XLOOKUP("Screen Protector for Android Phone and Other",Stock1!B725,Stock1!I725,"")</f>
        <v/>
      </c>
      <c r="Z725" s="102" t="str">
        <f t="array" ref="Z725">_xlfn.XLOOKUP("Screen Protector for Galaxy Phone",Stock1!B725,Stock1!I725,"")</f>
        <v/>
      </c>
      <c r="AA725" s="102" t="str">
        <f t="array" ref="AA725">_xlfn.XLOOKUP("Screen Protector for Galaxy Tab",Stock1!B725,Stock1!I725,"")</f>
        <v/>
      </c>
      <c r="AB725" s="102" t="str">
        <f t="shared" si="4"/>
        <v/>
      </c>
      <c r="AC725" s="102" t="str">
        <f t="array" ref="AC725">_xlfn.XLOOKUP(AB725,Stock1!I725,Stock1!F725,"")</f>
        <v/>
      </c>
      <c r="AD725" s="102" t="str">
        <f t="array" ref="AD725">_xlfn.XLOOKUP(AB725,Stock1!I725,Stock1!J725,"")</f>
        <v/>
      </c>
      <c r="AE725" s="102" t="str">
        <f t="array" ref="AE725">_xlfn.XLOOKUP("Storage",Stock1!B725,Stock1!I725,"")</f>
        <v/>
      </c>
      <c r="AF725" s="102" t="str">
        <f t="array" ref="AF725">_xlfn.XLOOKUP(AE725,Stock1!I725,Stock1!F725,"")</f>
        <v/>
      </c>
      <c r="AG725" s="102" t="str">
        <f t="array" ref="AG725">_xlfn.XLOOKUP(AE725,Stock1!I725,Stock1!J725,"")</f>
        <v/>
      </c>
    </row>
    <row r="726">
      <c r="K726" s="660" t="str">
        <f t="array" ref="K726">IFERROR(_xlfn.XLOOKUP(I726,Incentive!B:B,Incentive!E:E,""),"")</f>
        <v/>
      </c>
      <c r="L726" s="659" t="str">
        <f>IFERROR(VLOOKUP(I726,Stock1!F:J,5,False),"")</f>
        <v/>
      </c>
      <c r="M726" s="659" t="str">
        <f>IFERROR(VLOOKUP(I726,Stock2!F:J,5,False),"")</f>
        <v/>
      </c>
      <c r="V726" s="102" t="str">
        <f t="array" ref="V726">_xlfn.XLOOKUP("Charger",Stock1!B726,Stock1!I726,"")</f>
        <v/>
      </c>
      <c r="W726" s="102" t="str">
        <f t="array" ref="W726">_xlfn.XLOOKUP(V726,Stock1!I726,Stock1!F726,"")</f>
        <v/>
      </c>
      <c r="X726" s="102" t="str">
        <f t="array" ref="X726">_xlfn.XLOOKUP(V726,Stock1!I726,Stock1!J726,"")</f>
        <v/>
      </c>
      <c r="Y726" s="102" t="str">
        <f t="array" ref="Y726">_xlfn.XLOOKUP("Screen Protector for Android Phone and Other",Stock1!B726,Stock1!I726,"")</f>
        <v/>
      </c>
      <c r="Z726" s="102" t="str">
        <f t="array" ref="Z726">_xlfn.XLOOKUP("Screen Protector for Galaxy Phone",Stock1!B726,Stock1!I726,"")</f>
        <v/>
      </c>
      <c r="AA726" s="102" t="str">
        <f t="array" ref="AA726">_xlfn.XLOOKUP("Screen Protector for Galaxy Tab",Stock1!B726,Stock1!I726,"")</f>
        <v/>
      </c>
      <c r="AB726" s="102" t="str">
        <f t="shared" si="4"/>
        <v/>
      </c>
      <c r="AC726" s="102" t="str">
        <f t="array" ref="AC726">_xlfn.XLOOKUP(AB726,Stock1!I726,Stock1!F726,"")</f>
        <v/>
      </c>
      <c r="AD726" s="102" t="str">
        <f t="array" ref="AD726">_xlfn.XLOOKUP(AB726,Stock1!I726,Stock1!J726,"")</f>
        <v/>
      </c>
      <c r="AE726" s="102" t="str">
        <f t="array" ref="AE726">_xlfn.XLOOKUP("Storage",Stock1!B726,Stock1!I726,"")</f>
        <v/>
      </c>
      <c r="AF726" s="102" t="str">
        <f t="array" ref="AF726">_xlfn.XLOOKUP(AE726,Stock1!I726,Stock1!F726,"")</f>
        <v/>
      </c>
      <c r="AG726" s="102" t="str">
        <f t="array" ref="AG726">_xlfn.XLOOKUP(AE726,Stock1!I726,Stock1!J726,"")</f>
        <v/>
      </c>
    </row>
    <row r="727">
      <c r="K727" s="660" t="str">
        <f t="array" ref="K727">IFERROR(_xlfn.XLOOKUP(I727,Incentive!B:B,Incentive!E:E,""),"")</f>
        <v/>
      </c>
      <c r="L727" s="659" t="str">
        <f>IFERROR(VLOOKUP(I727,Stock1!F:J,5,False),"")</f>
        <v/>
      </c>
      <c r="M727" s="659" t="str">
        <f>IFERROR(VLOOKUP(I727,Stock2!F:J,5,False),"")</f>
        <v/>
      </c>
      <c r="V727" s="102" t="str">
        <f t="array" ref="V727">_xlfn.XLOOKUP("Charger",Stock1!B727,Stock1!I727,"")</f>
        <v/>
      </c>
      <c r="W727" s="102" t="str">
        <f t="array" ref="W727">_xlfn.XLOOKUP(V727,Stock1!I727,Stock1!F727,"")</f>
        <v/>
      </c>
      <c r="X727" s="102" t="str">
        <f t="array" ref="X727">_xlfn.XLOOKUP(V727,Stock1!I727,Stock1!J727,"")</f>
        <v/>
      </c>
      <c r="Y727" s="102" t="str">
        <f t="array" ref="Y727">_xlfn.XLOOKUP("Screen Protector for Android Phone and Other",Stock1!B727,Stock1!I727,"")</f>
        <v/>
      </c>
      <c r="Z727" s="102" t="str">
        <f t="array" ref="Z727">_xlfn.XLOOKUP("Screen Protector for Galaxy Phone",Stock1!B727,Stock1!I727,"")</f>
        <v/>
      </c>
      <c r="AA727" s="102" t="str">
        <f t="array" ref="AA727">_xlfn.XLOOKUP("Screen Protector for Galaxy Tab",Stock1!B727,Stock1!I727,"")</f>
        <v/>
      </c>
      <c r="AB727" s="102" t="str">
        <f t="shared" si="4"/>
        <v/>
      </c>
      <c r="AC727" s="102" t="str">
        <f t="array" ref="AC727">_xlfn.XLOOKUP(AB727,Stock1!I727,Stock1!F727,"")</f>
        <v/>
      </c>
      <c r="AD727" s="102" t="str">
        <f t="array" ref="AD727">_xlfn.XLOOKUP(AB727,Stock1!I727,Stock1!J727,"")</f>
        <v/>
      </c>
      <c r="AE727" s="102" t="str">
        <f t="array" ref="AE727">_xlfn.XLOOKUP("Storage",Stock1!B727,Stock1!I727,"")</f>
        <v/>
      </c>
      <c r="AF727" s="102" t="str">
        <f t="array" ref="AF727">_xlfn.XLOOKUP(AE727,Stock1!I727,Stock1!F727,"")</f>
        <v/>
      </c>
      <c r="AG727" s="102" t="str">
        <f t="array" ref="AG727">_xlfn.XLOOKUP(AE727,Stock1!I727,Stock1!J727,"")</f>
        <v/>
      </c>
    </row>
    <row r="728">
      <c r="K728" s="660" t="str">
        <f t="array" ref="K728">IFERROR(_xlfn.XLOOKUP(I728,Incentive!B:B,Incentive!E:E,""),"")</f>
        <v/>
      </c>
      <c r="L728" s="659" t="str">
        <f>IFERROR(VLOOKUP(I728,Stock1!F:J,5,False),"")</f>
        <v/>
      </c>
      <c r="M728" s="659" t="str">
        <f>IFERROR(VLOOKUP(I728,Stock2!F:J,5,False),"")</f>
        <v/>
      </c>
      <c r="V728" s="102" t="str">
        <f t="array" ref="V728">_xlfn.XLOOKUP("Charger",Stock1!B728,Stock1!I728,"")</f>
        <v/>
      </c>
      <c r="W728" s="102" t="str">
        <f t="array" ref="W728">_xlfn.XLOOKUP(V728,Stock1!I728,Stock1!F728,"")</f>
        <v/>
      </c>
      <c r="X728" s="102" t="str">
        <f t="array" ref="X728">_xlfn.XLOOKUP(V728,Stock1!I728,Stock1!J728,"")</f>
        <v/>
      </c>
      <c r="Y728" s="102" t="str">
        <f t="array" ref="Y728">_xlfn.XLOOKUP("Screen Protector for Android Phone and Other",Stock1!B728,Stock1!I728,"")</f>
        <v/>
      </c>
      <c r="Z728" s="102" t="str">
        <f t="array" ref="Z728">_xlfn.XLOOKUP("Screen Protector for Galaxy Phone",Stock1!B728,Stock1!I728,"")</f>
        <v/>
      </c>
      <c r="AA728" s="102" t="str">
        <f t="array" ref="AA728">_xlfn.XLOOKUP("Screen Protector for Galaxy Tab",Stock1!B728,Stock1!I728,"")</f>
        <v/>
      </c>
      <c r="AB728" s="102" t="str">
        <f t="shared" si="4"/>
        <v/>
      </c>
      <c r="AC728" s="102" t="str">
        <f t="array" ref="AC728">_xlfn.XLOOKUP(AB728,Stock1!I728,Stock1!F728,"")</f>
        <v/>
      </c>
      <c r="AD728" s="102" t="str">
        <f t="array" ref="AD728">_xlfn.XLOOKUP(AB728,Stock1!I728,Stock1!J728,"")</f>
        <v/>
      </c>
      <c r="AE728" s="102" t="str">
        <f t="array" ref="AE728">_xlfn.XLOOKUP("Storage",Stock1!B728,Stock1!I728,"")</f>
        <v/>
      </c>
      <c r="AF728" s="102" t="str">
        <f t="array" ref="AF728">_xlfn.XLOOKUP(AE728,Stock1!I728,Stock1!F728,"")</f>
        <v/>
      </c>
      <c r="AG728" s="102" t="str">
        <f t="array" ref="AG728">_xlfn.XLOOKUP(AE728,Stock1!I728,Stock1!J728,"")</f>
        <v/>
      </c>
    </row>
    <row r="729">
      <c r="K729" s="660" t="str">
        <f t="array" ref="K729">IFERROR(_xlfn.XLOOKUP(I729,Incentive!B:B,Incentive!E:E,""),"")</f>
        <v/>
      </c>
      <c r="L729" s="659" t="str">
        <f>IFERROR(VLOOKUP(I729,Stock1!F:J,5,False),"")</f>
        <v/>
      </c>
      <c r="M729" s="659" t="str">
        <f>IFERROR(VLOOKUP(I729,Stock2!F:J,5,False),"")</f>
        <v/>
      </c>
      <c r="V729" s="102" t="str">
        <f t="array" ref="V729">_xlfn.XLOOKUP("Charger",Stock1!B729,Stock1!I729,"")</f>
        <v/>
      </c>
      <c r="W729" s="102" t="str">
        <f t="array" ref="W729">_xlfn.XLOOKUP(V729,Stock1!I729,Stock1!F729,"")</f>
        <v/>
      </c>
      <c r="X729" s="102" t="str">
        <f t="array" ref="X729">_xlfn.XLOOKUP(V729,Stock1!I729,Stock1!J729,"")</f>
        <v/>
      </c>
      <c r="Y729" s="102" t="str">
        <f t="array" ref="Y729">_xlfn.XLOOKUP("Screen Protector for Android Phone and Other",Stock1!B729,Stock1!I729,"")</f>
        <v/>
      </c>
      <c r="Z729" s="102" t="str">
        <f t="array" ref="Z729">_xlfn.XLOOKUP("Screen Protector for Galaxy Phone",Stock1!B729,Stock1!I729,"")</f>
        <v/>
      </c>
      <c r="AA729" s="102" t="str">
        <f t="array" ref="AA729">_xlfn.XLOOKUP("Screen Protector for Galaxy Tab",Stock1!B729,Stock1!I729,"")</f>
        <v/>
      </c>
      <c r="AB729" s="102" t="str">
        <f t="shared" si="4"/>
        <v/>
      </c>
      <c r="AC729" s="102" t="str">
        <f t="array" ref="AC729">_xlfn.XLOOKUP(AB729,Stock1!I729,Stock1!F729,"")</f>
        <v/>
      </c>
      <c r="AD729" s="102" t="str">
        <f t="array" ref="AD729">_xlfn.XLOOKUP(AB729,Stock1!I729,Stock1!J729,"")</f>
        <v/>
      </c>
      <c r="AE729" s="102" t="str">
        <f t="array" ref="AE729">_xlfn.XLOOKUP("Storage",Stock1!B729,Stock1!I729,"")</f>
        <v/>
      </c>
      <c r="AF729" s="102" t="str">
        <f t="array" ref="AF729">_xlfn.XLOOKUP(AE729,Stock1!I729,Stock1!F729,"")</f>
        <v/>
      </c>
      <c r="AG729" s="102" t="str">
        <f t="array" ref="AG729">_xlfn.XLOOKUP(AE729,Stock1!I729,Stock1!J729,"")</f>
        <v/>
      </c>
    </row>
    <row r="730">
      <c r="K730" s="660" t="str">
        <f t="array" ref="K730">IFERROR(_xlfn.XLOOKUP(I730,Incentive!B:B,Incentive!E:E,""),"")</f>
        <v/>
      </c>
      <c r="L730" s="659" t="str">
        <f>IFERROR(VLOOKUP(I730,Stock1!F:J,5,False),"")</f>
        <v/>
      </c>
      <c r="M730" s="659" t="str">
        <f>IFERROR(VLOOKUP(I730,Stock2!F:J,5,False),"")</f>
        <v/>
      </c>
      <c r="V730" s="102" t="str">
        <f t="array" ref="V730">_xlfn.XLOOKUP("Charger",Stock1!B730,Stock1!I730,"")</f>
        <v/>
      </c>
      <c r="W730" s="102" t="str">
        <f t="array" ref="W730">_xlfn.XLOOKUP(V730,Stock1!I730,Stock1!F730,"")</f>
        <v/>
      </c>
      <c r="X730" s="102" t="str">
        <f t="array" ref="X730">_xlfn.XLOOKUP(V730,Stock1!I730,Stock1!J730,"")</f>
        <v/>
      </c>
      <c r="Y730" s="102" t="str">
        <f t="array" ref="Y730">_xlfn.XLOOKUP("Screen Protector for Android Phone and Other",Stock1!B730,Stock1!I730,"")</f>
        <v/>
      </c>
      <c r="Z730" s="102" t="str">
        <f t="array" ref="Z730">_xlfn.XLOOKUP("Screen Protector for Galaxy Phone",Stock1!B730,Stock1!I730,"")</f>
        <v/>
      </c>
      <c r="AA730" s="102" t="str">
        <f t="array" ref="AA730">_xlfn.XLOOKUP("Screen Protector for Galaxy Tab",Stock1!B730,Stock1!I730,"")</f>
        <v/>
      </c>
      <c r="AB730" s="102" t="str">
        <f t="shared" si="4"/>
        <v/>
      </c>
      <c r="AC730" s="102" t="str">
        <f t="array" ref="AC730">_xlfn.XLOOKUP(AB730,Stock1!I730,Stock1!F730,"")</f>
        <v/>
      </c>
      <c r="AD730" s="102" t="str">
        <f t="array" ref="AD730">_xlfn.XLOOKUP(AB730,Stock1!I730,Stock1!J730,"")</f>
        <v/>
      </c>
      <c r="AE730" s="102" t="str">
        <f t="array" ref="AE730">_xlfn.XLOOKUP("Storage",Stock1!B730,Stock1!I730,"")</f>
        <v/>
      </c>
      <c r="AF730" s="102" t="str">
        <f t="array" ref="AF730">_xlfn.XLOOKUP(AE730,Stock1!I730,Stock1!F730,"")</f>
        <v/>
      </c>
      <c r="AG730" s="102" t="str">
        <f t="array" ref="AG730">_xlfn.XLOOKUP(AE730,Stock1!I730,Stock1!J730,"")</f>
        <v/>
      </c>
    </row>
    <row r="731">
      <c r="K731" s="660" t="str">
        <f t="array" ref="K731">IFERROR(_xlfn.XLOOKUP(I731,Incentive!B:B,Incentive!E:E,""),"")</f>
        <v/>
      </c>
      <c r="L731" s="659" t="str">
        <f>IFERROR(VLOOKUP(I731,Stock1!F:J,5,False),"")</f>
        <v/>
      </c>
      <c r="M731" s="659" t="str">
        <f>IFERROR(VLOOKUP(I731,Stock2!F:J,5,False),"")</f>
        <v/>
      </c>
      <c r="V731" s="102" t="str">
        <f t="array" ref="V731">_xlfn.XLOOKUP("Charger",Stock1!B731,Stock1!I731,"")</f>
        <v/>
      </c>
      <c r="W731" s="102" t="str">
        <f t="array" ref="W731">_xlfn.XLOOKUP(V731,Stock1!I731,Stock1!F731,"")</f>
        <v/>
      </c>
      <c r="X731" s="102" t="str">
        <f t="array" ref="X731">_xlfn.XLOOKUP(V731,Stock1!I731,Stock1!J731,"")</f>
        <v/>
      </c>
      <c r="Y731" s="102" t="str">
        <f t="array" ref="Y731">_xlfn.XLOOKUP("Screen Protector for Android Phone and Other",Stock1!B731,Stock1!I731,"")</f>
        <v/>
      </c>
      <c r="Z731" s="102" t="str">
        <f t="array" ref="Z731">_xlfn.XLOOKUP("Screen Protector for Galaxy Phone",Stock1!B731,Stock1!I731,"")</f>
        <v/>
      </c>
      <c r="AA731" s="102" t="str">
        <f t="array" ref="AA731">_xlfn.XLOOKUP("Screen Protector for Galaxy Tab",Stock1!B731,Stock1!I731,"")</f>
        <v/>
      </c>
      <c r="AB731" s="102" t="str">
        <f t="shared" si="4"/>
        <v/>
      </c>
      <c r="AC731" s="102" t="str">
        <f t="array" ref="AC731">_xlfn.XLOOKUP(AB731,Stock1!I731,Stock1!F731,"")</f>
        <v/>
      </c>
      <c r="AD731" s="102" t="str">
        <f t="array" ref="AD731">_xlfn.XLOOKUP(AB731,Stock1!I731,Stock1!J731,"")</f>
        <v/>
      </c>
      <c r="AE731" s="102" t="str">
        <f t="array" ref="AE731">_xlfn.XLOOKUP("Storage",Stock1!B731,Stock1!I731,"")</f>
        <v/>
      </c>
      <c r="AF731" s="102" t="str">
        <f t="array" ref="AF731">_xlfn.XLOOKUP(AE731,Stock1!I731,Stock1!F731,"")</f>
        <v/>
      </c>
      <c r="AG731" s="102" t="str">
        <f t="array" ref="AG731">_xlfn.XLOOKUP(AE731,Stock1!I731,Stock1!J731,"")</f>
        <v/>
      </c>
    </row>
    <row r="732">
      <c r="K732" s="660" t="str">
        <f t="array" ref="K732">IFERROR(_xlfn.XLOOKUP(I732,Incentive!B:B,Incentive!E:E,""),"")</f>
        <v/>
      </c>
      <c r="L732" s="659" t="str">
        <f>IFERROR(VLOOKUP(I732,Stock1!F:J,5,False),"")</f>
        <v/>
      </c>
      <c r="M732" s="659" t="str">
        <f>IFERROR(VLOOKUP(I732,Stock2!F:J,5,False),"")</f>
        <v/>
      </c>
      <c r="V732" s="102" t="str">
        <f t="array" ref="V732">_xlfn.XLOOKUP("Charger",Stock1!B732,Stock1!I732,"")</f>
        <v/>
      </c>
      <c r="W732" s="102" t="str">
        <f t="array" ref="W732">_xlfn.XLOOKUP(V732,Stock1!I732,Stock1!F732,"")</f>
        <v/>
      </c>
      <c r="X732" s="102" t="str">
        <f t="array" ref="X732">_xlfn.XLOOKUP(V732,Stock1!I732,Stock1!J732,"")</f>
        <v/>
      </c>
      <c r="Y732" s="102" t="str">
        <f t="array" ref="Y732">_xlfn.XLOOKUP("Screen Protector for Android Phone and Other",Stock1!B732,Stock1!I732,"")</f>
        <v/>
      </c>
      <c r="Z732" s="102" t="str">
        <f t="array" ref="Z732">_xlfn.XLOOKUP("Screen Protector for Galaxy Phone",Stock1!B732,Stock1!I732,"")</f>
        <v/>
      </c>
      <c r="AA732" s="102" t="str">
        <f t="array" ref="AA732">_xlfn.XLOOKUP("Screen Protector for Galaxy Tab",Stock1!B732,Stock1!I732,"")</f>
        <v/>
      </c>
      <c r="AB732" s="102" t="str">
        <f t="shared" si="4"/>
        <v/>
      </c>
      <c r="AC732" s="102" t="str">
        <f t="array" ref="AC732">_xlfn.XLOOKUP(AB732,Stock1!I732,Stock1!F732,"")</f>
        <v/>
      </c>
      <c r="AD732" s="102" t="str">
        <f t="array" ref="AD732">_xlfn.XLOOKUP(AB732,Stock1!I732,Stock1!J732,"")</f>
        <v/>
      </c>
      <c r="AE732" s="102" t="str">
        <f t="array" ref="AE732">_xlfn.XLOOKUP("Storage",Stock1!B732,Stock1!I732,"")</f>
        <v/>
      </c>
      <c r="AF732" s="102" t="str">
        <f t="array" ref="AF732">_xlfn.XLOOKUP(AE732,Stock1!I732,Stock1!F732,"")</f>
        <v/>
      </c>
      <c r="AG732" s="102" t="str">
        <f t="array" ref="AG732">_xlfn.XLOOKUP(AE732,Stock1!I732,Stock1!J732,"")</f>
        <v/>
      </c>
    </row>
    <row r="733">
      <c r="K733" s="660" t="str">
        <f t="array" ref="K733">IFERROR(_xlfn.XLOOKUP(I733,Incentive!B:B,Incentive!E:E,""),"")</f>
        <v/>
      </c>
      <c r="L733" s="659" t="str">
        <f>IFERROR(VLOOKUP(I733,Stock1!F:J,5,False),"")</f>
        <v/>
      </c>
      <c r="M733" s="659" t="str">
        <f>IFERROR(VLOOKUP(I733,Stock2!F:J,5,False),"")</f>
        <v/>
      </c>
      <c r="V733" s="102" t="str">
        <f t="array" ref="V733">_xlfn.XLOOKUP("Charger",Stock1!B733,Stock1!I733,"")</f>
        <v/>
      </c>
      <c r="W733" s="102" t="str">
        <f t="array" ref="W733">_xlfn.XLOOKUP(V733,Stock1!I733,Stock1!F733,"")</f>
        <v/>
      </c>
      <c r="X733" s="102" t="str">
        <f t="array" ref="X733">_xlfn.XLOOKUP(V733,Stock1!I733,Stock1!J733,"")</f>
        <v/>
      </c>
      <c r="Y733" s="102" t="str">
        <f t="array" ref="Y733">_xlfn.XLOOKUP("Screen Protector for Android Phone and Other",Stock1!B733,Stock1!I733,"")</f>
        <v/>
      </c>
      <c r="Z733" s="102" t="str">
        <f t="array" ref="Z733">_xlfn.XLOOKUP("Screen Protector for Galaxy Phone",Stock1!B733,Stock1!I733,"")</f>
        <v/>
      </c>
      <c r="AA733" s="102" t="str">
        <f t="array" ref="AA733">_xlfn.XLOOKUP("Screen Protector for Galaxy Tab",Stock1!B733,Stock1!I733,"")</f>
        <v/>
      </c>
      <c r="AB733" s="102" t="str">
        <f t="shared" si="4"/>
        <v/>
      </c>
      <c r="AC733" s="102" t="str">
        <f t="array" ref="AC733">_xlfn.XLOOKUP(AB733,Stock1!I733,Stock1!F733,"")</f>
        <v/>
      </c>
      <c r="AD733" s="102" t="str">
        <f t="array" ref="AD733">_xlfn.XLOOKUP(AB733,Stock1!I733,Stock1!J733,"")</f>
        <v/>
      </c>
      <c r="AE733" s="102" t="str">
        <f t="array" ref="AE733">_xlfn.XLOOKUP("Storage",Stock1!B733,Stock1!I733,"")</f>
        <v/>
      </c>
      <c r="AF733" s="102" t="str">
        <f t="array" ref="AF733">_xlfn.XLOOKUP(AE733,Stock1!I733,Stock1!F733,"")</f>
        <v/>
      </c>
      <c r="AG733" s="102" t="str">
        <f t="array" ref="AG733">_xlfn.XLOOKUP(AE733,Stock1!I733,Stock1!J733,"")</f>
        <v/>
      </c>
    </row>
    <row r="734">
      <c r="K734" s="660" t="str">
        <f t="array" ref="K734">IFERROR(_xlfn.XLOOKUP(I734,Incentive!B:B,Incentive!E:E,""),"")</f>
        <v/>
      </c>
      <c r="L734" s="659" t="str">
        <f>IFERROR(VLOOKUP(I734,Stock1!F:J,5,False),"")</f>
        <v/>
      </c>
      <c r="M734" s="659" t="str">
        <f>IFERROR(VLOOKUP(I734,Stock2!F:J,5,False),"")</f>
        <v/>
      </c>
      <c r="V734" s="102" t="str">
        <f t="array" ref="V734">_xlfn.XLOOKUP("Charger",Stock1!B734,Stock1!I734,"")</f>
        <v/>
      </c>
      <c r="W734" s="102" t="str">
        <f t="array" ref="W734">_xlfn.XLOOKUP(V734,Stock1!I734,Stock1!F734,"")</f>
        <v/>
      </c>
      <c r="X734" s="102" t="str">
        <f t="array" ref="X734">_xlfn.XLOOKUP(V734,Stock1!I734,Stock1!J734,"")</f>
        <v/>
      </c>
      <c r="Y734" s="102" t="str">
        <f t="array" ref="Y734">_xlfn.XLOOKUP("Screen Protector for Android Phone and Other",Stock1!B734,Stock1!I734,"")</f>
        <v/>
      </c>
      <c r="Z734" s="102" t="str">
        <f t="array" ref="Z734">_xlfn.XLOOKUP("Screen Protector for Galaxy Phone",Stock1!B734,Stock1!I734,"")</f>
        <v/>
      </c>
      <c r="AA734" s="102" t="str">
        <f t="array" ref="AA734">_xlfn.XLOOKUP("Screen Protector for Galaxy Tab",Stock1!B734,Stock1!I734,"")</f>
        <v/>
      </c>
      <c r="AB734" s="102" t="str">
        <f t="shared" si="4"/>
        <v/>
      </c>
      <c r="AC734" s="102" t="str">
        <f t="array" ref="AC734">_xlfn.XLOOKUP(AB734,Stock1!I734,Stock1!F734,"")</f>
        <v/>
      </c>
      <c r="AD734" s="102" t="str">
        <f t="array" ref="AD734">_xlfn.XLOOKUP(AB734,Stock1!I734,Stock1!J734,"")</f>
        <v/>
      </c>
      <c r="AE734" s="102" t="str">
        <f t="array" ref="AE734">_xlfn.XLOOKUP("Storage",Stock1!B734,Stock1!I734,"")</f>
        <v/>
      </c>
      <c r="AF734" s="102" t="str">
        <f t="array" ref="AF734">_xlfn.XLOOKUP(AE734,Stock1!I734,Stock1!F734,"")</f>
        <v/>
      </c>
      <c r="AG734" s="102" t="str">
        <f t="array" ref="AG734">_xlfn.XLOOKUP(AE734,Stock1!I734,Stock1!J734,"")</f>
        <v/>
      </c>
    </row>
    <row r="735">
      <c r="K735" s="660" t="str">
        <f t="array" ref="K735">IFERROR(_xlfn.XLOOKUP(I735,Incentive!B:B,Incentive!E:E,""),"")</f>
        <v/>
      </c>
      <c r="L735" s="659" t="str">
        <f>IFERROR(VLOOKUP(I735,Stock1!F:J,5,False),"")</f>
        <v/>
      </c>
      <c r="M735" s="659" t="str">
        <f>IFERROR(VLOOKUP(I735,Stock2!F:J,5,False),"")</f>
        <v/>
      </c>
      <c r="V735" s="102" t="str">
        <f t="array" ref="V735">_xlfn.XLOOKUP("Charger",Stock1!B735,Stock1!I735,"")</f>
        <v/>
      </c>
      <c r="W735" s="102" t="str">
        <f t="array" ref="W735">_xlfn.XLOOKUP(V735,Stock1!I735,Stock1!F735,"")</f>
        <v/>
      </c>
      <c r="X735" s="102" t="str">
        <f t="array" ref="X735">_xlfn.XLOOKUP(V735,Stock1!I735,Stock1!J735,"")</f>
        <v/>
      </c>
      <c r="Y735" s="102" t="str">
        <f t="array" ref="Y735">_xlfn.XLOOKUP("Screen Protector for Android Phone and Other",Stock1!B735,Stock1!I735,"")</f>
        <v/>
      </c>
      <c r="Z735" s="102" t="str">
        <f t="array" ref="Z735">_xlfn.XLOOKUP("Screen Protector for Galaxy Phone",Stock1!B735,Stock1!I735,"")</f>
        <v/>
      </c>
      <c r="AA735" s="102" t="str">
        <f t="array" ref="AA735">_xlfn.XLOOKUP("Screen Protector for Galaxy Tab",Stock1!B735,Stock1!I735,"")</f>
        <v/>
      </c>
      <c r="AB735" s="102" t="str">
        <f t="shared" si="4"/>
        <v/>
      </c>
      <c r="AC735" s="102" t="str">
        <f t="array" ref="AC735">_xlfn.XLOOKUP(AB735,Stock1!I735,Stock1!F735,"")</f>
        <v/>
      </c>
      <c r="AD735" s="102" t="str">
        <f t="array" ref="AD735">_xlfn.XLOOKUP(AB735,Stock1!I735,Stock1!J735,"")</f>
        <v/>
      </c>
      <c r="AE735" s="102" t="str">
        <f t="array" ref="AE735">_xlfn.XLOOKUP("Storage",Stock1!B735,Stock1!I735,"")</f>
        <v/>
      </c>
      <c r="AF735" s="102" t="str">
        <f t="array" ref="AF735">_xlfn.XLOOKUP(AE735,Stock1!I735,Stock1!F735,"")</f>
        <v/>
      </c>
      <c r="AG735" s="102" t="str">
        <f t="array" ref="AG735">_xlfn.XLOOKUP(AE735,Stock1!I735,Stock1!J735,"")</f>
        <v/>
      </c>
    </row>
    <row r="736">
      <c r="K736" s="660" t="str">
        <f t="array" ref="K736">IFERROR(_xlfn.XLOOKUP(I736,Incentive!B:B,Incentive!E:E,""),"")</f>
        <v/>
      </c>
      <c r="L736" s="659" t="str">
        <f>IFERROR(VLOOKUP(I736,Stock1!F:J,5,False),"")</f>
        <v/>
      </c>
      <c r="M736" s="659" t="str">
        <f>IFERROR(VLOOKUP(I736,Stock2!F:J,5,False),"")</f>
        <v/>
      </c>
      <c r="V736" s="102" t="str">
        <f t="array" ref="V736">_xlfn.XLOOKUP("Charger",Stock1!B736,Stock1!I736,"")</f>
        <v/>
      </c>
      <c r="W736" s="102" t="str">
        <f t="array" ref="W736">_xlfn.XLOOKUP(V736,Stock1!I736,Stock1!F736,"")</f>
        <v/>
      </c>
      <c r="X736" s="102" t="str">
        <f t="array" ref="X736">_xlfn.XLOOKUP(V736,Stock1!I736,Stock1!J736,"")</f>
        <v/>
      </c>
      <c r="Y736" s="102" t="str">
        <f t="array" ref="Y736">_xlfn.XLOOKUP("Screen Protector for Android Phone and Other",Stock1!B736,Stock1!I736,"")</f>
        <v/>
      </c>
      <c r="Z736" s="102" t="str">
        <f t="array" ref="Z736">_xlfn.XLOOKUP("Screen Protector for Galaxy Phone",Stock1!B736,Stock1!I736,"")</f>
        <v/>
      </c>
      <c r="AA736" s="102" t="str">
        <f t="array" ref="AA736">_xlfn.XLOOKUP("Screen Protector for Galaxy Tab",Stock1!B736,Stock1!I736,"")</f>
        <v/>
      </c>
      <c r="AB736" s="102" t="str">
        <f t="shared" si="4"/>
        <v/>
      </c>
      <c r="AC736" s="102" t="str">
        <f t="array" ref="AC736">_xlfn.XLOOKUP(AB736,Stock1!I736,Stock1!F736,"")</f>
        <v/>
      </c>
      <c r="AD736" s="102" t="str">
        <f t="array" ref="AD736">_xlfn.XLOOKUP(AB736,Stock1!I736,Stock1!J736,"")</f>
        <v/>
      </c>
      <c r="AE736" s="102" t="str">
        <f t="array" ref="AE736">_xlfn.XLOOKUP("Storage",Stock1!B736,Stock1!I736,"")</f>
        <v/>
      </c>
      <c r="AF736" s="102" t="str">
        <f t="array" ref="AF736">_xlfn.XLOOKUP(AE736,Stock1!I736,Stock1!F736,"")</f>
        <v/>
      </c>
      <c r="AG736" s="102" t="str">
        <f t="array" ref="AG736">_xlfn.XLOOKUP(AE736,Stock1!I736,Stock1!J736,"")</f>
        <v/>
      </c>
    </row>
    <row r="737">
      <c r="K737" s="660" t="str">
        <f t="array" ref="K737">IFERROR(_xlfn.XLOOKUP(I737,Incentive!B:B,Incentive!E:E,""),"")</f>
        <v/>
      </c>
      <c r="L737" s="659" t="str">
        <f>IFERROR(VLOOKUP(I737,Stock1!F:J,5,False),"")</f>
        <v/>
      </c>
      <c r="M737" s="659" t="str">
        <f>IFERROR(VLOOKUP(I737,Stock2!F:J,5,False),"")</f>
        <v/>
      </c>
      <c r="V737" s="102" t="str">
        <f t="array" ref="V737">_xlfn.XLOOKUP("Charger",Stock1!B737,Stock1!I737,"")</f>
        <v/>
      </c>
      <c r="W737" s="102" t="str">
        <f t="array" ref="W737">_xlfn.XLOOKUP(V737,Stock1!I737,Stock1!F737,"")</f>
        <v/>
      </c>
      <c r="X737" s="102" t="str">
        <f t="array" ref="X737">_xlfn.XLOOKUP(V737,Stock1!I737,Stock1!J737,"")</f>
        <v/>
      </c>
      <c r="Y737" s="102" t="str">
        <f t="array" ref="Y737">_xlfn.XLOOKUP("Screen Protector for Android Phone and Other",Stock1!B737,Stock1!I737,"")</f>
        <v/>
      </c>
      <c r="Z737" s="102" t="str">
        <f t="array" ref="Z737">_xlfn.XLOOKUP("Screen Protector for Galaxy Phone",Stock1!B737,Stock1!I737,"")</f>
        <v/>
      </c>
      <c r="AA737" s="102" t="str">
        <f t="array" ref="AA737">_xlfn.XLOOKUP("Screen Protector for Galaxy Tab",Stock1!B737,Stock1!I737,"")</f>
        <v/>
      </c>
      <c r="AB737" s="102" t="str">
        <f t="shared" si="4"/>
        <v/>
      </c>
      <c r="AC737" s="102" t="str">
        <f t="array" ref="AC737">_xlfn.XLOOKUP(AB737,Stock1!I737,Stock1!F737,"")</f>
        <v/>
      </c>
      <c r="AD737" s="102" t="str">
        <f t="array" ref="AD737">_xlfn.XLOOKUP(AB737,Stock1!I737,Stock1!J737,"")</f>
        <v/>
      </c>
      <c r="AE737" s="102" t="str">
        <f t="array" ref="AE737">_xlfn.XLOOKUP("Storage",Stock1!B737,Stock1!I737,"")</f>
        <v/>
      </c>
      <c r="AF737" s="102" t="str">
        <f t="array" ref="AF737">_xlfn.XLOOKUP(AE737,Stock1!I737,Stock1!F737,"")</f>
        <v/>
      </c>
      <c r="AG737" s="102" t="str">
        <f t="array" ref="AG737">_xlfn.XLOOKUP(AE737,Stock1!I737,Stock1!J737,"")</f>
        <v/>
      </c>
    </row>
    <row r="738">
      <c r="K738" s="660" t="str">
        <f t="array" ref="K738">IFERROR(_xlfn.XLOOKUP(I738,Incentive!B:B,Incentive!E:E,""),"")</f>
        <v/>
      </c>
      <c r="L738" s="659" t="str">
        <f>IFERROR(VLOOKUP(I738,Stock1!F:J,5,False),"")</f>
        <v/>
      </c>
      <c r="M738" s="659" t="str">
        <f>IFERROR(VLOOKUP(I738,Stock2!F:J,5,False),"")</f>
        <v/>
      </c>
      <c r="V738" s="102" t="str">
        <f t="array" ref="V738">_xlfn.XLOOKUP("Charger",Stock1!B738,Stock1!I738,"")</f>
        <v/>
      </c>
      <c r="W738" s="102" t="str">
        <f t="array" ref="W738">_xlfn.XLOOKUP(V738,Stock1!I738,Stock1!F738,"")</f>
        <v/>
      </c>
      <c r="X738" s="102" t="str">
        <f t="array" ref="X738">_xlfn.XLOOKUP(V738,Stock1!I738,Stock1!J738,"")</f>
        <v/>
      </c>
      <c r="Y738" s="102" t="str">
        <f t="array" ref="Y738">_xlfn.XLOOKUP("Screen Protector for Android Phone and Other",Stock1!B738,Stock1!I738,"")</f>
        <v/>
      </c>
      <c r="Z738" s="102" t="str">
        <f t="array" ref="Z738">_xlfn.XLOOKUP("Screen Protector for Galaxy Phone",Stock1!B738,Stock1!I738,"")</f>
        <v/>
      </c>
      <c r="AA738" s="102" t="str">
        <f t="array" ref="AA738">_xlfn.XLOOKUP("Screen Protector for Galaxy Tab",Stock1!B738,Stock1!I738,"")</f>
        <v/>
      </c>
      <c r="AB738" s="102" t="str">
        <f t="shared" si="4"/>
        <v/>
      </c>
      <c r="AC738" s="102" t="str">
        <f t="array" ref="AC738">_xlfn.XLOOKUP(AB738,Stock1!I738,Stock1!F738,"")</f>
        <v/>
      </c>
      <c r="AD738" s="102" t="str">
        <f t="array" ref="AD738">_xlfn.XLOOKUP(AB738,Stock1!I738,Stock1!J738,"")</f>
        <v/>
      </c>
      <c r="AE738" s="102" t="str">
        <f t="array" ref="AE738">_xlfn.XLOOKUP("Storage",Stock1!B738,Stock1!I738,"")</f>
        <v/>
      </c>
      <c r="AF738" s="102" t="str">
        <f t="array" ref="AF738">_xlfn.XLOOKUP(AE738,Stock1!I738,Stock1!F738,"")</f>
        <v/>
      </c>
      <c r="AG738" s="102" t="str">
        <f t="array" ref="AG738">_xlfn.XLOOKUP(AE738,Stock1!I738,Stock1!J738,"")</f>
        <v/>
      </c>
    </row>
    <row r="739">
      <c r="K739" s="660" t="str">
        <f t="array" ref="K739">IFERROR(_xlfn.XLOOKUP(I739,Incentive!B:B,Incentive!E:E,""),"")</f>
        <v/>
      </c>
      <c r="L739" s="659" t="str">
        <f>IFERROR(VLOOKUP(I739,Stock1!F:J,5,False),"")</f>
        <v/>
      </c>
      <c r="M739" s="659" t="str">
        <f>IFERROR(VLOOKUP(I739,Stock2!F:J,5,False),"")</f>
        <v/>
      </c>
      <c r="V739" s="102" t="str">
        <f t="array" ref="V739">_xlfn.XLOOKUP("Charger",Stock1!B739,Stock1!I739,"")</f>
        <v/>
      </c>
      <c r="W739" s="102" t="str">
        <f t="array" ref="W739">_xlfn.XLOOKUP(V739,Stock1!I739,Stock1!F739,"")</f>
        <v/>
      </c>
      <c r="X739" s="102" t="str">
        <f t="array" ref="X739">_xlfn.XLOOKUP(V739,Stock1!I739,Stock1!J739,"")</f>
        <v/>
      </c>
      <c r="Y739" s="102" t="str">
        <f t="array" ref="Y739">_xlfn.XLOOKUP("Screen Protector for Android Phone and Other",Stock1!B739,Stock1!I739,"")</f>
        <v/>
      </c>
      <c r="Z739" s="102" t="str">
        <f t="array" ref="Z739">_xlfn.XLOOKUP("Screen Protector for Galaxy Phone",Stock1!B739,Stock1!I739,"")</f>
        <v/>
      </c>
      <c r="AA739" s="102" t="str">
        <f t="array" ref="AA739">_xlfn.XLOOKUP("Screen Protector for Galaxy Tab",Stock1!B739,Stock1!I739,"")</f>
        <v/>
      </c>
      <c r="AB739" s="102" t="str">
        <f t="shared" si="4"/>
        <v/>
      </c>
      <c r="AC739" s="102" t="str">
        <f t="array" ref="AC739">_xlfn.XLOOKUP(AB739,Stock1!I739,Stock1!F739,"")</f>
        <v/>
      </c>
      <c r="AD739" s="102" t="str">
        <f t="array" ref="AD739">_xlfn.XLOOKUP(AB739,Stock1!I739,Stock1!J739,"")</f>
        <v/>
      </c>
      <c r="AE739" s="102" t="str">
        <f t="array" ref="AE739">_xlfn.XLOOKUP("Storage",Stock1!B739,Stock1!I739,"")</f>
        <v/>
      </c>
      <c r="AF739" s="102" t="str">
        <f t="array" ref="AF739">_xlfn.XLOOKUP(AE739,Stock1!I739,Stock1!F739,"")</f>
        <v/>
      </c>
      <c r="AG739" s="102" t="str">
        <f t="array" ref="AG739">_xlfn.XLOOKUP(AE739,Stock1!I739,Stock1!J739,"")</f>
        <v/>
      </c>
    </row>
    <row r="740">
      <c r="K740" s="660" t="str">
        <f t="array" ref="K740">IFERROR(_xlfn.XLOOKUP(I740,Incentive!B:B,Incentive!E:E,""),"")</f>
        <v/>
      </c>
      <c r="L740" s="659" t="str">
        <f>IFERROR(VLOOKUP(I740,Stock1!F:J,5,False),"")</f>
        <v/>
      </c>
      <c r="M740" s="659" t="str">
        <f>IFERROR(VLOOKUP(I740,Stock2!F:J,5,False),"")</f>
        <v/>
      </c>
      <c r="V740" s="102" t="str">
        <f t="array" ref="V740">_xlfn.XLOOKUP("Charger",Stock1!B740,Stock1!I740,"")</f>
        <v/>
      </c>
      <c r="W740" s="102" t="str">
        <f t="array" ref="W740">_xlfn.XLOOKUP(V740,Stock1!I740,Stock1!F740,"")</f>
        <v/>
      </c>
      <c r="X740" s="102" t="str">
        <f t="array" ref="X740">_xlfn.XLOOKUP(V740,Stock1!I740,Stock1!J740,"")</f>
        <v/>
      </c>
      <c r="Y740" s="102" t="str">
        <f t="array" ref="Y740">_xlfn.XLOOKUP("Screen Protector for Android Phone and Other",Stock1!B740,Stock1!I740,"")</f>
        <v/>
      </c>
      <c r="Z740" s="102" t="str">
        <f t="array" ref="Z740">_xlfn.XLOOKUP("Screen Protector for Galaxy Phone",Stock1!B740,Stock1!I740,"")</f>
        <v/>
      </c>
      <c r="AA740" s="102" t="str">
        <f t="array" ref="AA740">_xlfn.XLOOKUP("Screen Protector for Galaxy Tab",Stock1!B740,Stock1!I740,"")</f>
        <v/>
      </c>
      <c r="AB740" s="102" t="str">
        <f t="shared" si="4"/>
        <v/>
      </c>
      <c r="AC740" s="102" t="str">
        <f t="array" ref="AC740">_xlfn.XLOOKUP(AB740,Stock1!I740,Stock1!F740,"")</f>
        <v/>
      </c>
      <c r="AD740" s="102" t="str">
        <f t="array" ref="AD740">_xlfn.XLOOKUP(AB740,Stock1!I740,Stock1!J740,"")</f>
        <v/>
      </c>
      <c r="AE740" s="102" t="str">
        <f t="array" ref="AE740">_xlfn.XLOOKUP("Storage",Stock1!B740,Stock1!I740,"")</f>
        <v/>
      </c>
      <c r="AF740" s="102" t="str">
        <f t="array" ref="AF740">_xlfn.XLOOKUP(AE740,Stock1!I740,Stock1!F740,"")</f>
        <v/>
      </c>
      <c r="AG740" s="102" t="str">
        <f t="array" ref="AG740">_xlfn.XLOOKUP(AE740,Stock1!I740,Stock1!J740,"")</f>
        <v/>
      </c>
    </row>
    <row r="741">
      <c r="K741" s="660" t="str">
        <f t="array" ref="K741">IFERROR(_xlfn.XLOOKUP(I741,Incentive!B:B,Incentive!E:E,""),"")</f>
        <v/>
      </c>
      <c r="L741" s="659" t="str">
        <f>IFERROR(VLOOKUP(I741,Stock1!F:J,5,False),"")</f>
        <v/>
      </c>
      <c r="M741" s="659" t="str">
        <f>IFERROR(VLOOKUP(I741,Stock2!F:J,5,False),"")</f>
        <v/>
      </c>
      <c r="V741" s="102" t="str">
        <f t="array" ref="V741">_xlfn.XLOOKUP("Charger",Stock1!B741,Stock1!I741,"")</f>
        <v/>
      </c>
      <c r="W741" s="102" t="str">
        <f t="array" ref="W741">_xlfn.XLOOKUP(V741,Stock1!I741,Stock1!F741,"")</f>
        <v/>
      </c>
      <c r="X741" s="102" t="str">
        <f t="array" ref="X741">_xlfn.XLOOKUP(V741,Stock1!I741,Stock1!J741,"")</f>
        <v/>
      </c>
      <c r="Y741" s="102" t="str">
        <f t="array" ref="Y741">_xlfn.XLOOKUP("Screen Protector for Android Phone and Other",Stock1!B741,Stock1!I741,"")</f>
        <v/>
      </c>
      <c r="Z741" s="102" t="str">
        <f t="array" ref="Z741">_xlfn.XLOOKUP("Screen Protector for Galaxy Phone",Stock1!B741,Stock1!I741,"")</f>
        <v/>
      </c>
      <c r="AA741" s="102" t="str">
        <f t="array" ref="AA741">_xlfn.XLOOKUP("Screen Protector for Galaxy Tab",Stock1!B741,Stock1!I741,"")</f>
        <v/>
      </c>
      <c r="AB741" s="102" t="str">
        <f t="shared" si="4"/>
        <v/>
      </c>
      <c r="AC741" s="102" t="str">
        <f t="array" ref="AC741">_xlfn.XLOOKUP(AB741,Stock1!I741,Stock1!F741,"")</f>
        <v/>
      </c>
      <c r="AD741" s="102" t="str">
        <f t="array" ref="AD741">_xlfn.XLOOKUP(AB741,Stock1!I741,Stock1!J741,"")</f>
        <v/>
      </c>
      <c r="AE741" s="102" t="str">
        <f t="array" ref="AE741">_xlfn.XLOOKUP("Storage",Stock1!B741,Stock1!I741,"")</f>
        <v/>
      </c>
      <c r="AF741" s="102" t="str">
        <f t="array" ref="AF741">_xlfn.XLOOKUP(AE741,Stock1!I741,Stock1!F741,"")</f>
        <v/>
      </c>
      <c r="AG741" s="102" t="str">
        <f t="array" ref="AG741">_xlfn.XLOOKUP(AE741,Stock1!I741,Stock1!J741,"")</f>
        <v/>
      </c>
    </row>
    <row r="742">
      <c r="K742" s="660" t="str">
        <f t="array" ref="K742">IFERROR(_xlfn.XLOOKUP(I742,Incentive!B:B,Incentive!E:E,""),"")</f>
        <v/>
      </c>
      <c r="L742" s="659" t="str">
        <f>IFERROR(VLOOKUP(I742,Stock1!F:J,5,False),"")</f>
        <v/>
      </c>
      <c r="M742" s="659" t="str">
        <f>IFERROR(VLOOKUP(I742,Stock2!F:J,5,False),"")</f>
        <v/>
      </c>
      <c r="V742" s="102" t="str">
        <f t="array" ref="V742">_xlfn.XLOOKUP("Charger",Stock1!B742,Stock1!I742,"")</f>
        <v/>
      </c>
      <c r="W742" s="102" t="str">
        <f t="array" ref="W742">_xlfn.XLOOKUP(V742,Stock1!I742,Stock1!F742,"")</f>
        <v/>
      </c>
      <c r="X742" s="102" t="str">
        <f t="array" ref="X742">_xlfn.XLOOKUP(V742,Stock1!I742,Stock1!J742,"")</f>
        <v/>
      </c>
      <c r="Y742" s="102" t="str">
        <f t="array" ref="Y742">_xlfn.XLOOKUP("Screen Protector for Android Phone and Other",Stock1!B742,Stock1!I742,"")</f>
        <v/>
      </c>
      <c r="Z742" s="102" t="str">
        <f t="array" ref="Z742">_xlfn.XLOOKUP("Screen Protector for Galaxy Phone",Stock1!B742,Stock1!I742,"")</f>
        <v/>
      </c>
      <c r="AA742" s="102" t="str">
        <f t="array" ref="AA742">_xlfn.XLOOKUP("Screen Protector for Galaxy Tab",Stock1!B742,Stock1!I742,"")</f>
        <v/>
      </c>
      <c r="AB742" s="102" t="str">
        <f t="shared" si="4"/>
        <v/>
      </c>
      <c r="AC742" s="102" t="str">
        <f t="array" ref="AC742">_xlfn.XLOOKUP(AB742,Stock1!I742,Stock1!F742,"")</f>
        <v/>
      </c>
      <c r="AD742" s="102" t="str">
        <f t="array" ref="AD742">_xlfn.XLOOKUP(AB742,Stock1!I742,Stock1!J742,"")</f>
        <v/>
      </c>
      <c r="AE742" s="102" t="str">
        <f t="array" ref="AE742">_xlfn.XLOOKUP("Storage",Stock1!B742,Stock1!I742,"")</f>
        <v/>
      </c>
      <c r="AF742" s="102" t="str">
        <f t="array" ref="AF742">_xlfn.XLOOKUP(AE742,Stock1!I742,Stock1!F742,"")</f>
        <v/>
      </c>
      <c r="AG742" s="102" t="str">
        <f t="array" ref="AG742">_xlfn.XLOOKUP(AE742,Stock1!I742,Stock1!J742,"")</f>
        <v/>
      </c>
    </row>
    <row r="743">
      <c r="K743" s="660" t="str">
        <f t="array" ref="K743">IFERROR(_xlfn.XLOOKUP(I743,Incentive!B:B,Incentive!E:E,""),"")</f>
        <v/>
      </c>
      <c r="L743" s="659" t="str">
        <f>IFERROR(VLOOKUP(I743,Stock1!F:J,5,False),"")</f>
        <v/>
      </c>
      <c r="M743" s="659" t="str">
        <f>IFERROR(VLOOKUP(I743,Stock2!F:J,5,False),"")</f>
        <v/>
      </c>
      <c r="V743" s="102" t="str">
        <f t="array" ref="V743">_xlfn.XLOOKUP("Charger",Stock1!B743,Stock1!I743,"")</f>
        <v/>
      </c>
      <c r="W743" s="102" t="str">
        <f t="array" ref="W743">_xlfn.XLOOKUP(V743,Stock1!I743,Stock1!F743,"")</f>
        <v/>
      </c>
      <c r="X743" s="102" t="str">
        <f t="array" ref="X743">_xlfn.XLOOKUP(V743,Stock1!I743,Stock1!J743,"")</f>
        <v/>
      </c>
      <c r="Y743" s="102" t="str">
        <f t="array" ref="Y743">_xlfn.XLOOKUP("Screen Protector for Android Phone and Other",Stock1!B743,Stock1!I743,"")</f>
        <v/>
      </c>
      <c r="Z743" s="102" t="str">
        <f t="array" ref="Z743">_xlfn.XLOOKUP("Screen Protector for Galaxy Phone",Stock1!B743,Stock1!I743,"")</f>
        <v/>
      </c>
      <c r="AA743" s="102" t="str">
        <f t="array" ref="AA743">_xlfn.XLOOKUP("Screen Protector for Galaxy Tab",Stock1!B743,Stock1!I743,"")</f>
        <v/>
      </c>
      <c r="AB743" s="102" t="str">
        <f t="shared" si="4"/>
        <v/>
      </c>
      <c r="AC743" s="102" t="str">
        <f t="array" ref="AC743">_xlfn.XLOOKUP(AB743,Stock1!I743,Stock1!F743,"")</f>
        <v/>
      </c>
      <c r="AD743" s="102" t="str">
        <f t="array" ref="AD743">_xlfn.XLOOKUP(AB743,Stock1!I743,Stock1!J743,"")</f>
        <v/>
      </c>
      <c r="AE743" s="102" t="str">
        <f t="array" ref="AE743">_xlfn.XLOOKUP("Storage",Stock1!B743,Stock1!I743,"")</f>
        <v/>
      </c>
      <c r="AF743" s="102" t="str">
        <f t="array" ref="AF743">_xlfn.XLOOKUP(AE743,Stock1!I743,Stock1!F743,"")</f>
        <v/>
      </c>
      <c r="AG743" s="102" t="str">
        <f t="array" ref="AG743">_xlfn.XLOOKUP(AE743,Stock1!I743,Stock1!J743,"")</f>
        <v/>
      </c>
    </row>
    <row r="744">
      <c r="K744" s="660" t="str">
        <f t="array" ref="K744">IFERROR(_xlfn.XLOOKUP(I744,Incentive!B:B,Incentive!E:E,""),"")</f>
        <v/>
      </c>
      <c r="L744" s="659" t="str">
        <f>IFERROR(VLOOKUP(I744,Stock1!F:J,5,False),"")</f>
        <v/>
      </c>
      <c r="M744" s="659" t="str">
        <f>IFERROR(VLOOKUP(I744,Stock2!F:J,5,False),"")</f>
        <v/>
      </c>
      <c r="V744" s="102" t="str">
        <f t="array" ref="V744">_xlfn.XLOOKUP("Charger",Stock1!B744,Stock1!I744,"")</f>
        <v/>
      </c>
      <c r="W744" s="102" t="str">
        <f t="array" ref="W744">_xlfn.XLOOKUP(V744,Stock1!I744,Stock1!F744,"")</f>
        <v/>
      </c>
      <c r="X744" s="102" t="str">
        <f t="array" ref="X744">_xlfn.XLOOKUP(V744,Stock1!I744,Stock1!J744,"")</f>
        <v/>
      </c>
      <c r="Y744" s="102" t="str">
        <f t="array" ref="Y744">_xlfn.XLOOKUP("Screen Protector for Android Phone and Other",Stock1!B744,Stock1!I744,"")</f>
        <v/>
      </c>
      <c r="Z744" s="102" t="str">
        <f t="array" ref="Z744">_xlfn.XLOOKUP("Screen Protector for Galaxy Phone",Stock1!B744,Stock1!I744,"")</f>
        <v/>
      </c>
      <c r="AA744" s="102" t="str">
        <f t="array" ref="AA744">_xlfn.XLOOKUP("Screen Protector for Galaxy Tab",Stock1!B744,Stock1!I744,"")</f>
        <v/>
      </c>
      <c r="AB744" s="102" t="str">
        <f t="shared" si="4"/>
        <v/>
      </c>
      <c r="AC744" s="102" t="str">
        <f t="array" ref="AC744">_xlfn.XLOOKUP(AB744,Stock1!I744,Stock1!F744,"")</f>
        <v/>
      </c>
      <c r="AD744" s="102" t="str">
        <f t="array" ref="AD744">_xlfn.XLOOKUP(AB744,Stock1!I744,Stock1!J744,"")</f>
        <v/>
      </c>
      <c r="AE744" s="102" t="str">
        <f t="array" ref="AE744">_xlfn.XLOOKUP("Storage",Stock1!B744,Stock1!I744,"")</f>
        <v/>
      </c>
      <c r="AF744" s="102" t="str">
        <f t="array" ref="AF744">_xlfn.XLOOKUP(AE744,Stock1!I744,Stock1!F744,"")</f>
        <v/>
      </c>
      <c r="AG744" s="102" t="str">
        <f t="array" ref="AG744">_xlfn.XLOOKUP(AE744,Stock1!I744,Stock1!J744,"")</f>
        <v/>
      </c>
    </row>
    <row r="745">
      <c r="K745" s="660" t="str">
        <f t="array" ref="K745">IFERROR(_xlfn.XLOOKUP(I745,Incentive!B:B,Incentive!E:E,""),"")</f>
        <v/>
      </c>
      <c r="L745" s="659" t="str">
        <f>IFERROR(VLOOKUP(I745,Stock1!F:J,5,False),"")</f>
        <v/>
      </c>
      <c r="M745" s="659" t="str">
        <f>IFERROR(VLOOKUP(I745,Stock2!F:J,5,False),"")</f>
        <v/>
      </c>
      <c r="V745" s="102" t="str">
        <f t="array" ref="V745">_xlfn.XLOOKUP("Charger",Stock1!B745,Stock1!I745,"")</f>
        <v/>
      </c>
      <c r="W745" s="102" t="str">
        <f t="array" ref="W745">_xlfn.XLOOKUP(V745,Stock1!I745,Stock1!F745,"")</f>
        <v/>
      </c>
      <c r="X745" s="102" t="str">
        <f t="array" ref="X745">_xlfn.XLOOKUP(V745,Stock1!I745,Stock1!J745,"")</f>
        <v/>
      </c>
      <c r="Y745" s="102" t="str">
        <f t="array" ref="Y745">_xlfn.XLOOKUP("Screen Protector for Android Phone and Other",Stock1!B745,Stock1!I745,"")</f>
        <v/>
      </c>
      <c r="Z745" s="102" t="str">
        <f t="array" ref="Z745">_xlfn.XLOOKUP("Screen Protector for Galaxy Phone",Stock1!B745,Stock1!I745,"")</f>
        <v/>
      </c>
      <c r="AA745" s="102" t="str">
        <f t="array" ref="AA745">_xlfn.XLOOKUP("Screen Protector for Galaxy Tab",Stock1!B745,Stock1!I745,"")</f>
        <v/>
      </c>
      <c r="AB745" s="102" t="str">
        <f t="shared" si="4"/>
        <v/>
      </c>
      <c r="AC745" s="102" t="str">
        <f t="array" ref="AC745">_xlfn.XLOOKUP(AB745,Stock1!I745,Stock1!F745,"")</f>
        <v/>
      </c>
      <c r="AD745" s="102" t="str">
        <f t="array" ref="AD745">_xlfn.XLOOKUP(AB745,Stock1!I745,Stock1!J745,"")</f>
        <v/>
      </c>
      <c r="AE745" s="102" t="str">
        <f t="array" ref="AE745">_xlfn.XLOOKUP("Storage",Stock1!B745,Stock1!I745,"")</f>
        <v/>
      </c>
      <c r="AF745" s="102" t="str">
        <f t="array" ref="AF745">_xlfn.XLOOKUP(AE745,Stock1!I745,Stock1!F745,"")</f>
        <v/>
      </c>
      <c r="AG745" s="102" t="str">
        <f t="array" ref="AG745">_xlfn.XLOOKUP(AE745,Stock1!I745,Stock1!J745,"")</f>
        <v/>
      </c>
    </row>
    <row r="746">
      <c r="K746" s="660" t="str">
        <f t="array" ref="K746">IFERROR(_xlfn.XLOOKUP(I746,Incentive!B:B,Incentive!E:E,""),"")</f>
        <v/>
      </c>
      <c r="L746" s="659" t="str">
        <f>IFERROR(VLOOKUP(I746,Stock1!F:J,5,False),"")</f>
        <v/>
      </c>
      <c r="M746" s="659" t="str">
        <f>IFERROR(VLOOKUP(I746,Stock2!F:J,5,False),"")</f>
        <v/>
      </c>
      <c r="V746" s="102" t="str">
        <f t="array" ref="V746">_xlfn.XLOOKUP("Charger",Stock1!B746,Stock1!I746,"")</f>
        <v/>
      </c>
      <c r="W746" s="102" t="str">
        <f t="array" ref="W746">_xlfn.XLOOKUP(V746,Stock1!I746,Stock1!F746,"")</f>
        <v/>
      </c>
      <c r="X746" s="102" t="str">
        <f t="array" ref="X746">_xlfn.XLOOKUP(V746,Stock1!I746,Stock1!J746,"")</f>
        <v/>
      </c>
      <c r="Y746" s="102" t="str">
        <f t="array" ref="Y746">_xlfn.XLOOKUP("Screen Protector for Android Phone and Other",Stock1!B746,Stock1!I746,"")</f>
        <v/>
      </c>
      <c r="Z746" s="102" t="str">
        <f t="array" ref="Z746">_xlfn.XLOOKUP("Screen Protector for Galaxy Phone",Stock1!B746,Stock1!I746,"")</f>
        <v/>
      </c>
      <c r="AA746" s="102" t="str">
        <f t="array" ref="AA746">_xlfn.XLOOKUP("Screen Protector for Galaxy Tab",Stock1!B746,Stock1!I746,"")</f>
        <v/>
      </c>
      <c r="AB746" s="102" t="str">
        <f t="shared" si="4"/>
        <v/>
      </c>
      <c r="AC746" s="102" t="str">
        <f t="array" ref="AC746">_xlfn.XLOOKUP(AB746,Stock1!I746,Stock1!F746,"")</f>
        <v/>
      </c>
      <c r="AD746" s="102" t="str">
        <f t="array" ref="AD746">_xlfn.XLOOKUP(AB746,Stock1!I746,Stock1!J746,"")</f>
        <v/>
      </c>
      <c r="AE746" s="102" t="str">
        <f t="array" ref="AE746">_xlfn.XLOOKUP("Storage",Stock1!B746,Stock1!I746,"")</f>
        <v/>
      </c>
      <c r="AF746" s="102" t="str">
        <f t="array" ref="AF746">_xlfn.XLOOKUP(AE746,Stock1!I746,Stock1!F746,"")</f>
        <v/>
      </c>
      <c r="AG746" s="102" t="str">
        <f t="array" ref="AG746">_xlfn.XLOOKUP(AE746,Stock1!I746,Stock1!J746,"")</f>
        <v/>
      </c>
    </row>
    <row r="747">
      <c r="K747" s="660" t="str">
        <f t="array" ref="K747">IFERROR(_xlfn.XLOOKUP(I747,Incentive!B:B,Incentive!E:E,""),"")</f>
        <v/>
      </c>
      <c r="L747" s="659" t="str">
        <f>IFERROR(VLOOKUP(I747,Stock1!F:J,5,False),"")</f>
        <v/>
      </c>
      <c r="M747" s="659" t="str">
        <f>IFERROR(VLOOKUP(I747,Stock2!F:J,5,False),"")</f>
        <v/>
      </c>
      <c r="V747" s="102" t="str">
        <f t="array" ref="V747">_xlfn.XLOOKUP("Charger",Stock1!B747,Stock1!I747,"")</f>
        <v/>
      </c>
      <c r="W747" s="102" t="str">
        <f t="array" ref="W747">_xlfn.XLOOKUP(V747,Stock1!I747,Stock1!F747,"")</f>
        <v/>
      </c>
      <c r="X747" s="102" t="str">
        <f t="array" ref="X747">_xlfn.XLOOKUP(V747,Stock1!I747,Stock1!J747,"")</f>
        <v/>
      </c>
      <c r="Y747" s="102" t="str">
        <f t="array" ref="Y747">_xlfn.XLOOKUP("Screen Protector for Android Phone and Other",Stock1!B747,Stock1!I747,"")</f>
        <v/>
      </c>
      <c r="Z747" s="102" t="str">
        <f t="array" ref="Z747">_xlfn.XLOOKUP("Screen Protector for Galaxy Phone",Stock1!B747,Stock1!I747,"")</f>
        <v/>
      </c>
      <c r="AA747" s="102" t="str">
        <f t="array" ref="AA747">_xlfn.XLOOKUP("Screen Protector for Galaxy Tab",Stock1!B747,Stock1!I747,"")</f>
        <v/>
      </c>
      <c r="AB747" s="102" t="str">
        <f t="shared" si="4"/>
        <v/>
      </c>
      <c r="AC747" s="102" t="str">
        <f t="array" ref="AC747">_xlfn.XLOOKUP(AB747,Stock1!I747,Stock1!F747,"")</f>
        <v/>
      </c>
      <c r="AD747" s="102" t="str">
        <f t="array" ref="AD747">_xlfn.XLOOKUP(AB747,Stock1!I747,Stock1!J747,"")</f>
        <v/>
      </c>
      <c r="AE747" s="102" t="str">
        <f t="array" ref="AE747">_xlfn.XLOOKUP("Storage",Stock1!B747,Stock1!I747,"")</f>
        <v/>
      </c>
      <c r="AF747" s="102" t="str">
        <f t="array" ref="AF747">_xlfn.XLOOKUP(AE747,Stock1!I747,Stock1!F747,"")</f>
        <v/>
      </c>
      <c r="AG747" s="102" t="str">
        <f t="array" ref="AG747">_xlfn.XLOOKUP(AE747,Stock1!I747,Stock1!J747,"")</f>
        <v/>
      </c>
    </row>
    <row r="748">
      <c r="K748" s="660" t="str">
        <f t="array" ref="K748">IFERROR(_xlfn.XLOOKUP(I748,Incentive!B:B,Incentive!E:E,""),"")</f>
        <v/>
      </c>
      <c r="L748" s="659" t="str">
        <f>IFERROR(VLOOKUP(I748,Stock1!F:J,5,False),"")</f>
        <v/>
      </c>
      <c r="M748" s="659" t="str">
        <f>IFERROR(VLOOKUP(I748,Stock2!F:J,5,False),"")</f>
        <v/>
      </c>
      <c r="V748" s="102" t="str">
        <f t="array" ref="V748">_xlfn.XLOOKUP("Charger",Stock1!B748,Stock1!I748,"")</f>
        <v/>
      </c>
      <c r="W748" s="102" t="str">
        <f t="array" ref="W748">_xlfn.XLOOKUP(V748,Stock1!I748,Stock1!F748,"")</f>
        <v/>
      </c>
      <c r="X748" s="102" t="str">
        <f t="array" ref="X748">_xlfn.XLOOKUP(V748,Stock1!I748,Stock1!J748,"")</f>
        <v/>
      </c>
      <c r="Y748" s="102" t="str">
        <f t="array" ref="Y748">_xlfn.XLOOKUP("Screen Protector for Android Phone and Other",Stock1!B748,Stock1!I748,"")</f>
        <v/>
      </c>
      <c r="Z748" s="102" t="str">
        <f t="array" ref="Z748">_xlfn.XLOOKUP("Screen Protector for Galaxy Phone",Stock1!B748,Stock1!I748,"")</f>
        <v/>
      </c>
      <c r="AA748" s="102" t="str">
        <f t="array" ref="AA748">_xlfn.XLOOKUP("Screen Protector for Galaxy Tab",Stock1!B748,Stock1!I748,"")</f>
        <v/>
      </c>
      <c r="AB748" s="102" t="str">
        <f t="shared" si="4"/>
        <v/>
      </c>
      <c r="AC748" s="102" t="str">
        <f t="array" ref="AC748">_xlfn.XLOOKUP(AB748,Stock1!I748,Stock1!F748,"")</f>
        <v/>
      </c>
      <c r="AD748" s="102" t="str">
        <f t="array" ref="AD748">_xlfn.XLOOKUP(AB748,Stock1!I748,Stock1!J748,"")</f>
        <v/>
      </c>
      <c r="AE748" s="102" t="str">
        <f t="array" ref="AE748">_xlfn.XLOOKUP("Storage",Stock1!B748,Stock1!I748,"")</f>
        <v/>
      </c>
      <c r="AF748" s="102" t="str">
        <f t="array" ref="AF748">_xlfn.XLOOKUP(AE748,Stock1!I748,Stock1!F748,"")</f>
        <v/>
      </c>
      <c r="AG748" s="102" t="str">
        <f t="array" ref="AG748">_xlfn.XLOOKUP(AE748,Stock1!I748,Stock1!J748,"")</f>
        <v/>
      </c>
    </row>
    <row r="749">
      <c r="K749" s="660" t="str">
        <f t="array" ref="K749">IFERROR(_xlfn.XLOOKUP(I749,Incentive!B:B,Incentive!E:E,""),"")</f>
        <v/>
      </c>
      <c r="L749" s="659" t="str">
        <f>IFERROR(VLOOKUP(I749,Stock1!F:J,5,False),"")</f>
        <v/>
      </c>
      <c r="M749" s="659" t="str">
        <f>IFERROR(VLOOKUP(I749,Stock2!F:J,5,False),"")</f>
        <v/>
      </c>
      <c r="V749" s="102" t="str">
        <f t="array" ref="V749">_xlfn.XLOOKUP("Charger",Stock1!B749,Stock1!I749,"")</f>
        <v/>
      </c>
      <c r="W749" s="102" t="str">
        <f t="array" ref="W749">_xlfn.XLOOKUP(V749,Stock1!I749,Stock1!F749,"")</f>
        <v/>
      </c>
      <c r="X749" s="102" t="str">
        <f t="array" ref="X749">_xlfn.XLOOKUP(V749,Stock1!I749,Stock1!J749,"")</f>
        <v/>
      </c>
      <c r="Y749" s="102" t="str">
        <f t="array" ref="Y749">_xlfn.XLOOKUP("Screen Protector for Android Phone and Other",Stock1!B749,Stock1!I749,"")</f>
        <v/>
      </c>
      <c r="Z749" s="102" t="str">
        <f t="array" ref="Z749">_xlfn.XLOOKUP("Screen Protector for Galaxy Phone",Stock1!B749,Stock1!I749,"")</f>
        <v/>
      </c>
      <c r="AA749" s="102" t="str">
        <f t="array" ref="AA749">_xlfn.XLOOKUP("Screen Protector for Galaxy Tab",Stock1!B749,Stock1!I749,"")</f>
        <v/>
      </c>
      <c r="AB749" s="102" t="str">
        <f t="shared" si="4"/>
        <v/>
      </c>
      <c r="AC749" s="102" t="str">
        <f t="array" ref="AC749">_xlfn.XLOOKUP(AB749,Stock1!I749,Stock1!F749,"")</f>
        <v/>
      </c>
      <c r="AD749" s="102" t="str">
        <f t="array" ref="AD749">_xlfn.XLOOKUP(AB749,Stock1!I749,Stock1!J749,"")</f>
        <v/>
      </c>
      <c r="AE749" s="102" t="str">
        <f t="array" ref="AE749">_xlfn.XLOOKUP("Storage",Stock1!B749,Stock1!I749,"")</f>
        <v/>
      </c>
      <c r="AF749" s="102" t="str">
        <f t="array" ref="AF749">_xlfn.XLOOKUP(AE749,Stock1!I749,Stock1!F749,"")</f>
        <v/>
      </c>
      <c r="AG749" s="102" t="str">
        <f t="array" ref="AG749">_xlfn.XLOOKUP(AE749,Stock1!I749,Stock1!J749,"")</f>
        <v/>
      </c>
    </row>
    <row r="750">
      <c r="K750" s="660" t="str">
        <f t="array" ref="K750">IFERROR(_xlfn.XLOOKUP(I750,Incentive!B:B,Incentive!E:E,""),"")</f>
        <v/>
      </c>
      <c r="L750" s="659" t="str">
        <f>IFERROR(VLOOKUP(I750,Stock1!F:J,5,False),"")</f>
        <v/>
      </c>
      <c r="M750" s="659" t="str">
        <f>IFERROR(VLOOKUP(I750,Stock2!F:J,5,False),"")</f>
        <v/>
      </c>
      <c r="V750" s="102" t="str">
        <f t="array" ref="V750">_xlfn.XLOOKUP("Charger",Stock1!B750,Stock1!I750,"")</f>
        <v/>
      </c>
      <c r="W750" s="102" t="str">
        <f t="array" ref="W750">_xlfn.XLOOKUP(V750,Stock1!I750,Stock1!F750,"")</f>
        <v/>
      </c>
      <c r="X750" s="102" t="str">
        <f t="array" ref="X750">_xlfn.XLOOKUP(V750,Stock1!I750,Stock1!J750,"")</f>
        <v/>
      </c>
      <c r="Y750" s="102" t="str">
        <f t="array" ref="Y750">_xlfn.XLOOKUP("Screen Protector for Android Phone and Other",Stock1!B750,Stock1!I750,"")</f>
        <v/>
      </c>
      <c r="Z750" s="102" t="str">
        <f t="array" ref="Z750">_xlfn.XLOOKUP("Screen Protector for Galaxy Phone",Stock1!B750,Stock1!I750,"")</f>
        <v/>
      </c>
      <c r="AA750" s="102" t="str">
        <f t="array" ref="AA750">_xlfn.XLOOKUP("Screen Protector for Galaxy Tab",Stock1!B750,Stock1!I750,"")</f>
        <v/>
      </c>
      <c r="AB750" s="102" t="str">
        <f t="shared" si="4"/>
        <v/>
      </c>
      <c r="AC750" s="102" t="str">
        <f t="array" ref="AC750">_xlfn.XLOOKUP(AB750,Stock1!I750,Stock1!F750,"")</f>
        <v/>
      </c>
      <c r="AD750" s="102" t="str">
        <f t="array" ref="AD750">_xlfn.XLOOKUP(AB750,Stock1!I750,Stock1!J750,"")</f>
        <v/>
      </c>
      <c r="AE750" s="102" t="str">
        <f t="array" ref="AE750">_xlfn.XLOOKUP("Storage",Stock1!B750,Stock1!I750,"")</f>
        <v/>
      </c>
      <c r="AF750" s="102" t="str">
        <f t="array" ref="AF750">_xlfn.XLOOKUP(AE750,Stock1!I750,Stock1!F750,"")</f>
        <v/>
      </c>
      <c r="AG750" s="102" t="str">
        <f t="array" ref="AG750">_xlfn.XLOOKUP(AE750,Stock1!I750,Stock1!J750,"")</f>
        <v/>
      </c>
    </row>
    <row r="751">
      <c r="K751" s="660" t="str">
        <f t="array" ref="K751">IFERROR(_xlfn.XLOOKUP(I751,Incentive!B:B,Incentive!E:E,""),"")</f>
        <v/>
      </c>
      <c r="L751" s="659" t="str">
        <f>IFERROR(VLOOKUP(I751,Stock1!F:J,5,False),"")</f>
        <v/>
      </c>
      <c r="M751" s="659" t="str">
        <f>IFERROR(VLOOKUP(I751,Stock2!F:J,5,False),"")</f>
        <v/>
      </c>
      <c r="V751" s="102" t="str">
        <f t="array" ref="V751">_xlfn.XLOOKUP("Charger",Stock1!B751,Stock1!I751,"")</f>
        <v/>
      </c>
      <c r="W751" s="102" t="str">
        <f t="array" ref="W751">_xlfn.XLOOKUP(V751,Stock1!I751,Stock1!F751,"")</f>
        <v/>
      </c>
      <c r="X751" s="102" t="str">
        <f t="array" ref="X751">_xlfn.XLOOKUP(V751,Stock1!I751,Stock1!J751,"")</f>
        <v/>
      </c>
      <c r="Y751" s="102" t="str">
        <f t="array" ref="Y751">_xlfn.XLOOKUP("Screen Protector for Android Phone and Other",Stock1!B751,Stock1!I751,"")</f>
        <v/>
      </c>
      <c r="Z751" s="102" t="str">
        <f t="array" ref="Z751">_xlfn.XLOOKUP("Screen Protector for Galaxy Phone",Stock1!B751,Stock1!I751,"")</f>
        <v/>
      </c>
      <c r="AA751" s="102" t="str">
        <f t="array" ref="AA751">_xlfn.XLOOKUP("Screen Protector for Galaxy Tab",Stock1!B751,Stock1!I751,"")</f>
        <v/>
      </c>
      <c r="AB751" s="102" t="str">
        <f t="shared" si="4"/>
        <v/>
      </c>
      <c r="AC751" s="102" t="str">
        <f t="array" ref="AC751">_xlfn.XLOOKUP(AB751,Stock1!I751,Stock1!F751,"")</f>
        <v/>
      </c>
      <c r="AD751" s="102" t="str">
        <f t="array" ref="AD751">_xlfn.XLOOKUP(AB751,Stock1!I751,Stock1!J751,"")</f>
        <v/>
      </c>
      <c r="AE751" s="102" t="str">
        <f t="array" ref="AE751">_xlfn.XLOOKUP("Storage",Stock1!B751,Stock1!I751,"")</f>
        <v/>
      </c>
      <c r="AF751" s="102" t="str">
        <f t="array" ref="AF751">_xlfn.XLOOKUP(AE751,Stock1!I751,Stock1!F751,"")</f>
        <v/>
      </c>
      <c r="AG751" s="102" t="str">
        <f t="array" ref="AG751">_xlfn.XLOOKUP(AE751,Stock1!I751,Stock1!J751,"")</f>
        <v/>
      </c>
    </row>
    <row r="752">
      <c r="K752" s="660" t="str">
        <f t="array" ref="K752">IFERROR(_xlfn.XLOOKUP(I752,Incentive!B:B,Incentive!E:E,""),"")</f>
        <v/>
      </c>
      <c r="L752" s="659" t="str">
        <f>IFERROR(VLOOKUP(I752,Stock1!F:J,5,False),"")</f>
        <v/>
      </c>
      <c r="M752" s="659" t="str">
        <f>IFERROR(VLOOKUP(I752,Stock2!F:J,5,False),"")</f>
        <v/>
      </c>
      <c r="V752" s="102" t="str">
        <f t="array" ref="V752">_xlfn.XLOOKUP("Charger",Stock1!B752,Stock1!I752,"")</f>
        <v/>
      </c>
      <c r="W752" s="102" t="str">
        <f t="array" ref="W752">_xlfn.XLOOKUP(V752,Stock1!I752,Stock1!F752,"")</f>
        <v/>
      </c>
      <c r="X752" s="102" t="str">
        <f t="array" ref="X752">_xlfn.XLOOKUP(V752,Stock1!I752,Stock1!J752,"")</f>
        <v/>
      </c>
      <c r="Y752" s="102" t="str">
        <f t="array" ref="Y752">_xlfn.XLOOKUP("Screen Protector for Android Phone and Other",Stock1!B752,Stock1!I752,"")</f>
        <v/>
      </c>
      <c r="Z752" s="102" t="str">
        <f t="array" ref="Z752">_xlfn.XLOOKUP("Screen Protector for Galaxy Phone",Stock1!B752,Stock1!I752,"")</f>
        <v/>
      </c>
      <c r="AA752" s="102" t="str">
        <f t="array" ref="AA752">_xlfn.XLOOKUP("Screen Protector for Galaxy Tab",Stock1!B752,Stock1!I752,"")</f>
        <v/>
      </c>
      <c r="AB752" s="102" t="str">
        <f t="shared" si="4"/>
        <v/>
      </c>
      <c r="AC752" s="102" t="str">
        <f t="array" ref="AC752">_xlfn.XLOOKUP(AB752,Stock1!I752,Stock1!F752,"")</f>
        <v/>
      </c>
      <c r="AD752" s="102" t="str">
        <f t="array" ref="AD752">_xlfn.XLOOKUP(AB752,Stock1!I752,Stock1!J752,"")</f>
        <v/>
      </c>
      <c r="AE752" s="102" t="str">
        <f t="array" ref="AE752">_xlfn.XLOOKUP("Storage",Stock1!B752,Stock1!I752,"")</f>
        <v/>
      </c>
      <c r="AF752" s="102" t="str">
        <f t="array" ref="AF752">_xlfn.XLOOKUP(AE752,Stock1!I752,Stock1!F752,"")</f>
        <v/>
      </c>
      <c r="AG752" s="102" t="str">
        <f t="array" ref="AG752">_xlfn.XLOOKUP(AE752,Stock1!I752,Stock1!J752,"")</f>
        <v/>
      </c>
    </row>
    <row r="753">
      <c r="K753" s="660" t="str">
        <f t="array" ref="K753">IFERROR(_xlfn.XLOOKUP(I753,Incentive!B:B,Incentive!E:E,""),"")</f>
        <v/>
      </c>
      <c r="L753" s="659" t="str">
        <f>IFERROR(VLOOKUP(I753,Stock1!F:J,5,False),"")</f>
        <v/>
      </c>
      <c r="M753" s="659" t="str">
        <f>IFERROR(VLOOKUP(I753,Stock2!F:J,5,False),"")</f>
        <v/>
      </c>
      <c r="V753" s="102" t="str">
        <f t="array" ref="V753">_xlfn.XLOOKUP("Charger",Stock1!B753,Stock1!I753,"")</f>
        <v/>
      </c>
      <c r="W753" s="102" t="str">
        <f t="array" ref="W753">_xlfn.XLOOKUP(V753,Stock1!I753,Stock1!F753,"")</f>
        <v/>
      </c>
      <c r="X753" s="102" t="str">
        <f t="array" ref="X753">_xlfn.XLOOKUP(V753,Stock1!I753,Stock1!J753,"")</f>
        <v/>
      </c>
      <c r="Y753" s="102" t="str">
        <f t="array" ref="Y753">_xlfn.XLOOKUP("Screen Protector for Android Phone and Other",Stock1!B753,Stock1!I753,"")</f>
        <v/>
      </c>
      <c r="Z753" s="102" t="str">
        <f t="array" ref="Z753">_xlfn.XLOOKUP("Screen Protector for Galaxy Phone",Stock1!B753,Stock1!I753,"")</f>
        <v/>
      </c>
      <c r="AA753" s="102" t="str">
        <f t="array" ref="AA753">_xlfn.XLOOKUP("Screen Protector for Galaxy Tab",Stock1!B753,Stock1!I753,"")</f>
        <v/>
      </c>
      <c r="AB753" s="102" t="str">
        <f t="shared" si="4"/>
        <v/>
      </c>
      <c r="AC753" s="102" t="str">
        <f t="array" ref="AC753">_xlfn.XLOOKUP(AB753,Stock1!I753,Stock1!F753,"")</f>
        <v/>
      </c>
      <c r="AD753" s="102" t="str">
        <f t="array" ref="AD753">_xlfn.XLOOKUP(AB753,Stock1!I753,Stock1!J753,"")</f>
        <v/>
      </c>
      <c r="AE753" s="102" t="str">
        <f t="array" ref="AE753">_xlfn.XLOOKUP("Storage",Stock1!B753,Stock1!I753,"")</f>
        <v/>
      </c>
      <c r="AF753" s="102" t="str">
        <f t="array" ref="AF753">_xlfn.XLOOKUP(AE753,Stock1!I753,Stock1!F753,"")</f>
        <v/>
      </c>
      <c r="AG753" s="102" t="str">
        <f t="array" ref="AG753">_xlfn.XLOOKUP(AE753,Stock1!I753,Stock1!J753,"")</f>
        <v/>
      </c>
    </row>
    <row r="754">
      <c r="K754" s="660" t="str">
        <f t="array" ref="K754">IFERROR(_xlfn.XLOOKUP(I754,Incentive!B:B,Incentive!E:E,""),"")</f>
        <v/>
      </c>
      <c r="L754" s="659" t="str">
        <f>IFERROR(VLOOKUP(I754,Stock1!F:J,5,False),"")</f>
        <v/>
      </c>
      <c r="M754" s="659" t="str">
        <f>IFERROR(VLOOKUP(I754,Stock2!F:J,5,False),"")</f>
        <v/>
      </c>
      <c r="V754" s="102" t="str">
        <f t="array" ref="V754">_xlfn.XLOOKUP("Charger",Stock1!B754,Stock1!I754,"")</f>
        <v/>
      </c>
      <c r="W754" s="102" t="str">
        <f t="array" ref="W754">_xlfn.XLOOKUP(V754,Stock1!I754,Stock1!F754,"")</f>
        <v/>
      </c>
      <c r="X754" s="102" t="str">
        <f t="array" ref="X754">_xlfn.XLOOKUP(V754,Stock1!I754,Stock1!J754,"")</f>
        <v/>
      </c>
      <c r="Y754" s="102" t="str">
        <f t="array" ref="Y754">_xlfn.XLOOKUP("Screen Protector for Android Phone and Other",Stock1!B754,Stock1!I754,"")</f>
        <v/>
      </c>
      <c r="Z754" s="102" t="str">
        <f t="array" ref="Z754">_xlfn.XLOOKUP("Screen Protector for Galaxy Phone",Stock1!B754,Stock1!I754,"")</f>
        <v/>
      </c>
      <c r="AA754" s="102" t="str">
        <f t="array" ref="AA754">_xlfn.XLOOKUP("Screen Protector for Galaxy Tab",Stock1!B754,Stock1!I754,"")</f>
        <v/>
      </c>
      <c r="AB754" s="102" t="str">
        <f t="shared" si="4"/>
        <v/>
      </c>
      <c r="AC754" s="102" t="str">
        <f t="array" ref="AC754">_xlfn.XLOOKUP(AB754,Stock1!I754,Stock1!F754,"")</f>
        <v/>
      </c>
      <c r="AD754" s="102" t="str">
        <f t="array" ref="AD754">_xlfn.XLOOKUP(AB754,Stock1!I754,Stock1!J754,"")</f>
        <v/>
      </c>
      <c r="AE754" s="102" t="str">
        <f t="array" ref="AE754">_xlfn.XLOOKUP("Storage",Stock1!B754,Stock1!I754,"")</f>
        <v/>
      </c>
      <c r="AF754" s="102" t="str">
        <f t="array" ref="AF754">_xlfn.XLOOKUP(AE754,Stock1!I754,Stock1!F754,"")</f>
        <v/>
      </c>
      <c r="AG754" s="102" t="str">
        <f t="array" ref="AG754">_xlfn.XLOOKUP(AE754,Stock1!I754,Stock1!J754,"")</f>
        <v/>
      </c>
    </row>
    <row r="755">
      <c r="K755" s="660" t="str">
        <f t="array" ref="K755">IFERROR(_xlfn.XLOOKUP(I755,Incentive!B:B,Incentive!E:E,""),"")</f>
        <v/>
      </c>
      <c r="L755" s="659" t="str">
        <f>IFERROR(VLOOKUP(I755,Stock1!F:J,5,False),"")</f>
        <v/>
      </c>
      <c r="M755" s="659" t="str">
        <f>IFERROR(VLOOKUP(I755,Stock2!F:J,5,False),"")</f>
        <v/>
      </c>
      <c r="V755" s="102" t="str">
        <f t="array" ref="V755">_xlfn.XLOOKUP("Charger",Stock1!B755,Stock1!I755,"")</f>
        <v/>
      </c>
      <c r="W755" s="102" t="str">
        <f t="array" ref="W755">_xlfn.XLOOKUP(V755,Stock1!I755,Stock1!F755,"")</f>
        <v/>
      </c>
      <c r="X755" s="102" t="str">
        <f t="array" ref="X755">_xlfn.XLOOKUP(V755,Stock1!I755,Stock1!J755,"")</f>
        <v/>
      </c>
      <c r="Y755" s="102" t="str">
        <f t="array" ref="Y755">_xlfn.XLOOKUP("Screen Protector for Android Phone and Other",Stock1!B755,Stock1!I755,"")</f>
        <v/>
      </c>
      <c r="Z755" s="102" t="str">
        <f t="array" ref="Z755">_xlfn.XLOOKUP("Screen Protector for Galaxy Phone",Stock1!B755,Stock1!I755,"")</f>
        <v/>
      </c>
      <c r="AA755" s="102" t="str">
        <f t="array" ref="AA755">_xlfn.XLOOKUP("Screen Protector for Galaxy Tab",Stock1!B755,Stock1!I755,"")</f>
        <v/>
      </c>
      <c r="AB755" s="102" t="str">
        <f t="shared" si="4"/>
        <v/>
      </c>
      <c r="AC755" s="102" t="str">
        <f t="array" ref="AC755">_xlfn.XLOOKUP(AB755,Stock1!I755,Stock1!F755,"")</f>
        <v/>
      </c>
      <c r="AD755" s="102" t="str">
        <f t="array" ref="AD755">_xlfn.XLOOKUP(AB755,Stock1!I755,Stock1!J755,"")</f>
        <v/>
      </c>
      <c r="AE755" s="102" t="str">
        <f t="array" ref="AE755">_xlfn.XLOOKUP("Storage",Stock1!B755,Stock1!I755,"")</f>
        <v/>
      </c>
      <c r="AF755" s="102" t="str">
        <f t="array" ref="AF755">_xlfn.XLOOKUP(AE755,Stock1!I755,Stock1!F755,"")</f>
        <v/>
      </c>
      <c r="AG755" s="102" t="str">
        <f t="array" ref="AG755">_xlfn.XLOOKUP(AE755,Stock1!I755,Stock1!J755,"")</f>
        <v/>
      </c>
    </row>
    <row r="756">
      <c r="K756" s="660" t="str">
        <f t="array" ref="K756">IFERROR(_xlfn.XLOOKUP(I756,Incentive!B:B,Incentive!E:E,""),"")</f>
        <v/>
      </c>
      <c r="L756" s="659" t="str">
        <f>IFERROR(VLOOKUP(I756,Stock1!F:J,5,False),"")</f>
        <v/>
      </c>
      <c r="M756" s="659" t="str">
        <f>IFERROR(VLOOKUP(I756,Stock2!F:J,5,False),"")</f>
        <v/>
      </c>
      <c r="V756" s="102" t="str">
        <f t="array" ref="V756">_xlfn.XLOOKUP("Charger",Stock1!B756,Stock1!I756,"")</f>
        <v/>
      </c>
      <c r="W756" s="102" t="str">
        <f t="array" ref="W756">_xlfn.XLOOKUP(V756,Stock1!I756,Stock1!F756,"")</f>
        <v/>
      </c>
      <c r="X756" s="102" t="str">
        <f t="array" ref="X756">_xlfn.XLOOKUP(V756,Stock1!I756,Stock1!J756,"")</f>
        <v/>
      </c>
      <c r="Y756" s="102" t="str">
        <f t="array" ref="Y756">_xlfn.XLOOKUP("Screen Protector for Android Phone and Other",Stock1!B756,Stock1!I756,"")</f>
        <v/>
      </c>
      <c r="Z756" s="102" t="str">
        <f t="array" ref="Z756">_xlfn.XLOOKUP("Screen Protector for Galaxy Phone",Stock1!B756,Stock1!I756,"")</f>
        <v/>
      </c>
      <c r="AA756" s="102" t="str">
        <f t="array" ref="AA756">_xlfn.XLOOKUP("Screen Protector for Galaxy Tab",Stock1!B756,Stock1!I756,"")</f>
        <v/>
      </c>
      <c r="AB756" s="102" t="str">
        <f t="shared" si="4"/>
        <v/>
      </c>
      <c r="AC756" s="102" t="str">
        <f t="array" ref="AC756">_xlfn.XLOOKUP(AB756,Stock1!I756,Stock1!F756,"")</f>
        <v/>
      </c>
      <c r="AD756" s="102" t="str">
        <f t="array" ref="AD756">_xlfn.XLOOKUP(AB756,Stock1!I756,Stock1!J756,"")</f>
        <v/>
      </c>
      <c r="AE756" s="102" t="str">
        <f t="array" ref="AE756">_xlfn.XLOOKUP("Storage",Stock1!B756,Stock1!I756,"")</f>
        <v/>
      </c>
      <c r="AF756" s="102" t="str">
        <f t="array" ref="AF756">_xlfn.XLOOKUP(AE756,Stock1!I756,Stock1!F756,"")</f>
        <v/>
      </c>
      <c r="AG756" s="102" t="str">
        <f t="array" ref="AG756">_xlfn.XLOOKUP(AE756,Stock1!I756,Stock1!J756,"")</f>
        <v/>
      </c>
    </row>
    <row r="757">
      <c r="K757" s="660" t="str">
        <f t="array" ref="K757">IFERROR(_xlfn.XLOOKUP(I757,Incentive!B:B,Incentive!E:E,""),"")</f>
        <v/>
      </c>
      <c r="L757" s="659" t="str">
        <f>IFERROR(VLOOKUP(I757,Stock1!F:J,5,False),"")</f>
        <v/>
      </c>
      <c r="M757" s="659" t="str">
        <f>IFERROR(VLOOKUP(I757,Stock2!F:J,5,False),"")</f>
        <v/>
      </c>
      <c r="V757" s="102" t="str">
        <f t="array" ref="V757">_xlfn.XLOOKUP("Charger",Stock1!B757,Stock1!I757,"")</f>
        <v/>
      </c>
      <c r="W757" s="102" t="str">
        <f t="array" ref="W757">_xlfn.XLOOKUP(V757,Stock1!I757,Stock1!F757,"")</f>
        <v/>
      </c>
      <c r="X757" s="102" t="str">
        <f t="array" ref="X757">_xlfn.XLOOKUP(V757,Stock1!I757,Stock1!J757,"")</f>
        <v/>
      </c>
      <c r="Y757" s="102" t="str">
        <f t="array" ref="Y757">_xlfn.XLOOKUP("Screen Protector for Android Phone and Other",Stock1!B757,Stock1!I757,"")</f>
        <v/>
      </c>
      <c r="Z757" s="102" t="str">
        <f t="array" ref="Z757">_xlfn.XLOOKUP("Screen Protector for Galaxy Phone",Stock1!B757,Stock1!I757,"")</f>
        <v/>
      </c>
      <c r="AA757" s="102" t="str">
        <f t="array" ref="AA757">_xlfn.XLOOKUP("Screen Protector for Galaxy Tab",Stock1!B757,Stock1!I757,"")</f>
        <v/>
      </c>
      <c r="AB757" s="102" t="str">
        <f t="shared" si="4"/>
        <v/>
      </c>
      <c r="AC757" s="102" t="str">
        <f t="array" ref="AC757">_xlfn.XLOOKUP(AB757,Stock1!I757,Stock1!F757,"")</f>
        <v/>
      </c>
      <c r="AD757" s="102" t="str">
        <f t="array" ref="AD757">_xlfn.XLOOKUP(AB757,Stock1!I757,Stock1!J757,"")</f>
        <v/>
      </c>
      <c r="AE757" s="102" t="str">
        <f t="array" ref="AE757">_xlfn.XLOOKUP("Storage",Stock1!B757,Stock1!I757,"")</f>
        <v/>
      </c>
      <c r="AF757" s="102" t="str">
        <f t="array" ref="AF757">_xlfn.XLOOKUP(AE757,Stock1!I757,Stock1!F757,"")</f>
        <v/>
      </c>
      <c r="AG757" s="102" t="str">
        <f t="array" ref="AG757">_xlfn.XLOOKUP(AE757,Stock1!I757,Stock1!J757,"")</f>
        <v/>
      </c>
    </row>
    <row r="758">
      <c r="K758" s="660" t="str">
        <f t="array" ref="K758">IFERROR(_xlfn.XLOOKUP(I758,Incentive!B:B,Incentive!E:E,""),"")</f>
        <v/>
      </c>
      <c r="L758" s="659" t="str">
        <f>IFERROR(VLOOKUP(I758,Stock1!F:J,5,False),"")</f>
        <v/>
      </c>
      <c r="M758" s="659" t="str">
        <f>IFERROR(VLOOKUP(I758,Stock2!F:J,5,False),"")</f>
        <v/>
      </c>
      <c r="V758" s="102" t="str">
        <f t="array" ref="V758">_xlfn.XLOOKUP("Charger",Stock1!B758,Stock1!I758,"")</f>
        <v/>
      </c>
      <c r="W758" s="102" t="str">
        <f t="array" ref="W758">_xlfn.XLOOKUP(V758,Stock1!I758,Stock1!F758,"")</f>
        <v/>
      </c>
      <c r="X758" s="102" t="str">
        <f t="array" ref="X758">_xlfn.XLOOKUP(V758,Stock1!I758,Stock1!J758,"")</f>
        <v/>
      </c>
      <c r="Y758" s="102" t="str">
        <f t="array" ref="Y758">_xlfn.XLOOKUP("Screen Protector for Android Phone and Other",Stock1!B758,Stock1!I758,"")</f>
        <v/>
      </c>
      <c r="Z758" s="102" t="str">
        <f t="array" ref="Z758">_xlfn.XLOOKUP("Screen Protector for Galaxy Phone",Stock1!B758,Stock1!I758,"")</f>
        <v/>
      </c>
      <c r="AA758" s="102" t="str">
        <f t="array" ref="AA758">_xlfn.XLOOKUP("Screen Protector for Galaxy Tab",Stock1!B758,Stock1!I758,"")</f>
        <v/>
      </c>
      <c r="AB758" s="102" t="str">
        <f t="shared" si="4"/>
        <v/>
      </c>
      <c r="AC758" s="102" t="str">
        <f t="array" ref="AC758">_xlfn.XLOOKUP(AB758,Stock1!I758,Stock1!F758,"")</f>
        <v/>
      </c>
      <c r="AD758" s="102" t="str">
        <f t="array" ref="AD758">_xlfn.XLOOKUP(AB758,Stock1!I758,Stock1!J758,"")</f>
        <v/>
      </c>
      <c r="AE758" s="102" t="str">
        <f t="array" ref="AE758">_xlfn.XLOOKUP("Storage",Stock1!B758,Stock1!I758,"")</f>
        <v/>
      </c>
      <c r="AF758" s="102" t="str">
        <f t="array" ref="AF758">_xlfn.XLOOKUP(AE758,Stock1!I758,Stock1!F758,"")</f>
        <v/>
      </c>
      <c r="AG758" s="102" t="str">
        <f t="array" ref="AG758">_xlfn.XLOOKUP(AE758,Stock1!I758,Stock1!J758,"")</f>
        <v/>
      </c>
    </row>
    <row r="759">
      <c r="K759" s="660" t="str">
        <f t="array" ref="K759">IFERROR(_xlfn.XLOOKUP(I759,Incentive!B:B,Incentive!E:E,""),"")</f>
        <v/>
      </c>
      <c r="L759" s="659" t="str">
        <f>IFERROR(VLOOKUP(I759,Stock1!F:J,5,False),"")</f>
        <v/>
      </c>
      <c r="M759" s="659" t="str">
        <f>IFERROR(VLOOKUP(I759,Stock2!F:J,5,False),"")</f>
        <v/>
      </c>
      <c r="V759" s="102" t="str">
        <f t="array" ref="V759">_xlfn.XLOOKUP("Charger",Stock1!B759,Stock1!I759,"")</f>
        <v/>
      </c>
      <c r="W759" s="102" t="str">
        <f t="array" ref="W759">_xlfn.XLOOKUP(V759,Stock1!I759,Stock1!F759,"")</f>
        <v/>
      </c>
      <c r="X759" s="102" t="str">
        <f t="array" ref="X759">_xlfn.XLOOKUP(V759,Stock1!I759,Stock1!J759,"")</f>
        <v/>
      </c>
      <c r="Y759" s="102" t="str">
        <f t="array" ref="Y759">_xlfn.XLOOKUP("Screen Protector for Android Phone and Other",Stock1!B759,Stock1!I759,"")</f>
        <v/>
      </c>
      <c r="Z759" s="102" t="str">
        <f t="array" ref="Z759">_xlfn.XLOOKUP("Screen Protector for Galaxy Phone",Stock1!B759,Stock1!I759,"")</f>
        <v/>
      </c>
      <c r="AA759" s="102" t="str">
        <f t="array" ref="AA759">_xlfn.XLOOKUP("Screen Protector for Galaxy Tab",Stock1!B759,Stock1!I759,"")</f>
        <v/>
      </c>
      <c r="AB759" s="102" t="str">
        <f t="shared" si="4"/>
        <v/>
      </c>
      <c r="AC759" s="102" t="str">
        <f t="array" ref="AC759">_xlfn.XLOOKUP(AB759,Stock1!I759,Stock1!F759,"")</f>
        <v/>
      </c>
      <c r="AD759" s="102" t="str">
        <f t="array" ref="AD759">_xlfn.XLOOKUP(AB759,Stock1!I759,Stock1!J759,"")</f>
        <v/>
      </c>
      <c r="AE759" s="102" t="str">
        <f t="array" ref="AE759">_xlfn.XLOOKUP("Storage",Stock1!B759,Stock1!I759,"")</f>
        <v/>
      </c>
      <c r="AF759" s="102" t="str">
        <f t="array" ref="AF759">_xlfn.XLOOKUP(AE759,Stock1!I759,Stock1!F759,"")</f>
        <v/>
      </c>
      <c r="AG759" s="102" t="str">
        <f t="array" ref="AG759">_xlfn.XLOOKUP(AE759,Stock1!I759,Stock1!J759,"")</f>
        <v/>
      </c>
    </row>
    <row r="760">
      <c r="K760" s="660" t="str">
        <f t="array" ref="K760">IFERROR(_xlfn.XLOOKUP(I760,Incentive!B:B,Incentive!E:E,""),"")</f>
        <v/>
      </c>
      <c r="L760" s="659" t="str">
        <f>IFERROR(VLOOKUP(I760,Stock1!F:J,5,False),"")</f>
        <v/>
      </c>
      <c r="M760" s="659" t="str">
        <f>IFERROR(VLOOKUP(I760,Stock2!F:J,5,False),"")</f>
        <v/>
      </c>
      <c r="V760" s="102" t="str">
        <f t="array" ref="V760">_xlfn.XLOOKUP("Charger",Stock1!B760,Stock1!I760,"")</f>
        <v/>
      </c>
      <c r="W760" s="102" t="str">
        <f t="array" ref="W760">_xlfn.XLOOKUP(V760,Stock1!I760,Stock1!F760,"")</f>
        <v/>
      </c>
      <c r="X760" s="102" t="str">
        <f t="array" ref="X760">_xlfn.XLOOKUP(V760,Stock1!I760,Stock1!J760,"")</f>
        <v/>
      </c>
      <c r="Y760" s="102" t="str">
        <f t="array" ref="Y760">_xlfn.XLOOKUP("Screen Protector for Android Phone and Other",Stock1!B760,Stock1!I760,"")</f>
        <v/>
      </c>
      <c r="Z760" s="102" t="str">
        <f t="array" ref="Z760">_xlfn.XLOOKUP("Screen Protector for Galaxy Phone",Stock1!B760,Stock1!I760,"")</f>
        <v/>
      </c>
      <c r="AA760" s="102" t="str">
        <f t="array" ref="AA760">_xlfn.XLOOKUP("Screen Protector for Galaxy Tab",Stock1!B760,Stock1!I760,"")</f>
        <v/>
      </c>
      <c r="AB760" s="102" t="str">
        <f t="shared" si="4"/>
        <v/>
      </c>
      <c r="AC760" s="102" t="str">
        <f t="array" ref="AC760">_xlfn.XLOOKUP(AB760,Stock1!I760,Stock1!F760,"")</f>
        <v/>
      </c>
      <c r="AD760" s="102" t="str">
        <f t="array" ref="AD760">_xlfn.XLOOKUP(AB760,Stock1!I760,Stock1!J760,"")</f>
        <v/>
      </c>
      <c r="AE760" s="102" t="str">
        <f t="array" ref="AE760">_xlfn.XLOOKUP("Storage",Stock1!B760,Stock1!I760,"")</f>
        <v/>
      </c>
      <c r="AF760" s="102" t="str">
        <f t="array" ref="AF760">_xlfn.XLOOKUP(AE760,Stock1!I760,Stock1!F760,"")</f>
        <v/>
      </c>
      <c r="AG760" s="102" t="str">
        <f t="array" ref="AG760">_xlfn.XLOOKUP(AE760,Stock1!I760,Stock1!J760,"")</f>
        <v/>
      </c>
    </row>
    <row r="761">
      <c r="K761" s="660" t="str">
        <f t="array" ref="K761">IFERROR(_xlfn.XLOOKUP(I761,Incentive!B:B,Incentive!E:E,""),"")</f>
        <v/>
      </c>
      <c r="L761" s="659" t="str">
        <f>IFERROR(VLOOKUP(I761,Stock1!F:J,5,False),"")</f>
        <v/>
      </c>
      <c r="M761" s="659" t="str">
        <f>IFERROR(VLOOKUP(I761,Stock2!F:J,5,False),"")</f>
        <v/>
      </c>
      <c r="V761" s="102" t="str">
        <f t="array" ref="V761">_xlfn.XLOOKUP("Charger",Stock1!B761,Stock1!I761,"")</f>
        <v/>
      </c>
      <c r="W761" s="102" t="str">
        <f t="array" ref="W761">_xlfn.XLOOKUP(V761,Stock1!I761,Stock1!F761,"")</f>
        <v/>
      </c>
      <c r="X761" s="102" t="str">
        <f t="array" ref="X761">_xlfn.XLOOKUP(V761,Stock1!I761,Stock1!J761,"")</f>
        <v/>
      </c>
      <c r="Y761" s="102" t="str">
        <f t="array" ref="Y761">_xlfn.XLOOKUP("Screen Protector for Android Phone and Other",Stock1!B761,Stock1!I761,"")</f>
        <v/>
      </c>
      <c r="Z761" s="102" t="str">
        <f t="array" ref="Z761">_xlfn.XLOOKUP("Screen Protector for Galaxy Phone",Stock1!B761,Stock1!I761,"")</f>
        <v/>
      </c>
      <c r="AA761" s="102" t="str">
        <f t="array" ref="AA761">_xlfn.XLOOKUP("Screen Protector for Galaxy Tab",Stock1!B761,Stock1!I761,"")</f>
        <v/>
      </c>
      <c r="AB761" s="102" t="str">
        <f t="shared" si="4"/>
        <v/>
      </c>
      <c r="AC761" s="102" t="str">
        <f t="array" ref="AC761">_xlfn.XLOOKUP(AB761,Stock1!I761,Stock1!F761,"")</f>
        <v/>
      </c>
      <c r="AD761" s="102" t="str">
        <f t="array" ref="AD761">_xlfn.XLOOKUP(AB761,Stock1!I761,Stock1!J761,"")</f>
        <v/>
      </c>
      <c r="AE761" s="102" t="str">
        <f t="array" ref="AE761">_xlfn.XLOOKUP("Storage",Stock1!B761,Stock1!I761,"")</f>
        <v/>
      </c>
      <c r="AF761" s="102" t="str">
        <f t="array" ref="AF761">_xlfn.XLOOKUP(AE761,Stock1!I761,Stock1!F761,"")</f>
        <v/>
      </c>
      <c r="AG761" s="102" t="str">
        <f t="array" ref="AG761">_xlfn.XLOOKUP(AE761,Stock1!I761,Stock1!J761,"")</f>
        <v/>
      </c>
    </row>
    <row r="762">
      <c r="K762" s="660" t="str">
        <f t="array" ref="K762">IFERROR(_xlfn.XLOOKUP(I762,Incentive!B:B,Incentive!E:E,""),"")</f>
        <v/>
      </c>
      <c r="L762" s="659" t="str">
        <f>IFERROR(VLOOKUP(I762,Stock1!F:J,5,False),"")</f>
        <v/>
      </c>
      <c r="M762" s="659" t="str">
        <f>IFERROR(VLOOKUP(I762,Stock2!F:J,5,False),"")</f>
        <v/>
      </c>
      <c r="V762" s="102" t="str">
        <f t="array" ref="V762">_xlfn.XLOOKUP("Charger",Stock1!B762,Stock1!I762,"")</f>
        <v/>
      </c>
      <c r="W762" s="102" t="str">
        <f t="array" ref="W762">_xlfn.XLOOKUP(V762,Stock1!I762,Stock1!F762,"")</f>
        <v/>
      </c>
      <c r="X762" s="102" t="str">
        <f t="array" ref="X762">_xlfn.XLOOKUP(V762,Stock1!I762,Stock1!J762,"")</f>
        <v/>
      </c>
      <c r="Y762" s="102" t="str">
        <f t="array" ref="Y762">_xlfn.XLOOKUP("Screen Protector for Android Phone and Other",Stock1!B762,Stock1!I762,"")</f>
        <v/>
      </c>
      <c r="Z762" s="102" t="str">
        <f t="array" ref="Z762">_xlfn.XLOOKUP("Screen Protector for Galaxy Phone",Stock1!B762,Stock1!I762,"")</f>
        <v/>
      </c>
      <c r="AA762" s="102" t="str">
        <f t="array" ref="AA762">_xlfn.XLOOKUP("Screen Protector for Galaxy Tab",Stock1!B762,Stock1!I762,"")</f>
        <v/>
      </c>
      <c r="AB762" s="102" t="str">
        <f t="shared" si="4"/>
        <v/>
      </c>
      <c r="AC762" s="102" t="str">
        <f t="array" ref="AC762">_xlfn.XLOOKUP(AB762,Stock1!I762,Stock1!F762,"")</f>
        <v/>
      </c>
      <c r="AD762" s="102" t="str">
        <f t="array" ref="AD762">_xlfn.XLOOKUP(AB762,Stock1!I762,Stock1!J762,"")</f>
        <v/>
      </c>
      <c r="AE762" s="102" t="str">
        <f t="array" ref="AE762">_xlfn.XLOOKUP("Storage",Stock1!B762,Stock1!I762,"")</f>
        <v/>
      </c>
      <c r="AF762" s="102" t="str">
        <f t="array" ref="AF762">_xlfn.XLOOKUP(AE762,Stock1!I762,Stock1!F762,"")</f>
        <v/>
      </c>
      <c r="AG762" s="102" t="str">
        <f t="array" ref="AG762">_xlfn.XLOOKUP(AE762,Stock1!I762,Stock1!J762,"")</f>
        <v/>
      </c>
    </row>
    <row r="763">
      <c r="K763" s="660" t="str">
        <f t="array" ref="K763">IFERROR(_xlfn.XLOOKUP(I763,Incentive!B:B,Incentive!E:E,""),"")</f>
        <v/>
      </c>
      <c r="L763" s="659" t="str">
        <f>IFERROR(VLOOKUP(I763,Stock1!F:J,5,False),"")</f>
        <v/>
      </c>
      <c r="M763" s="659" t="str">
        <f>IFERROR(VLOOKUP(I763,Stock2!F:J,5,False),"")</f>
        <v/>
      </c>
      <c r="V763" s="102" t="str">
        <f t="array" ref="V763">_xlfn.XLOOKUP("Charger",Stock1!B763,Stock1!I763,"")</f>
        <v/>
      </c>
      <c r="W763" s="102" t="str">
        <f t="array" ref="W763">_xlfn.XLOOKUP(V763,Stock1!I763,Stock1!F763,"")</f>
        <v/>
      </c>
      <c r="X763" s="102" t="str">
        <f t="array" ref="X763">_xlfn.XLOOKUP(V763,Stock1!I763,Stock1!J763,"")</f>
        <v/>
      </c>
      <c r="Y763" s="102" t="str">
        <f t="array" ref="Y763">_xlfn.XLOOKUP("Screen Protector for Android Phone and Other",Stock1!B763,Stock1!I763,"")</f>
        <v/>
      </c>
      <c r="Z763" s="102" t="str">
        <f t="array" ref="Z763">_xlfn.XLOOKUP("Screen Protector for Galaxy Phone",Stock1!B763,Stock1!I763,"")</f>
        <v/>
      </c>
      <c r="AA763" s="102" t="str">
        <f t="array" ref="AA763">_xlfn.XLOOKUP("Screen Protector for Galaxy Tab",Stock1!B763,Stock1!I763,"")</f>
        <v/>
      </c>
      <c r="AB763" s="102" t="str">
        <f t="shared" si="4"/>
        <v/>
      </c>
      <c r="AC763" s="102" t="str">
        <f t="array" ref="AC763">_xlfn.XLOOKUP(AB763,Stock1!I763,Stock1!F763,"")</f>
        <v/>
      </c>
      <c r="AD763" s="102" t="str">
        <f t="array" ref="AD763">_xlfn.XLOOKUP(AB763,Stock1!I763,Stock1!J763,"")</f>
        <v/>
      </c>
      <c r="AE763" s="102" t="str">
        <f t="array" ref="AE763">_xlfn.XLOOKUP("Storage",Stock1!B763,Stock1!I763,"")</f>
        <v/>
      </c>
      <c r="AF763" s="102" t="str">
        <f t="array" ref="AF763">_xlfn.XLOOKUP(AE763,Stock1!I763,Stock1!F763,"")</f>
        <v/>
      </c>
      <c r="AG763" s="102" t="str">
        <f t="array" ref="AG763">_xlfn.XLOOKUP(AE763,Stock1!I763,Stock1!J763,"")</f>
        <v/>
      </c>
    </row>
    <row r="764">
      <c r="K764" s="660" t="str">
        <f t="array" ref="K764">IFERROR(_xlfn.XLOOKUP(I764,Incentive!B:B,Incentive!E:E,""),"")</f>
        <v/>
      </c>
      <c r="L764" s="659" t="str">
        <f>IFERROR(VLOOKUP(I764,Stock1!F:J,5,False),"")</f>
        <v/>
      </c>
      <c r="M764" s="659" t="str">
        <f>IFERROR(VLOOKUP(I764,Stock2!F:J,5,False),"")</f>
        <v/>
      </c>
      <c r="V764" s="102" t="str">
        <f t="array" ref="V764">_xlfn.XLOOKUP("Charger",Stock1!B764,Stock1!I764,"")</f>
        <v/>
      </c>
      <c r="W764" s="102" t="str">
        <f t="array" ref="W764">_xlfn.XLOOKUP(V764,Stock1!I764,Stock1!F764,"")</f>
        <v/>
      </c>
      <c r="X764" s="102" t="str">
        <f t="array" ref="X764">_xlfn.XLOOKUP(V764,Stock1!I764,Stock1!J764,"")</f>
        <v/>
      </c>
      <c r="Y764" s="102" t="str">
        <f t="array" ref="Y764">_xlfn.XLOOKUP("Screen Protector for Android Phone and Other",Stock1!B764,Stock1!I764,"")</f>
        <v/>
      </c>
      <c r="Z764" s="102" t="str">
        <f t="array" ref="Z764">_xlfn.XLOOKUP("Screen Protector for Galaxy Phone",Stock1!B764,Stock1!I764,"")</f>
        <v/>
      </c>
      <c r="AA764" s="102" t="str">
        <f t="array" ref="AA764">_xlfn.XLOOKUP("Screen Protector for Galaxy Tab",Stock1!B764,Stock1!I764,"")</f>
        <v/>
      </c>
      <c r="AB764" s="102" t="str">
        <f t="shared" si="4"/>
        <v/>
      </c>
      <c r="AC764" s="102" t="str">
        <f t="array" ref="AC764">_xlfn.XLOOKUP(AB764,Stock1!I764,Stock1!F764,"")</f>
        <v/>
      </c>
      <c r="AD764" s="102" t="str">
        <f t="array" ref="AD764">_xlfn.XLOOKUP(AB764,Stock1!I764,Stock1!J764,"")</f>
        <v/>
      </c>
      <c r="AE764" s="102" t="str">
        <f t="array" ref="AE764">_xlfn.XLOOKUP("Storage",Stock1!B764,Stock1!I764,"")</f>
        <v/>
      </c>
      <c r="AF764" s="102" t="str">
        <f t="array" ref="AF764">_xlfn.XLOOKUP(AE764,Stock1!I764,Stock1!F764,"")</f>
        <v/>
      </c>
      <c r="AG764" s="102" t="str">
        <f t="array" ref="AG764">_xlfn.XLOOKUP(AE764,Stock1!I764,Stock1!J764,"")</f>
        <v/>
      </c>
    </row>
    <row r="765">
      <c r="K765" s="660" t="str">
        <f t="array" ref="K765">IFERROR(_xlfn.XLOOKUP(I765,Incentive!B:B,Incentive!E:E,""),"")</f>
        <v/>
      </c>
      <c r="L765" s="659" t="str">
        <f>IFERROR(VLOOKUP(I765,Stock1!F:J,5,False),"")</f>
        <v/>
      </c>
      <c r="M765" s="659" t="str">
        <f>IFERROR(VLOOKUP(I765,Stock2!F:J,5,False),"")</f>
        <v/>
      </c>
      <c r="V765" s="102" t="str">
        <f t="array" ref="V765">_xlfn.XLOOKUP("Charger",Stock1!B765,Stock1!I765,"")</f>
        <v/>
      </c>
      <c r="W765" s="102" t="str">
        <f t="array" ref="W765">_xlfn.XLOOKUP(V765,Stock1!I765,Stock1!F765,"")</f>
        <v/>
      </c>
      <c r="X765" s="102" t="str">
        <f t="array" ref="X765">_xlfn.XLOOKUP(V765,Stock1!I765,Stock1!J765,"")</f>
        <v/>
      </c>
      <c r="Y765" s="102" t="str">
        <f t="array" ref="Y765">_xlfn.XLOOKUP("Screen Protector for Android Phone and Other",Stock1!B765,Stock1!I765,"")</f>
        <v/>
      </c>
      <c r="Z765" s="102" t="str">
        <f t="array" ref="Z765">_xlfn.XLOOKUP("Screen Protector for Galaxy Phone",Stock1!B765,Stock1!I765,"")</f>
        <v/>
      </c>
      <c r="AA765" s="102" t="str">
        <f t="array" ref="AA765">_xlfn.XLOOKUP("Screen Protector for Galaxy Tab",Stock1!B765,Stock1!I765,"")</f>
        <v/>
      </c>
      <c r="AB765" s="102" t="str">
        <f t="shared" si="4"/>
        <v/>
      </c>
      <c r="AC765" s="102" t="str">
        <f t="array" ref="AC765">_xlfn.XLOOKUP(AB765,Stock1!I765,Stock1!F765,"")</f>
        <v/>
      </c>
      <c r="AD765" s="102" t="str">
        <f t="array" ref="AD765">_xlfn.XLOOKUP(AB765,Stock1!I765,Stock1!J765,"")</f>
        <v/>
      </c>
      <c r="AE765" s="102" t="str">
        <f t="array" ref="AE765">_xlfn.XLOOKUP("Storage",Stock1!B765,Stock1!I765,"")</f>
        <v/>
      </c>
      <c r="AF765" s="102" t="str">
        <f t="array" ref="AF765">_xlfn.XLOOKUP(AE765,Stock1!I765,Stock1!F765,"")</f>
        <v/>
      </c>
      <c r="AG765" s="102" t="str">
        <f t="array" ref="AG765">_xlfn.XLOOKUP(AE765,Stock1!I765,Stock1!J765,"")</f>
        <v/>
      </c>
    </row>
    <row r="766">
      <c r="K766" s="660" t="str">
        <f t="array" ref="K766">IFERROR(_xlfn.XLOOKUP(I766,Incentive!B:B,Incentive!E:E,""),"")</f>
        <v/>
      </c>
      <c r="L766" s="659" t="str">
        <f>IFERROR(VLOOKUP(I766,Stock1!F:J,5,False),"")</f>
        <v/>
      </c>
      <c r="M766" s="659" t="str">
        <f>IFERROR(VLOOKUP(I766,Stock2!F:J,5,False),"")</f>
        <v/>
      </c>
      <c r="V766" s="102" t="str">
        <f t="array" ref="V766">_xlfn.XLOOKUP("Charger",Stock1!B766,Stock1!I766,"")</f>
        <v/>
      </c>
      <c r="W766" s="102" t="str">
        <f t="array" ref="W766">_xlfn.XLOOKUP(V766,Stock1!I766,Stock1!F766,"")</f>
        <v/>
      </c>
      <c r="X766" s="102" t="str">
        <f t="array" ref="X766">_xlfn.XLOOKUP(V766,Stock1!I766,Stock1!J766,"")</f>
        <v/>
      </c>
      <c r="Y766" s="102" t="str">
        <f t="array" ref="Y766">_xlfn.XLOOKUP("Screen Protector for Android Phone and Other",Stock1!B766,Stock1!I766,"")</f>
        <v/>
      </c>
      <c r="Z766" s="102" t="str">
        <f t="array" ref="Z766">_xlfn.XLOOKUP("Screen Protector for Galaxy Phone",Stock1!B766,Stock1!I766,"")</f>
        <v/>
      </c>
      <c r="AA766" s="102" t="str">
        <f t="array" ref="AA766">_xlfn.XLOOKUP("Screen Protector for Galaxy Tab",Stock1!B766,Stock1!I766,"")</f>
        <v/>
      </c>
      <c r="AB766" s="102" t="str">
        <f t="shared" si="4"/>
        <v/>
      </c>
      <c r="AC766" s="102" t="str">
        <f t="array" ref="AC766">_xlfn.XLOOKUP(AB766,Stock1!I766,Stock1!F766,"")</f>
        <v/>
      </c>
      <c r="AD766" s="102" t="str">
        <f t="array" ref="AD766">_xlfn.XLOOKUP(AB766,Stock1!I766,Stock1!J766,"")</f>
        <v/>
      </c>
      <c r="AE766" s="102" t="str">
        <f t="array" ref="AE766">_xlfn.XLOOKUP("Storage",Stock1!B766,Stock1!I766,"")</f>
        <v/>
      </c>
      <c r="AF766" s="102" t="str">
        <f t="array" ref="AF766">_xlfn.XLOOKUP(AE766,Stock1!I766,Stock1!F766,"")</f>
        <v/>
      </c>
      <c r="AG766" s="102" t="str">
        <f t="array" ref="AG766">_xlfn.XLOOKUP(AE766,Stock1!I766,Stock1!J766,"")</f>
        <v/>
      </c>
    </row>
    <row r="767">
      <c r="K767" s="660" t="str">
        <f t="array" ref="K767">IFERROR(_xlfn.XLOOKUP(I767,Incentive!B:B,Incentive!E:E,""),"")</f>
        <v/>
      </c>
      <c r="L767" s="659" t="str">
        <f>IFERROR(VLOOKUP(I767,Stock1!F:J,5,False),"")</f>
        <v/>
      </c>
      <c r="M767" s="659" t="str">
        <f>IFERROR(VLOOKUP(I767,Stock2!F:J,5,False),"")</f>
        <v/>
      </c>
      <c r="V767" s="102" t="str">
        <f t="array" ref="V767">_xlfn.XLOOKUP("Charger",Stock1!B767,Stock1!I767,"")</f>
        <v/>
      </c>
      <c r="W767" s="102" t="str">
        <f t="array" ref="W767">_xlfn.XLOOKUP(V767,Stock1!I767,Stock1!F767,"")</f>
        <v/>
      </c>
      <c r="X767" s="102" t="str">
        <f t="array" ref="X767">_xlfn.XLOOKUP(V767,Stock1!I767,Stock1!J767,"")</f>
        <v/>
      </c>
      <c r="Y767" s="102" t="str">
        <f t="array" ref="Y767">_xlfn.XLOOKUP("Screen Protector for Android Phone and Other",Stock1!B767,Stock1!I767,"")</f>
        <v/>
      </c>
      <c r="Z767" s="102" t="str">
        <f t="array" ref="Z767">_xlfn.XLOOKUP("Screen Protector for Galaxy Phone",Stock1!B767,Stock1!I767,"")</f>
        <v/>
      </c>
      <c r="AA767" s="102" t="str">
        <f t="array" ref="AA767">_xlfn.XLOOKUP("Screen Protector for Galaxy Tab",Stock1!B767,Stock1!I767,"")</f>
        <v/>
      </c>
      <c r="AB767" s="102" t="str">
        <f t="shared" si="4"/>
        <v/>
      </c>
      <c r="AC767" s="102" t="str">
        <f t="array" ref="AC767">_xlfn.XLOOKUP(AB767,Stock1!I767,Stock1!F767,"")</f>
        <v/>
      </c>
      <c r="AD767" s="102" t="str">
        <f t="array" ref="AD767">_xlfn.XLOOKUP(AB767,Stock1!I767,Stock1!J767,"")</f>
        <v/>
      </c>
      <c r="AE767" s="102" t="str">
        <f t="array" ref="AE767">_xlfn.XLOOKUP("Storage",Stock1!B767,Stock1!I767,"")</f>
        <v/>
      </c>
      <c r="AF767" s="102" t="str">
        <f t="array" ref="AF767">_xlfn.XLOOKUP(AE767,Stock1!I767,Stock1!F767,"")</f>
        <v/>
      </c>
      <c r="AG767" s="102" t="str">
        <f t="array" ref="AG767">_xlfn.XLOOKUP(AE767,Stock1!I767,Stock1!J767,"")</f>
        <v/>
      </c>
    </row>
    <row r="768">
      <c r="K768" s="660" t="str">
        <f t="array" ref="K768">IFERROR(_xlfn.XLOOKUP(I768,Incentive!B:B,Incentive!E:E,""),"")</f>
        <v/>
      </c>
      <c r="L768" s="659" t="str">
        <f>IFERROR(VLOOKUP(I768,Stock1!F:J,5,False),"")</f>
        <v/>
      </c>
      <c r="M768" s="659" t="str">
        <f>IFERROR(VLOOKUP(I768,Stock2!F:J,5,False),"")</f>
        <v/>
      </c>
      <c r="V768" s="102" t="str">
        <f t="array" ref="V768">_xlfn.XLOOKUP("Charger",Stock1!B768,Stock1!I768,"")</f>
        <v/>
      </c>
      <c r="W768" s="102" t="str">
        <f t="array" ref="W768">_xlfn.XLOOKUP(V768,Stock1!I768,Stock1!F768,"")</f>
        <v/>
      </c>
      <c r="X768" s="102" t="str">
        <f t="array" ref="X768">_xlfn.XLOOKUP(V768,Stock1!I768,Stock1!J768,"")</f>
        <v/>
      </c>
      <c r="Y768" s="102" t="str">
        <f t="array" ref="Y768">_xlfn.XLOOKUP("Screen Protector for Android Phone and Other",Stock1!B768,Stock1!I768,"")</f>
        <v/>
      </c>
      <c r="Z768" s="102" t="str">
        <f t="array" ref="Z768">_xlfn.XLOOKUP("Screen Protector for Galaxy Phone",Stock1!B768,Stock1!I768,"")</f>
        <v/>
      </c>
      <c r="AA768" s="102" t="str">
        <f t="array" ref="AA768">_xlfn.XLOOKUP("Screen Protector for Galaxy Tab",Stock1!B768,Stock1!I768,"")</f>
        <v/>
      </c>
      <c r="AB768" s="102" t="str">
        <f t="shared" si="4"/>
        <v/>
      </c>
      <c r="AC768" s="102" t="str">
        <f t="array" ref="AC768">_xlfn.XLOOKUP(AB768,Stock1!I768,Stock1!F768,"")</f>
        <v/>
      </c>
      <c r="AD768" s="102" t="str">
        <f t="array" ref="AD768">_xlfn.XLOOKUP(AB768,Stock1!I768,Stock1!J768,"")</f>
        <v/>
      </c>
      <c r="AE768" s="102" t="str">
        <f t="array" ref="AE768">_xlfn.XLOOKUP("Storage",Stock1!B768,Stock1!I768,"")</f>
        <v/>
      </c>
      <c r="AF768" s="102" t="str">
        <f t="array" ref="AF768">_xlfn.XLOOKUP(AE768,Stock1!I768,Stock1!F768,"")</f>
        <v/>
      </c>
      <c r="AG768" s="102" t="str">
        <f t="array" ref="AG768">_xlfn.XLOOKUP(AE768,Stock1!I768,Stock1!J768,"")</f>
        <v/>
      </c>
    </row>
    <row r="769">
      <c r="K769" s="660" t="str">
        <f t="array" ref="K769">IFERROR(_xlfn.XLOOKUP(I769,Incentive!B:B,Incentive!E:E,""),"")</f>
        <v/>
      </c>
      <c r="L769" s="659" t="str">
        <f>IFERROR(VLOOKUP(I769,Stock1!F:J,5,False),"")</f>
        <v/>
      </c>
      <c r="M769" s="659" t="str">
        <f>IFERROR(VLOOKUP(I769,Stock2!F:J,5,False),"")</f>
        <v/>
      </c>
      <c r="V769" s="102" t="str">
        <f t="array" ref="V769">_xlfn.XLOOKUP("Charger",Stock1!B769,Stock1!I769,"")</f>
        <v/>
      </c>
      <c r="W769" s="102" t="str">
        <f t="array" ref="W769">_xlfn.XLOOKUP(V769,Stock1!I769,Stock1!F769,"")</f>
        <v/>
      </c>
      <c r="X769" s="102" t="str">
        <f t="array" ref="X769">_xlfn.XLOOKUP(V769,Stock1!I769,Stock1!J769,"")</f>
        <v/>
      </c>
      <c r="Y769" s="102" t="str">
        <f t="array" ref="Y769">_xlfn.XLOOKUP("Screen Protector for Android Phone and Other",Stock1!B769,Stock1!I769,"")</f>
        <v/>
      </c>
      <c r="Z769" s="102" t="str">
        <f t="array" ref="Z769">_xlfn.XLOOKUP("Screen Protector for Galaxy Phone",Stock1!B769,Stock1!I769,"")</f>
        <v/>
      </c>
      <c r="AA769" s="102" t="str">
        <f t="array" ref="AA769">_xlfn.XLOOKUP("Screen Protector for Galaxy Tab",Stock1!B769,Stock1!I769,"")</f>
        <v/>
      </c>
      <c r="AB769" s="102" t="str">
        <f t="shared" si="4"/>
        <v/>
      </c>
      <c r="AC769" s="102" t="str">
        <f t="array" ref="AC769">_xlfn.XLOOKUP(AB769,Stock1!I769,Stock1!F769,"")</f>
        <v/>
      </c>
      <c r="AD769" s="102" t="str">
        <f t="array" ref="AD769">_xlfn.XLOOKUP(AB769,Stock1!I769,Stock1!J769,"")</f>
        <v/>
      </c>
      <c r="AE769" s="102" t="str">
        <f t="array" ref="AE769">_xlfn.XLOOKUP("Storage",Stock1!B769,Stock1!I769,"")</f>
        <v/>
      </c>
      <c r="AF769" s="102" t="str">
        <f t="array" ref="AF769">_xlfn.XLOOKUP(AE769,Stock1!I769,Stock1!F769,"")</f>
        <v/>
      </c>
      <c r="AG769" s="102" t="str">
        <f t="array" ref="AG769">_xlfn.XLOOKUP(AE769,Stock1!I769,Stock1!J769,"")</f>
        <v/>
      </c>
    </row>
    <row r="770">
      <c r="K770" s="660" t="str">
        <f t="array" ref="K770">IFERROR(_xlfn.XLOOKUP(I770,Incentive!B:B,Incentive!E:E,""),"")</f>
        <v/>
      </c>
      <c r="L770" s="659" t="str">
        <f>IFERROR(VLOOKUP(I770,Stock1!F:J,5,False),"")</f>
        <v/>
      </c>
      <c r="M770" s="659" t="str">
        <f>IFERROR(VLOOKUP(I770,Stock2!F:J,5,False),"")</f>
        <v/>
      </c>
      <c r="V770" s="102" t="str">
        <f t="array" ref="V770">_xlfn.XLOOKUP("Charger",Stock1!B770,Stock1!I770,"")</f>
        <v/>
      </c>
      <c r="W770" s="102" t="str">
        <f t="array" ref="W770">_xlfn.XLOOKUP(V770,Stock1!I770,Stock1!F770,"")</f>
        <v/>
      </c>
      <c r="X770" s="102" t="str">
        <f t="array" ref="X770">_xlfn.XLOOKUP(V770,Stock1!I770,Stock1!J770,"")</f>
        <v/>
      </c>
      <c r="Y770" s="102" t="str">
        <f t="array" ref="Y770">_xlfn.XLOOKUP("Screen Protector for Android Phone and Other",Stock1!B770,Stock1!I770,"")</f>
        <v/>
      </c>
      <c r="Z770" s="102" t="str">
        <f t="array" ref="Z770">_xlfn.XLOOKUP("Screen Protector for Galaxy Phone",Stock1!B770,Stock1!I770,"")</f>
        <v/>
      </c>
      <c r="AA770" s="102" t="str">
        <f t="array" ref="AA770">_xlfn.XLOOKUP("Screen Protector for Galaxy Tab",Stock1!B770,Stock1!I770,"")</f>
        <v/>
      </c>
      <c r="AB770" s="102" t="str">
        <f t="shared" si="4"/>
        <v/>
      </c>
      <c r="AC770" s="102" t="str">
        <f t="array" ref="AC770">_xlfn.XLOOKUP(AB770,Stock1!I770,Stock1!F770,"")</f>
        <v/>
      </c>
      <c r="AD770" s="102" t="str">
        <f t="array" ref="AD770">_xlfn.XLOOKUP(AB770,Stock1!I770,Stock1!J770,"")</f>
        <v/>
      </c>
      <c r="AE770" s="102" t="str">
        <f t="array" ref="AE770">_xlfn.XLOOKUP("Storage",Stock1!B770,Stock1!I770,"")</f>
        <v/>
      </c>
      <c r="AF770" s="102" t="str">
        <f t="array" ref="AF770">_xlfn.XLOOKUP(AE770,Stock1!I770,Stock1!F770,"")</f>
        <v/>
      </c>
      <c r="AG770" s="102" t="str">
        <f t="array" ref="AG770">_xlfn.XLOOKUP(AE770,Stock1!I770,Stock1!J770,"")</f>
        <v/>
      </c>
    </row>
    <row r="771">
      <c r="K771" s="660" t="str">
        <f t="array" ref="K771">IFERROR(_xlfn.XLOOKUP(I771,Incentive!B:B,Incentive!E:E,""),"")</f>
        <v/>
      </c>
      <c r="L771" s="659" t="str">
        <f>IFERROR(VLOOKUP(I771,Stock1!F:J,5,False),"")</f>
        <v/>
      </c>
      <c r="M771" s="659" t="str">
        <f>IFERROR(VLOOKUP(I771,Stock2!F:J,5,False),"")</f>
        <v/>
      </c>
      <c r="V771" s="102" t="str">
        <f t="array" ref="V771">_xlfn.XLOOKUP("Charger",Stock1!B771,Stock1!I771,"")</f>
        <v/>
      </c>
      <c r="W771" s="102" t="str">
        <f t="array" ref="W771">_xlfn.XLOOKUP(V771,Stock1!I771,Stock1!F771,"")</f>
        <v/>
      </c>
      <c r="X771" s="102" t="str">
        <f t="array" ref="X771">_xlfn.XLOOKUP(V771,Stock1!I771,Stock1!J771,"")</f>
        <v/>
      </c>
      <c r="Y771" s="102" t="str">
        <f t="array" ref="Y771">_xlfn.XLOOKUP("Screen Protector for Android Phone and Other",Stock1!B771,Stock1!I771,"")</f>
        <v/>
      </c>
      <c r="Z771" s="102" t="str">
        <f t="array" ref="Z771">_xlfn.XLOOKUP("Screen Protector for Galaxy Phone",Stock1!B771,Stock1!I771,"")</f>
        <v/>
      </c>
      <c r="AA771" s="102" t="str">
        <f t="array" ref="AA771">_xlfn.XLOOKUP("Screen Protector for Galaxy Tab",Stock1!B771,Stock1!I771,"")</f>
        <v/>
      </c>
      <c r="AB771" s="102" t="str">
        <f t="shared" si="4"/>
        <v/>
      </c>
      <c r="AC771" s="102" t="str">
        <f t="array" ref="AC771">_xlfn.XLOOKUP(AB771,Stock1!I771,Stock1!F771,"")</f>
        <v/>
      </c>
      <c r="AD771" s="102" t="str">
        <f t="array" ref="AD771">_xlfn.XLOOKUP(AB771,Stock1!I771,Stock1!J771,"")</f>
        <v/>
      </c>
      <c r="AE771" s="102" t="str">
        <f t="array" ref="AE771">_xlfn.XLOOKUP("Storage",Stock1!B771,Stock1!I771,"")</f>
        <v/>
      </c>
      <c r="AF771" s="102" t="str">
        <f t="array" ref="AF771">_xlfn.XLOOKUP(AE771,Stock1!I771,Stock1!F771,"")</f>
        <v/>
      </c>
      <c r="AG771" s="102" t="str">
        <f t="array" ref="AG771">_xlfn.XLOOKUP(AE771,Stock1!I771,Stock1!J771,"")</f>
        <v/>
      </c>
    </row>
    <row r="772">
      <c r="K772" s="660" t="str">
        <f t="array" ref="K772">IFERROR(_xlfn.XLOOKUP(I772,Incentive!B:B,Incentive!E:E,""),"")</f>
        <v/>
      </c>
      <c r="L772" s="659" t="str">
        <f>IFERROR(VLOOKUP(I772,Stock1!F:J,5,False),"")</f>
        <v/>
      </c>
      <c r="M772" s="659" t="str">
        <f>IFERROR(VLOOKUP(I772,Stock2!F:J,5,False),"")</f>
        <v/>
      </c>
      <c r="V772" s="102" t="str">
        <f t="array" ref="V772">_xlfn.XLOOKUP("Charger",Stock1!B772,Stock1!I772,"")</f>
        <v/>
      </c>
      <c r="W772" s="102" t="str">
        <f t="array" ref="W772">_xlfn.XLOOKUP(V772,Stock1!I772,Stock1!F772,"")</f>
        <v/>
      </c>
      <c r="X772" s="102" t="str">
        <f t="array" ref="X772">_xlfn.XLOOKUP(V772,Stock1!I772,Stock1!J772,"")</f>
        <v/>
      </c>
      <c r="Y772" s="102" t="str">
        <f t="array" ref="Y772">_xlfn.XLOOKUP("Screen Protector for Android Phone and Other",Stock1!B772,Stock1!I772,"")</f>
        <v/>
      </c>
      <c r="Z772" s="102" t="str">
        <f t="array" ref="Z772">_xlfn.XLOOKUP("Screen Protector for Galaxy Phone",Stock1!B772,Stock1!I772,"")</f>
        <v/>
      </c>
      <c r="AA772" s="102" t="str">
        <f t="array" ref="AA772">_xlfn.XLOOKUP("Screen Protector for Galaxy Tab",Stock1!B772,Stock1!I772,"")</f>
        <v/>
      </c>
      <c r="AB772" s="102" t="str">
        <f t="shared" si="4"/>
        <v/>
      </c>
      <c r="AC772" s="102" t="str">
        <f t="array" ref="AC772">_xlfn.XLOOKUP(AB772,Stock1!I772,Stock1!F772,"")</f>
        <v/>
      </c>
      <c r="AD772" s="102" t="str">
        <f t="array" ref="AD772">_xlfn.XLOOKUP(AB772,Stock1!I772,Stock1!J772,"")</f>
        <v/>
      </c>
      <c r="AE772" s="102" t="str">
        <f t="array" ref="AE772">_xlfn.XLOOKUP("Storage",Stock1!B772,Stock1!I772,"")</f>
        <v/>
      </c>
      <c r="AF772" s="102" t="str">
        <f t="array" ref="AF772">_xlfn.XLOOKUP(AE772,Stock1!I772,Stock1!F772,"")</f>
        <v/>
      </c>
      <c r="AG772" s="102" t="str">
        <f t="array" ref="AG772">_xlfn.XLOOKUP(AE772,Stock1!I772,Stock1!J772,"")</f>
        <v/>
      </c>
    </row>
    <row r="773">
      <c r="K773" s="660" t="str">
        <f t="array" ref="K773">IFERROR(_xlfn.XLOOKUP(I773,Incentive!B:B,Incentive!E:E,""),"")</f>
        <v/>
      </c>
      <c r="L773" s="659" t="str">
        <f>IFERROR(VLOOKUP(I773,Stock1!F:J,5,False),"")</f>
        <v/>
      </c>
      <c r="M773" s="659" t="str">
        <f>IFERROR(VLOOKUP(I773,Stock2!F:J,5,False),"")</f>
        <v/>
      </c>
      <c r="V773" s="102" t="str">
        <f t="array" ref="V773">_xlfn.XLOOKUP("Charger",Stock1!B773,Stock1!I773,"")</f>
        <v/>
      </c>
      <c r="W773" s="102" t="str">
        <f t="array" ref="W773">_xlfn.XLOOKUP(V773,Stock1!I773,Stock1!F773,"")</f>
        <v/>
      </c>
      <c r="X773" s="102" t="str">
        <f t="array" ref="X773">_xlfn.XLOOKUP(V773,Stock1!I773,Stock1!J773,"")</f>
        <v/>
      </c>
      <c r="Y773" s="102" t="str">
        <f t="array" ref="Y773">_xlfn.XLOOKUP("Screen Protector for Android Phone and Other",Stock1!B773,Stock1!I773,"")</f>
        <v/>
      </c>
      <c r="Z773" s="102" t="str">
        <f t="array" ref="Z773">_xlfn.XLOOKUP("Screen Protector for Galaxy Phone",Stock1!B773,Stock1!I773,"")</f>
        <v/>
      </c>
      <c r="AA773" s="102" t="str">
        <f t="array" ref="AA773">_xlfn.XLOOKUP("Screen Protector for Galaxy Tab",Stock1!B773,Stock1!I773,"")</f>
        <v/>
      </c>
      <c r="AB773" s="102" t="str">
        <f t="shared" si="4"/>
        <v/>
      </c>
      <c r="AC773" s="102" t="str">
        <f t="array" ref="AC773">_xlfn.XLOOKUP(AB773,Stock1!I773,Stock1!F773,"")</f>
        <v/>
      </c>
      <c r="AD773" s="102" t="str">
        <f t="array" ref="AD773">_xlfn.XLOOKUP(AB773,Stock1!I773,Stock1!J773,"")</f>
        <v/>
      </c>
      <c r="AE773" s="102" t="str">
        <f t="array" ref="AE773">_xlfn.XLOOKUP("Storage",Stock1!B773,Stock1!I773,"")</f>
        <v/>
      </c>
      <c r="AF773" s="102" t="str">
        <f t="array" ref="AF773">_xlfn.XLOOKUP(AE773,Stock1!I773,Stock1!F773,"")</f>
        <v/>
      </c>
      <c r="AG773" s="102" t="str">
        <f t="array" ref="AG773">_xlfn.XLOOKUP(AE773,Stock1!I773,Stock1!J773,"")</f>
        <v/>
      </c>
    </row>
    <row r="774">
      <c r="K774" s="660" t="str">
        <f t="array" ref="K774">IFERROR(_xlfn.XLOOKUP(I774,Incentive!B:B,Incentive!E:E,""),"")</f>
        <v/>
      </c>
      <c r="L774" s="659" t="str">
        <f>IFERROR(VLOOKUP(I774,Stock1!F:J,5,False),"")</f>
        <v/>
      </c>
      <c r="M774" s="659" t="str">
        <f>IFERROR(VLOOKUP(I774,Stock2!F:J,5,False),"")</f>
        <v/>
      </c>
      <c r="V774" s="102" t="str">
        <f t="array" ref="V774">_xlfn.XLOOKUP("Charger",Stock1!B774,Stock1!I774,"")</f>
        <v/>
      </c>
      <c r="W774" s="102" t="str">
        <f t="array" ref="W774">_xlfn.XLOOKUP(V774,Stock1!I774,Stock1!F774,"")</f>
        <v/>
      </c>
      <c r="X774" s="102" t="str">
        <f t="array" ref="X774">_xlfn.XLOOKUP(V774,Stock1!I774,Stock1!J774,"")</f>
        <v/>
      </c>
      <c r="Y774" s="102" t="str">
        <f t="array" ref="Y774">_xlfn.XLOOKUP("Screen Protector for Android Phone and Other",Stock1!B774,Stock1!I774,"")</f>
        <v/>
      </c>
      <c r="Z774" s="102" t="str">
        <f t="array" ref="Z774">_xlfn.XLOOKUP("Screen Protector for Galaxy Phone",Stock1!B774,Stock1!I774,"")</f>
        <v/>
      </c>
      <c r="AA774" s="102" t="str">
        <f t="array" ref="AA774">_xlfn.XLOOKUP("Screen Protector for Galaxy Tab",Stock1!B774,Stock1!I774,"")</f>
        <v/>
      </c>
      <c r="AB774" s="102" t="str">
        <f t="shared" si="4"/>
        <v/>
      </c>
      <c r="AC774" s="102" t="str">
        <f t="array" ref="AC774">_xlfn.XLOOKUP(AB774,Stock1!I774,Stock1!F774,"")</f>
        <v/>
      </c>
      <c r="AD774" s="102" t="str">
        <f t="array" ref="AD774">_xlfn.XLOOKUP(AB774,Stock1!I774,Stock1!J774,"")</f>
        <v/>
      </c>
      <c r="AE774" s="102" t="str">
        <f t="array" ref="AE774">_xlfn.XLOOKUP("Storage",Stock1!B774,Stock1!I774,"")</f>
        <v/>
      </c>
      <c r="AF774" s="102" t="str">
        <f t="array" ref="AF774">_xlfn.XLOOKUP(AE774,Stock1!I774,Stock1!F774,"")</f>
        <v/>
      </c>
      <c r="AG774" s="102" t="str">
        <f t="array" ref="AG774">_xlfn.XLOOKUP(AE774,Stock1!I774,Stock1!J774,"")</f>
        <v/>
      </c>
    </row>
    <row r="775">
      <c r="K775" s="660" t="str">
        <f t="array" ref="K775">IFERROR(_xlfn.XLOOKUP(I775,Incentive!B:B,Incentive!E:E,""),"")</f>
        <v/>
      </c>
      <c r="L775" s="659" t="str">
        <f>IFERROR(VLOOKUP(I775,Stock1!F:J,5,False),"")</f>
        <v/>
      </c>
      <c r="M775" s="659" t="str">
        <f>IFERROR(VLOOKUP(I775,Stock2!F:J,5,False),"")</f>
        <v/>
      </c>
      <c r="V775" s="102" t="str">
        <f t="array" ref="V775">_xlfn.XLOOKUP("Charger",Stock1!B775,Stock1!I775,"")</f>
        <v/>
      </c>
      <c r="W775" s="102" t="str">
        <f t="array" ref="W775">_xlfn.XLOOKUP(V775,Stock1!I775,Stock1!F775,"")</f>
        <v/>
      </c>
      <c r="X775" s="102" t="str">
        <f t="array" ref="X775">_xlfn.XLOOKUP(V775,Stock1!I775,Stock1!J775,"")</f>
        <v/>
      </c>
      <c r="Y775" s="102" t="str">
        <f t="array" ref="Y775">_xlfn.XLOOKUP("Screen Protector for Android Phone and Other",Stock1!B775,Stock1!I775,"")</f>
        <v/>
      </c>
      <c r="Z775" s="102" t="str">
        <f t="array" ref="Z775">_xlfn.XLOOKUP("Screen Protector for Galaxy Phone",Stock1!B775,Stock1!I775,"")</f>
        <v/>
      </c>
      <c r="AA775" s="102" t="str">
        <f t="array" ref="AA775">_xlfn.XLOOKUP("Screen Protector for Galaxy Tab",Stock1!B775,Stock1!I775,"")</f>
        <v/>
      </c>
      <c r="AB775" s="102" t="str">
        <f t="shared" si="4"/>
        <v/>
      </c>
      <c r="AC775" s="102" t="str">
        <f t="array" ref="AC775">_xlfn.XLOOKUP(AB775,Stock1!I775,Stock1!F775,"")</f>
        <v/>
      </c>
      <c r="AD775" s="102" t="str">
        <f t="array" ref="AD775">_xlfn.XLOOKUP(AB775,Stock1!I775,Stock1!J775,"")</f>
        <v/>
      </c>
      <c r="AE775" s="102" t="str">
        <f t="array" ref="AE775">_xlfn.XLOOKUP("Storage",Stock1!B775,Stock1!I775,"")</f>
        <v/>
      </c>
      <c r="AF775" s="102" t="str">
        <f t="array" ref="AF775">_xlfn.XLOOKUP(AE775,Stock1!I775,Stock1!F775,"")</f>
        <v/>
      </c>
      <c r="AG775" s="102" t="str">
        <f t="array" ref="AG775">_xlfn.XLOOKUP(AE775,Stock1!I775,Stock1!J775,"")</f>
        <v/>
      </c>
    </row>
    <row r="776">
      <c r="K776" s="660" t="str">
        <f t="array" ref="K776">IFERROR(_xlfn.XLOOKUP(I776,Incentive!B:B,Incentive!E:E,""),"")</f>
        <v/>
      </c>
      <c r="L776" s="659" t="str">
        <f>IFERROR(VLOOKUP(I776,Stock1!F:J,5,False),"")</f>
        <v/>
      </c>
      <c r="M776" s="659" t="str">
        <f>IFERROR(VLOOKUP(I776,Stock2!F:J,5,False),"")</f>
        <v/>
      </c>
      <c r="V776" s="102" t="str">
        <f t="array" ref="V776">_xlfn.XLOOKUP("Charger",Stock1!B776,Stock1!I776,"")</f>
        <v/>
      </c>
      <c r="W776" s="102" t="str">
        <f t="array" ref="W776">_xlfn.XLOOKUP(V776,Stock1!I776,Stock1!F776,"")</f>
        <v/>
      </c>
      <c r="X776" s="102" t="str">
        <f t="array" ref="X776">_xlfn.XLOOKUP(V776,Stock1!I776,Stock1!J776,"")</f>
        <v/>
      </c>
      <c r="Y776" s="102" t="str">
        <f t="array" ref="Y776">_xlfn.XLOOKUP("Screen Protector for Android Phone and Other",Stock1!B776,Stock1!I776,"")</f>
        <v/>
      </c>
      <c r="Z776" s="102" t="str">
        <f t="array" ref="Z776">_xlfn.XLOOKUP("Screen Protector for Galaxy Phone",Stock1!B776,Stock1!I776,"")</f>
        <v/>
      </c>
      <c r="AA776" s="102" t="str">
        <f t="array" ref="AA776">_xlfn.XLOOKUP("Screen Protector for Galaxy Tab",Stock1!B776,Stock1!I776,"")</f>
        <v/>
      </c>
      <c r="AB776" s="102" t="str">
        <f t="shared" si="4"/>
        <v/>
      </c>
      <c r="AC776" s="102" t="str">
        <f t="array" ref="AC776">_xlfn.XLOOKUP(AB776,Stock1!I776,Stock1!F776,"")</f>
        <v/>
      </c>
      <c r="AD776" s="102" t="str">
        <f t="array" ref="AD776">_xlfn.XLOOKUP(AB776,Stock1!I776,Stock1!J776,"")</f>
        <v/>
      </c>
      <c r="AE776" s="102" t="str">
        <f t="array" ref="AE776">_xlfn.XLOOKUP("Storage",Stock1!B776,Stock1!I776,"")</f>
        <v/>
      </c>
      <c r="AF776" s="102" t="str">
        <f t="array" ref="AF776">_xlfn.XLOOKUP(AE776,Stock1!I776,Stock1!F776,"")</f>
        <v/>
      </c>
      <c r="AG776" s="102" t="str">
        <f t="array" ref="AG776">_xlfn.XLOOKUP(AE776,Stock1!I776,Stock1!J776,"")</f>
        <v/>
      </c>
    </row>
    <row r="777">
      <c r="K777" s="660" t="str">
        <f t="array" ref="K777">IFERROR(_xlfn.XLOOKUP(I777,Incentive!B:B,Incentive!E:E,""),"")</f>
        <v/>
      </c>
      <c r="L777" s="659" t="str">
        <f>IFERROR(VLOOKUP(I777,Stock1!F:J,5,False),"")</f>
        <v/>
      </c>
      <c r="M777" s="659" t="str">
        <f>IFERROR(VLOOKUP(I777,Stock2!F:J,5,False),"")</f>
        <v/>
      </c>
      <c r="V777" s="102" t="str">
        <f t="array" ref="V777">_xlfn.XLOOKUP("Charger",Stock1!B777,Stock1!I777,"")</f>
        <v/>
      </c>
      <c r="W777" s="102" t="str">
        <f t="array" ref="W777">_xlfn.XLOOKUP(V777,Stock1!I777,Stock1!F777,"")</f>
        <v/>
      </c>
      <c r="X777" s="102" t="str">
        <f t="array" ref="X777">_xlfn.XLOOKUP(V777,Stock1!I777,Stock1!J777,"")</f>
        <v/>
      </c>
      <c r="Y777" s="102" t="str">
        <f t="array" ref="Y777">_xlfn.XLOOKUP("Screen Protector for Android Phone and Other",Stock1!B777,Stock1!I777,"")</f>
        <v/>
      </c>
      <c r="Z777" s="102" t="str">
        <f t="array" ref="Z777">_xlfn.XLOOKUP("Screen Protector for Galaxy Phone",Stock1!B777,Stock1!I777,"")</f>
        <v/>
      </c>
      <c r="AA777" s="102" t="str">
        <f t="array" ref="AA777">_xlfn.XLOOKUP("Screen Protector for Galaxy Tab",Stock1!B777,Stock1!I777,"")</f>
        <v/>
      </c>
      <c r="AB777" s="102" t="str">
        <f t="shared" si="4"/>
        <v/>
      </c>
      <c r="AC777" s="102" t="str">
        <f t="array" ref="AC777">_xlfn.XLOOKUP(AB777,Stock1!I777,Stock1!F777,"")</f>
        <v/>
      </c>
      <c r="AD777" s="102" t="str">
        <f t="array" ref="AD777">_xlfn.XLOOKUP(AB777,Stock1!I777,Stock1!J777,"")</f>
        <v/>
      </c>
      <c r="AE777" s="102" t="str">
        <f t="array" ref="AE777">_xlfn.XLOOKUP("Storage",Stock1!B777,Stock1!I777,"")</f>
        <v/>
      </c>
      <c r="AF777" s="102" t="str">
        <f t="array" ref="AF777">_xlfn.XLOOKUP(AE777,Stock1!I777,Stock1!F777,"")</f>
        <v/>
      </c>
      <c r="AG777" s="102" t="str">
        <f t="array" ref="AG777">_xlfn.XLOOKUP(AE777,Stock1!I777,Stock1!J777,"")</f>
        <v/>
      </c>
    </row>
    <row r="778">
      <c r="K778" s="660" t="str">
        <f t="array" ref="K778">IFERROR(_xlfn.XLOOKUP(I778,Incentive!B:B,Incentive!E:E,""),"")</f>
        <v/>
      </c>
      <c r="L778" s="659" t="str">
        <f>IFERROR(VLOOKUP(I778,Stock1!F:J,5,False),"")</f>
        <v/>
      </c>
      <c r="M778" s="659" t="str">
        <f>IFERROR(VLOOKUP(I778,Stock2!F:J,5,False),"")</f>
        <v/>
      </c>
      <c r="V778" s="102" t="str">
        <f t="array" ref="V778">_xlfn.XLOOKUP("Charger",Stock1!B778,Stock1!I778,"")</f>
        <v/>
      </c>
      <c r="W778" s="102" t="str">
        <f t="array" ref="W778">_xlfn.XLOOKUP(V778,Stock1!I778,Stock1!F778,"")</f>
        <v/>
      </c>
      <c r="X778" s="102" t="str">
        <f t="array" ref="X778">_xlfn.XLOOKUP(V778,Stock1!I778,Stock1!J778,"")</f>
        <v/>
      </c>
      <c r="Y778" s="102" t="str">
        <f t="array" ref="Y778">_xlfn.XLOOKUP("Screen Protector for Android Phone and Other",Stock1!B778,Stock1!I778,"")</f>
        <v/>
      </c>
      <c r="Z778" s="102" t="str">
        <f t="array" ref="Z778">_xlfn.XLOOKUP("Screen Protector for Galaxy Phone",Stock1!B778,Stock1!I778,"")</f>
        <v/>
      </c>
      <c r="AA778" s="102" t="str">
        <f t="array" ref="AA778">_xlfn.XLOOKUP("Screen Protector for Galaxy Tab",Stock1!B778,Stock1!I778,"")</f>
        <v/>
      </c>
      <c r="AB778" s="102" t="str">
        <f t="shared" si="4"/>
        <v/>
      </c>
      <c r="AC778" s="102" t="str">
        <f t="array" ref="AC778">_xlfn.XLOOKUP(AB778,Stock1!I778,Stock1!F778,"")</f>
        <v/>
      </c>
      <c r="AD778" s="102" t="str">
        <f t="array" ref="AD778">_xlfn.XLOOKUP(AB778,Stock1!I778,Stock1!J778,"")</f>
        <v/>
      </c>
      <c r="AE778" s="102" t="str">
        <f t="array" ref="AE778">_xlfn.XLOOKUP("Storage",Stock1!B778,Stock1!I778,"")</f>
        <v/>
      </c>
      <c r="AF778" s="102" t="str">
        <f t="array" ref="AF778">_xlfn.XLOOKUP(AE778,Stock1!I778,Stock1!F778,"")</f>
        <v/>
      </c>
      <c r="AG778" s="102" t="str">
        <f t="array" ref="AG778">_xlfn.XLOOKUP(AE778,Stock1!I778,Stock1!J778,"")</f>
        <v/>
      </c>
    </row>
    <row r="779">
      <c r="K779" s="660" t="str">
        <f t="array" ref="K779">IFERROR(_xlfn.XLOOKUP(I779,Incentive!B:B,Incentive!E:E,""),"")</f>
        <v/>
      </c>
      <c r="L779" s="659" t="str">
        <f>IFERROR(VLOOKUP(I779,Stock1!F:J,5,False),"")</f>
        <v/>
      </c>
      <c r="M779" s="659" t="str">
        <f>IFERROR(VLOOKUP(I779,Stock2!F:J,5,False),"")</f>
        <v/>
      </c>
      <c r="V779" s="102" t="str">
        <f t="array" ref="V779">_xlfn.XLOOKUP("Charger",Stock1!B779,Stock1!I779,"")</f>
        <v/>
      </c>
      <c r="W779" s="102" t="str">
        <f t="array" ref="W779">_xlfn.XLOOKUP(V779,Stock1!I779,Stock1!F779,"")</f>
        <v/>
      </c>
      <c r="X779" s="102" t="str">
        <f t="array" ref="X779">_xlfn.XLOOKUP(V779,Stock1!I779,Stock1!J779,"")</f>
        <v/>
      </c>
      <c r="Y779" s="102" t="str">
        <f t="array" ref="Y779">_xlfn.XLOOKUP("Screen Protector for Android Phone and Other",Stock1!B779,Stock1!I779,"")</f>
        <v/>
      </c>
      <c r="Z779" s="102" t="str">
        <f t="array" ref="Z779">_xlfn.XLOOKUP("Screen Protector for Galaxy Phone",Stock1!B779,Stock1!I779,"")</f>
        <v/>
      </c>
      <c r="AA779" s="102" t="str">
        <f t="array" ref="AA779">_xlfn.XLOOKUP("Screen Protector for Galaxy Tab",Stock1!B779,Stock1!I779,"")</f>
        <v/>
      </c>
      <c r="AB779" s="102" t="str">
        <f t="shared" si="4"/>
        <v/>
      </c>
      <c r="AC779" s="102" t="str">
        <f t="array" ref="AC779">_xlfn.XLOOKUP(AB779,Stock1!I779,Stock1!F779,"")</f>
        <v/>
      </c>
      <c r="AD779" s="102" t="str">
        <f t="array" ref="AD779">_xlfn.XLOOKUP(AB779,Stock1!I779,Stock1!J779,"")</f>
        <v/>
      </c>
      <c r="AE779" s="102" t="str">
        <f t="array" ref="AE779">_xlfn.XLOOKUP("Storage",Stock1!B779,Stock1!I779,"")</f>
        <v/>
      </c>
      <c r="AF779" s="102" t="str">
        <f t="array" ref="AF779">_xlfn.XLOOKUP(AE779,Stock1!I779,Stock1!F779,"")</f>
        <v/>
      </c>
      <c r="AG779" s="102" t="str">
        <f t="array" ref="AG779">_xlfn.XLOOKUP(AE779,Stock1!I779,Stock1!J779,"")</f>
        <v/>
      </c>
    </row>
    <row r="780">
      <c r="K780" s="660" t="str">
        <f t="array" ref="K780">IFERROR(_xlfn.XLOOKUP(I780,Incentive!B:B,Incentive!E:E,""),"")</f>
        <v/>
      </c>
      <c r="L780" s="659" t="str">
        <f>IFERROR(VLOOKUP(I780,Stock1!F:J,5,False),"")</f>
        <v/>
      </c>
      <c r="M780" s="659" t="str">
        <f>IFERROR(VLOOKUP(I780,Stock2!F:J,5,False),"")</f>
        <v/>
      </c>
      <c r="V780" s="102" t="str">
        <f t="array" ref="V780">_xlfn.XLOOKUP("Charger",Stock1!B780,Stock1!I780,"")</f>
        <v/>
      </c>
      <c r="W780" s="102" t="str">
        <f t="array" ref="W780">_xlfn.XLOOKUP(V780,Stock1!I780,Stock1!F780,"")</f>
        <v/>
      </c>
      <c r="X780" s="102" t="str">
        <f t="array" ref="X780">_xlfn.XLOOKUP(V780,Stock1!I780,Stock1!J780,"")</f>
        <v/>
      </c>
      <c r="Y780" s="102" t="str">
        <f t="array" ref="Y780">_xlfn.XLOOKUP("Screen Protector for Android Phone and Other",Stock1!B780,Stock1!I780,"")</f>
        <v/>
      </c>
      <c r="Z780" s="102" t="str">
        <f t="array" ref="Z780">_xlfn.XLOOKUP("Screen Protector for Galaxy Phone",Stock1!B780,Stock1!I780,"")</f>
        <v/>
      </c>
      <c r="AA780" s="102" t="str">
        <f t="array" ref="AA780">_xlfn.XLOOKUP("Screen Protector for Galaxy Tab",Stock1!B780,Stock1!I780,"")</f>
        <v/>
      </c>
      <c r="AB780" s="102" t="str">
        <f t="shared" si="4"/>
        <v/>
      </c>
      <c r="AC780" s="102" t="str">
        <f t="array" ref="AC780">_xlfn.XLOOKUP(AB780,Stock1!I780,Stock1!F780,"")</f>
        <v/>
      </c>
      <c r="AD780" s="102" t="str">
        <f t="array" ref="AD780">_xlfn.XLOOKUP(AB780,Stock1!I780,Stock1!J780,"")</f>
        <v/>
      </c>
      <c r="AE780" s="102" t="str">
        <f t="array" ref="AE780">_xlfn.XLOOKUP("Storage",Stock1!B780,Stock1!I780,"")</f>
        <v/>
      </c>
      <c r="AF780" s="102" t="str">
        <f t="array" ref="AF780">_xlfn.XLOOKUP(AE780,Stock1!I780,Stock1!F780,"")</f>
        <v/>
      </c>
      <c r="AG780" s="102" t="str">
        <f t="array" ref="AG780">_xlfn.XLOOKUP(AE780,Stock1!I780,Stock1!J780,"")</f>
        <v/>
      </c>
    </row>
    <row r="781">
      <c r="K781" s="660" t="str">
        <f t="array" ref="K781">IFERROR(_xlfn.XLOOKUP(I781,Incentive!B:B,Incentive!E:E,""),"")</f>
        <v/>
      </c>
      <c r="L781" s="659" t="str">
        <f>IFERROR(VLOOKUP(I781,Stock1!F:J,5,False),"")</f>
        <v/>
      </c>
      <c r="M781" s="659" t="str">
        <f>IFERROR(VLOOKUP(I781,Stock2!F:J,5,False),"")</f>
        <v/>
      </c>
      <c r="V781" s="102" t="str">
        <f t="array" ref="V781">_xlfn.XLOOKUP("Charger",Stock1!B781,Stock1!I781,"")</f>
        <v/>
      </c>
      <c r="W781" s="102" t="str">
        <f t="array" ref="W781">_xlfn.XLOOKUP(V781,Stock1!I781,Stock1!F781,"")</f>
        <v/>
      </c>
      <c r="X781" s="102" t="str">
        <f t="array" ref="X781">_xlfn.XLOOKUP(V781,Stock1!I781,Stock1!J781,"")</f>
        <v/>
      </c>
      <c r="Y781" s="102" t="str">
        <f t="array" ref="Y781">_xlfn.XLOOKUP("Screen Protector for Android Phone and Other",Stock1!B781,Stock1!I781,"")</f>
        <v/>
      </c>
      <c r="Z781" s="102" t="str">
        <f t="array" ref="Z781">_xlfn.XLOOKUP("Screen Protector for Galaxy Phone",Stock1!B781,Stock1!I781,"")</f>
        <v/>
      </c>
      <c r="AA781" s="102" t="str">
        <f t="array" ref="AA781">_xlfn.XLOOKUP("Screen Protector for Galaxy Tab",Stock1!B781,Stock1!I781,"")</f>
        <v/>
      </c>
      <c r="AB781" s="102" t="str">
        <f t="shared" si="4"/>
        <v/>
      </c>
      <c r="AC781" s="102" t="str">
        <f t="array" ref="AC781">_xlfn.XLOOKUP(AB781,Stock1!I781,Stock1!F781,"")</f>
        <v/>
      </c>
      <c r="AD781" s="102" t="str">
        <f t="array" ref="AD781">_xlfn.XLOOKUP(AB781,Stock1!I781,Stock1!J781,"")</f>
        <v/>
      </c>
      <c r="AE781" s="102" t="str">
        <f t="array" ref="AE781">_xlfn.XLOOKUP("Storage",Stock1!B781,Stock1!I781,"")</f>
        <v/>
      </c>
      <c r="AF781" s="102" t="str">
        <f t="array" ref="AF781">_xlfn.XLOOKUP(AE781,Stock1!I781,Stock1!F781,"")</f>
        <v/>
      </c>
      <c r="AG781" s="102" t="str">
        <f t="array" ref="AG781">_xlfn.XLOOKUP(AE781,Stock1!I781,Stock1!J781,"")</f>
        <v/>
      </c>
    </row>
    <row r="782">
      <c r="K782" s="660" t="str">
        <f t="array" ref="K782">IFERROR(_xlfn.XLOOKUP(I782,Incentive!B:B,Incentive!E:E,""),"")</f>
        <v/>
      </c>
      <c r="L782" s="659" t="str">
        <f>IFERROR(VLOOKUP(I782,Stock1!F:J,5,False),"")</f>
        <v/>
      </c>
      <c r="M782" s="659" t="str">
        <f>IFERROR(VLOOKUP(I782,Stock2!F:J,5,False),"")</f>
        <v/>
      </c>
      <c r="V782" s="102" t="str">
        <f t="array" ref="V782">_xlfn.XLOOKUP("Charger",Stock1!B782,Stock1!I782,"")</f>
        <v/>
      </c>
      <c r="W782" s="102" t="str">
        <f t="array" ref="W782">_xlfn.XLOOKUP(V782,Stock1!I782,Stock1!F782,"")</f>
        <v/>
      </c>
      <c r="X782" s="102" t="str">
        <f t="array" ref="X782">_xlfn.XLOOKUP(V782,Stock1!I782,Stock1!J782,"")</f>
        <v/>
      </c>
      <c r="Y782" s="102" t="str">
        <f t="array" ref="Y782">_xlfn.XLOOKUP("Screen Protector for Android Phone and Other",Stock1!B782,Stock1!I782,"")</f>
        <v/>
      </c>
      <c r="Z782" s="102" t="str">
        <f t="array" ref="Z782">_xlfn.XLOOKUP("Screen Protector for Galaxy Phone",Stock1!B782,Stock1!I782,"")</f>
        <v/>
      </c>
      <c r="AA782" s="102" t="str">
        <f t="array" ref="AA782">_xlfn.XLOOKUP("Screen Protector for Galaxy Tab",Stock1!B782,Stock1!I782,"")</f>
        <v/>
      </c>
      <c r="AB782" s="102" t="str">
        <f t="shared" si="4"/>
        <v/>
      </c>
      <c r="AC782" s="102" t="str">
        <f t="array" ref="AC782">_xlfn.XLOOKUP(AB782,Stock1!I782,Stock1!F782,"")</f>
        <v/>
      </c>
      <c r="AD782" s="102" t="str">
        <f t="array" ref="AD782">_xlfn.XLOOKUP(AB782,Stock1!I782,Stock1!J782,"")</f>
        <v/>
      </c>
      <c r="AE782" s="102" t="str">
        <f t="array" ref="AE782">_xlfn.XLOOKUP("Storage",Stock1!B782,Stock1!I782,"")</f>
        <v/>
      </c>
      <c r="AF782" s="102" t="str">
        <f t="array" ref="AF782">_xlfn.XLOOKUP(AE782,Stock1!I782,Stock1!F782,"")</f>
        <v/>
      </c>
      <c r="AG782" s="102" t="str">
        <f t="array" ref="AG782">_xlfn.XLOOKUP(AE782,Stock1!I782,Stock1!J782,"")</f>
        <v/>
      </c>
    </row>
    <row r="783">
      <c r="K783" s="660" t="str">
        <f t="array" ref="K783">IFERROR(_xlfn.XLOOKUP(I783,Incentive!B:B,Incentive!E:E,""),"")</f>
        <v/>
      </c>
      <c r="L783" s="659" t="str">
        <f>IFERROR(VLOOKUP(I783,Stock1!F:J,5,False),"")</f>
        <v/>
      </c>
      <c r="M783" s="659" t="str">
        <f>IFERROR(VLOOKUP(I783,Stock2!F:J,5,False),"")</f>
        <v/>
      </c>
      <c r="V783" s="102" t="str">
        <f t="array" ref="V783">_xlfn.XLOOKUP("Charger",Stock1!B783,Stock1!I783,"")</f>
        <v/>
      </c>
      <c r="W783" s="102" t="str">
        <f t="array" ref="W783">_xlfn.XLOOKUP(V783,Stock1!I783,Stock1!F783,"")</f>
        <v/>
      </c>
      <c r="X783" s="102" t="str">
        <f t="array" ref="X783">_xlfn.XLOOKUP(V783,Stock1!I783,Stock1!J783,"")</f>
        <v/>
      </c>
      <c r="Y783" s="102" t="str">
        <f t="array" ref="Y783">_xlfn.XLOOKUP("Screen Protector for Android Phone and Other",Stock1!B783,Stock1!I783,"")</f>
        <v/>
      </c>
      <c r="Z783" s="102" t="str">
        <f t="array" ref="Z783">_xlfn.XLOOKUP("Screen Protector for Galaxy Phone",Stock1!B783,Stock1!I783,"")</f>
        <v/>
      </c>
      <c r="AA783" s="102" t="str">
        <f t="array" ref="AA783">_xlfn.XLOOKUP("Screen Protector for Galaxy Tab",Stock1!B783,Stock1!I783,"")</f>
        <v/>
      </c>
      <c r="AB783" s="102" t="str">
        <f t="shared" si="4"/>
        <v/>
      </c>
      <c r="AC783" s="102" t="str">
        <f t="array" ref="AC783">_xlfn.XLOOKUP(AB783,Stock1!I783,Stock1!F783,"")</f>
        <v/>
      </c>
      <c r="AD783" s="102" t="str">
        <f t="array" ref="AD783">_xlfn.XLOOKUP(AB783,Stock1!I783,Stock1!J783,"")</f>
        <v/>
      </c>
      <c r="AE783" s="102" t="str">
        <f t="array" ref="AE783">_xlfn.XLOOKUP("Storage",Stock1!B783,Stock1!I783,"")</f>
        <v/>
      </c>
      <c r="AF783" s="102" t="str">
        <f t="array" ref="AF783">_xlfn.XLOOKUP(AE783,Stock1!I783,Stock1!F783,"")</f>
        <v/>
      </c>
      <c r="AG783" s="102" t="str">
        <f t="array" ref="AG783">_xlfn.XLOOKUP(AE783,Stock1!I783,Stock1!J783,"")</f>
        <v/>
      </c>
    </row>
    <row r="784">
      <c r="K784" s="660" t="str">
        <f t="array" ref="K784">IFERROR(_xlfn.XLOOKUP(I784,Incentive!B:B,Incentive!E:E,""),"")</f>
        <v/>
      </c>
      <c r="L784" s="659" t="str">
        <f>IFERROR(VLOOKUP(I784,Stock1!F:J,5,False),"")</f>
        <v/>
      </c>
      <c r="M784" s="659" t="str">
        <f>IFERROR(VLOOKUP(I784,Stock2!F:J,5,False),"")</f>
        <v/>
      </c>
      <c r="V784" s="102" t="str">
        <f t="array" ref="V784">_xlfn.XLOOKUP("Charger",Stock1!B784,Stock1!I784,"")</f>
        <v/>
      </c>
      <c r="W784" s="102" t="str">
        <f t="array" ref="W784">_xlfn.XLOOKUP(V784,Stock1!I784,Stock1!F784,"")</f>
        <v/>
      </c>
      <c r="X784" s="102" t="str">
        <f t="array" ref="X784">_xlfn.XLOOKUP(V784,Stock1!I784,Stock1!J784,"")</f>
        <v/>
      </c>
      <c r="Y784" s="102" t="str">
        <f t="array" ref="Y784">_xlfn.XLOOKUP("Screen Protector for Android Phone and Other",Stock1!B784,Stock1!I784,"")</f>
        <v/>
      </c>
      <c r="Z784" s="102" t="str">
        <f t="array" ref="Z784">_xlfn.XLOOKUP("Screen Protector for Galaxy Phone",Stock1!B784,Stock1!I784,"")</f>
        <v/>
      </c>
      <c r="AA784" s="102" t="str">
        <f t="array" ref="AA784">_xlfn.XLOOKUP("Screen Protector for Galaxy Tab",Stock1!B784,Stock1!I784,"")</f>
        <v/>
      </c>
      <c r="AB784" s="102" t="str">
        <f t="shared" si="4"/>
        <v/>
      </c>
      <c r="AC784" s="102" t="str">
        <f t="array" ref="AC784">_xlfn.XLOOKUP(AB784,Stock1!I784,Stock1!F784,"")</f>
        <v/>
      </c>
      <c r="AD784" s="102" t="str">
        <f t="array" ref="AD784">_xlfn.XLOOKUP(AB784,Stock1!I784,Stock1!J784,"")</f>
        <v/>
      </c>
      <c r="AE784" s="102" t="str">
        <f t="array" ref="AE784">_xlfn.XLOOKUP("Storage",Stock1!B784,Stock1!I784,"")</f>
        <v/>
      </c>
      <c r="AF784" s="102" t="str">
        <f t="array" ref="AF784">_xlfn.XLOOKUP(AE784,Stock1!I784,Stock1!F784,"")</f>
        <v/>
      </c>
      <c r="AG784" s="102" t="str">
        <f t="array" ref="AG784">_xlfn.XLOOKUP(AE784,Stock1!I784,Stock1!J784,"")</f>
        <v/>
      </c>
    </row>
    <row r="785">
      <c r="K785" s="660" t="str">
        <f t="array" ref="K785">IFERROR(_xlfn.XLOOKUP(I785,Incentive!B:B,Incentive!E:E,""),"")</f>
        <v/>
      </c>
      <c r="L785" s="659" t="str">
        <f>IFERROR(VLOOKUP(I785,Stock1!F:J,5,False),"")</f>
        <v/>
      </c>
      <c r="M785" s="659" t="str">
        <f>IFERROR(VLOOKUP(I785,Stock2!F:J,5,False),"")</f>
        <v/>
      </c>
      <c r="V785" s="102" t="str">
        <f t="array" ref="V785">_xlfn.XLOOKUP("Charger",Stock1!B785,Stock1!I785,"")</f>
        <v/>
      </c>
      <c r="W785" s="102" t="str">
        <f t="array" ref="W785">_xlfn.XLOOKUP(V785,Stock1!I785,Stock1!F785,"")</f>
        <v/>
      </c>
      <c r="X785" s="102" t="str">
        <f t="array" ref="X785">_xlfn.XLOOKUP(V785,Stock1!I785,Stock1!J785,"")</f>
        <v/>
      </c>
      <c r="Y785" s="102" t="str">
        <f t="array" ref="Y785">_xlfn.XLOOKUP("Screen Protector for Android Phone and Other",Stock1!B785,Stock1!I785,"")</f>
        <v/>
      </c>
      <c r="Z785" s="102" t="str">
        <f t="array" ref="Z785">_xlfn.XLOOKUP("Screen Protector for Galaxy Phone",Stock1!B785,Stock1!I785,"")</f>
        <v/>
      </c>
      <c r="AA785" s="102" t="str">
        <f t="array" ref="AA785">_xlfn.XLOOKUP("Screen Protector for Galaxy Tab",Stock1!B785,Stock1!I785,"")</f>
        <v/>
      </c>
      <c r="AB785" s="102" t="str">
        <f t="shared" si="4"/>
        <v/>
      </c>
      <c r="AC785" s="102" t="str">
        <f t="array" ref="AC785">_xlfn.XLOOKUP(AB785,Stock1!I785,Stock1!F785,"")</f>
        <v/>
      </c>
      <c r="AD785" s="102" t="str">
        <f t="array" ref="AD785">_xlfn.XLOOKUP(AB785,Stock1!I785,Stock1!J785,"")</f>
        <v/>
      </c>
      <c r="AE785" s="102" t="str">
        <f t="array" ref="AE785">_xlfn.XLOOKUP("Storage",Stock1!B785,Stock1!I785,"")</f>
        <v/>
      </c>
      <c r="AF785" s="102" t="str">
        <f t="array" ref="AF785">_xlfn.XLOOKUP(AE785,Stock1!I785,Stock1!F785,"")</f>
        <v/>
      </c>
      <c r="AG785" s="102" t="str">
        <f t="array" ref="AG785">_xlfn.XLOOKUP(AE785,Stock1!I785,Stock1!J785,"")</f>
        <v/>
      </c>
    </row>
    <row r="786">
      <c r="K786" s="660" t="str">
        <f t="array" ref="K786">IFERROR(_xlfn.XLOOKUP(I786,Incentive!B:B,Incentive!E:E,""),"")</f>
        <v/>
      </c>
      <c r="L786" s="659" t="str">
        <f>IFERROR(VLOOKUP(I786,Stock1!F:J,5,False),"")</f>
        <v/>
      </c>
      <c r="M786" s="659" t="str">
        <f>IFERROR(VLOOKUP(I786,Stock2!F:J,5,False),"")</f>
        <v/>
      </c>
      <c r="V786" s="102" t="str">
        <f t="array" ref="V786">_xlfn.XLOOKUP("Charger",Stock1!B786,Stock1!I786,"")</f>
        <v/>
      </c>
      <c r="W786" s="102" t="str">
        <f t="array" ref="W786">_xlfn.XLOOKUP(V786,Stock1!I786,Stock1!F786,"")</f>
        <v/>
      </c>
      <c r="X786" s="102" t="str">
        <f t="array" ref="X786">_xlfn.XLOOKUP(V786,Stock1!I786,Stock1!J786,"")</f>
        <v/>
      </c>
      <c r="Y786" s="102" t="str">
        <f t="array" ref="Y786">_xlfn.XLOOKUP("Screen Protector for Android Phone and Other",Stock1!B786,Stock1!I786,"")</f>
        <v/>
      </c>
      <c r="Z786" s="102" t="str">
        <f t="array" ref="Z786">_xlfn.XLOOKUP("Screen Protector for Galaxy Phone",Stock1!B786,Stock1!I786,"")</f>
        <v/>
      </c>
      <c r="AA786" s="102" t="str">
        <f t="array" ref="AA786">_xlfn.XLOOKUP("Screen Protector for Galaxy Tab",Stock1!B786,Stock1!I786,"")</f>
        <v/>
      </c>
      <c r="AB786" s="102" t="str">
        <f t="shared" si="4"/>
        <v/>
      </c>
      <c r="AC786" s="102" t="str">
        <f t="array" ref="AC786">_xlfn.XLOOKUP(AB786,Stock1!I786,Stock1!F786,"")</f>
        <v/>
      </c>
      <c r="AD786" s="102" t="str">
        <f t="array" ref="AD786">_xlfn.XLOOKUP(AB786,Stock1!I786,Stock1!J786,"")</f>
        <v/>
      </c>
      <c r="AE786" s="102" t="str">
        <f t="array" ref="AE786">_xlfn.XLOOKUP("Storage",Stock1!B786,Stock1!I786,"")</f>
        <v/>
      </c>
      <c r="AF786" s="102" t="str">
        <f t="array" ref="AF786">_xlfn.XLOOKUP(AE786,Stock1!I786,Stock1!F786,"")</f>
        <v/>
      </c>
      <c r="AG786" s="102" t="str">
        <f t="array" ref="AG786">_xlfn.XLOOKUP(AE786,Stock1!I786,Stock1!J786,"")</f>
        <v/>
      </c>
    </row>
    <row r="787">
      <c r="K787" s="660" t="str">
        <f t="array" ref="K787">IFERROR(_xlfn.XLOOKUP(I787,Incentive!B:B,Incentive!E:E,""),"")</f>
        <v/>
      </c>
      <c r="L787" s="659" t="str">
        <f>IFERROR(VLOOKUP(I787,Stock1!F:J,5,False),"")</f>
        <v/>
      </c>
      <c r="M787" s="659" t="str">
        <f>IFERROR(VLOOKUP(I787,Stock2!F:J,5,False),"")</f>
        <v/>
      </c>
      <c r="V787" s="102" t="str">
        <f t="array" ref="V787">_xlfn.XLOOKUP("Charger",Stock1!B787,Stock1!I787,"")</f>
        <v/>
      </c>
      <c r="W787" s="102" t="str">
        <f t="array" ref="W787">_xlfn.XLOOKUP(V787,Stock1!I787,Stock1!F787,"")</f>
        <v/>
      </c>
      <c r="X787" s="102" t="str">
        <f t="array" ref="X787">_xlfn.XLOOKUP(V787,Stock1!I787,Stock1!J787,"")</f>
        <v/>
      </c>
      <c r="Y787" s="102" t="str">
        <f t="array" ref="Y787">_xlfn.XLOOKUP("Screen Protector for Android Phone and Other",Stock1!B787,Stock1!I787,"")</f>
        <v/>
      </c>
      <c r="Z787" s="102" t="str">
        <f t="array" ref="Z787">_xlfn.XLOOKUP("Screen Protector for Galaxy Phone",Stock1!B787,Stock1!I787,"")</f>
        <v/>
      </c>
      <c r="AA787" s="102" t="str">
        <f t="array" ref="AA787">_xlfn.XLOOKUP("Screen Protector for Galaxy Tab",Stock1!B787,Stock1!I787,"")</f>
        <v/>
      </c>
      <c r="AB787" s="102" t="str">
        <f t="shared" si="4"/>
        <v/>
      </c>
      <c r="AC787" s="102" t="str">
        <f t="array" ref="AC787">_xlfn.XLOOKUP(AB787,Stock1!I787,Stock1!F787,"")</f>
        <v/>
      </c>
      <c r="AD787" s="102" t="str">
        <f t="array" ref="AD787">_xlfn.XLOOKUP(AB787,Stock1!I787,Stock1!J787,"")</f>
        <v/>
      </c>
      <c r="AE787" s="102" t="str">
        <f t="array" ref="AE787">_xlfn.XLOOKUP("Storage",Stock1!B787,Stock1!I787,"")</f>
        <v/>
      </c>
      <c r="AF787" s="102" t="str">
        <f t="array" ref="AF787">_xlfn.XLOOKUP(AE787,Stock1!I787,Stock1!F787,"")</f>
        <v/>
      </c>
      <c r="AG787" s="102" t="str">
        <f t="array" ref="AG787">_xlfn.XLOOKUP(AE787,Stock1!I787,Stock1!J787,"")</f>
        <v/>
      </c>
    </row>
    <row r="788">
      <c r="K788" s="660" t="str">
        <f t="array" ref="K788">IFERROR(_xlfn.XLOOKUP(I788,Incentive!B:B,Incentive!E:E,""),"")</f>
        <v/>
      </c>
      <c r="L788" s="659" t="str">
        <f>IFERROR(VLOOKUP(I788,Stock1!F:J,5,False),"")</f>
        <v/>
      </c>
      <c r="M788" s="659" t="str">
        <f>IFERROR(VLOOKUP(I788,Stock2!F:J,5,False),"")</f>
        <v/>
      </c>
      <c r="V788" s="102" t="str">
        <f t="array" ref="V788">_xlfn.XLOOKUP("Charger",Stock1!B788,Stock1!I788,"")</f>
        <v/>
      </c>
      <c r="W788" s="102" t="str">
        <f t="array" ref="W788">_xlfn.XLOOKUP(V788,Stock1!I788,Stock1!F788,"")</f>
        <v/>
      </c>
      <c r="X788" s="102" t="str">
        <f t="array" ref="X788">_xlfn.XLOOKUP(V788,Stock1!I788,Stock1!J788,"")</f>
        <v/>
      </c>
      <c r="Y788" s="102" t="str">
        <f t="array" ref="Y788">_xlfn.XLOOKUP("Screen Protector for Android Phone and Other",Stock1!B788,Stock1!I788,"")</f>
        <v/>
      </c>
      <c r="Z788" s="102" t="str">
        <f t="array" ref="Z788">_xlfn.XLOOKUP("Screen Protector for Galaxy Phone",Stock1!B788,Stock1!I788,"")</f>
        <v/>
      </c>
      <c r="AA788" s="102" t="str">
        <f t="array" ref="AA788">_xlfn.XLOOKUP("Screen Protector for Galaxy Tab",Stock1!B788,Stock1!I788,"")</f>
        <v/>
      </c>
      <c r="AB788" s="102" t="str">
        <f t="shared" si="4"/>
        <v/>
      </c>
      <c r="AC788" s="102" t="str">
        <f t="array" ref="AC788">_xlfn.XLOOKUP(AB788,Stock1!I788,Stock1!F788,"")</f>
        <v/>
      </c>
      <c r="AD788" s="102" t="str">
        <f t="array" ref="AD788">_xlfn.XLOOKUP(AB788,Stock1!I788,Stock1!J788,"")</f>
        <v/>
      </c>
      <c r="AE788" s="102" t="str">
        <f t="array" ref="AE788">_xlfn.XLOOKUP("Storage",Stock1!B788,Stock1!I788,"")</f>
        <v/>
      </c>
      <c r="AF788" s="102" t="str">
        <f t="array" ref="AF788">_xlfn.XLOOKUP(AE788,Stock1!I788,Stock1!F788,"")</f>
        <v/>
      </c>
      <c r="AG788" s="102" t="str">
        <f t="array" ref="AG788">_xlfn.XLOOKUP(AE788,Stock1!I788,Stock1!J788,"")</f>
        <v/>
      </c>
    </row>
    <row r="789">
      <c r="K789" s="660" t="str">
        <f t="array" ref="K789">IFERROR(_xlfn.XLOOKUP(I789,Incentive!B:B,Incentive!E:E,""),"")</f>
        <v/>
      </c>
      <c r="L789" s="659" t="str">
        <f>IFERROR(VLOOKUP(I789,Stock1!F:J,5,False),"")</f>
        <v/>
      </c>
      <c r="M789" s="659" t="str">
        <f>IFERROR(VLOOKUP(I789,Stock2!F:J,5,False),"")</f>
        <v/>
      </c>
      <c r="V789" s="102" t="str">
        <f t="array" ref="V789">_xlfn.XLOOKUP("Charger",Stock1!B789,Stock1!I789,"")</f>
        <v/>
      </c>
      <c r="W789" s="102" t="str">
        <f t="array" ref="W789">_xlfn.XLOOKUP(V789,Stock1!I789,Stock1!F789,"")</f>
        <v/>
      </c>
      <c r="X789" s="102" t="str">
        <f t="array" ref="X789">_xlfn.XLOOKUP(V789,Stock1!I789,Stock1!J789,"")</f>
        <v/>
      </c>
      <c r="Y789" s="102" t="str">
        <f t="array" ref="Y789">_xlfn.XLOOKUP("Screen Protector for Android Phone and Other",Stock1!B789,Stock1!I789,"")</f>
        <v/>
      </c>
      <c r="Z789" s="102" t="str">
        <f t="array" ref="Z789">_xlfn.XLOOKUP("Screen Protector for Galaxy Phone",Stock1!B789,Stock1!I789,"")</f>
        <v/>
      </c>
      <c r="AA789" s="102" t="str">
        <f t="array" ref="AA789">_xlfn.XLOOKUP("Screen Protector for Galaxy Tab",Stock1!B789,Stock1!I789,"")</f>
        <v/>
      </c>
      <c r="AB789" s="102" t="str">
        <f t="shared" si="4"/>
        <v/>
      </c>
      <c r="AC789" s="102" t="str">
        <f t="array" ref="AC789">_xlfn.XLOOKUP(AB789,Stock1!I789,Stock1!F789,"")</f>
        <v/>
      </c>
      <c r="AD789" s="102" t="str">
        <f t="array" ref="AD789">_xlfn.XLOOKUP(AB789,Stock1!I789,Stock1!J789,"")</f>
        <v/>
      </c>
      <c r="AE789" s="102" t="str">
        <f t="array" ref="AE789">_xlfn.XLOOKUP("Storage",Stock1!B789,Stock1!I789,"")</f>
        <v/>
      </c>
      <c r="AF789" s="102" t="str">
        <f t="array" ref="AF789">_xlfn.XLOOKUP(AE789,Stock1!I789,Stock1!F789,"")</f>
        <v/>
      </c>
      <c r="AG789" s="102" t="str">
        <f t="array" ref="AG789">_xlfn.XLOOKUP(AE789,Stock1!I789,Stock1!J789,"")</f>
        <v/>
      </c>
    </row>
    <row r="790">
      <c r="K790" s="660" t="str">
        <f t="array" ref="K790">IFERROR(_xlfn.XLOOKUP(I790,Incentive!B:B,Incentive!E:E,""),"")</f>
        <v/>
      </c>
      <c r="L790" s="659" t="str">
        <f>IFERROR(VLOOKUP(I790,Stock1!F:J,5,False),"")</f>
        <v/>
      </c>
      <c r="M790" s="659" t="str">
        <f>IFERROR(VLOOKUP(I790,Stock2!F:J,5,False),"")</f>
        <v/>
      </c>
      <c r="V790" s="102" t="str">
        <f t="array" ref="V790">_xlfn.XLOOKUP("Charger",Stock1!B790,Stock1!I790,"")</f>
        <v/>
      </c>
      <c r="W790" s="102" t="str">
        <f t="array" ref="W790">_xlfn.XLOOKUP(V790,Stock1!I790,Stock1!F790,"")</f>
        <v/>
      </c>
      <c r="X790" s="102" t="str">
        <f t="array" ref="X790">_xlfn.XLOOKUP(V790,Stock1!I790,Stock1!J790,"")</f>
        <v/>
      </c>
      <c r="Y790" s="102" t="str">
        <f t="array" ref="Y790">_xlfn.XLOOKUP("Screen Protector for Android Phone and Other",Stock1!B790,Stock1!I790,"")</f>
        <v/>
      </c>
      <c r="Z790" s="102" t="str">
        <f t="array" ref="Z790">_xlfn.XLOOKUP("Screen Protector for Galaxy Phone",Stock1!B790,Stock1!I790,"")</f>
        <v/>
      </c>
      <c r="AA790" s="102" t="str">
        <f t="array" ref="AA790">_xlfn.XLOOKUP("Screen Protector for Galaxy Tab",Stock1!B790,Stock1!I790,"")</f>
        <v/>
      </c>
      <c r="AB790" s="102" t="str">
        <f t="shared" si="4"/>
        <v/>
      </c>
      <c r="AC790" s="102" t="str">
        <f t="array" ref="AC790">_xlfn.XLOOKUP(AB790,Stock1!I790,Stock1!F790,"")</f>
        <v/>
      </c>
      <c r="AD790" s="102" t="str">
        <f t="array" ref="AD790">_xlfn.XLOOKUP(AB790,Stock1!I790,Stock1!J790,"")</f>
        <v/>
      </c>
      <c r="AE790" s="102" t="str">
        <f t="array" ref="AE790">_xlfn.XLOOKUP("Storage",Stock1!B790,Stock1!I790,"")</f>
        <v/>
      </c>
      <c r="AF790" s="102" t="str">
        <f t="array" ref="AF790">_xlfn.XLOOKUP(AE790,Stock1!I790,Stock1!F790,"")</f>
        <v/>
      </c>
      <c r="AG790" s="102" t="str">
        <f t="array" ref="AG790">_xlfn.XLOOKUP(AE790,Stock1!I790,Stock1!J790,"")</f>
        <v/>
      </c>
    </row>
    <row r="791">
      <c r="K791" s="660" t="str">
        <f t="array" ref="K791">IFERROR(_xlfn.XLOOKUP(I791,Incentive!B:B,Incentive!E:E,""),"")</f>
        <v/>
      </c>
      <c r="L791" s="659" t="str">
        <f>IFERROR(VLOOKUP(I791,Stock1!F:J,5,False),"")</f>
        <v/>
      </c>
      <c r="M791" s="659" t="str">
        <f>IFERROR(VLOOKUP(I791,Stock2!F:J,5,False),"")</f>
        <v/>
      </c>
      <c r="V791" s="102" t="str">
        <f t="array" ref="V791">_xlfn.XLOOKUP("Charger",Stock1!B791,Stock1!I791,"")</f>
        <v/>
      </c>
      <c r="W791" s="102" t="str">
        <f t="array" ref="W791">_xlfn.XLOOKUP(V791,Stock1!I791,Stock1!F791,"")</f>
        <v/>
      </c>
      <c r="X791" s="102" t="str">
        <f t="array" ref="X791">_xlfn.XLOOKUP(V791,Stock1!I791,Stock1!J791,"")</f>
        <v/>
      </c>
      <c r="Y791" s="102" t="str">
        <f t="array" ref="Y791">_xlfn.XLOOKUP("Screen Protector for Android Phone and Other",Stock1!B791,Stock1!I791,"")</f>
        <v/>
      </c>
      <c r="Z791" s="102" t="str">
        <f t="array" ref="Z791">_xlfn.XLOOKUP("Screen Protector for Galaxy Phone",Stock1!B791,Stock1!I791,"")</f>
        <v/>
      </c>
      <c r="AA791" s="102" t="str">
        <f t="array" ref="AA791">_xlfn.XLOOKUP("Screen Protector for Galaxy Tab",Stock1!B791,Stock1!I791,"")</f>
        <v/>
      </c>
      <c r="AB791" s="102" t="str">
        <f t="shared" si="4"/>
        <v/>
      </c>
      <c r="AC791" s="102" t="str">
        <f t="array" ref="AC791">_xlfn.XLOOKUP(AB791,Stock1!I791,Stock1!F791,"")</f>
        <v/>
      </c>
      <c r="AD791" s="102" t="str">
        <f t="array" ref="AD791">_xlfn.XLOOKUP(AB791,Stock1!I791,Stock1!J791,"")</f>
        <v/>
      </c>
      <c r="AE791" s="102" t="str">
        <f t="array" ref="AE791">_xlfn.XLOOKUP("Storage",Stock1!B791,Stock1!I791,"")</f>
        <v/>
      </c>
      <c r="AF791" s="102" t="str">
        <f t="array" ref="AF791">_xlfn.XLOOKUP(AE791,Stock1!I791,Stock1!F791,"")</f>
        <v/>
      </c>
      <c r="AG791" s="102" t="str">
        <f t="array" ref="AG791">_xlfn.XLOOKUP(AE791,Stock1!I791,Stock1!J791,"")</f>
        <v/>
      </c>
    </row>
    <row r="792">
      <c r="K792" s="660" t="str">
        <f t="array" ref="K792">IFERROR(_xlfn.XLOOKUP(I792,Incentive!B:B,Incentive!E:E,""),"")</f>
        <v/>
      </c>
      <c r="L792" s="659" t="str">
        <f>IFERROR(VLOOKUP(I792,Stock1!F:J,5,False),"")</f>
        <v/>
      </c>
      <c r="M792" s="659" t="str">
        <f>IFERROR(VLOOKUP(I792,Stock2!F:J,5,False),"")</f>
        <v/>
      </c>
      <c r="V792" s="102" t="str">
        <f t="array" ref="V792">_xlfn.XLOOKUP("Charger",Stock1!B792,Stock1!I792,"")</f>
        <v/>
      </c>
      <c r="W792" s="102" t="str">
        <f t="array" ref="W792">_xlfn.XLOOKUP(V792,Stock1!I792,Stock1!F792,"")</f>
        <v/>
      </c>
      <c r="X792" s="102" t="str">
        <f t="array" ref="X792">_xlfn.XLOOKUP(V792,Stock1!I792,Stock1!J792,"")</f>
        <v/>
      </c>
      <c r="Y792" s="102" t="str">
        <f t="array" ref="Y792">_xlfn.XLOOKUP("Screen Protector for Android Phone and Other",Stock1!B792,Stock1!I792,"")</f>
        <v/>
      </c>
      <c r="Z792" s="102" t="str">
        <f t="array" ref="Z792">_xlfn.XLOOKUP("Screen Protector for Galaxy Phone",Stock1!B792,Stock1!I792,"")</f>
        <v/>
      </c>
      <c r="AA792" s="102" t="str">
        <f t="array" ref="AA792">_xlfn.XLOOKUP("Screen Protector for Galaxy Tab",Stock1!B792,Stock1!I792,"")</f>
        <v/>
      </c>
      <c r="AB792" s="102" t="str">
        <f t="shared" si="4"/>
        <v/>
      </c>
      <c r="AC792" s="102" t="str">
        <f t="array" ref="AC792">_xlfn.XLOOKUP(AB792,Stock1!I792,Stock1!F792,"")</f>
        <v/>
      </c>
      <c r="AD792" s="102" t="str">
        <f t="array" ref="AD792">_xlfn.XLOOKUP(AB792,Stock1!I792,Stock1!J792,"")</f>
        <v/>
      </c>
      <c r="AE792" s="102" t="str">
        <f t="array" ref="AE792">_xlfn.XLOOKUP("Storage",Stock1!B792,Stock1!I792,"")</f>
        <v/>
      </c>
      <c r="AF792" s="102" t="str">
        <f t="array" ref="AF792">_xlfn.XLOOKUP(AE792,Stock1!I792,Stock1!F792,"")</f>
        <v/>
      </c>
      <c r="AG792" s="102" t="str">
        <f t="array" ref="AG792">_xlfn.XLOOKUP(AE792,Stock1!I792,Stock1!J792,"")</f>
        <v/>
      </c>
    </row>
    <row r="793">
      <c r="K793" s="660" t="str">
        <f t="array" ref="K793">IFERROR(_xlfn.XLOOKUP(I793,Incentive!B:B,Incentive!E:E,""),"")</f>
        <v/>
      </c>
      <c r="L793" s="659" t="str">
        <f>IFERROR(VLOOKUP(I793,Stock1!F:J,5,False),"")</f>
        <v/>
      </c>
      <c r="M793" s="659" t="str">
        <f>IFERROR(VLOOKUP(I793,Stock2!F:J,5,False),"")</f>
        <v/>
      </c>
      <c r="V793" s="102" t="str">
        <f t="array" ref="V793">_xlfn.XLOOKUP("Charger",Stock1!B793,Stock1!I793,"")</f>
        <v/>
      </c>
      <c r="W793" s="102" t="str">
        <f t="array" ref="W793">_xlfn.XLOOKUP(V793,Stock1!I793,Stock1!F793,"")</f>
        <v/>
      </c>
      <c r="X793" s="102" t="str">
        <f t="array" ref="X793">_xlfn.XLOOKUP(V793,Stock1!I793,Stock1!J793,"")</f>
        <v/>
      </c>
      <c r="Y793" s="102" t="str">
        <f t="array" ref="Y793">_xlfn.XLOOKUP("Screen Protector for Android Phone and Other",Stock1!B793,Stock1!I793,"")</f>
        <v/>
      </c>
      <c r="Z793" s="102" t="str">
        <f t="array" ref="Z793">_xlfn.XLOOKUP("Screen Protector for Galaxy Phone",Stock1!B793,Stock1!I793,"")</f>
        <v/>
      </c>
      <c r="AA793" s="102" t="str">
        <f t="array" ref="AA793">_xlfn.XLOOKUP("Screen Protector for Galaxy Tab",Stock1!B793,Stock1!I793,"")</f>
        <v/>
      </c>
      <c r="AB793" s="102" t="str">
        <f t="shared" si="4"/>
        <v/>
      </c>
      <c r="AC793" s="102" t="str">
        <f t="array" ref="AC793">_xlfn.XLOOKUP(AB793,Stock1!I793,Stock1!F793,"")</f>
        <v/>
      </c>
      <c r="AD793" s="102" t="str">
        <f t="array" ref="AD793">_xlfn.XLOOKUP(AB793,Stock1!I793,Stock1!J793,"")</f>
        <v/>
      </c>
      <c r="AE793" s="102" t="str">
        <f t="array" ref="AE793">_xlfn.XLOOKUP("Storage",Stock1!B793,Stock1!I793,"")</f>
        <v/>
      </c>
      <c r="AF793" s="102" t="str">
        <f t="array" ref="AF793">_xlfn.XLOOKUP(AE793,Stock1!I793,Stock1!F793,"")</f>
        <v/>
      </c>
      <c r="AG793" s="102" t="str">
        <f t="array" ref="AG793">_xlfn.XLOOKUP(AE793,Stock1!I793,Stock1!J793,"")</f>
        <v/>
      </c>
    </row>
    <row r="794">
      <c r="K794" s="660" t="str">
        <f t="array" ref="K794">IFERROR(_xlfn.XLOOKUP(I794,Incentive!B:B,Incentive!E:E,""),"")</f>
        <v/>
      </c>
      <c r="L794" s="659" t="str">
        <f>IFERROR(VLOOKUP(I794,Stock1!F:J,5,False),"")</f>
        <v/>
      </c>
      <c r="M794" s="659" t="str">
        <f>IFERROR(VLOOKUP(I794,Stock2!F:J,5,False),"")</f>
        <v/>
      </c>
      <c r="V794" s="102" t="str">
        <f t="array" ref="V794">_xlfn.XLOOKUP("Charger",Stock1!B794,Stock1!I794,"")</f>
        <v/>
      </c>
      <c r="W794" s="102" t="str">
        <f t="array" ref="W794">_xlfn.XLOOKUP(V794,Stock1!I794,Stock1!F794,"")</f>
        <v/>
      </c>
      <c r="X794" s="102" t="str">
        <f t="array" ref="X794">_xlfn.XLOOKUP(V794,Stock1!I794,Stock1!J794,"")</f>
        <v/>
      </c>
      <c r="Y794" s="102" t="str">
        <f t="array" ref="Y794">_xlfn.XLOOKUP("Screen Protector for Android Phone and Other",Stock1!B794,Stock1!I794,"")</f>
        <v/>
      </c>
      <c r="Z794" s="102" t="str">
        <f t="array" ref="Z794">_xlfn.XLOOKUP("Screen Protector for Galaxy Phone",Stock1!B794,Stock1!I794,"")</f>
        <v/>
      </c>
      <c r="AA794" s="102" t="str">
        <f t="array" ref="AA794">_xlfn.XLOOKUP("Screen Protector for Galaxy Tab",Stock1!B794,Stock1!I794,"")</f>
        <v/>
      </c>
      <c r="AB794" s="102" t="str">
        <f t="shared" si="4"/>
        <v/>
      </c>
      <c r="AC794" s="102" t="str">
        <f t="array" ref="AC794">_xlfn.XLOOKUP(AB794,Stock1!I794,Stock1!F794,"")</f>
        <v/>
      </c>
      <c r="AD794" s="102" t="str">
        <f t="array" ref="AD794">_xlfn.XLOOKUP(AB794,Stock1!I794,Stock1!J794,"")</f>
        <v/>
      </c>
      <c r="AE794" s="102" t="str">
        <f t="array" ref="AE794">_xlfn.XLOOKUP("Storage",Stock1!B794,Stock1!I794,"")</f>
        <v/>
      </c>
      <c r="AF794" s="102" t="str">
        <f t="array" ref="AF794">_xlfn.XLOOKUP(AE794,Stock1!I794,Stock1!F794,"")</f>
        <v/>
      </c>
      <c r="AG794" s="102" t="str">
        <f t="array" ref="AG794">_xlfn.XLOOKUP(AE794,Stock1!I794,Stock1!J794,"")</f>
        <v/>
      </c>
    </row>
    <row r="795">
      <c r="K795" s="660" t="str">
        <f t="array" ref="K795">IFERROR(_xlfn.XLOOKUP(I795,Incentive!B:B,Incentive!E:E,""),"")</f>
        <v/>
      </c>
      <c r="L795" s="659" t="str">
        <f>IFERROR(VLOOKUP(I795,Stock1!F:J,5,False),"")</f>
        <v/>
      </c>
      <c r="M795" s="659" t="str">
        <f>IFERROR(VLOOKUP(I795,Stock2!F:J,5,False),"")</f>
        <v/>
      </c>
      <c r="V795" s="102" t="str">
        <f t="array" ref="V795">_xlfn.XLOOKUP("Charger",Stock1!B795,Stock1!I795,"")</f>
        <v/>
      </c>
      <c r="W795" s="102" t="str">
        <f t="array" ref="W795">_xlfn.XLOOKUP(V795,Stock1!I795,Stock1!F795,"")</f>
        <v/>
      </c>
      <c r="X795" s="102" t="str">
        <f t="array" ref="X795">_xlfn.XLOOKUP(V795,Stock1!I795,Stock1!J795,"")</f>
        <v/>
      </c>
      <c r="Y795" s="102" t="str">
        <f t="array" ref="Y795">_xlfn.XLOOKUP("Screen Protector for Android Phone and Other",Stock1!B795,Stock1!I795,"")</f>
        <v/>
      </c>
      <c r="Z795" s="102" t="str">
        <f t="array" ref="Z795">_xlfn.XLOOKUP("Screen Protector for Galaxy Phone",Stock1!B795,Stock1!I795,"")</f>
        <v/>
      </c>
      <c r="AA795" s="102" t="str">
        <f t="array" ref="AA795">_xlfn.XLOOKUP("Screen Protector for Galaxy Tab",Stock1!B795,Stock1!I795,"")</f>
        <v/>
      </c>
      <c r="AB795" s="102" t="str">
        <f t="shared" si="4"/>
        <v/>
      </c>
      <c r="AC795" s="102" t="str">
        <f t="array" ref="AC795">_xlfn.XLOOKUP(AB795,Stock1!I795,Stock1!F795,"")</f>
        <v/>
      </c>
      <c r="AD795" s="102" t="str">
        <f t="array" ref="AD795">_xlfn.XLOOKUP(AB795,Stock1!I795,Stock1!J795,"")</f>
        <v/>
      </c>
      <c r="AE795" s="102" t="str">
        <f t="array" ref="AE795">_xlfn.XLOOKUP("Storage",Stock1!B795,Stock1!I795,"")</f>
        <v/>
      </c>
      <c r="AF795" s="102" t="str">
        <f t="array" ref="AF795">_xlfn.XLOOKUP(AE795,Stock1!I795,Stock1!F795,"")</f>
        <v/>
      </c>
      <c r="AG795" s="102" t="str">
        <f t="array" ref="AG795">_xlfn.XLOOKUP(AE795,Stock1!I795,Stock1!J795,"")</f>
        <v/>
      </c>
    </row>
    <row r="796">
      <c r="K796" s="660" t="str">
        <f t="array" ref="K796">IFERROR(_xlfn.XLOOKUP(I796,Incentive!B:B,Incentive!E:E,""),"")</f>
        <v/>
      </c>
      <c r="L796" s="659" t="str">
        <f>IFERROR(VLOOKUP(I796,Stock1!F:J,5,False),"")</f>
        <v/>
      </c>
      <c r="M796" s="659" t="str">
        <f>IFERROR(VLOOKUP(I796,Stock2!F:J,5,False),"")</f>
        <v/>
      </c>
      <c r="V796" s="102" t="str">
        <f t="array" ref="V796">_xlfn.XLOOKUP("Charger",Stock1!B796,Stock1!I796,"")</f>
        <v/>
      </c>
      <c r="W796" s="102" t="str">
        <f t="array" ref="W796">_xlfn.XLOOKUP(V796,Stock1!I796,Stock1!F796,"")</f>
        <v/>
      </c>
      <c r="X796" s="102" t="str">
        <f t="array" ref="X796">_xlfn.XLOOKUP(V796,Stock1!I796,Stock1!J796,"")</f>
        <v/>
      </c>
      <c r="Y796" s="102" t="str">
        <f t="array" ref="Y796">_xlfn.XLOOKUP("Screen Protector for Android Phone and Other",Stock1!B796,Stock1!I796,"")</f>
        <v/>
      </c>
      <c r="Z796" s="102" t="str">
        <f t="array" ref="Z796">_xlfn.XLOOKUP("Screen Protector for Galaxy Phone",Stock1!B796,Stock1!I796,"")</f>
        <v/>
      </c>
      <c r="AA796" s="102" t="str">
        <f t="array" ref="AA796">_xlfn.XLOOKUP("Screen Protector for Galaxy Tab",Stock1!B796,Stock1!I796,"")</f>
        <v/>
      </c>
      <c r="AB796" s="102" t="str">
        <f t="shared" si="4"/>
        <v/>
      </c>
      <c r="AC796" s="102" t="str">
        <f t="array" ref="AC796">_xlfn.XLOOKUP(AB796,Stock1!I796,Stock1!F796,"")</f>
        <v/>
      </c>
      <c r="AD796" s="102" t="str">
        <f t="array" ref="AD796">_xlfn.XLOOKUP(AB796,Stock1!I796,Stock1!J796,"")</f>
        <v/>
      </c>
      <c r="AE796" s="102" t="str">
        <f t="array" ref="AE796">_xlfn.XLOOKUP("Storage",Stock1!B796,Stock1!I796,"")</f>
        <v/>
      </c>
      <c r="AF796" s="102" t="str">
        <f t="array" ref="AF796">_xlfn.XLOOKUP(AE796,Stock1!I796,Stock1!F796,"")</f>
        <v/>
      </c>
      <c r="AG796" s="102" t="str">
        <f t="array" ref="AG796">_xlfn.XLOOKUP(AE796,Stock1!I796,Stock1!J796,"")</f>
        <v/>
      </c>
    </row>
    <row r="797">
      <c r="K797" s="660" t="str">
        <f t="array" ref="K797">IFERROR(_xlfn.XLOOKUP(I797,Incentive!B:B,Incentive!E:E,""),"")</f>
        <v/>
      </c>
      <c r="L797" s="659" t="str">
        <f>IFERROR(VLOOKUP(I797,Stock1!F:J,5,False),"")</f>
        <v/>
      </c>
      <c r="M797" s="659" t="str">
        <f>IFERROR(VLOOKUP(I797,Stock2!F:J,5,False),"")</f>
        <v/>
      </c>
      <c r="V797" s="102" t="str">
        <f t="array" ref="V797">_xlfn.XLOOKUP("Charger",Stock1!B797,Stock1!I797,"")</f>
        <v/>
      </c>
      <c r="W797" s="102" t="str">
        <f t="array" ref="W797">_xlfn.XLOOKUP(V797,Stock1!I797,Stock1!F797,"")</f>
        <v/>
      </c>
      <c r="X797" s="102" t="str">
        <f t="array" ref="X797">_xlfn.XLOOKUP(V797,Stock1!I797,Stock1!J797,"")</f>
        <v/>
      </c>
      <c r="Y797" s="102" t="str">
        <f t="array" ref="Y797">_xlfn.XLOOKUP("Screen Protector for Android Phone and Other",Stock1!B797,Stock1!I797,"")</f>
        <v/>
      </c>
      <c r="Z797" s="102" t="str">
        <f t="array" ref="Z797">_xlfn.XLOOKUP("Screen Protector for Galaxy Phone",Stock1!B797,Stock1!I797,"")</f>
        <v/>
      </c>
      <c r="AA797" s="102" t="str">
        <f t="array" ref="AA797">_xlfn.XLOOKUP("Screen Protector for Galaxy Tab",Stock1!B797,Stock1!I797,"")</f>
        <v/>
      </c>
      <c r="AB797" s="102" t="str">
        <f t="shared" si="4"/>
        <v/>
      </c>
      <c r="AC797" s="102" t="str">
        <f t="array" ref="AC797">_xlfn.XLOOKUP(AB797,Stock1!I797,Stock1!F797,"")</f>
        <v/>
      </c>
      <c r="AD797" s="102" t="str">
        <f t="array" ref="AD797">_xlfn.XLOOKUP(AB797,Stock1!I797,Stock1!J797,"")</f>
        <v/>
      </c>
      <c r="AE797" s="102" t="str">
        <f t="array" ref="AE797">_xlfn.XLOOKUP("Storage",Stock1!B797,Stock1!I797,"")</f>
        <v/>
      </c>
      <c r="AF797" s="102" t="str">
        <f t="array" ref="AF797">_xlfn.XLOOKUP(AE797,Stock1!I797,Stock1!F797,"")</f>
        <v/>
      </c>
      <c r="AG797" s="102" t="str">
        <f t="array" ref="AG797">_xlfn.XLOOKUP(AE797,Stock1!I797,Stock1!J797,"")</f>
        <v/>
      </c>
    </row>
    <row r="798">
      <c r="K798" s="660" t="str">
        <f t="array" ref="K798">IFERROR(_xlfn.XLOOKUP(I798,Incentive!B:B,Incentive!E:E,""),"")</f>
        <v/>
      </c>
      <c r="L798" s="659" t="str">
        <f>IFERROR(VLOOKUP(I798,Stock1!F:J,5,False),"")</f>
        <v/>
      </c>
      <c r="M798" s="659" t="str">
        <f>IFERROR(VLOOKUP(I798,Stock2!F:J,5,False),"")</f>
        <v/>
      </c>
      <c r="V798" s="102" t="str">
        <f t="array" ref="V798">_xlfn.XLOOKUP("Charger",Stock1!B798,Stock1!I798,"")</f>
        <v/>
      </c>
      <c r="W798" s="102" t="str">
        <f t="array" ref="W798">_xlfn.XLOOKUP(V798,Stock1!I798,Stock1!F798,"")</f>
        <v/>
      </c>
      <c r="X798" s="102" t="str">
        <f t="array" ref="X798">_xlfn.XLOOKUP(V798,Stock1!I798,Stock1!J798,"")</f>
        <v/>
      </c>
      <c r="Y798" s="102" t="str">
        <f t="array" ref="Y798">_xlfn.XLOOKUP("Screen Protector for Android Phone and Other",Stock1!B798,Stock1!I798,"")</f>
        <v/>
      </c>
      <c r="Z798" s="102" t="str">
        <f t="array" ref="Z798">_xlfn.XLOOKUP("Screen Protector for Galaxy Phone",Stock1!B798,Stock1!I798,"")</f>
        <v/>
      </c>
      <c r="AA798" s="102" t="str">
        <f t="array" ref="AA798">_xlfn.XLOOKUP("Screen Protector for Galaxy Tab",Stock1!B798,Stock1!I798,"")</f>
        <v/>
      </c>
      <c r="AB798" s="102" t="str">
        <f t="shared" si="4"/>
        <v/>
      </c>
      <c r="AC798" s="102" t="str">
        <f t="array" ref="AC798">_xlfn.XLOOKUP(AB798,Stock1!I798,Stock1!F798,"")</f>
        <v/>
      </c>
      <c r="AD798" s="102" t="str">
        <f t="array" ref="AD798">_xlfn.XLOOKUP(AB798,Stock1!I798,Stock1!J798,"")</f>
        <v/>
      </c>
      <c r="AE798" s="102" t="str">
        <f t="array" ref="AE798">_xlfn.XLOOKUP("Storage",Stock1!B798,Stock1!I798,"")</f>
        <v/>
      </c>
      <c r="AF798" s="102" t="str">
        <f t="array" ref="AF798">_xlfn.XLOOKUP(AE798,Stock1!I798,Stock1!F798,"")</f>
        <v/>
      </c>
      <c r="AG798" s="102" t="str">
        <f t="array" ref="AG798">_xlfn.XLOOKUP(AE798,Stock1!I798,Stock1!J798,"")</f>
        <v/>
      </c>
    </row>
    <row r="799">
      <c r="K799" s="660" t="str">
        <f t="array" ref="K799">IFERROR(_xlfn.XLOOKUP(I799,Incentive!B:B,Incentive!E:E,""),"")</f>
        <v/>
      </c>
      <c r="L799" s="659" t="str">
        <f>IFERROR(VLOOKUP(I799,Stock1!F:J,5,False),"")</f>
        <v/>
      </c>
      <c r="M799" s="659" t="str">
        <f>IFERROR(VLOOKUP(I799,Stock2!F:J,5,False),"")</f>
        <v/>
      </c>
      <c r="V799" s="102" t="str">
        <f t="array" ref="V799">_xlfn.XLOOKUP("Charger",Stock1!B799,Stock1!I799,"")</f>
        <v/>
      </c>
      <c r="W799" s="102" t="str">
        <f t="array" ref="W799">_xlfn.XLOOKUP(V799,Stock1!I799,Stock1!F799,"")</f>
        <v/>
      </c>
      <c r="X799" s="102" t="str">
        <f t="array" ref="X799">_xlfn.XLOOKUP(V799,Stock1!I799,Stock1!J799,"")</f>
        <v/>
      </c>
      <c r="Y799" s="102" t="str">
        <f t="array" ref="Y799">_xlfn.XLOOKUP("Screen Protector for Android Phone and Other",Stock1!B799,Stock1!I799,"")</f>
        <v/>
      </c>
      <c r="Z799" s="102" t="str">
        <f t="array" ref="Z799">_xlfn.XLOOKUP("Screen Protector for Galaxy Phone",Stock1!B799,Stock1!I799,"")</f>
        <v/>
      </c>
      <c r="AA799" s="102" t="str">
        <f t="array" ref="AA799">_xlfn.XLOOKUP("Screen Protector for Galaxy Tab",Stock1!B799,Stock1!I799,"")</f>
        <v/>
      </c>
      <c r="AB799" s="102" t="str">
        <f t="shared" si="4"/>
        <v/>
      </c>
      <c r="AC799" s="102" t="str">
        <f t="array" ref="AC799">_xlfn.XLOOKUP(AB799,Stock1!I799,Stock1!F799,"")</f>
        <v/>
      </c>
      <c r="AD799" s="102" t="str">
        <f t="array" ref="AD799">_xlfn.XLOOKUP(AB799,Stock1!I799,Stock1!J799,"")</f>
        <v/>
      </c>
      <c r="AE799" s="102" t="str">
        <f t="array" ref="AE799">_xlfn.XLOOKUP("Storage",Stock1!B799,Stock1!I799,"")</f>
        <v/>
      </c>
      <c r="AF799" s="102" t="str">
        <f t="array" ref="AF799">_xlfn.XLOOKUP(AE799,Stock1!I799,Stock1!F799,"")</f>
        <v/>
      </c>
      <c r="AG799" s="102" t="str">
        <f t="array" ref="AG799">_xlfn.XLOOKUP(AE799,Stock1!I799,Stock1!J799,"")</f>
        <v/>
      </c>
    </row>
    <row r="800">
      <c r="K800" s="660" t="str">
        <f t="array" ref="K800">IFERROR(_xlfn.XLOOKUP(I800,Incentive!B:B,Incentive!E:E,""),"")</f>
        <v/>
      </c>
      <c r="L800" s="659" t="str">
        <f>IFERROR(VLOOKUP(I800,Stock1!F:J,5,False),"")</f>
        <v/>
      </c>
      <c r="M800" s="659" t="str">
        <f>IFERROR(VLOOKUP(I800,Stock2!F:J,5,False),"")</f>
        <v/>
      </c>
      <c r="V800" s="102" t="str">
        <f t="array" ref="V800">_xlfn.XLOOKUP("Charger",Stock1!B800,Stock1!I800,"")</f>
        <v/>
      </c>
      <c r="W800" s="102" t="str">
        <f t="array" ref="W800">_xlfn.XLOOKUP(V800,Stock1!I800,Stock1!F800,"")</f>
        <v/>
      </c>
      <c r="X800" s="102" t="str">
        <f t="array" ref="X800">_xlfn.XLOOKUP(V800,Stock1!I800,Stock1!J800,"")</f>
        <v/>
      </c>
      <c r="Y800" s="102" t="str">
        <f t="array" ref="Y800">_xlfn.XLOOKUP("Screen Protector for Android Phone and Other",Stock1!B800,Stock1!I800,"")</f>
        <v/>
      </c>
      <c r="Z800" s="102" t="str">
        <f t="array" ref="Z800">_xlfn.XLOOKUP("Screen Protector for Galaxy Phone",Stock1!B800,Stock1!I800,"")</f>
        <v/>
      </c>
      <c r="AA800" s="102" t="str">
        <f t="array" ref="AA800">_xlfn.XLOOKUP("Screen Protector for Galaxy Tab",Stock1!B800,Stock1!I800,"")</f>
        <v/>
      </c>
      <c r="AB800" s="102" t="str">
        <f t="shared" si="4"/>
        <v/>
      </c>
      <c r="AC800" s="102" t="str">
        <f t="array" ref="AC800">_xlfn.XLOOKUP(AB800,Stock1!I800,Stock1!F800,"")</f>
        <v/>
      </c>
      <c r="AD800" s="102" t="str">
        <f t="array" ref="AD800">_xlfn.XLOOKUP(AB800,Stock1!I800,Stock1!J800,"")</f>
        <v/>
      </c>
      <c r="AE800" s="102" t="str">
        <f t="array" ref="AE800">_xlfn.XLOOKUP("Storage",Stock1!B800,Stock1!I800,"")</f>
        <v/>
      </c>
      <c r="AF800" s="102" t="str">
        <f t="array" ref="AF800">_xlfn.XLOOKUP(AE800,Stock1!I800,Stock1!F800,"")</f>
        <v/>
      </c>
      <c r="AG800" s="102" t="str">
        <f t="array" ref="AG800">_xlfn.XLOOKUP(AE800,Stock1!I800,Stock1!J800,"")</f>
        <v/>
      </c>
    </row>
    <row r="801">
      <c r="K801" s="660" t="str">
        <f t="array" ref="K801">IFERROR(_xlfn.XLOOKUP(I801,Incentive!B:B,Incentive!E:E,""),"")</f>
        <v/>
      </c>
      <c r="L801" s="659" t="str">
        <f>IFERROR(VLOOKUP(I801,Stock1!F:J,5,False),"")</f>
        <v/>
      </c>
      <c r="M801" s="659" t="str">
        <f>IFERROR(VLOOKUP(I801,Stock2!F:J,5,False),"")</f>
        <v/>
      </c>
      <c r="V801" s="102" t="str">
        <f t="array" ref="V801">_xlfn.XLOOKUP("Charger",Stock1!B801,Stock1!I801,"")</f>
        <v/>
      </c>
      <c r="W801" s="102" t="str">
        <f t="array" ref="W801">_xlfn.XLOOKUP(V801,Stock1!I801,Stock1!F801,"")</f>
        <v/>
      </c>
      <c r="X801" s="102" t="str">
        <f t="array" ref="X801">_xlfn.XLOOKUP(V801,Stock1!I801,Stock1!J801,"")</f>
        <v/>
      </c>
      <c r="Y801" s="102" t="str">
        <f t="array" ref="Y801">_xlfn.XLOOKUP("Screen Protector for Android Phone and Other",Stock1!B801,Stock1!I801,"")</f>
        <v/>
      </c>
      <c r="Z801" s="102" t="str">
        <f t="array" ref="Z801">_xlfn.XLOOKUP("Screen Protector for Galaxy Phone",Stock1!B801,Stock1!I801,"")</f>
        <v/>
      </c>
      <c r="AA801" s="102" t="str">
        <f t="array" ref="AA801">_xlfn.XLOOKUP("Screen Protector for Galaxy Tab",Stock1!B801,Stock1!I801,"")</f>
        <v/>
      </c>
      <c r="AB801" s="102" t="str">
        <f t="shared" si="4"/>
        <v/>
      </c>
      <c r="AC801" s="102" t="str">
        <f t="array" ref="AC801">_xlfn.XLOOKUP(AB801,Stock1!I801,Stock1!F801,"")</f>
        <v/>
      </c>
      <c r="AD801" s="102" t="str">
        <f t="array" ref="AD801">_xlfn.XLOOKUP(AB801,Stock1!I801,Stock1!J801,"")</f>
        <v/>
      </c>
      <c r="AE801" s="102" t="str">
        <f t="array" ref="AE801">_xlfn.XLOOKUP("Storage",Stock1!B801,Stock1!I801,"")</f>
        <v/>
      </c>
      <c r="AF801" s="102" t="str">
        <f t="array" ref="AF801">_xlfn.XLOOKUP(AE801,Stock1!I801,Stock1!F801,"")</f>
        <v/>
      </c>
      <c r="AG801" s="102" t="str">
        <f t="array" ref="AG801">_xlfn.XLOOKUP(AE801,Stock1!I801,Stock1!J801,"")</f>
        <v/>
      </c>
    </row>
    <row r="802">
      <c r="K802" s="660" t="str">
        <f t="array" ref="K802">IFERROR(_xlfn.XLOOKUP(I802,Incentive!B:B,Incentive!E:E,""),"")</f>
        <v/>
      </c>
      <c r="L802" s="659" t="str">
        <f>IFERROR(VLOOKUP(I802,Stock1!F:J,5,False),"")</f>
        <v/>
      </c>
      <c r="M802" s="659" t="str">
        <f>IFERROR(VLOOKUP(I802,Stock2!F:J,5,False),"")</f>
        <v/>
      </c>
      <c r="V802" s="102" t="str">
        <f t="array" ref="V802">_xlfn.XLOOKUP("Charger",Stock1!B802,Stock1!I802,"")</f>
        <v/>
      </c>
      <c r="W802" s="102" t="str">
        <f t="array" ref="W802">_xlfn.XLOOKUP(V802,Stock1!I802,Stock1!F802,"")</f>
        <v/>
      </c>
      <c r="X802" s="102" t="str">
        <f t="array" ref="X802">_xlfn.XLOOKUP(V802,Stock1!I802,Stock1!J802,"")</f>
        <v/>
      </c>
      <c r="Y802" s="102" t="str">
        <f t="array" ref="Y802">_xlfn.XLOOKUP("Screen Protector for Android Phone and Other",Stock1!B802,Stock1!I802,"")</f>
        <v/>
      </c>
      <c r="Z802" s="102" t="str">
        <f t="array" ref="Z802">_xlfn.XLOOKUP("Screen Protector for Galaxy Phone",Stock1!B802,Stock1!I802,"")</f>
        <v/>
      </c>
      <c r="AA802" s="102" t="str">
        <f t="array" ref="AA802">_xlfn.XLOOKUP("Screen Protector for Galaxy Tab",Stock1!B802,Stock1!I802,"")</f>
        <v/>
      </c>
      <c r="AB802" s="102" t="str">
        <f t="shared" si="4"/>
        <v/>
      </c>
      <c r="AC802" s="102" t="str">
        <f t="array" ref="AC802">_xlfn.XLOOKUP(AB802,Stock1!I802,Stock1!F802,"")</f>
        <v/>
      </c>
      <c r="AD802" s="102" t="str">
        <f t="array" ref="AD802">_xlfn.XLOOKUP(AB802,Stock1!I802,Stock1!J802,"")</f>
        <v/>
      </c>
      <c r="AE802" s="102" t="str">
        <f t="array" ref="AE802">_xlfn.XLOOKUP("Storage",Stock1!B802,Stock1!I802,"")</f>
        <v/>
      </c>
      <c r="AF802" s="102" t="str">
        <f t="array" ref="AF802">_xlfn.XLOOKUP(AE802,Stock1!I802,Stock1!F802,"")</f>
        <v/>
      </c>
      <c r="AG802" s="102" t="str">
        <f t="array" ref="AG802">_xlfn.XLOOKUP(AE802,Stock1!I802,Stock1!J802,"")</f>
        <v/>
      </c>
    </row>
    <row r="803">
      <c r="K803" s="660" t="str">
        <f t="array" ref="K803">IFERROR(_xlfn.XLOOKUP(I803,Incentive!B:B,Incentive!E:E,""),"")</f>
        <v/>
      </c>
      <c r="L803" s="659" t="str">
        <f>IFERROR(VLOOKUP(I803,Stock1!F:J,5,False),"")</f>
        <v/>
      </c>
      <c r="M803" s="659" t="str">
        <f>IFERROR(VLOOKUP(I803,Stock2!F:J,5,False),"")</f>
        <v/>
      </c>
      <c r="V803" s="102" t="str">
        <f t="array" ref="V803">_xlfn.XLOOKUP("Charger",Stock1!B803,Stock1!I803,"")</f>
        <v/>
      </c>
      <c r="W803" s="102" t="str">
        <f t="array" ref="W803">_xlfn.XLOOKUP(V803,Stock1!I803,Stock1!F803,"")</f>
        <v/>
      </c>
      <c r="X803" s="102" t="str">
        <f t="array" ref="X803">_xlfn.XLOOKUP(V803,Stock1!I803,Stock1!J803,"")</f>
        <v/>
      </c>
      <c r="Y803" s="102" t="str">
        <f t="array" ref="Y803">_xlfn.XLOOKUP("Screen Protector for Android Phone and Other",Stock1!B803,Stock1!I803,"")</f>
        <v/>
      </c>
      <c r="Z803" s="102" t="str">
        <f t="array" ref="Z803">_xlfn.XLOOKUP("Screen Protector for Galaxy Phone",Stock1!B803,Stock1!I803,"")</f>
        <v/>
      </c>
      <c r="AA803" s="102" t="str">
        <f t="array" ref="AA803">_xlfn.XLOOKUP("Screen Protector for Galaxy Tab",Stock1!B803,Stock1!I803,"")</f>
        <v/>
      </c>
      <c r="AB803" s="102" t="str">
        <f t="shared" si="4"/>
        <v/>
      </c>
      <c r="AC803" s="102" t="str">
        <f t="array" ref="AC803">_xlfn.XLOOKUP(AB803,Stock1!I803,Stock1!F803,"")</f>
        <v/>
      </c>
      <c r="AD803" s="102" t="str">
        <f t="array" ref="AD803">_xlfn.XLOOKUP(AB803,Stock1!I803,Stock1!J803,"")</f>
        <v/>
      </c>
      <c r="AE803" s="102" t="str">
        <f t="array" ref="AE803">_xlfn.XLOOKUP("Storage",Stock1!B803,Stock1!I803,"")</f>
        <v/>
      </c>
      <c r="AF803" s="102" t="str">
        <f t="array" ref="AF803">_xlfn.XLOOKUP(AE803,Stock1!I803,Stock1!F803,"")</f>
        <v/>
      </c>
      <c r="AG803" s="102" t="str">
        <f t="array" ref="AG803">_xlfn.XLOOKUP(AE803,Stock1!I803,Stock1!J803,"")</f>
        <v/>
      </c>
    </row>
    <row r="804">
      <c r="K804" s="660" t="str">
        <f t="array" ref="K804">IFERROR(_xlfn.XLOOKUP(I804,Incentive!B:B,Incentive!E:E,""),"")</f>
        <v/>
      </c>
      <c r="L804" s="659" t="str">
        <f>IFERROR(VLOOKUP(I804,Stock1!F:J,5,False),"")</f>
        <v/>
      </c>
      <c r="M804" s="659" t="str">
        <f>IFERROR(VLOOKUP(I804,Stock2!F:J,5,False),"")</f>
        <v/>
      </c>
      <c r="V804" s="102" t="str">
        <f t="array" ref="V804">_xlfn.XLOOKUP("Charger",Stock1!B804,Stock1!I804,"")</f>
        <v/>
      </c>
      <c r="W804" s="102" t="str">
        <f t="array" ref="W804">_xlfn.XLOOKUP(V804,Stock1!I804,Stock1!F804,"")</f>
        <v/>
      </c>
      <c r="X804" s="102" t="str">
        <f t="array" ref="X804">_xlfn.XLOOKUP(V804,Stock1!I804,Stock1!J804,"")</f>
        <v/>
      </c>
      <c r="Y804" s="102" t="str">
        <f t="array" ref="Y804">_xlfn.XLOOKUP("Screen Protector for Android Phone and Other",Stock1!B804,Stock1!I804,"")</f>
        <v/>
      </c>
      <c r="Z804" s="102" t="str">
        <f t="array" ref="Z804">_xlfn.XLOOKUP("Screen Protector for Galaxy Phone",Stock1!B804,Stock1!I804,"")</f>
        <v/>
      </c>
      <c r="AA804" s="102" t="str">
        <f t="array" ref="AA804">_xlfn.XLOOKUP("Screen Protector for Galaxy Tab",Stock1!B804,Stock1!I804,"")</f>
        <v/>
      </c>
      <c r="AB804" s="102" t="str">
        <f t="shared" si="4"/>
        <v/>
      </c>
      <c r="AC804" s="102" t="str">
        <f t="array" ref="AC804">_xlfn.XLOOKUP(AB804,Stock1!I804,Stock1!F804,"")</f>
        <v/>
      </c>
      <c r="AD804" s="102" t="str">
        <f t="array" ref="AD804">_xlfn.XLOOKUP(AB804,Stock1!I804,Stock1!J804,"")</f>
        <v/>
      </c>
      <c r="AE804" s="102" t="str">
        <f t="array" ref="AE804">_xlfn.XLOOKUP("Storage",Stock1!B804,Stock1!I804,"")</f>
        <v/>
      </c>
      <c r="AF804" s="102" t="str">
        <f t="array" ref="AF804">_xlfn.XLOOKUP(AE804,Stock1!I804,Stock1!F804,"")</f>
        <v/>
      </c>
      <c r="AG804" s="102" t="str">
        <f t="array" ref="AG804">_xlfn.XLOOKUP(AE804,Stock1!I804,Stock1!J804,"")</f>
        <v/>
      </c>
    </row>
    <row r="805">
      <c r="K805" s="660" t="str">
        <f t="array" ref="K805">IFERROR(_xlfn.XLOOKUP(I805,Incentive!B:B,Incentive!E:E,""),"")</f>
        <v/>
      </c>
      <c r="L805" s="659" t="str">
        <f>IFERROR(VLOOKUP(I805,Stock1!F:J,5,False),"")</f>
        <v/>
      </c>
      <c r="M805" s="659" t="str">
        <f>IFERROR(VLOOKUP(I805,Stock2!F:J,5,False),"")</f>
        <v/>
      </c>
      <c r="V805" s="102" t="str">
        <f t="array" ref="V805">_xlfn.XLOOKUP("Charger",Stock1!B805,Stock1!I805,"")</f>
        <v/>
      </c>
      <c r="W805" s="102" t="str">
        <f t="array" ref="W805">_xlfn.XLOOKUP(V805,Stock1!I805,Stock1!F805,"")</f>
        <v/>
      </c>
      <c r="X805" s="102" t="str">
        <f t="array" ref="X805">_xlfn.XLOOKUP(V805,Stock1!I805,Stock1!J805,"")</f>
        <v/>
      </c>
      <c r="Y805" s="102" t="str">
        <f t="array" ref="Y805">_xlfn.XLOOKUP("Screen Protector for Android Phone and Other",Stock1!B805,Stock1!I805,"")</f>
        <v/>
      </c>
      <c r="Z805" s="102" t="str">
        <f t="array" ref="Z805">_xlfn.XLOOKUP("Screen Protector for Galaxy Phone",Stock1!B805,Stock1!I805,"")</f>
        <v/>
      </c>
      <c r="AA805" s="102" t="str">
        <f t="array" ref="AA805">_xlfn.XLOOKUP("Screen Protector for Galaxy Tab",Stock1!B805,Stock1!I805,"")</f>
        <v/>
      </c>
      <c r="AB805" s="102" t="str">
        <f t="shared" si="4"/>
        <v/>
      </c>
      <c r="AC805" s="102" t="str">
        <f t="array" ref="AC805">_xlfn.XLOOKUP(AB805,Stock1!I805,Stock1!F805,"")</f>
        <v/>
      </c>
      <c r="AD805" s="102" t="str">
        <f t="array" ref="AD805">_xlfn.XLOOKUP(AB805,Stock1!I805,Stock1!J805,"")</f>
        <v/>
      </c>
      <c r="AE805" s="102" t="str">
        <f t="array" ref="AE805">_xlfn.XLOOKUP("Storage",Stock1!B805,Stock1!I805,"")</f>
        <v/>
      </c>
      <c r="AF805" s="102" t="str">
        <f t="array" ref="AF805">_xlfn.XLOOKUP(AE805,Stock1!I805,Stock1!F805,"")</f>
        <v/>
      </c>
      <c r="AG805" s="102" t="str">
        <f t="array" ref="AG805">_xlfn.XLOOKUP(AE805,Stock1!I805,Stock1!J805,"")</f>
        <v/>
      </c>
    </row>
    <row r="806">
      <c r="K806" s="660" t="str">
        <f t="array" ref="K806">IFERROR(_xlfn.XLOOKUP(I806,Incentive!B:B,Incentive!E:E,""),"")</f>
        <v/>
      </c>
      <c r="L806" s="659" t="str">
        <f>IFERROR(VLOOKUP(I806,Stock1!F:J,5,False),"")</f>
        <v/>
      </c>
      <c r="M806" s="659" t="str">
        <f>IFERROR(VLOOKUP(I806,Stock2!F:J,5,False),"")</f>
        <v/>
      </c>
      <c r="V806" s="102" t="str">
        <f t="array" ref="V806">_xlfn.XLOOKUP("Charger",Stock1!B806,Stock1!I806,"")</f>
        <v/>
      </c>
      <c r="W806" s="102" t="str">
        <f t="array" ref="W806">_xlfn.XLOOKUP(V806,Stock1!I806,Stock1!F806,"")</f>
        <v/>
      </c>
      <c r="X806" s="102" t="str">
        <f t="array" ref="X806">_xlfn.XLOOKUP(V806,Stock1!I806,Stock1!J806,"")</f>
        <v/>
      </c>
      <c r="Y806" s="102" t="str">
        <f t="array" ref="Y806">_xlfn.XLOOKUP("Screen Protector for Android Phone and Other",Stock1!B806,Stock1!I806,"")</f>
        <v/>
      </c>
      <c r="Z806" s="102" t="str">
        <f t="array" ref="Z806">_xlfn.XLOOKUP("Screen Protector for Galaxy Phone",Stock1!B806,Stock1!I806,"")</f>
        <v/>
      </c>
      <c r="AA806" s="102" t="str">
        <f t="array" ref="AA806">_xlfn.XLOOKUP("Screen Protector for Galaxy Tab",Stock1!B806,Stock1!I806,"")</f>
        <v/>
      </c>
      <c r="AB806" s="102" t="str">
        <f t="shared" si="4"/>
        <v/>
      </c>
      <c r="AC806" s="102" t="str">
        <f t="array" ref="AC806">_xlfn.XLOOKUP(AB806,Stock1!I806,Stock1!F806,"")</f>
        <v/>
      </c>
      <c r="AD806" s="102" t="str">
        <f t="array" ref="AD806">_xlfn.XLOOKUP(AB806,Stock1!I806,Stock1!J806,"")</f>
        <v/>
      </c>
      <c r="AE806" s="102" t="str">
        <f t="array" ref="AE806">_xlfn.XLOOKUP("Storage",Stock1!B806,Stock1!I806,"")</f>
        <v/>
      </c>
      <c r="AF806" s="102" t="str">
        <f t="array" ref="AF806">_xlfn.XLOOKUP(AE806,Stock1!I806,Stock1!F806,"")</f>
        <v/>
      </c>
      <c r="AG806" s="102" t="str">
        <f t="array" ref="AG806">_xlfn.XLOOKUP(AE806,Stock1!I806,Stock1!J806,"")</f>
        <v/>
      </c>
    </row>
    <row r="807">
      <c r="K807" s="660" t="str">
        <f t="array" ref="K807">IFERROR(_xlfn.XLOOKUP(I807,Incentive!B:B,Incentive!E:E,""),"")</f>
        <v/>
      </c>
      <c r="L807" s="659" t="str">
        <f>IFERROR(VLOOKUP(I807,Stock1!F:J,5,False),"")</f>
        <v/>
      </c>
      <c r="M807" s="659" t="str">
        <f>IFERROR(VLOOKUP(I807,Stock2!F:J,5,False),"")</f>
        <v/>
      </c>
      <c r="V807" s="102" t="str">
        <f t="array" ref="V807">_xlfn.XLOOKUP("Charger",Stock1!B807,Stock1!I807,"")</f>
        <v/>
      </c>
      <c r="W807" s="102" t="str">
        <f t="array" ref="W807">_xlfn.XLOOKUP(V807,Stock1!I807,Stock1!F807,"")</f>
        <v/>
      </c>
      <c r="X807" s="102" t="str">
        <f t="array" ref="X807">_xlfn.XLOOKUP(V807,Stock1!I807,Stock1!J807,"")</f>
        <v/>
      </c>
      <c r="Y807" s="102" t="str">
        <f t="array" ref="Y807">_xlfn.XLOOKUP("Screen Protector for Android Phone and Other",Stock1!B807,Stock1!I807,"")</f>
        <v/>
      </c>
      <c r="Z807" s="102" t="str">
        <f t="array" ref="Z807">_xlfn.XLOOKUP("Screen Protector for Galaxy Phone",Stock1!B807,Stock1!I807,"")</f>
        <v/>
      </c>
      <c r="AA807" s="102" t="str">
        <f t="array" ref="AA807">_xlfn.XLOOKUP("Screen Protector for Galaxy Tab",Stock1!B807,Stock1!I807,"")</f>
        <v/>
      </c>
      <c r="AB807" s="102" t="str">
        <f t="shared" si="4"/>
        <v/>
      </c>
      <c r="AC807" s="102" t="str">
        <f t="array" ref="AC807">_xlfn.XLOOKUP(AB807,Stock1!I807,Stock1!F807,"")</f>
        <v/>
      </c>
      <c r="AD807" s="102" t="str">
        <f t="array" ref="AD807">_xlfn.XLOOKUP(AB807,Stock1!I807,Stock1!J807,"")</f>
        <v/>
      </c>
      <c r="AE807" s="102" t="str">
        <f t="array" ref="AE807">_xlfn.XLOOKUP("Storage",Stock1!B807,Stock1!I807,"")</f>
        <v/>
      </c>
      <c r="AF807" s="102" t="str">
        <f t="array" ref="AF807">_xlfn.XLOOKUP(AE807,Stock1!I807,Stock1!F807,"")</f>
        <v/>
      </c>
      <c r="AG807" s="102" t="str">
        <f t="array" ref="AG807">_xlfn.XLOOKUP(AE807,Stock1!I807,Stock1!J807,"")</f>
        <v/>
      </c>
    </row>
    <row r="808">
      <c r="K808" s="660" t="str">
        <f t="array" ref="K808">IFERROR(_xlfn.XLOOKUP(I808,Incentive!B:B,Incentive!E:E,""),"")</f>
        <v/>
      </c>
      <c r="L808" s="659" t="str">
        <f>IFERROR(VLOOKUP(I808,Stock1!F:J,5,False),"")</f>
        <v/>
      </c>
      <c r="M808" s="659" t="str">
        <f>IFERROR(VLOOKUP(I808,Stock2!F:J,5,False),"")</f>
        <v/>
      </c>
      <c r="V808" s="102" t="str">
        <f t="array" ref="V808">_xlfn.XLOOKUP("Charger",Stock1!B808,Stock1!I808,"")</f>
        <v/>
      </c>
      <c r="W808" s="102" t="str">
        <f t="array" ref="W808">_xlfn.XLOOKUP(V808,Stock1!I808,Stock1!F808,"")</f>
        <v/>
      </c>
      <c r="X808" s="102" t="str">
        <f t="array" ref="X808">_xlfn.XLOOKUP(V808,Stock1!I808,Stock1!J808,"")</f>
        <v/>
      </c>
      <c r="Y808" s="102" t="str">
        <f t="array" ref="Y808">_xlfn.XLOOKUP("Screen Protector for Android Phone and Other",Stock1!B808,Stock1!I808,"")</f>
        <v/>
      </c>
      <c r="Z808" s="102" t="str">
        <f t="array" ref="Z808">_xlfn.XLOOKUP("Screen Protector for Galaxy Phone",Stock1!B808,Stock1!I808,"")</f>
        <v/>
      </c>
      <c r="AA808" s="102" t="str">
        <f t="array" ref="AA808">_xlfn.XLOOKUP("Screen Protector for Galaxy Tab",Stock1!B808,Stock1!I808,"")</f>
        <v/>
      </c>
      <c r="AB808" s="102" t="str">
        <f t="shared" si="4"/>
        <v/>
      </c>
      <c r="AC808" s="102" t="str">
        <f t="array" ref="AC808">_xlfn.XLOOKUP(AB808,Stock1!I808,Stock1!F808,"")</f>
        <v/>
      </c>
      <c r="AD808" s="102" t="str">
        <f t="array" ref="AD808">_xlfn.XLOOKUP(AB808,Stock1!I808,Stock1!J808,"")</f>
        <v/>
      </c>
      <c r="AE808" s="102" t="str">
        <f t="array" ref="AE808">_xlfn.XLOOKUP("Storage",Stock1!B808,Stock1!I808,"")</f>
        <v/>
      </c>
      <c r="AF808" s="102" t="str">
        <f t="array" ref="AF808">_xlfn.XLOOKUP(AE808,Stock1!I808,Stock1!F808,"")</f>
        <v/>
      </c>
      <c r="AG808" s="102" t="str">
        <f t="array" ref="AG808">_xlfn.XLOOKUP(AE808,Stock1!I808,Stock1!J808,"")</f>
        <v/>
      </c>
    </row>
    <row r="809">
      <c r="K809" s="660" t="str">
        <f t="array" ref="K809">IFERROR(_xlfn.XLOOKUP(I809,Incentive!B:B,Incentive!E:E,""),"")</f>
        <v/>
      </c>
      <c r="L809" s="659" t="str">
        <f>IFERROR(VLOOKUP(I809,Stock1!F:J,5,False),"")</f>
        <v/>
      </c>
      <c r="M809" s="659" t="str">
        <f>IFERROR(VLOOKUP(I809,Stock2!F:J,5,False),"")</f>
        <v/>
      </c>
      <c r="V809" s="102" t="str">
        <f t="array" ref="V809">_xlfn.XLOOKUP("Charger",Stock1!B809,Stock1!I809,"")</f>
        <v/>
      </c>
      <c r="W809" s="102" t="str">
        <f t="array" ref="W809">_xlfn.XLOOKUP(V809,Stock1!I809,Stock1!F809,"")</f>
        <v/>
      </c>
      <c r="X809" s="102" t="str">
        <f t="array" ref="X809">_xlfn.XLOOKUP(V809,Stock1!I809,Stock1!J809,"")</f>
        <v/>
      </c>
      <c r="Y809" s="102" t="str">
        <f t="array" ref="Y809">_xlfn.XLOOKUP("Screen Protector for Android Phone and Other",Stock1!B809,Stock1!I809,"")</f>
        <v/>
      </c>
      <c r="Z809" s="102" t="str">
        <f t="array" ref="Z809">_xlfn.XLOOKUP("Screen Protector for Galaxy Phone",Stock1!B809,Stock1!I809,"")</f>
        <v/>
      </c>
      <c r="AA809" s="102" t="str">
        <f t="array" ref="AA809">_xlfn.XLOOKUP("Screen Protector for Galaxy Tab",Stock1!B809,Stock1!I809,"")</f>
        <v/>
      </c>
      <c r="AB809" s="102" t="str">
        <f t="shared" si="4"/>
        <v/>
      </c>
      <c r="AC809" s="102" t="str">
        <f t="array" ref="AC809">_xlfn.XLOOKUP(AB809,Stock1!I809,Stock1!F809,"")</f>
        <v/>
      </c>
      <c r="AD809" s="102" t="str">
        <f t="array" ref="AD809">_xlfn.XLOOKUP(AB809,Stock1!I809,Stock1!J809,"")</f>
        <v/>
      </c>
      <c r="AE809" s="102" t="str">
        <f t="array" ref="AE809">_xlfn.XLOOKUP("Storage",Stock1!B809,Stock1!I809,"")</f>
        <v/>
      </c>
      <c r="AF809" s="102" t="str">
        <f t="array" ref="AF809">_xlfn.XLOOKUP(AE809,Stock1!I809,Stock1!F809,"")</f>
        <v/>
      </c>
      <c r="AG809" s="102" t="str">
        <f t="array" ref="AG809">_xlfn.XLOOKUP(AE809,Stock1!I809,Stock1!J809,"")</f>
        <v/>
      </c>
    </row>
    <row r="810">
      <c r="K810" s="660" t="str">
        <f t="array" ref="K810">IFERROR(_xlfn.XLOOKUP(I810,Incentive!B:B,Incentive!E:E,""),"")</f>
        <v/>
      </c>
      <c r="L810" s="659" t="str">
        <f>IFERROR(VLOOKUP(I810,Stock1!F:J,5,False),"")</f>
        <v/>
      </c>
      <c r="M810" s="659" t="str">
        <f>IFERROR(VLOOKUP(I810,Stock2!F:J,5,False),"")</f>
        <v/>
      </c>
      <c r="V810" s="102" t="str">
        <f t="array" ref="V810">_xlfn.XLOOKUP("Charger",Stock1!B810,Stock1!I810,"")</f>
        <v/>
      </c>
      <c r="W810" s="102" t="str">
        <f t="array" ref="W810">_xlfn.XLOOKUP(V810,Stock1!I810,Stock1!F810,"")</f>
        <v/>
      </c>
      <c r="X810" s="102" t="str">
        <f t="array" ref="X810">_xlfn.XLOOKUP(V810,Stock1!I810,Stock1!J810,"")</f>
        <v/>
      </c>
      <c r="Y810" s="102" t="str">
        <f t="array" ref="Y810">_xlfn.XLOOKUP("Screen Protector for Android Phone and Other",Stock1!B810,Stock1!I810,"")</f>
        <v/>
      </c>
      <c r="Z810" s="102" t="str">
        <f t="array" ref="Z810">_xlfn.XLOOKUP("Screen Protector for Galaxy Phone",Stock1!B810,Stock1!I810,"")</f>
        <v/>
      </c>
      <c r="AA810" s="102" t="str">
        <f t="array" ref="AA810">_xlfn.XLOOKUP("Screen Protector for Galaxy Tab",Stock1!B810,Stock1!I810,"")</f>
        <v/>
      </c>
      <c r="AB810" s="102" t="str">
        <f t="shared" si="4"/>
        <v/>
      </c>
      <c r="AC810" s="102" t="str">
        <f t="array" ref="AC810">_xlfn.XLOOKUP(AB810,Stock1!I810,Stock1!F810,"")</f>
        <v/>
      </c>
      <c r="AD810" s="102" t="str">
        <f t="array" ref="AD810">_xlfn.XLOOKUP(AB810,Stock1!I810,Stock1!J810,"")</f>
        <v/>
      </c>
      <c r="AE810" s="102" t="str">
        <f t="array" ref="AE810">_xlfn.XLOOKUP("Storage",Stock1!B810,Stock1!I810,"")</f>
        <v/>
      </c>
      <c r="AF810" s="102" t="str">
        <f t="array" ref="AF810">_xlfn.XLOOKUP(AE810,Stock1!I810,Stock1!F810,"")</f>
        <v/>
      </c>
      <c r="AG810" s="102" t="str">
        <f t="array" ref="AG810">_xlfn.XLOOKUP(AE810,Stock1!I810,Stock1!J810,"")</f>
        <v/>
      </c>
    </row>
    <row r="811">
      <c r="K811" s="660" t="str">
        <f t="array" ref="K811">IFERROR(_xlfn.XLOOKUP(I811,Incentive!B:B,Incentive!E:E,""),"")</f>
        <v/>
      </c>
      <c r="L811" s="659" t="str">
        <f>IFERROR(VLOOKUP(I811,Stock1!F:J,5,False),"")</f>
        <v/>
      </c>
      <c r="M811" s="659" t="str">
        <f>IFERROR(VLOOKUP(I811,Stock2!F:J,5,False),"")</f>
        <v/>
      </c>
      <c r="V811" s="102" t="str">
        <f t="array" ref="V811">_xlfn.XLOOKUP("Charger",Stock1!B811,Stock1!I811,"")</f>
        <v/>
      </c>
      <c r="W811" s="102" t="str">
        <f t="array" ref="W811">_xlfn.XLOOKUP(V811,Stock1!I811,Stock1!F811,"")</f>
        <v/>
      </c>
      <c r="X811" s="102" t="str">
        <f t="array" ref="X811">_xlfn.XLOOKUP(V811,Stock1!I811,Stock1!J811,"")</f>
        <v/>
      </c>
      <c r="Y811" s="102" t="str">
        <f t="array" ref="Y811">_xlfn.XLOOKUP("Screen Protector for Android Phone and Other",Stock1!B811,Stock1!I811,"")</f>
        <v/>
      </c>
      <c r="Z811" s="102" t="str">
        <f t="array" ref="Z811">_xlfn.XLOOKUP("Screen Protector for Galaxy Phone",Stock1!B811,Stock1!I811,"")</f>
        <v/>
      </c>
      <c r="AA811" s="102" t="str">
        <f t="array" ref="AA811">_xlfn.XLOOKUP("Screen Protector for Galaxy Tab",Stock1!B811,Stock1!I811,"")</f>
        <v/>
      </c>
      <c r="AB811" s="102" t="str">
        <f t="shared" si="4"/>
        <v/>
      </c>
      <c r="AC811" s="102" t="str">
        <f t="array" ref="AC811">_xlfn.XLOOKUP(AB811,Stock1!I811,Stock1!F811,"")</f>
        <v/>
      </c>
      <c r="AD811" s="102" t="str">
        <f t="array" ref="AD811">_xlfn.XLOOKUP(AB811,Stock1!I811,Stock1!J811,"")</f>
        <v/>
      </c>
      <c r="AE811" s="102" t="str">
        <f t="array" ref="AE811">_xlfn.XLOOKUP("Storage",Stock1!B811,Stock1!I811,"")</f>
        <v/>
      </c>
      <c r="AF811" s="102" t="str">
        <f t="array" ref="AF811">_xlfn.XLOOKUP(AE811,Stock1!I811,Stock1!F811,"")</f>
        <v/>
      </c>
      <c r="AG811" s="102" t="str">
        <f t="array" ref="AG811">_xlfn.XLOOKUP(AE811,Stock1!I811,Stock1!J811,"")</f>
        <v/>
      </c>
    </row>
    <row r="812">
      <c r="K812" s="660" t="str">
        <f t="array" ref="K812">IFERROR(_xlfn.XLOOKUP(I812,Incentive!B:B,Incentive!E:E,""),"")</f>
        <v/>
      </c>
      <c r="L812" s="659" t="str">
        <f>IFERROR(VLOOKUP(I812,Stock1!F:J,5,False),"")</f>
        <v/>
      </c>
      <c r="M812" s="659" t="str">
        <f>IFERROR(VLOOKUP(I812,Stock2!F:J,5,False),"")</f>
        <v/>
      </c>
      <c r="V812" s="102" t="str">
        <f t="array" ref="V812">_xlfn.XLOOKUP("Charger",Stock1!B812,Stock1!I812,"")</f>
        <v/>
      </c>
      <c r="W812" s="102" t="str">
        <f t="array" ref="W812">_xlfn.XLOOKUP(V812,Stock1!I812,Stock1!F812,"")</f>
        <v/>
      </c>
      <c r="X812" s="102" t="str">
        <f t="array" ref="X812">_xlfn.XLOOKUP(V812,Stock1!I812,Stock1!J812,"")</f>
        <v/>
      </c>
      <c r="Y812" s="102" t="str">
        <f t="array" ref="Y812">_xlfn.XLOOKUP("Screen Protector for Android Phone and Other",Stock1!B812,Stock1!I812,"")</f>
        <v/>
      </c>
      <c r="Z812" s="102" t="str">
        <f t="array" ref="Z812">_xlfn.XLOOKUP("Screen Protector for Galaxy Phone",Stock1!B812,Stock1!I812,"")</f>
        <v/>
      </c>
      <c r="AA812" s="102" t="str">
        <f t="array" ref="AA812">_xlfn.XLOOKUP("Screen Protector for Galaxy Tab",Stock1!B812,Stock1!I812,"")</f>
        <v/>
      </c>
      <c r="AB812" s="102" t="str">
        <f t="shared" si="4"/>
        <v/>
      </c>
      <c r="AC812" s="102" t="str">
        <f t="array" ref="AC812">_xlfn.XLOOKUP(AB812,Stock1!I812,Stock1!F812,"")</f>
        <v/>
      </c>
      <c r="AD812" s="102" t="str">
        <f t="array" ref="AD812">_xlfn.XLOOKUP(AB812,Stock1!I812,Stock1!J812,"")</f>
        <v/>
      </c>
      <c r="AE812" s="102" t="str">
        <f t="array" ref="AE812">_xlfn.XLOOKUP("Storage",Stock1!B812,Stock1!I812,"")</f>
        <v/>
      </c>
      <c r="AF812" s="102" t="str">
        <f t="array" ref="AF812">_xlfn.XLOOKUP(AE812,Stock1!I812,Stock1!F812,"")</f>
        <v/>
      </c>
      <c r="AG812" s="102" t="str">
        <f t="array" ref="AG812">_xlfn.XLOOKUP(AE812,Stock1!I812,Stock1!J812,"")</f>
        <v/>
      </c>
    </row>
    <row r="813">
      <c r="K813" s="660" t="str">
        <f t="array" ref="K813">IFERROR(_xlfn.XLOOKUP(I813,Incentive!B:B,Incentive!E:E,""),"")</f>
        <v/>
      </c>
      <c r="L813" s="659" t="str">
        <f>IFERROR(VLOOKUP(I813,Stock1!F:J,5,False),"")</f>
        <v/>
      </c>
      <c r="M813" s="659" t="str">
        <f>IFERROR(VLOOKUP(I813,Stock2!F:J,5,False),"")</f>
        <v/>
      </c>
      <c r="V813" s="102" t="str">
        <f t="array" ref="V813">_xlfn.XLOOKUP("Charger",Stock1!B813,Stock1!I813,"")</f>
        <v/>
      </c>
      <c r="W813" s="102" t="str">
        <f t="array" ref="W813">_xlfn.XLOOKUP(V813,Stock1!I813,Stock1!F813,"")</f>
        <v/>
      </c>
      <c r="X813" s="102" t="str">
        <f t="array" ref="X813">_xlfn.XLOOKUP(V813,Stock1!I813,Stock1!J813,"")</f>
        <v/>
      </c>
      <c r="Y813" s="102" t="str">
        <f t="array" ref="Y813">_xlfn.XLOOKUP("Screen Protector for Android Phone and Other",Stock1!B813,Stock1!I813,"")</f>
        <v/>
      </c>
      <c r="Z813" s="102" t="str">
        <f t="array" ref="Z813">_xlfn.XLOOKUP("Screen Protector for Galaxy Phone",Stock1!B813,Stock1!I813,"")</f>
        <v/>
      </c>
      <c r="AA813" s="102" t="str">
        <f t="array" ref="AA813">_xlfn.XLOOKUP("Screen Protector for Galaxy Tab",Stock1!B813,Stock1!I813,"")</f>
        <v/>
      </c>
      <c r="AB813" s="102" t="str">
        <f t="shared" si="4"/>
        <v/>
      </c>
      <c r="AC813" s="102" t="str">
        <f t="array" ref="AC813">_xlfn.XLOOKUP(AB813,Stock1!I813,Stock1!F813,"")</f>
        <v/>
      </c>
      <c r="AD813" s="102" t="str">
        <f t="array" ref="AD813">_xlfn.XLOOKUP(AB813,Stock1!I813,Stock1!J813,"")</f>
        <v/>
      </c>
      <c r="AE813" s="102" t="str">
        <f t="array" ref="AE813">_xlfn.XLOOKUP("Storage",Stock1!B813,Stock1!I813,"")</f>
        <v/>
      </c>
      <c r="AF813" s="102" t="str">
        <f t="array" ref="AF813">_xlfn.XLOOKUP(AE813,Stock1!I813,Stock1!F813,"")</f>
        <v/>
      </c>
      <c r="AG813" s="102" t="str">
        <f t="array" ref="AG813">_xlfn.XLOOKUP(AE813,Stock1!I813,Stock1!J813,"")</f>
        <v/>
      </c>
    </row>
    <row r="814">
      <c r="K814" s="660" t="str">
        <f t="array" ref="K814">IFERROR(_xlfn.XLOOKUP(I814,Incentive!B:B,Incentive!E:E,""),"")</f>
        <v/>
      </c>
      <c r="L814" s="659" t="str">
        <f>IFERROR(VLOOKUP(I814,Stock1!F:J,5,False),"")</f>
        <v/>
      </c>
      <c r="M814" s="659" t="str">
        <f>IFERROR(VLOOKUP(I814,Stock2!F:J,5,False),"")</f>
        <v/>
      </c>
      <c r="V814" s="102" t="str">
        <f t="array" ref="V814">_xlfn.XLOOKUP("Charger",Stock1!B814,Stock1!I814,"")</f>
        <v/>
      </c>
      <c r="W814" s="102" t="str">
        <f t="array" ref="W814">_xlfn.XLOOKUP(V814,Stock1!I814,Stock1!F814,"")</f>
        <v/>
      </c>
      <c r="X814" s="102" t="str">
        <f t="array" ref="X814">_xlfn.XLOOKUP(V814,Stock1!I814,Stock1!J814,"")</f>
        <v/>
      </c>
      <c r="Y814" s="102" t="str">
        <f t="array" ref="Y814">_xlfn.XLOOKUP("Screen Protector for Android Phone and Other",Stock1!B814,Stock1!I814,"")</f>
        <v/>
      </c>
      <c r="Z814" s="102" t="str">
        <f t="array" ref="Z814">_xlfn.XLOOKUP("Screen Protector for Galaxy Phone",Stock1!B814,Stock1!I814,"")</f>
        <v/>
      </c>
      <c r="AA814" s="102" t="str">
        <f t="array" ref="AA814">_xlfn.XLOOKUP("Screen Protector for Galaxy Tab",Stock1!B814,Stock1!I814,"")</f>
        <v/>
      </c>
      <c r="AB814" s="102" t="str">
        <f t="shared" si="4"/>
        <v/>
      </c>
      <c r="AC814" s="102" t="str">
        <f t="array" ref="AC814">_xlfn.XLOOKUP(AB814,Stock1!I814,Stock1!F814,"")</f>
        <v/>
      </c>
      <c r="AD814" s="102" t="str">
        <f t="array" ref="AD814">_xlfn.XLOOKUP(AB814,Stock1!I814,Stock1!J814,"")</f>
        <v/>
      </c>
      <c r="AE814" s="102" t="str">
        <f t="array" ref="AE814">_xlfn.XLOOKUP("Storage",Stock1!B814,Stock1!I814,"")</f>
        <v/>
      </c>
      <c r="AF814" s="102" t="str">
        <f t="array" ref="AF814">_xlfn.XLOOKUP(AE814,Stock1!I814,Stock1!F814,"")</f>
        <v/>
      </c>
      <c r="AG814" s="102" t="str">
        <f t="array" ref="AG814">_xlfn.XLOOKUP(AE814,Stock1!I814,Stock1!J814,"")</f>
        <v/>
      </c>
    </row>
    <row r="815">
      <c r="K815" s="660" t="str">
        <f t="array" ref="K815">IFERROR(_xlfn.XLOOKUP(I815,Incentive!B:B,Incentive!E:E,""),"")</f>
        <v/>
      </c>
      <c r="L815" s="659" t="str">
        <f>IFERROR(VLOOKUP(I815,Stock1!F:J,5,False),"")</f>
        <v/>
      </c>
      <c r="M815" s="659" t="str">
        <f>IFERROR(VLOOKUP(I815,Stock2!F:J,5,False),"")</f>
        <v/>
      </c>
      <c r="V815" s="102" t="str">
        <f t="array" ref="V815">_xlfn.XLOOKUP("Charger",Stock1!B815,Stock1!I815,"")</f>
        <v/>
      </c>
      <c r="W815" s="102" t="str">
        <f t="array" ref="W815">_xlfn.XLOOKUP(V815,Stock1!I815,Stock1!F815,"")</f>
        <v/>
      </c>
      <c r="X815" s="102" t="str">
        <f t="array" ref="X815">_xlfn.XLOOKUP(V815,Stock1!I815,Stock1!J815,"")</f>
        <v/>
      </c>
      <c r="Y815" s="102" t="str">
        <f t="array" ref="Y815">_xlfn.XLOOKUP("Screen Protector for Android Phone and Other",Stock1!B815,Stock1!I815,"")</f>
        <v/>
      </c>
      <c r="Z815" s="102" t="str">
        <f t="array" ref="Z815">_xlfn.XLOOKUP("Screen Protector for Galaxy Phone",Stock1!B815,Stock1!I815,"")</f>
        <v/>
      </c>
      <c r="AA815" s="102" t="str">
        <f t="array" ref="AA815">_xlfn.XLOOKUP("Screen Protector for Galaxy Tab",Stock1!B815,Stock1!I815,"")</f>
        <v/>
      </c>
      <c r="AB815" s="102" t="str">
        <f t="shared" si="4"/>
        <v/>
      </c>
      <c r="AC815" s="102" t="str">
        <f t="array" ref="AC815">_xlfn.XLOOKUP(AB815,Stock1!I815,Stock1!F815,"")</f>
        <v/>
      </c>
      <c r="AD815" s="102" t="str">
        <f t="array" ref="AD815">_xlfn.XLOOKUP(AB815,Stock1!I815,Stock1!J815,"")</f>
        <v/>
      </c>
      <c r="AE815" s="102" t="str">
        <f t="array" ref="AE815">_xlfn.XLOOKUP("Storage",Stock1!B815,Stock1!I815,"")</f>
        <v/>
      </c>
      <c r="AF815" s="102" t="str">
        <f t="array" ref="AF815">_xlfn.XLOOKUP(AE815,Stock1!I815,Stock1!F815,"")</f>
        <v/>
      </c>
      <c r="AG815" s="102" t="str">
        <f t="array" ref="AG815">_xlfn.XLOOKUP(AE815,Stock1!I815,Stock1!J815,"")</f>
        <v/>
      </c>
    </row>
    <row r="816">
      <c r="K816" s="660" t="str">
        <f t="array" ref="K816">IFERROR(_xlfn.XLOOKUP(I816,Incentive!B:B,Incentive!E:E,""),"")</f>
        <v/>
      </c>
      <c r="L816" s="659" t="str">
        <f>IFERROR(VLOOKUP(I816,Stock1!F:J,5,False),"")</f>
        <v/>
      </c>
      <c r="M816" s="659" t="str">
        <f>IFERROR(VLOOKUP(I816,Stock2!F:J,5,False),"")</f>
        <v/>
      </c>
      <c r="V816" s="102" t="str">
        <f t="array" ref="V816">_xlfn.XLOOKUP("Charger",Stock1!B816,Stock1!I816,"")</f>
        <v/>
      </c>
      <c r="W816" s="102" t="str">
        <f t="array" ref="W816">_xlfn.XLOOKUP(V816,Stock1!I816,Stock1!F816,"")</f>
        <v/>
      </c>
      <c r="X816" s="102" t="str">
        <f t="array" ref="X816">_xlfn.XLOOKUP(V816,Stock1!I816,Stock1!J816,"")</f>
        <v/>
      </c>
      <c r="Y816" s="102" t="str">
        <f t="array" ref="Y816">_xlfn.XLOOKUP("Screen Protector for Android Phone and Other",Stock1!B816,Stock1!I816,"")</f>
        <v/>
      </c>
      <c r="Z816" s="102" t="str">
        <f t="array" ref="Z816">_xlfn.XLOOKUP("Screen Protector for Galaxy Phone",Stock1!B816,Stock1!I816,"")</f>
        <v/>
      </c>
      <c r="AA816" s="102" t="str">
        <f t="array" ref="AA816">_xlfn.XLOOKUP("Screen Protector for Galaxy Tab",Stock1!B816,Stock1!I816,"")</f>
        <v/>
      </c>
      <c r="AB816" s="102" t="str">
        <f t="shared" si="4"/>
        <v/>
      </c>
      <c r="AC816" s="102" t="str">
        <f t="array" ref="AC816">_xlfn.XLOOKUP(AB816,Stock1!I816,Stock1!F816,"")</f>
        <v/>
      </c>
      <c r="AD816" s="102" t="str">
        <f t="array" ref="AD816">_xlfn.XLOOKUP(AB816,Stock1!I816,Stock1!J816,"")</f>
        <v/>
      </c>
      <c r="AE816" s="102" t="str">
        <f t="array" ref="AE816">_xlfn.XLOOKUP("Storage",Stock1!B816,Stock1!I816,"")</f>
        <v/>
      </c>
      <c r="AF816" s="102" t="str">
        <f t="array" ref="AF816">_xlfn.XLOOKUP(AE816,Stock1!I816,Stock1!F816,"")</f>
        <v/>
      </c>
      <c r="AG816" s="102" t="str">
        <f t="array" ref="AG816">_xlfn.XLOOKUP(AE816,Stock1!I816,Stock1!J816,"")</f>
        <v/>
      </c>
    </row>
    <row r="817">
      <c r="K817" s="660" t="str">
        <f t="array" ref="K817">IFERROR(_xlfn.XLOOKUP(I817,Incentive!B:B,Incentive!E:E,""),"")</f>
        <v/>
      </c>
      <c r="L817" s="659" t="str">
        <f>IFERROR(VLOOKUP(I817,Stock1!F:J,5,False),"")</f>
        <v/>
      </c>
      <c r="M817" s="659" t="str">
        <f>IFERROR(VLOOKUP(I817,Stock2!F:J,5,False),"")</f>
        <v/>
      </c>
      <c r="V817" s="102" t="str">
        <f t="array" ref="V817">_xlfn.XLOOKUP("Charger",Stock1!B817,Stock1!I817,"")</f>
        <v/>
      </c>
      <c r="W817" s="102" t="str">
        <f t="array" ref="W817">_xlfn.XLOOKUP(V817,Stock1!I817,Stock1!F817,"")</f>
        <v/>
      </c>
      <c r="X817" s="102" t="str">
        <f t="array" ref="X817">_xlfn.XLOOKUP(V817,Stock1!I817,Stock1!J817,"")</f>
        <v/>
      </c>
      <c r="Y817" s="102" t="str">
        <f t="array" ref="Y817">_xlfn.XLOOKUP("Screen Protector for Android Phone and Other",Stock1!B817,Stock1!I817,"")</f>
        <v/>
      </c>
      <c r="Z817" s="102" t="str">
        <f t="array" ref="Z817">_xlfn.XLOOKUP("Screen Protector for Galaxy Phone",Stock1!B817,Stock1!I817,"")</f>
        <v/>
      </c>
      <c r="AA817" s="102" t="str">
        <f t="array" ref="AA817">_xlfn.XLOOKUP("Screen Protector for Galaxy Tab",Stock1!B817,Stock1!I817,"")</f>
        <v/>
      </c>
      <c r="AB817" s="102" t="str">
        <f t="shared" si="4"/>
        <v/>
      </c>
      <c r="AC817" s="102" t="str">
        <f t="array" ref="AC817">_xlfn.XLOOKUP(AB817,Stock1!I817,Stock1!F817,"")</f>
        <v/>
      </c>
      <c r="AD817" s="102" t="str">
        <f t="array" ref="AD817">_xlfn.XLOOKUP(AB817,Stock1!I817,Stock1!J817,"")</f>
        <v/>
      </c>
      <c r="AE817" s="102" t="str">
        <f t="array" ref="AE817">_xlfn.XLOOKUP("Storage",Stock1!B817,Stock1!I817,"")</f>
        <v/>
      </c>
      <c r="AF817" s="102" t="str">
        <f t="array" ref="AF817">_xlfn.XLOOKUP(AE817,Stock1!I817,Stock1!F817,"")</f>
        <v/>
      </c>
      <c r="AG817" s="102" t="str">
        <f t="array" ref="AG817">_xlfn.XLOOKUP(AE817,Stock1!I817,Stock1!J817,"")</f>
        <v/>
      </c>
    </row>
    <row r="818">
      <c r="K818" s="660" t="str">
        <f t="array" ref="K818">IFERROR(_xlfn.XLOOKUP(I818,Incentive!B:B,Incentive!E:E,""),"")</f>
        <v/>
      </c>
      <c r="L818" s="659" t="str">
        <f>IFERROR(VLOOKUP(I818,Stock1!F:J,5,False),"")</f>
        <v/>
      </c>
      <c r="M818" s="659" t="str">
        <f>IFERROR(VLOOKUP(I818,Stock2!F:J,5,False),"")</f>
        <v/>
      </c>
      <c r="V818" s="102" t="str">
        <f t="array" ref="V818">_xlfn.XLOOKUP("Charger",Stock1!B818,Stock1!I818,"")</f>
        <v/>
      </c>
      <c r="W818" s="102" t="str">
        <f t="array" ref="W818">_xlfn.XLOOKUP(V818,Stock1!I818,Stock1!F818,"")</f>
        <v/>
      </c>
      <c r="X818" s="102" t="str">
        <f t="array" ref="X818">_xlfn.XLOOKUP(V818,Stock1!I818,Stock1!J818,"")</f>
        <v/>
      </c>
      <c r="Y818" s="102" t="str">
        <f t="array" ref="Y818">_xlfn.XLOOKUP("Screen Protector for Android Phone and Other",Stock1!B818,Stock1!I818,"")</f>
        <v/>
      </c>
      <c r="Z818" s="102" t="str">
        <f t="array" ref="Z818">_xlfn.XLOOKUP("Screen Protector for Galaxy Phone",Stock1!B818,Stock1!I818,"")</f>
        <v/>
      </c>
      <c r="AA818" s="102" t="str">
        <f t="array" ref="AA818">_xlfn.XLOOKUP("Screen Protector for Galaxy Tab",Stock1!B818,Stock1!I818,"")</f>
        <v/>
      </c>
      <c r="AB818" s="102" t="str">
        <f t="shared" si="4"/>
        <v/>
      </c>
      <c r="AC818" s="102" t="str">
        <f t="array" ref="AC818">_xlfn.XLOOKUP(AB818,Stock1!I818,Stock1!F818,"")</f>
        <v/>
      </c>
      <c r="AD818" s="102" t="str">
        <f t="array" ref="AD818">_xlfn.XLOOKUP(AB818,Stock1!I818,Stock1!J818,"")</f>
        <v/>
      </c>
      <c r="AE818" s="102" t="str">
        <f t="array" ref="AE818">_xlfn.XLOOKUP("Storage",Stock1!B818,Stock1!I818,"")</f>
        <v/>
      </c>
      <c r="AF818" s="102" t="str">
        <f t="array" ref="AF818">_xlfn.XLOOKUP(AE818,Stock1!I818,Stock1!F818,"")</f>
        <v/>
      </c>
      <c r="AG818" s="102" t="str">
        <f t="array" ref="AG818">_xlfn.XLOOKUP(AE818,Stock1!I818,Stock1!J818,"")</f>
        <v/>
      </c>
    </row>
    <row r="819">
      <c r="K819" s="660" t="str">
        <f t="array" ref="K819">IFERROR(_xlfn.XLOOKUP(I819,Incentive!B:B,Incentive!E:E,""),"")</f>
        <v/>
      </c>
      <c r="L819" s="659" t="str">
        <f>IFERROR(VLOOKUP(I819,Stock1!F:J,5,False),"")</f>
        <v/>
      </c>
      <c r="M819" s="659" t="str">
        <f>IFERROR(VLOOKUP(I819,Stock2!F:J,5,False),"")</f>
        <v/>
      </c>
      <c r="V819" s="102" t="str">
        <f t="array" ref="V819">_xlfn.XLOOKUP("Charger",Stock1!B819,Stock1!I819,"")</f>
        <v/>
      </c>
      <c r="W819" s="102" t="str">
        <f t="array" ref="W819">_xlfn.XLOOKUP(V819,Stock1!I819,Stock1!F819,"")</f>
        <v/>
      </c>
      <c r="X819" s="102" t="str">
        <f t="array" ref="X819">_xlfn.XLOOKUP(V819,Stock1!I819,Stock1!J819,"")</f>
        <v/>
      </c>
      <c r="Y819" s="102" t="str">
        <f t="array" ref="Y819">_xlfn.XLOOKUP("Screen Protector for Android Phone and Other",Stock1!B819,Stock1!I819,"")</f>
        <v/>
      </c>
      <c r="Z819" s="102" t="str">
        <f t="array" ref="Z819">_xlfn.XLOOKUP("Screen Protector for Galaxy Phone",Stock1!B819,Stock1!I819,"")</f>
        <v/>
      </c>
      <c r="AA819" s="102" t="str">
        <f t="array" ref="AA819">_xlfn.XLOOKUP("Screen Protector for Galaxy Tab",Stock1!B819,Stock1!I819,"")</f>
        <v/>
      </c>
      <c r="AB819" s="102" t="str">
        <f t="shared" si="4"/>
        <v/>
      </c>
      <c r="AC819" s="102" t="str">
        <f t="array" ref="AC819">_xlfn.XLOOKUP(AB819,Stock1!I819,Stock1!F819,"")</f>
        <v/>
      </c>
      <c r="AD819" s="102" t="str">
        <f t="array" ref="AD819">_xlfn.XLOOKUP(AB819,Stock1!I819,Stock1!J819,"")</f>
        <v/>
      </c>
      <c r="AE819" s="102" t="str">
        <f t="array" ref="AE819">_xlfn.XLOOKUP("Storage",Stock1!B819,Stock1!I819,"")</f>
        <v/>
      </c>
      <c r="AF819" s="102" t="str">
        <f t="array" ref="AF819">_xlfn.XLOOKUP(AE819,Stock1!I819,Stock1!F819,"")</f>
        <v/>
      </c>
      <c r="AG819" s="102" t="str">
        <f t="array" ref="AG819">_xlfn.XLOOKUP(AE819,Stock1!I819,Stock1!J819,"")</f>
        <v/>
      </c>
    </row>
    <row r="820">
      <c r="K820" s="660" t="str">
        <f t="array" ref="K820">IFERROR(_xlfn.XLOOKUP(I820,Incentive!B:B,Incentive!E:E,""),"")</f>
        <v/>
      </c>
      <c r="L820" s="659" t="str">
        <f>IFERROR(VLOOKUP(I820,Stock1!F:J,5,False),"")</f>
        <v/>
      </c>
      <c r="M820" s="659" t="str">
        <f>IFERROR(VLOOKUP(I820,Stock2!F:J,5,False),"")</f>
        <v/>
      </c>
      <c r="V820" s="102" t="str">
        <f t="array" ref="V820">_xlfn.XLOOKUP("Charger",Stock1!B820,Stock1!I820,"")</f>
        <v/>
      </c>
      <c r="W820" s="102" t="str">
        <f t="array" ref="W820">_xlfn.XLOOKUP(V820,Stock1!I820,Stock1!F820,"")</f>
        <v/>
      </c>
      <c r="X820" s="102" t="str">
        <f t="array" ref="X820">_xlfn.XLOOKUP(V820,Stock1!I820,Stock1!J820,"")</f>
        <v/>
      </c>
      <c r="Y820" s="102" t="str">
        <f t="array" ref="Y820">_xlfn.XLOOKUP("Screen Protector for Android Phone and Other",Stock1!B820,Stock1!I820,"")</f>
        <v/>
      </c>
      <c r="Z820" s="102" t="str">
        <f t="array" ref="Z820">_xlfn.XLOOKUP("Screen Protector for Galaxy Phone",Stock1!B820,Stock1!I820,"")</f>
        <v/>
      </c>
      <c r="AA820" s="102" t="str">
        <f t="array" ref="AA820">_xlfn.XLOOKUP("Screen Protector for Galaxy Tab",Stock1!B820,Stock1!I820,"")</f>
        <v/>
      </c>
      <c r="AB820" s="102" t="str">
        <f t="shared" si="4"/>
        <v/>
      </c>
      <c r="AC820" s="102" t="str">
        <f t="array" ref="AC820">_xlfn.XLOOKUP(AB820,Stock1!I820,Stock1!F820,"")</f>
        <v/>
      </c>
      <c r="AD820" s="102" t="str">
        <f t="array" ref="AD820">_xlfn.XLOOKUP(AB820,Stock1!I820,Stock1!J820,"")</f>
        <v/>
      </c>
      <c r="AE820" s="102" t="str">
        <f t="array" ref="AE820">_xlfn.XLOOKUP("Storage",Stock1!B820,Stock1!I820,"")</f>
        <v/>
      </c>
      <c r="AF820" s="102" t="str">
        <f t="array" ref="AF820">_xlfn.XLOOKUP(AE820,Stock1!I820,Stock1!F820,"")</f>
        <v/>
      </c>
      <c r="AG820" s="102" t="str">
        <f t="array" ref="AG820">_xlfn.XLOOKUP(AE820,Stock1!I820,Stock1!J820,"")</f>
        <v/>
      </c>
    </row>
    <row r="821">
      <c r="K821" s="660" t="str">
        <f t="array" ref="K821">IFERROR(_xlfn.XLOOKUP(I821,Incentive!B:B,Incentive!E:E,""),"")</f>
        <v/>
      </c>
      <c r="L821" s="659" t="str">
        <f>IFERROR(VLOOKUP(I821,Stock1!F:J,5,False),"")</f>
        <v/>
      </c>
      <c r="M821" s="659" t="str">
        <f>IFERROR(VLOOKUP(I821,Stock2!F:J,5,False),"")</f>
        <v/>
      </c>
      <c r="V821" s="102" t="str">
        <f t="array" ref="V821">_xlfn.XLOOKUP("Charger",Stock1!B821,Stock1!I821,"")</f>
        <v/>
      </c>
      <c r="W821" s="102" t="str">
        <f t="array" ref="W821">_xlfn.XLOOKUP(V821,Stock1!I821,Stock1!F821,"")</f>
        <v/>
      </c>
      <c r="X821" s="102" t="str">
        <f t="array" ref="X821">_xlfn.XLOOKUP(V821,Stock1!I821,Stock1!J821,"")</f>
        <v/>
      </c>
      <c r="Y821" s="102" t="str">
        <f t="array" ref="Y821">_xlfn.XLOOKUP("Screen Protector for Android Phone and Other",Stock1!B821,Stock1!I821,"")</f>
        <v/>
      </c>
      <c r="Z821" s="102" t="str">
        <f t="array" ref="Z821">_xlfn.XLOOKUP("Screen Protector for Galaxy Phone",Stock1!B821,Stock1!I821,"")</f>
        <v/>
      </c>
      <c r="AA821" s="102" t="str">
        <f t="array" ref="AA821">_xlfn.XLOOKUP("Screen Protector for Galaxy Tab",Stock1!B821,Stock1!I821,"")</f>
        <v/>
      </c>
      <c r="AB821" s="102" t="str">
        <f t="shared" si="4"/>
        <v/>
      </c>
      <c r="AC821" s="102" t="str">
        <f t="array" ref="AC821">_xlfn.XLOOKUP(AB821,Stock1!I821,Stock1!F821,"")</f>
        <v/>
      </c>
      <c r="AD821" s="102" t="str">
        <f t="array" ref="AD821">_xlfn.XLOOKUP(AB821,Stock1!I821,Stock1!J821,"")</f>
        <v/>
      </c>
      <c r="AE821" s="102" t="str">
        <f t="array" ref="AE821">_xlfn.XLOOKUP("Storage",Stock1!B821,Stock1!I821,"")</f>
        <v/>
      </c>
      <c r="AF821" s="102" t="str">
        <f t="array" ref="AF821">_xlfn.XLOOKUP(AE821,Stock1!I821,Stock1!F821,"")</f>
        <v/>
      </c>
      <c r="AG821" s="102" t="str">
        <f t="array" ref="AG821">_xlfn.XLOOKUP(AE821,Stock1!I821,Stock1!J821,"")</f>
        <v/>
      </c>
    </row>
    <row r="822">
      <c r="K822" s="660" t="str">
        <f t="array" ref="K822">IFERROR(_xlfn.XLOOKUP(I822,Incentive!B:B,Incentive!E:E,""),"")</f>
        <v/>
      </c>
      <c r="L822" s="659" t="str">
        <f>IFERROR(VLOOKUP(I822,Stock1!F:J,5,False),"")</f>
        <v/>
      </c>
      <c r="M822" s="659" t="str">
        <f>IFERROR(VLOOKUP(I822,Stock2!F:J,5,False),"")</f>
        <v/>
      </c>
      <c r="V822" s="102" t="str">
        <f t="array" ref="V822">_xlfn.XLOOKUP("Charger",Stock1!B822,Stock1!I822,"")</f>
        <v/>
      </c>
      <c r="W822" s="102" t="str">
        <f t="array" ref="W822">_xlfn.XLOOKUP(V822,Stock1!I822,Stock1!F822,"")</f>
        <v/>
      </c>
      <c r="X822" s="102" t="str">
        <f t="array" ref="X822">_xlfn.XLOOKUP(V822,Stock1!I822,Stock1!J822,"")</f>
        <v/>
      </c>
      <c r="Y822" s="102" t="str">
        <f t="array" ref="Y822">_xlfn.XLOOKUP("Screen Protector for Android Phone and Other",Stock1!B822,Stock1!I822,"")</f>
        <v/>
      </c>
      <c r="Z822" s="102" t="str">
        <f t="array" ref="Z822">_xlfn.XLOOKUP("Screen Protector for Galaxy Phone",Stock1!B822,Stock1!I822,"")</f>
        <v/>
      </c>
      <c r="AA822" s="102" t="str">
        <f t="array" ref="AA822">_xlfn.XLOOKUP("Screen Protector for Galaxy Tab",Stock1!B822,Stock1!I822,"")</f>
        <v/>
      </c>
      <c r="AB822" s="102" t="str">
        <f t="shared" si="4"/>
        <v/>
      </c>
      <c r="AC822" s="102" t="str">
        <f t="array" ref="AC822">_xlfn.XLOOKUP(AB822,Stock1!I822,Stock1!F822,"")</f>
        <v/>
      </c>
      <c r="AD822" s="102" t="str">
        <f t="array" ref="AD822">_xlfn.XLOOKUP(AB822,Stock1!I822,Stock1!J822,"")</f>
        <v/>
      </c>
      <c r="AE822" s="102" t="str">
        <f t="array" ref="AE822">_xlfn.XLOOKUP("Storage",Stock1!B822,Stock1!I822,"")</f>
        <v/>
      </c>
      <c r="AF822" s="102" t="str">
        <f t="array" ref="AF822">_xlfn.XLOOKUP(AE822,Stock1!I822,Stock1!F822,"")</f>
        <v/>
      </c>
      <c r="AG822" s="102" t="str">
        <f t="array" ref="AG822">_xlfn.XLOOKUP(AE822,Stock1!I822,Stock1!J822,"")</f>
        <v/>
      </c>
    </row>
    <row r="823">
      <c r="K823" s="660" t="str">
        <f t="array" ref="K823">IFERROR(_xlfn.XLOOKUP(I823,Incentive!B:B,Incentive!E:E,""),"")</f>
        <v/>
      </c>
      <c r="L823" s="659" t="str">
        <f>IFERROR(VLOOKUP(I823,Stock1!F:J,5,False),"")</f>
        <v/>
      </c>
      <c r="M823" s="659" t="str">
        <f>IFERROR(VLOOKUP(I823,Stock2!F:J,5,False),"")</f>
        <v/>
      </c>
      <c r="V823" s="102" t="str">
        <f t="array" ref="V823">_xlfn.XLOOKUP("Charger",Stock1!B823,Stock1!I823,"")</f>
        <v/>
      </c>
      <c r="W823" s="102" t="str">
        <f t="array" ref="W823">_xlfn.XLOOKUP(V823,Stock1!I823,Stock1!F823,"")</f>
        <v/>
      </c>
      <c r="X823" s="102" t="str">
        <f t="array" ref="X823">_xlfn.XLOOKUP(V823,Stock1!I823,Stock1!J823,"")</f>
        <v/>
      </c>
      <c r="Y823" s="102" t="str">
        <f t="array" ref="Y823">_xlfn.XLOOKUP("Screen Protector for Android Phone and Other",Stock1!B823,Stock1!I823,"")</f>
        <v/>
      </c>
      <c r="Z823" s="102" t="str">
        <f t="array" ref="Z823">_xlfn.XLOOKUP("Screen Protector for Galaxy Phone",Stock1!B823,Stock1!I823,"")</f>
        <v/>
      </c>
      <c r="AA823" s="102" t="str">
        <f t="array" ref="AA823">_xlfn.XLOOKUP("Screen Protector for Galaxy Tab",Stock1!B823,Stock1!I823,"")</f>
        <v/>
      </c>
      <c r="AB823" s="102" t="str">
        <f t="shared" si="4"/>
        <v/>
      </c>
      <c r="AC823" s="102" t="str">
        <f t="array" ref="AC823">_xlfn.XLOOKUP(AB823,Stock1!I823,Stock1!F823,"")</f>
        <v/>
      </c>
      <c r="AD823" s="102" t="str">
        <f t="array" ref="AD823">_xlfn.XLOOKUP(AB823,Stock1!I823,Stock1!J823,"")</f>
        <v/>
      </c>
      <c r="AE823" s="102" t="str">
        <f t="array" ref="AE823">_xlfn.XLOOKUP("Storage",Stock1!B823,Stock1!I823,"")</f>
        <v/>
      </c>
      <c r="AF823" s="102" t="str">
        <f t="array" ref="AF823">_xlfn.XLOOKUP(AE823,Stock1!I823,Stock1!F823,"")</f>
        <v/>
      </c>
      <c r="AG823" s="102" t="str">
        <f t="array" ref="AG823">_xlfn.XLOOKUP(AE823,Stock1!I823,Stock1!J823,"")</f>
        <v/>
      </c>
    </row>
    <row r="824">
      <c r="K824" s="660" t="str">
        <f t="array" ref="K824">IFERROR(_xlfn.XLOOKUP(I824,Incentive!B:B,Incentive!E:E,""),"")</f>
        <v/>
      </c>
      <c r="L824" s="659" t="str">
        <f>IFERROR(VLOOKUP(I824,Stock1!F:J,5,False),"")</f>
        <v/>
      </c>
      <c r="M824" s="659" t="str">
        <f>IFERROR(VLOOKUP(I824,Stock2!F:J,5,False),"")</f>
        <v/>
      </c>
      <c r="V824" s="102" t="str">
        <f t="array" ref="V824">_xlfn.XLOOKUP("Charger",Stock1!B824,Stock1!I824,"")</f>
        <v/>
      </c>
      <c r="W824" s="102" t="str">
        <f t="array" ref="W824">_xlfn.XLOOKUP(V824,Stock1!I824,Stock1!F824,"")</f>
        <v/>
      </c>
      <c r="X824" s="102" t="str">
        <f t="array" ref="X824">_xlfn.XLOOKUP(V824,Stock1!I824,Stock1!J824,"")</f>
        <v/>
      </c>
      <c r="Y824" s="102" t="str">
        <f t="array" ref="Y824">_xlfn.XLOOKUP("Screen Protector for Android Phone and Other",Stock1!B824,Stock1!I824,"")</f>
        <v/>
      </c>
      <c r="Z824" s="102" t="str">
        <f t="array" ref="Z824">_xlfn.XLOOKUP("Screen Protector for Galaxy Phone",Stock1!B824,Stock1!I824,"")</f>
        <v/>
      </c>
      <c r="AA824" s="102" t="str">
        <f t="array" ref="AA824">_xlfn.XLOOKUP("Screen Protector for Galaxy Tab",Stock1!B824,Stock1!I824,"")</f>
        <v/>
      </c>
      <c r="AB824" s="102" t="str">
        <f t="shared" si="4"/>
        <v/>
      </c>
      <c r="AC824" s="102" t="str">
        <f t="array" ref="AC824">_xlfn.XLOOKUP(AB824,Stock1!I824,Stock1!F824,"")</f>
        <v/>
      </c>
      <c r="AD824" s="102" t="str">
        <f t="array" ref="AD824">_xlfn.XLOOKUP(AB824,Stock1!I824,Stock1!J824,"")</f>
        <v/>
      </c>
      <c r="AE824" s="102" t="str">
        <f t="array" ref="AE824">_xlfn.XLOOKUP("Storage",Stock1!B824,Stock1!I824,"")</f>
        <v/>
      </c>
      <c r="AF824" s="102" t="str">
        <f t="array" ref="AF824">_xlfn.XLOOKUP(AE824,Stock1!I824,Stock1!F824,"")</f>
        <v/>
      </c>
      <c r="AG824" s="102" t="str">
        <f t="array" ref="AG824">_xlfn.XLOOKUP(AE824,Stock1!I824,Stock1!J824,"")</f>
        <v/>
      </c>
    </row>
    <row r="825">
      <c r="K825" s="660" t="str">
        <f t="array" ref="K825">IFERROR(_xlfn.XLOOKUP(I825,Incentive!B:B,Incentive!E:E,""),"")</f>
        <v/>
      </c>
      <c r="L825" s="659" t="str">
        <f>IFERROR(VLOOKUP(I825,Stock1!F:J,5,False),"")</f>
        <v/>
      </c>
      <c r="M825" s="659" t="str">
        <f>IFERROR(VLOOKUP(I825,Stock2!F:J,5,False),"")</f>
        <v/>
      </c>
      <c r="V825" s="102" t="str">
        <f t="array" ref="V825">_xlfn.XLOOKUP("Charger",Stock1!B825,Stock1!I825,"")</f>
        <v/>
      </c>
      <c r="W825" s="102" t="str">
        <f t="array" ref="W825">_xlfn.XLOOKUP(V825,Stock1!I825,Stock1!F825,"")</f>
        <v/>
      </c>
      <c r="X825" s="102" t="str">
        <f t="array" ref="X825">_xlfn.XLOOKUP(V825,Stock1!I825,Stock1!J825,"")</f>
        <v/>
      </c>
      <c r="Y825" s="102" t="str">
        <f t="array" ref="Y825">_xlfn.XLOOKUP("Screen Protector for Android Phone and Other",Stock1!B825,Stock1!I825,"")</f>
        <v/>
      </c>
      <c r="Z825" s="102" t="str">
        <f t="array" ref="Z825">_xlfn.XLOOKUP("Screen Protector for Galaxy Phone",Stock1!B825,Stock1!I825,"")</f>
        <v/>
      </c>
      <c r="AA825" s="102" t="str">
        <f t="array" ref="AA825">_xlfn.XLOOKUP("Screen Protector for Galaxy Tab",Stock1!B825,Stock1!I825,"")</f>
        <v/>
      </c>
      <c r="AB825" s="102" t="str">
        <f t="shared" si="4"/>
        <v/>
      </c>
      <c r="AC825" s="102" t="str">
        <f t="array" ref="AC825">_xlfn.XLOOKUP(AB825,Stock1!I825,Stock1!F825,"")</f>
        <v/>
      </c>
      <c r="AD825" s="102" t="str">
        <f t="array" ref="AD825">_xlfn.XLOOKUP(AB825,Stock1!I825,Stock1!J825,"")</f>
        <v/>
      </c>
      <c r="AE825" s="102" t="str">
        <f t="array" ref="AE825">_xlfn.XLOOKUP("Storage",Stock1!B825,Stock1!I825,"")</f>
        <v/>
      </c>
      <c r="AF825" s="102" t="str">
        <f t="array" ref="AF825">_xlfn.XLOOKUP(AE825,Stock1!I825,Stock1!F825,"")</f>
        <v/>
      </c>
      <c r="AG825" s="102" t="str">
        <f t="array" ref="AG825">_xlfn.XLOOKUP(AE825,Stock1!I825,Stock1!J825,"")</f>
        <v/>
      </c>
    </row>
    <row r="826">
      <c r="K826" s="660" t="str">
        <f t="array" ref="K826">IFERROR(_xlfn.XLOOKUP(I826,Incentive!B:B,Incentive!E:E,""),"")</f>
        <v/>
      </c>
      <c r="L826" s="659" t="str">
        <f>IFERROR(VLOOKUP(I826,Stock1!F:J,5,False),"")</f>
        <v/>
      </c>
      <c r="M826" s="659" t="str">
        <f>IFERROR(VLOOKUP(I826,Stock2!F:J,5,False),"")</f>
        <v/>
      </c>
      <c r="V826" s="102" t="str">
        <f t="array" ref="V826">_xlfn.XLOOKUP("Charger",Stock1!B826,Stock1!I826,"")</f>
        <v/>
      </c>
      <c r="W826" s="102" t="str">
        <f t="array" ref="W826">_xlfn.XLOOKUP(V826,Stock1!I826,Stock1!F826,"")</f>
        <v/>
      </c>
      <c r="X826" s="102" t="str">
        <f t="array" ref="X826">_xlfn.XLOOKUP(V826,Stock1!I826,Stock1!J826,"")</f>
        <v/>
      </c>
      <c r="Y826" s="102" t="str">
        <f t="array" ref="Y826">_xlfn.XLOOKUP("Screen Protector for Android Phone and Other",Stock1!B826,Stock1!I826,"")</f>
        <v/>
      </c>
      <c r="Z826" s="102" t="str">
        <f t="array" ref="Z826">_xlfn.XLOOKUP("Screen Protector for Galaxy Phone",Stock1!B826,Stock1!I826,"")</f>
        <v/>
      </c>
      <c r="AA826" s="102" t="str">
        <f t="array" ref="AA826">_xlfn.XLOOKUP("Screen Protector for Galaxy Tab",Stock1!B826,Stock1!I826,"")</f>
        <v/>
      </c>
      <c r="AB826" s="102" t="str">
        <f t="shared" si="4"/>
        <v/>
      </c>
      <c r="AC826" s="102" t="str">
        <f t="array" ref="AC826">_xlfn.XLOOKUP(AB826,Stock1!I826,Stock1!F826,"")</f>
        <v/>
      </c>
      <c r="AD826" s="102" t="str">
        <f t="array" ref="AD826">_xlfn.XLOOKUP(AB826,Stock1!I826,Stock1!J826,"")</f>
        <v/>
      </c>
      <c r="AE826" s="102" t="str">
        <f t="array" ref="AE826">_xlfn.XLOOKUP("Storage",Stock1!B826,Stock1!I826,"")</f>
        <v/>
      </c>
      <c r="AF826" s="102" t="str">
        <f t="array" ref="AF826">_xlfn.XLOOKUP(AE826,Stock1!I826,Stock1!F826,"")</f>
        <v/>
      </c>
      <c r="AG826" s="102" t="str">
        <f t="array" ref="AG826">_xlfn.XLOOKUP(AE826,Stock1!I826,Stock1!J826,"")</f>
        <v/>
      </c>
    </row>
    <row r="827">
      <c r="K827" s="660" t="str">
        <f t="array" ref="K827">IFERROR(_xlfn.XLOOKUP(I827,Incentive!B:B,Incentive!E:E,""),"")</f>
        <v/>
      </c>
      <c r="L827" s="659" t="str">
        <f>IFERROR(VLOOKUP(I827,Stock1!F:J,5,False),"")</f>
        <v/>
      </c>
      <c r="M827" s="659" t="str">
        <f>IFERROR(VLOOKUP(I827,Stock2!F:J,5,False),"")</f>
        <v/>
      </c>
      <c r="V827" s="102" t="str">
        <f t="array" ref="V827">_xlfn.XLOOKUP("Charger",Stock1!B827,Stock1!I827,"")</f>
        <v/>
      </c>
      <c r="W827" s="102" t="str">
        <f t="array" ref="W827">_xlfn.XLOOKUP(V827,Stock1!I827,Stock1!F827,"")</f>
        <v/>
      </c>
      <c r="X827" s="102" t="str">
        <f t="array" ref="X827">_xlfn.XLOOKUP(V827,Stock1!I827,Stock1!J827,"")</f>
        <v/>
      </c>
      <c r="Y827" s="102" t="str">
        <f t="array" ref="Y827">_xlfn.XLOOKUP("Screen Protector for Android Phone and Other",Stock1!B827,Stock1!I827,"")</f>
        <v/>
      </c>
      <c r="Z827" s="102" t="str">
        <f t="array" ref="Z827">_xlfn.XLOOKUP("Screen Protector for Galaxy Phone",Stock1!B827,Stock1!I827,"")</f>
        <v/>
      </c>
      <c r="AA827" s="102" t="str">
        <f t="array" ref="AA827">_xlfn.XLOOKUP("Screen Protector for Galaxy Tab",Stock1!B827,Stock1!I827,"")</f>
        <v/>
      </c>
      <c r="AB827" s="102" t="str">
        <f t="shared" si="4"/>
        <v/>
      </c>
      <c r="AC827" s="102" t="str">
        <f t="array" ref="AC827">_xlfn.XLOOKUP(AB827,Stock1!I827,Stock1!F827,"")</f>
        <v/>
      </c>
      <c r="AD827" s="102" t="str">
        <f t="array" ref="AD827">_xlfn.XLOOKUP(AB827,Stock1!I827,Stock1!J827,"")</f>
        <v/>
      </c>
      <c r="AE827" s="102" t="str">
        <f t="array" ref="AE827">_xlfn.XLOOKUP("Storage",Stock1!B827,Stock1!I827,"")</f>
        <v/>
      </c>
      <c r="AF827" s="102" t="str">
        <f t="array" ref="AF827">_xlfn.XLOOKUP(AE827,Stock1!I827,Stock1!F827,"")</f>
        <v/>
      </c>
      <c r="AG827" s="102" t="str">
        <f t="array" ref="AG827">_xlfn.XLOOKUP(AE827,Stock1!I827,Stock1!J827,"")</f>
        <v/>
      </c>
    </row>
    <row r="828">
      <c r="K828" s="660" t="str">
        <f t="array" ref="K828">IFERROR(_xlfn.XLOOKUP(I828,Incentive!B:B,Incentive!E:E,""),"")</f>
        <v/>
      </c>
      <c r="L828" s="659" t="str">
        <f>IFERROR(VLOOKUP(I828,Stock1!F:J,5,False),"")</f>
        <v/>
      </c>
      <c r="M828" s="659" t="str">
        <f>IFERROR(VLOOKUP(I828,Stock2!F:J,5,False),"")</f>
        <v/>
      </c>
      <c r="V828" s="102" t="str">
        <f t="array" ref="V828">_xlfn.XLOOKUP("Charger",Stock1!B828,Stock1!I828,"")</f>
        <v/>
      </c>
      <c r="W828" s="102" t="str">
        <f t="array" ref="W828">_xlfn.XLOOKUP(V828,Stock1!I828,Stock1!F828,"")</f>
        <v/>
      </c>
      <c r="X828" s="102" t="str">
        <f t="array" ref="X828">_xlfn.XLOOKUP(V828,Stock1!I828,Stock1!J828,"")</f>
        <v/>
      </c>
      <c r="Y828" s="102" t="str">
        <f t="array" ref="Y828">_xlfn.XLOOKUP("Screen Protector for Android Phone and Other",Stock1!B828,Stock1!I828,"")</f>
        <v/>
      </c>
      <c r="Z828" s="102" t="str">
        <f t="array" ref="Z828">_xlfn.XLOOKUP("Screen Protector for Galaxy Phone",Stock1!B828,Stock1!I828,"")</f>
        <v/>
      </c>
      <c r="AA828" s="102" t="str">
        <f t="array" ref="AA828">_xlfn.XLOOKUP("Screen Protector for Galaxy Tab",Stock1!B828,Stock1!I828,"")</f>
        <v/>
      </c>
      <c r="AB828" s="102" t="str">
        <f t="shared" si="4"/>
        <v/>
      </c>
      <c r="AC828" s="102" t="str">
        <f t="array" ref="AC828">_xlfn.XLOOKUP(AB828,Stock1!I828,Stock1!F828,"")</f>
        <v/>
      </c>
      <c r="AD828" s="102" t="str">
        <f t="array" ref="AD828">_xlfn.XLOOKUP(AB828,Stock1!I828,Stock1!J828,"")</f>
        <v/>
      </c>
      <c r="AE828" s="102" t="str">
        <f t="array" ref="AE828">_xlfn.XLOOKUP("Storage",Stock1!B828,Stock1!I828,"")</f>
        <v/>
      </c>
      <c r="AF828" s="102" t="str">
        <f t="array" ref="AF828">_xlfn.XLOOKUP(AE828,Stock1!I828,Stock1!F828,"")</f>
        <v/>
      </c>
      <c r="AG828" s="102" t="str">
        <f t="array" ref="AG828">_xlfn.XLOOKUP(AE828,Stock1!I828,Stock1!J828,"")</f>
        <v/>
      </c>
    </row>
    <row r="829">
      <c r="K829" s="660" t="str">
        <f t="array" ref="K829">IFERROR(_xlfn.XLOOKUP(I829,Incentive!B:B,Incentive!E:E,""),"")</f>
        <v/>
      </c>
      <c r="L829" s="659" t="str">
        <f>IFERROR(VLOOKUP(I829,Stock1!F:J,5,False),"")</f>
        <v/>
      </c>
      <c r="M829" s="659" t="str">
        <f>IFERROR(VLOOKUP(I829,Stock2!F:J,5,False),"")</f>
        <v/>
      </c>
      <c r="V829" s="102" t="str">
        <f t="array" ref="V829">_xlfn.XLOOKUP("Charger",Stock1!B829,Stock1!I829,"")</f>
        <v/>
      </c>
      <c r="W829" s="102" t="str">
        <f t="array" ref="W829">_xlfn.XLOOKUP(V829,Stock1!I829,Stock1!F829,"")</f>
        <v/>
      </c>
      <c r="X829" s="102" t="str">
        <f t="array" ref="X829">_xlfn.XLOOKUP(V829,Stock1!I829,Stock1!J829,"")</f>
        <v/>
      </c>
      <c r="Y829" s="102" t="str">
        <f t="array" ref="Y829">_xlfn.XLOOKUP("Screen Protector for Android Phone and Other",Stock1!B829,Stock1!I829,"")</f>
        <v/>
      </c>
      <c r="Z829" s="102" t="str">
        <f t="array" ref="Z829">_xlfn.XLOOKUP("Screen Protector for Galaxy Phone",Stock1!B829,Stock1!I829,"")</f>
        <v/>
      </c>
      <c r="AA829" s="102" t="str">
        <f t="array" ref="AA829">_xlfn.XLOOKUP("Screen Protector for Galaxy Tab",Stock1!B829,Stock1!I829,"")</f>
        <v/>
      </c>
      <c r="AB829" s="102" t="str">
        <f t="shared" si="4"/>
        <v/>
      </c>
      <c r="AC829" s="102" t="str">
        <f t="array" ref="AC829">_xlfn.XLOOKUP(AB829,Stock1!I829,Stock1!F829,"")</f>
        <v/>
      </c>
      <c r="AD829" s="102" t="str">
        <f t="array" ref="AD829">_xlfn.XLOOKUP(AB829,Stock1!I829,Stock1!J829,"")</f>
        <v/>
      </c>
      <c r="AE829" s="102" t="str">
        <f t="array" ref="AE829">_xlfn.XLOOKUP("Storage",Stock1!B829,Stock1!I829,"")</f>
        <v/>
      </c>
      <c r="AF829" s="102" t="str">
        <f t="array" ref="AF829">_xlfn.XLOOKUP(AE829,Stock1!I829,Stock1!F829,"")</f>
        <v/>
      </c>
      <c r="AG829" s="102" t="str">
        <f t="array" ref="AG829">_xlfn.XLOOKUP(AE829,Stock1!I829,Stock1!J829,"")</f>
        <v/>
      </c>
    </row>
    <row r="830">
      <c r="K830" s="660" t="str">
        <f t="array" ref="K830">IFERROR(_xlfn.XLOOKUP(I830,Incentive!B:B,Incentive!E:E,""),"")</f>
        <v/>
      </c>
      <c r="L830" s="659" t="str">
        <f>IFERROR(VLOOKUP(I830,Stock1!F:J,5,False),"")</f>
        <v/>
      </c>
      <c r="M830" s="659" t="str">
        <f>IFERROR(VLOOKUP(I830,Stock2!F:J,5,False),"")</f>
        <v/>
      </c>
      <c r="V830" s="102" t="str">
        <f t="array" ref="V830">_xlfn.XLOOKUP("Charger",Stock1!B830,Stock1!I830,"")</f>
        <v/>
      </c>
      <c r="W830" s="102" t="str">
        <f t="array" ref="W830">_xlfn.XLOOKUP(V830,Stock1!I830,Stock1!F830,"")</f>
        <v/>
      </c>
      <c r="X830" s="102" t="str">
        <f t="array" ref="X830">_xlfn.XLOOKUP(V830,Stock1!I830,Stock1!J830,"")</f>
        <v/>
      </c>
      <c r="Y830" s="102" t="str">
        <f t="array" ref="Y830">_xlfn.XLOOKUP("Screen Protector for Android Phone and Other",Stock1!B830,Stock1!I830,"")</f>
        <v/>
      </c>
      <c r="Z830" s="102" t="str">
        <f t="array" ref="Z830">_xlfn.XLOOKUP("Screen Protector for Galaxy Phone",Stock1!B830,Stock1!I830,"")</f>
        <v/>
      </c>
      <c r="AA830" s="102" t="str">
        <f t="array" ref="AA830">_xlfn.XLOOKUP("Screen Protector for Galaxy Tab",Stock1!B830,Stock1!I830,"")</f>
        <v/>
      </c>
      <c r="AB830" s="102" t="str">
        <f t="shared" si="4"/>
        <v/>
      </c>
      <c r="AC830" s="102" t="str">
        <f t="array" ref="AC830">_xlfn.XLOOKUP(AB830,Stock1!I830,Stock1!F830,"")</f>
        <v/>
      </c>
      <c r="AD830" s="102" t="str">
        <f t="array" ref="AD830">_xlfn.XLOOKUP(AB830,Stock1!I830,Stock1!J830,"")</f>
        <v/>
      </c>
      <c r="AE830" s="102" t="str">
        <f t="array" ref="AE830">_xlfn.XLOOKUP("Storage",Stock1!B830,Stock1!I830,"")</f>
        <v/>
      </c>
      <c r="AF830" s="102" t="str">
        <f t="array" ref="AF830">_xlfn.XLOOKUP(AE830,Stock1!I830,Stock1!F830,"")</f>
        <v/>
      </c>
      <c r="AG830" s="102" t="str">
        <f t="array" ref="AG830">_xlfn.XLOOKUP(AE830,Stock1!I830,Stock1!J830,"")</f>
        <v/>
      </c>
    </row>
    <row r="831">
      <c r="K831" s="660" t="str">
        <f t="array" ref="K831">IFERROR(_xlfn.XLOOKUP(I831,Incentive!B:B,Incentive!E:E,""),"")</f>
        <v/>
      </c>
      <c r="L831" s="659" t="str">
        <f>IFERROR(VLOOKUP(I831,Stock1!F:J,5,False),"")</f>
        <v/>
      </c>
      <c r="M831" s="659" t="str">
        <f>IFERROR(VLOOKUP(I831,Stock2!F:J,5,False),"")</f>
        <v/>
      </c>
      <c r="V831" s="102" t="str">
        <f t="array" ref="V831">_xlfn.XLOOKUP("Charger",Stock1!B831,Stock1!I831,"")</f>
        <v/>
      </c>
      <c r="W831" s="102" t="str">
        <f t="array" ref="W831">_xlfn.XLOOKUP(V831,Stock1!I831,Stock1!F831,"")</f>
        <v/>
      </c>
      <c r="X831" s="102" t="str">
        <f t="array" ref="X831">_xlfn.XLOOKUP(V831,Stock1!I831,Stock1!J831,"")</f>
        <v/>
      </c>
      <c r="Y831" s="102" t="str">
        <f t="array" ref="Y831">_xlfn.XLOOKUP("Screen Protector for Android Phone and Other",Stock1!B831,Stock1!I831,"")</f>
        <v/>
      </c>
      <c r="Z831" s="102" t="str">
        <f t="array" ref="Z831">_xlfn.XLOOKUP("Screen Protector for Galaxy Phone",Stock1!B831,Stock1!I831,"")</f>
        <v/>
      </c>
      <c r="AA831" s="102" t="str">
        <f t="array" ref="AA831">_xlfn.XLOOKUP("Screen Protector for Galaxy Tab",Stock1!B831,Stock1!I831,"")</f>
        <v/>
      </c>
      <c r="AB831" s="102" t="str">
        <f t="shared" si="4"/>
        <v/>
      </c>
      <c r="AC831" s="102" t="str">
        <f t="array" ref="AC831">_xlfn.XLOOKUP(AB831,Stock1!I831,Stock1!F831,"")</f>
        <v/>
      </c>
      <c r="AD831" s="102" t="str">
        <f t="array" ref="AD831">_xlfn.XLOOKUP(AB831,Stock1!I831,Stock1!J831,"")</f>
        <v/>
      </c>
      <c r="AE831" s="102" t="str">
        <f t="array" ref="AE831">_xlfn.XLOOKUP("Storage",Stock1!B831,Stock1!I831,"")</f>
        <v/>
      </c>
      <c r="AF831" s="102" t="str">
        <f t="array" ref="AF831">_xlfn.XLOOKUP(AE831,Stock1!I831,Stock1!F831,"")</f>
        <v/>
      </c>
      <c r="AG831" s="102" t="str">
        <f t="array" ref="AG831">_xlfn.XLOOKUP(AE831,Stock1!I831,Stock1!J831,"")</f>
        <v/>
      </c>
    </row>
    <row r="832">
      <c r="K832" s="660" t="str">
        <f t="array" ref="K832">IFERROR(_xlfn.XLOOKUP(I832,Incentive!B:B,Incentive!E:E,""),"")</f>
        <v/>
      </c>
      <c r="L832" s="659" t="str">
        <f>IFERROR(VLOOKUP(I832,Stock1!F:J,5,False),"")</f>
        <v/>
      </c>
      <c r="M832" s="659" t="str">
        <f>IFERROR(VLOOKUP(I832,Stock2!F:J,5,False),"")</f>
        <v/>
      </c>
      <c r="V832" s="102" t="str">
        <f t="array" ref="V832">_xlfn.XLOOKUP("Charger",Stock1!B832,Stock1!I832,"")</f>
        <v/>
      </c>
      <c r="W832" s="102" t="str">
        <f t="array" ref="W832">_xlfn.XLOOKUP(V832,Stock1!I832,Stock1!F832,"")</f>
        <v/>
      </c>
      <c r="X832" s="102" t="str">
        <f t="array" ref="X832">_xlfn.XLOOKUP(V832,Stock1!I832,Stock1!J832,"")</f>
        <v/>
      </c>
      <c r="Y832" s="102" t="str">
        <f t="array" ref="Y832">_xlfn.XLOOKUP("Screen Protector for Android Phone and Other",Stock1!B832,Stock1!I832,"")</f>
        <v/>
      </c>
      <c r="Z832" s="102" t="str">
        <f t="array" ref="Z832">_xlfn.XLOOKUP("Screen Protector for Galaxy Phone",Stock1!B832,Stock1!I832,"")</f>
        <v/>
      </c>
      <c r="AA832" s="102" t="str">
        <f t="array" ref="AA832">_xlfn.XLOOKUP("Screen Protector for Galaxy Tab",Stock1!B832,Stock1!I832,"")</f>
        <v/>
      </c>
      <c r="AB832" s="102" t="str">
        <f t="shared" si="4"/>
        <v/>
      </c>
      <c r="AC832" s="102" t="str">
        <f t="array" ref="AC832">_xlfn.XLOOKUP(AB832,Stock1!I832,Stock1!F832,"")</f>
        <v/>
      </c>
      <c r="AD832" s="102" t="str">
        <f t="array" ref="AD832">_xlfn.XLOOKUP(AB832,Stock1!I832,Stock1!J832,"")</f>
        <v/>
      </c>
      <c r="AE832" s="102" t="str">
        <f t="array" ref="AE832">_xlfn.XLOOKUP("Storage",Stock1!B832,Stock1!I832,"")</f>
        <v/>
      </c>
      <c r="AF832" s="102" t="str">
        <f t="array" ref="AF832">_xlfn.XLOOKUP(AE832,Stock1!I832,Stock1!F832,"")</f>
        <v/>
      </c>
      <c r="AG832" s="102" t="str">
        <f t="array" ref="AG832">_xlfn.XLOOKUP(AE832,Stock1!I832,Stock1!J832,"")</f>
        <v/>
      </c>
    </row>
    <row r="833">
      <c r="K833" s="660" t="str">
        <f t="array" ref="K833">IFERROR(_xlfn.XLOOKUP(I833,Incentive!B:B,Incentive!E:E,""),"")</f>
        <v/>
      </c>
      <c r="L833" s="659" t="str">
        <f>IFERROR(VLOOKUP(I833,Stock1!F:J,5,False),"")</f>
        <v/>
      </c>
      <c r="M833" s="659" t="str">
        <f>IFERROR(VLOOKUP(I833,Stock2!F:J,5,False),"")</f>
        <v/>
      </c>
      <c r="V833" s="102" t="str">
        <f t="array" ref="V833">_xlfn.XLOOKUP("Charger",Stock1!B833,Stock1!I833,"")</f>
        <v/>
      </c>
      <c r="W833" s="102" t="str">
        <f t="array" ref="W833">_xlfn.XLOOKUP(V833,Stock1!I833,Stock1!F833,"")</f>
        <v/>
      </c>
      <c r="X833" s="102" t="str">
        <f t="array" ref="X833">_xlfn.XLOOKUP(V833,Stock1!I833,Stock1!J833,"")</f>
        <v/>
      </c>
      <c r="Y833" s="102" t="str">
        <f t="array" ref="Y833">_xlfn.XLOOKUP("Screen Protector for Android Phone and Other",Stock1!B833,Stock1!I833,"")</f>
        <v/>
      </c>
      <c r="Z833" s="102" t="str">
        <f t="array" ref="Z833">_xlfn.XLOOKUP("Screen Protector for Galaxy Phone",Stock1!B833,Stock1!I833,"")</f>
        <v/>
      </c>
      <c r="AA833" s="102" t="str">
        <f t="array" ref="AA833">_xlfn.XLOOKUP("Screen Protector for Galaxy Tab",Stock1!B833,Stock1!I833,"")</f>
        <v/>
      </c>
      <c r="AB833" s="102" t="str">
        <f t="shared" si="4"/>
        <v/>
      </c>
      <c r="AC833" s="102" t="str">
        <f t="array" ref="AC833">_xlfn.XLOOKUP(AB833,Stock1!I833,Stock1!F833,"")</f>
        <v/>
      </c>
      <c r="AD833" s="102" t="str">
        <f t="array" ref="AD833">_xlfn.XLOOKUP(AB833,Stock1!I833,Stock1!J833,"")</f>
        <v/>
      </c>
      <c r="AE833" s="102" t="str">
        <f t="array" ref="AE833">_xlfn.XLOOKUP("Storage",Stock1!B833,Stock1!I833,"")</f>
        <v/>
      </c>
      <c r="AF833" s="102" t="str">
        <f t="array" ref="AF833">_xlfn.XLOOKUP(AE833,Stock1!I833,Stock1!F833,"")</f>
        <v/>
      </c>
      <c r="AG833" s="102" t="str">
        <f t="array" ref="AG833">_xlfn.XLOOKUP(AE833,Stock1!I833,Stock1!J833,"")</f>
        <v/>
      </c>
    </row>
    <row r="834">
      <c r="K834" s="660" t="str">
        <f t="array" ref="K834">IFERROR(_xlfn.XLOOKUP(I834,Incentive!B:B,Incentive!E:E,""),"")</f>
        <v/>
      </c>
      <c r="L834" s="659" t="str">
        <f>IFERROR(VLOOKUP(I834,Stock1!F:J,5,False),"")</f>
        <v/>
      </c>
      <c r="M834" s="659" t="str">
        <f>IFERROR(VLOOKUP(I834,Stock2!F:J,5,False),"")</f>
        <v/>
      </c>
      <c r="V834" s="102" t="str">
        <f t="array" ref="V834">_xlfn.XLOOKUP("Charger",Stock1!B834,Stock1!I834,"")</f>
        <v/>
      </c>
      <c r="W834" s="102" t="str">
        <f t="array" ref="W834">_xlfn.XLOOKUP(V834,Stock1!I834,Stock1!F834,"")</f>
        <v/>
      </c>
      <c r="X834" s="102" t="str">
        <f t="array" ref="X834">_xlfn.XLOOKUP(V834,Stock1!I834,Stock1!J834,"")</f>
        <v/>
      </c>
      <c r="Y834" s="102" t="str">
        <f t="array" ref="Y834">_xlfn.XLOOKUP("Screen Protector for Android Phone and Other",Stock1!B834,Stock1!I834,"")</f>
        <v/>
      </c>
      <c r="Z834" s="102" t="str">
        <f t="array" ref="Z834">_xlfn.XLOOKUP("Screen Protector for Galaxy Phone",Stock1!B834,Stock1!I834,"")</f>
        <v/>
      </c>
      <c r="AA834" s="102" t="str">
        <f t="array" ref="AA834">_xlfn.XLOOKUP("Screen Protector for Galaxy Tab",Stock1!B834,Stock1!I834,"")</f>
        <v/>
      </c>
      <c r="AB834" s="102" t="str">
        <f t="shared" si="4"/>
        <v/>
      </c>
      <c r="AC834" s="102" t="str">
        <f t="array" ref="AC834">_xlfn.XLOOKUP(AB834,Stock1!I834,Stock1!F834,"")</f>
        <v/>
      </c>
      <c r="AD834" s="102" t="str">
        <f t="array" ref="AD834">_xlfn.XLOOKUP(AB834,Stock1!I834,Stock1!J834,"")</f>
        <v/>
      </c>
      <c r="AE834" s="102" t="str">
        <f t="array" ref="AE834">_xlfn.XLOOKUP("Storage",Stock1!B834,Stock1!I834,"")</f>
        <v/>
      </c>
      <c r="AF834" s="102" t="str">
        <f t="array" ref="AF834">_xlfn.XLOOKUP(AE834,Stock1!I834,Stock1!F834,"")</f>
        <v/>
      </c>
      <c r="AG834" s="102" t="str">
        <f t="array" ref="AG834">_xlfn.XLOOKUP(AE834,Stock1!I834,Stock1!J834,"")</f>
        <v/>
      </c>
    </row>
    <row r="835">
      <c r="K835" s="660" t="str">
        <f t="array" ref="K835">IFERROR(_xlfn.XLOOKUP(I835,Incentive!B:B,Incentive!E:E,""),"")</f>
        <v/>
      </c>
      <c r="L835" s="659" t="str">
        <f>IFERROR(VLOOKUP(I835,Stock1!F:J,5,False),"")</f>
        <v/>
      </c>
      <c r="M835" s="659" t="str">
        <f>IFERROR(VLOOKUP(I835,Stock2!F:J,5,False),"")</f>
        <v/>
      </c>
      <c r="V835" s="102" t="str">
        <f t="array" ref="V835">_xlfn.XLOOKUP("Charger",Stock1!B835,Stock1!I835,"")</f>
        <v/>
      </c>
      <c r="W835" s="102" t="str">
        <f t="array" ref="W835">_xlfn.XLOOKUP(V835,Stock1!I835,Stock1!F835,"")</f>
        <v/>
      </c>
      <c r="X835" s="102" t="str">
        <f t="array" ref="X835">_xlfn.XLOOKUP(V835,Stock1!I835,Stock1!J835,"")</f>
        <v/>
      </c>
      <c r="Y835" s="102" t="str">
        <f t="array" ref="Y835">_xlfn.XLOOKUP("Screen Protector for Android Phone and Other",Stock1!B835,Stock1!I835,"")</f>
        <v/>
      </c>
      <c r="Z835" s="102" t="str">
        <f t="array" ref="Z835">_xlfn.XLOOKUP("Screen Protector for Galaxy Phone",Stock1!B835,Stock1!I835,"")</f>
        <v/>
      </c>
      <c r="AA835" s="102" t="str">
        <f t="array" ref="AA835">_xlfn.XLOOKUP("Screen Protector for Galaxy Tab",Stock1!B835,Stock1!I835,"")</f>
        <v/>
      </c>
      <c r="AB835" s="102" t="str">
        <f t="shared" si="4"/>
        <v/>
      </c>
      <c r="AC835" s="102" t="str">
        <f t="array" ref="AC835">_xlfn.XLOOKUP(AB835,Stock1!I835,Stock1!F835,"")</f>
        <v/>
      </c>
      <c r="AD835" s="102" t="str">
        <f t="array" ref="AD835">_xlfn.XLOOKUP(AB835,Stock1!I835,Stock1!J835,"")</f>
        <v/>
      </c>
      <c r="AE835" s="102" t="str">
        <f t="array" ref="AE835">_xlfn.XLOOKUP("Storage",Stock1!B835,Stock1!I835,"")</f>
        <v/>
      </c>
      <c r="AF835" s="102" t="str">
        <f t="array" ref="AF835">_xlfn.XLOOKUP(AE835,Stock1!I835,Stock1!F835,"")</f>
        <v/>
      </c>
      <c r="AG835" s="102" t="str">
        <f t="array" ref="AG835">_xlfn.XLOOKUP(AE835,Stock1!I835,Stock1!J835,"")</f>
        <v/>
      </c>
    </row>
    <row r="836">
      <c r="K836" s="660" t="str">
        <f t="array" ref="K836">IFERROR(_xlfn.XLOOKUP(I836,Incentive!B:B,Incentive!E:E,""),"")</f>
        <v/>
      </c>
      <c r="L836" s="659" t="str">
        <f>IFERROR(VLOOKUP(I836,Stock1!F:J,5,False),"")</f>
        <v/>
      </c>
      <c r="M836" s="659" t="str">
        <f>IFERROR(VLOOKUP(I836,Stock2!F:J,5,False),"")</f>
        <v/>
      </c>
      <c r="V836" s="102" t="str">
        <f t="array" ref="V836">_xlfn.XLOOKUP("Charger",Stock1!B836,Stock1!I836,"")</f>
        <v/>
      </c>
      <c r="W836" s="102" t="str">
        <f t="array" ref="W836">_xlfn.XLOOKUP(V836,Stock1!I836,Stock1!F836,"")</f>
        <v/>
      </c>
      <c r="X836" s="102" t="str">
        <f t="array" ref="X836">_xlfn.XLOOKUP(V836,Stock1!I836,Stock1!J836,"")</f>
        <v/>
      </c>
      <c r="Y836" s="102" t="str">
        <f t="array" ref="Y836">_xlfn.XLOOKUP("Screen Protector for Android Phone and Other",Stock1!B836,Stock1!I836,"")</f>
        <v/>
      </c>
      <c r="Z836" s="102" t="str">
        <f t="array" ref="Z836">_xlfn.XLOOKUP("Screen Protector for Galaxy Phone",Stock1!B836,Stock1!I836,"")</f>
        <v/>
      </c>
      <c r="AA836" s="102" t="str">
        <f t="array" ref="AA836">_xlfn.XLOOKUP("Screen Protector for Galaxy Tab",Stock1!B836,Stock1!I836,"")</f>
        <v/>
      </c>
      <c r="AB836" s="102" t="str">
        <f t="shared" si="4"/>
        <v/>
      </c>
      <c r="AC836" s="102" t="str">
        <f t="array" ref="AC836">_xlfn.XLOOKUP(AB836,Stock1!I836,Stock1!F836,"")</f>
        <v/>
      </c>
      <c r="AD836" s="102" t="str">
        <f t="array" ref="AD836">_xlfn.XLOOKUP(AB836,Stock1!I836,Stock1!J836,"")</f>
        <v/>
      </c>
      <c r="AE836" s="102" t="str">
        <f t="array" ref="AE836">_xlfn.XLOOKUP("Storage",Stock1!B836,Stock1!I836,"")</f>
        <v/>
      </c>
      <c r="AF836" s="102" t="str">
        <f t="array" ref="AF836">_xlfn.XLOOKUP(AE836,Stock1!I836,Stock1!F836,"")</f>
        <v/>
      </c>
      <c r="AG836" s="102" t="str">
        <f t="array" ref="AG836">_xlfn.XLOOKUP(AE836,Stock1!I836,Stock1!J836,"")</f>
        <v/>
      </c>
    </row>
    <row r="837">
      <c r="K837" s="660" t="str">
        <f t="array" ref="K837">IFERROR(_xlfn.XLOOKUP(I837,Incentive!B:B,Incentive!E:E,""),"")</f>
        <v/>
      </c>
      <c r="L837" s="659" t="str">
        <f>IFERROR(VLOOKUP(I837,Stock1!F:J,5,False),"")</f>
        <v/>
      </c>
      <c r="M837" s="659" t="str">
        <f>IFERROR(VLOOKUP(I837,Stock2!F:J,5,False),"")</f>
        <v/>
      </c>
      <c r="V837" s="102" t="str">
        <f t="array" ref="V837">_xlfn.XLOOKUP("Charger",Stock1!B837,Stock1!I837,"")</f>
        <v/>
      </c>
      <c r="W837" s="102" t="str">
        <f t="array" ref="W837">_xlfn.XLOOKUP(V837,Stock1!I837,Stock1!F837,"")</f>
        <v/>
      </c>
      <c r="X837" s="102" t="str">
        <f t="array" ref="X837">_xlfn.XLOOKUP(V837,Stock1!I837,Stock1!J837,"")</f>
        <v/>
      </c>
      <c r="Y837" s="102" t="str">
        <f t="array" ref="Y837">_xlfn.XLOOKUP("Screen Protector for Android Phone and Other",Stock1!B837,Stock1!I837,"")</f>
        <v/>
      </c>
      <c r="Z837" s="102" t="str">
        <f t="array" ref="Z837">_xlfn.XLOOKUP("Screen Protector for Galaxy Phone",Stock1!B837,Stock1!I837,"")</f>
        <v/>
      </c>
      <c r="AA837" s="102" t="str">
        <f t="array" ref="AA837">_xlfn.XLOOKUP("Screen Protector for Galaxy Tab",Stock1!B837,Stock1!I837,"")</f>
        <v/>
      </c>
      <c r="AB837" s="102" t="str">
        <f t="shared" si="4"/>
        <v/>
      </c>
      <c r="AC837" s="102" t="str">
        <f t="array" ref="AC837">_xlfn.XLOOKUP(AB837,Stock1!I837,Stock1!F837,"")</f>
        <v/>
      </c>
      <c r="AD837" s="102" t="str">
        <f t="array" ref="AD837">_xlfn.XLOOKUP(AB837,Stock1!I837,Stock1!J837,"")</f>
        <v/>
      </c>
      <c r="AE837" s="102" t="str">
        <f t="array" ref="AE837">_xlfn.XLOOKUP("Storage",Stock1!B837,Stock1!I837,"")</f>
        <v/>
      </c>
      <c r="AF837" s="102" t="str">
        <f t="array" ref="AF837">_xlfn.XLOOKUP(AE837,Stock1!I837,Stock1!F837,"")</f>
        <v/>
      </c>
      <c r="AG837" s="102" t="str">
        <f t="array" ref="AG837">_xlfn.XLOOKUP(AE837,Stock1!I837,Stock1!J837,"")</f>
        <v/>
      </c>
    </row>
    <row r="838">
      <c r="K838" s="660" t="str">
        <f t="array" ref="K838">IFERROR(_xlfn.XLOOKUP(I838,Incentive!B:B,Incentive!E:E,""),"")</f>
        <v/>
      </c>
      <c r="L838" s="659" t="str">
        <f>IFERROR(VLOOKUP(I838,Stock1!F:J,5,False),"")</f>
        <v/>
      </c>
      <c r="M838" s="659" t="str">
        <f>IFERROR(VLOOKUP(I838,Stock2!F:J,5,False),"")</f>
        <v/>
      </c>
      <c r="V838" s="102" t="str">
        <f t="array" ref="V838">_xlfn.XLOOKUP("Charger",Stock1!B838,Stock1!I838,"")</f>
        <v/>
      </c>
      <c r="W838" s="102" t="str">
        <f t="array" ref="W838">_xlfn.XLOOKUP(V838,Stock1!I838,Stock1!F838,"")</f>
        <v/>
      </c>
      <c r="X838" s="102" t="str">
        <f t="array" ref="X838">_xlfn.XLOOKUP(V838,Stock1!I838,Stock1!J838,"")</f>
        <v/>
      </c>
      <c r="Y838" s="102" t="str">
        <f t="array" ref="Y838">_xlfn.XLOOKUP("Screen Protector for Android Phone and Other",Stock1!B838,Stock1!I838,"")</f>
        <v/>
      </c>
      <c r="Z838" s="102" t="str">
        <f t="array" ref="Z838">_xlfn.XLOOKUP("Screen Protector for Galaxy Phone",Stock1!B838,Stock1!I838,"")</f>
        <v/>
      </c>
      <c r="AA838" s="102" t="str">
        <f t="array" ref="AA838">_xlfn.XLOOKUP("Screen Protector for Galaxy Tab",Stock1!B838,Stock1!I838,"")</f>
        <v/>
      </c>
      <c r="AB838" s="102" t="str">
        <f t="shared" si="4"/>
        <v/>
      </c>
      <c r="AC838" s="102" t="str">
        <f t="array" ref="AC838">_xlfn.XLOOKUP(AB838,Stock1!I838,Stock1!F838,"")</f>
        <v/>
      </c>
      <c r="AD838" s="102" t="str">
        <f t="array" ref="AD838">_xlfn.XLOOKUP(AB838,Stock1!I838,Stock1!J838,"")</f>
        <v/>
      </c>
      <c r="AE838" s="102" t="str">
        <f t="array" ref="AE838">_xlfn.XLOOKUP("Storage",Stock1!B838,Stock1!I838,"")</f>
        <v/>
      </c>
      <c r="AF838" s="102" t="str">
        <f t="array" ref="AF838">_xlfn.XLOOKUP(AE838,Stock1!I838,Stock1!F838,"")</f>
        <v/>
      </c>
      <c r="AG838" s="102" t="str">
        <f t="array" ref="AG838">_xlfn.XLOOKUP(AE838,Stock1!I838,Stock1!J838,"")</f>
        <v/>
      </c>
    </row>
    <row r="839">
      <c r="K839" s="660" t="str">
        <f t="array" ref="K839">IFERROR(_xlfn.XLOOKUP(I839,Incentive!B:B,Incentive!E:E,""),"")</f>
        <v/>
      </c>
      <c r="L839" s="659" t="str">
        <f>IFERROR(VLOOKUP(I839,Stock1!F:J,5,False),"")</f>
        <v/>
      </c>
      <c r="M839" s="659" t="str">
        <f>IFERROR(VLOOKUP(I839,Stock2!F:J,5,False),"")</f>
        <v/>
      </c>
      <c r="V839" s="102" t="str">
        <f t="array" ref="V839">_xlfn.XLOOKUP("Charger",Stock1!B839,Stock1!I839,"")</f>
        <v/>
      </c>
      <c r="W839" s="102" t="str">
        <f t="array" ref="W839">_xlfn.XLOOKUP(V839,Stock1!I839,Stock1!F839,"")</f>
        <v/>
      </c>
      <c r="X839" s="102" t="str">
        <f t="array" ref="X839">_xlfn.XLOOKUP(V839,Stock1!I839,Stock1!J839,"")</f>
        <v/>
      </c>
      <c r="Y839" s="102" t="str">
        <f t="array" ref="Y839">_xlfn.XLOOKUP("Screen Protector for Android Phone and Other",Stock1!B839,Stock1!I839,"")</f>
        <v/>
      </c>
      <c r="Z839" s="102" t="str">
        <f t="array" ref="Z839">_xlfn.XLOOKUP("Screen Protector for Galaxy Phone",Stock1!B839,Stock1!I839,"")</f>
        <v/>
      </c>
      <c r="AA839" s="102" t="str">
        <f t="array" ref="AA839">_xlfn.XLOOKUP("Screen Protector for Galaxy Tab",Stock1!B839,Stock1!I839,"")</f>
        <v/>
      </c>
      <c r="AB839" s="102" t="str">
        <f t="shared" si="4"/>
        <v/>
      </c>
      <c r="AC839" s="102" t="str">
        <f t="array" ref="AC839">_xlfn.XLOOKUP(AB839,Stock1!I839,Stock1!F839,"")</f>
        <v/>
      </c>
      <c r="AD839" s="102" t="str">
        <f t="array" ref="AD839">_xlfn.XLOOKUP(AB839,Stock1!I839,Stock1!J839,"")</f>
        <v/>
      </c>
      <c r="AE839" s="102" t="str">
        <f t="array" ref="AE839">_xlfn.XLOOKUP("Storage",Stock1!B839,Stock1!I839,"")</f>
        <v/>
      </c>
      <c r="AF839" s="102" t="str">
        <f t="array" ref="AF839">_xlfn.XLOOKUP(AE839,Stock1!I839,Stock1!F839,"")</f>
        <v/>
      </c>
      <c r="AG839" s="102" t="str">
        <f t="array" ref="AG839">_xlfn.XLOOKUP(AE839,Stock1!I839,Stock1!J839,"")</f>
        <v/>
      </c>
    </row>
    <row r="840">
      <c r="K840" s="660" t="str">
        <f t="array" ref="K840">IFERROR(_xlfn.XLOOKUP(I840,Incentive!B:B,Incentive!E:E,""),"")</f>
        <v/>
      </c>
      <c r="L840" s="659" t="str">
        <f>IFERROR(VLOOKUP(I840,Stock1!F:J,5,False),"")</f>
        <v/>
      </c>
      <c r="M840" s="659" t="str">
        <f>IFERROR(VLOOKUP(I840,Stock2!F:J,5,False),"")</f>
        <v/>
      </c>
      <c r="V840" s="102" t="str">
        <f t="array" ref="V840">_xlfn.XLOOKUP("Charger",Stock1!B840,Stock1!I840,"")</f>
        <v/>
      </c>
      <c r="W840" s="102" t="str">
        <f t="array" ref="W840">_xlfn.XLOOKUP(V840,Stock1!I840,Stock1!F840,"")</f>
        <v/>
      </c>
      <c r="X840" s="102" t="str">
        <f t="array" ref="X840">_xlfn.XLOOKUP(V840,Stock1!I840,Stock1!J840,"")</f>
        <v/>
      </c>
      <c r="Y840" s="102" t="str">
        <f t="array" ref="Y840">_xlfn.XLOOKUP("Screen Protector for Android Phone and Other",Stock1!B840,Stock1!I840,"")</f>
        <v/>
      </c>
      <c r="Z840" s="102" t="str">
        <f t="array" ref="Z840">_xlfn.XLOOKUP("Screen Protector for Galaxy Phone",Stock1!B840,Stock1!I840,"")</f>
        <v/>
      </c>
      <c r="AA840" s="102" t="str">
        <f t="array" ref="AA840">_xlfn.XLOOKUP("Screen Protector for Galaxy Tab",Stock1!B840,Stock1!I840,"")</f>
        <v/>
      </c>
      <c r="AB840" s="102" t="str">
        <f t="shared" si="4"/>
        <v/>
      </c>
      <c r="AC840" s="102" t="str">
        <f t="array" ref="AC840">_xlfn.XLOOKUP(AB840,Stock1!I840,Stock1!F840,"")</f>
        <v/>
      </c>
      <c r="AD840" s="102" t="str">
        <f t="array" ref="AD840">_xlfn.XLOOKUP(AB840,Stock1!I840,Stock1!J840,"")</f>
        <v/>
      </c>
      <c r="AE840" s="102" t="str">
        <f t="array" ref="AE840">_xlfn.XLOOKUP("Storage",Stock1!B840,Stock1!I840,"")</f>
        <v/>
      </c>
      <c r="AF840" s="102" t="str">
        <f t="array" ref="AF840">_xlfn.XLOOKUP(AE840,Stock1!I840,Stock1!F840,"")</f>
        <v/>
      </c>
      <c r="AG840" s="102" t="str">
        <f t="array" ref="AG840">_xlfn.XLOOKUP(AE840,Stock1!I840,Stock1!J840,"")</f>
        <v/>
      </c>
    </row>
    <row r="841">
      <c r="K841" s="660" t="str">
        <f t="array" ref="K841">IFERROR(_xlfn.XLOOKUP(I841,Incentive!B:B,Incentive!E:E,""),"")</f>
        <v/>
      </c>
      <c r="L841" s="659" t="str">
        <f>IFERROR(VLOOKUP(I841,Stock1!F:J,5,False),"")</f>
        <v/>
      </c>
      <c r="M841" s="659" t="str">
        <f>IFERROR(VLOOKUP(I841,Stock2!F:J,5,False),"")</f>
        <v/>
      </c>
      <c r="V841" s="102" t="str">
        <f t="array" ref="V841">_xlfn.XLOOKUP("Charger",Stock1!B841,Stock1!I841,"")</f>
        <v/>
      </c>
      <c r="W841" s="102" t="str">
        <f t="array" ref="W841">_xlfn.XLOOKUP(V841,Stock1!I841,Stock1!F841,"")</f>
        <v/>
      </c>
      <c r="X841" s="102" t="str">
        <f t="array" ref="X841">_xlfn.XLOOKUP(V841,Stock1!I841,Stock1!J841,"")</f>
        <v/>
      </c>
      <c r="Y841" s="102" t="str">
        <f t="array" ref="Y841">_xlfn.XLOOKUP("Screen Protector for Android Phone and Other",Stock1!B841,Stock1!I841,"")</f>
        <v/>
      </c>
      <c r="Z841" s="102" t="str">
        <f t="array" ref="Z841">_xlfn.XLOOKUP("Screen Protector for Galaxy Phone",Stock1!B841,Stock1!I841,"")</f>
        <v/>
      </c>
      <c r="AA841" s="102" t="str">
        <f t="array" ref="AA841">_xlfn.XLOOKUP("Screen Protector for Galaxy Tab",Stock1!B841,Stock1!I841,"")</f>
        <v/>
      </c>
      <c r="AB841" s="102" t="str">
        <f t="shared" si="4"/>
        <v/>
      </c>
      <c r="AC841" s="102" t="str">
        <f t="array" ref="AC841">_xlfn.XLOOKUP(AB841,Stock1!I841,Stock1!F841,"")</f>
        <v/>
      </c>
      <c r="AD841" s="102" t="str">
        <f t="array" ref="AD841">_xlfn.XLOOKUP(AB841,Stock1!I841,Stock1!J841,"")</f>
        <v/>
      </c>
      <c r="AE841" s="102" t="str">
        <f t="array" ref="AE841">_xlfn.XLOOKUP("Storage",Stock1!B841,Stock1!I841,"")</f>
        <v/>
      </c>
      <c r="AF841" s="102" t="str">
        <f t="array" ref="AF841">_xlfn.XLOOKUP(AE841,Stock1!I841,Stock1!F841,"")</f>
        <v/>
      </c>
      <c r="AG841" s="102" t="str">
        <f t="array" ref="AG841">_xlfn.XLOOKUP(AE841,Stock1!I841,Stock1!J841,"")</f>
        <v/>
      </c>
    </row>
    <row r="842">
      <c r="K842" s="660" t="str">
        <f t="array" ref="K842">IFERROR(_xlfn.XLOOKUP(I842,Incentive!B:B,Incentive!E:E,""),"")</f>
        <v/>
      </c>
      <c r="L842" s="659" t="str">
        <f>IFERROR(VLOOKUP(I842,Stock1!F:J,5,False),"")</f>
        <v/>
      </c>
      <c r="M842" s="659" t="str">
        <f>IFERROR(VLOOKUP(I842,Stock2!F:J,5,False),"")</f>
        <v/>
      </c>
      <c r="V842" s="102" t="str">
        <f t="array" ref="V842">_xlfn.XLOOKUP("Charger",Stock1!B842,Stock1!I842,"")</f>
        <v/>
      </c>
      <c r="W842" s="102" t="str">
        <f t="array" ref="W842">_xlfn.XLOOKUP(V842,Stock1!I842,Stock1!F842,"")</f>
        <v/>
      </c>
      <c r="X842" s="102" t="str">
        <f t="array" ref="X842">_xlfn.XLOOKUP(V842,Stock1!I842,Stock1!J842,"")</f>
        <v/>
      </c>
      <c r="Y842" s="102" t="str">
        <f t="array" ref="Y842">_xlfn.XLOOKUP("Screen Protector for Android Phone and Other",Stock1!B842,Stock1!I842,"")</f>
        <v/>
      </c>
      <c r="Z842" s="102" t="str">
        <f t="array" ref="Z842">_xlfn.XLOOKUP("Screen Protector for Galaxy Phone",Stock1!B842,Stock1!I842,"")</f>
        <v/>
      </c>
      <c r="AA842" s="102" t="str">
        <f t="array" ref="AA842">_xlfn.XLOOKUP("Screen Protector for Galaxy Tab",Stock1!B842,Stock1!I842,"")</f>
        <v/>
      </c>
      <c r="AB842" s="102" t="str">
        <f t="shared" si="4"/>
        <v/>
      </c>
      <c r="AC842" s="102" t="str">
        <f t="array" ref="AC842">_xlfn.XLOOKUP(AB842,Stock1!I842,Stock1!F842,"")</f>
        <v/>
      </c>
      <c r="AD842" s="102" t="str">
        <f t="array" ref="AD842">_xlfn.XLOOKUP(AB842,Stock1!I842,Stock1!J842,"")</f>
        <v/>
      </c>
      <c r="AE842" s="102" t="str">
        <f t="array" ref="AE842">_xlfn.XLOOKUP("Storage",Stock1!B842,Stock1!I842,"")</f>
        <v/>
      </c>
      <c r="AF842" s="102" t="str">
        <f t="array" ref="AF842">_xlfn.XLOOKUP(AE842,Stock1!I842,Stock1!F842,"")</f>
        <v/>
      </c>
      <c r="AG842" s="102" t="str">
        <f t="array" ref="AG842">_xlfn.XLOOKUP(AE842,Stock1!I842,Stock1!J842,"")</f>
        <v/>
      </c>
    </row>
    <row r="843">
      <c r="K843" s="660" t="str">
        <f t="array" ref="K843">IFERROR(_xlfn.XLOOKUP(I843,Incentive!B:B,Incentive!E:E,""),"")</f>
        <v/>
      </c>
      <c r="L843" s="659" t="str">
        <f>IFERROR(VLOOKUP(I843,Stock1!F:J,5,False),"")</f>
        <v/>
      </c>
      <c r="M843" s="659" t="str">
        <f>IFERROR(VLOOKUP(I843,Stock2!F:J,5,False),"")</f>
        <v/>
      </c>
      <c r="V843" s="102" t="str">
        <f t="array" ref="V843">_xlfn.XLOOKUP("Charger",Stock1!B843,Stock1!I843,"")</f>
        <v/>
      </c>
      <c r="W843" s="102" t="str">
        <f t="array" ref="W843">_xlfn.XLOOKUP(V843,Stock1!I843,Stock1!F843,"")</f>
        <v/>
      </c>
      <c r="X843" s="102" t="str">
        <f t="array" ref="X843">_xlfn.XLOOKUP(V843,Stock1!I843,Stock1!J843,"")</f>
        <v/>
      </c>
      <c r="Y843" s="102" t="str">
        <f t="array" ref="Y843">_xlfn.XLOOKUP("Screen Protector for Android Phone and Other",Stock1!B843,Stock1!I843,"")</f>
        <v/>
      </c>
      <c r="Z843" s="102" t="str">
        <f t="array" ref="Z843">_xlfn.XLOOKUP("Screen Protector for Galaxy Phone",Stock1!B843,Stock1!I843,"")</f>
        <v/>
      </c>
      <c r="AA843" s="102" t="str">
        <f t="array" ref="AA843">_xlfn.XLOOKUP("Screen Protector for Galaxy Tab",Stock1!B843,Stock1!I843,"")</f>
        <v/>
      </c>
      <c r="AB843" s="102" t="str">
        <f t="shared" si="4"/>
        <v/>
      </c>
      <c r="AC843" s="102" t="str">
        <f t="array" ref="AC843">_xlfn.XLOOKUP(AB843,Stock1!I843,Stock1!F843,"")</f>
        <v/>
      </c>
      <c r="AD843" s="102" t="str">
        <f t="array" ref="AD843">_xlfn.XLOOKUP(AB843,Stock1!I843,Stock1!J843,"")</f>
        <v/>
      </c>
      <c r="AE843" s="102" t="str">
        <f t="array" ref="AE843">_xlfn.XLOOKUP("Storage",Stock1!B843,Stock1!I843,"")</f>
        <v/>
      </c>
      <c r="AF843" s="102" t="str">
        <f t="array" ref="AF843">_xlfn.XLOOKUP(AE843,Stock1!I843,Stock1!F843,"")</f>
        <v/>
      </c>
      <c r="AG843" s="102" t="str">
        <f t="array" ref="AG843">_xlfn.XLOOKUP(AE843,Stock1!I843,Stock1!J843,"")</f>
        <v/>
      </c>
    </row>
    <row r="844">
      <c r="K844" s="660" t="str">
        <f t="array" ref="K844">IFERROR(_xlfn.XLOOKUP(I844,Incentive!B:B,Incentive!E:E,""),"")</f>
        <v/>
      </c>
      <c r="L844" s="659" t="str">
        <f>IFERROR(VLOOKUP(I844,Stock1!F:J,5,False),"")</f>
        <v/>
      </c>
      <c r="M844" s="659" t="str">
        <f>IFERROR(VLOOKUP(I844,Stock2!F:J,5,False),"")</f>
        <v/>
      </c>
      <c r="V844" s="102" t="str">
        <f t="array" ref="V844">_xlfn.XLOOKUP("Charger",Stock1!B844,Stock1!I844,"")</f>
        <v/>
      </c>
      <c r="W844" s="102" t="str">
        <f t="array" ref="W844">_xlfn.XLOOKUP(V844,Stock1!I844,Stock1!F844,"")</f>
        <v/>
      </c>
      <c r="X844" s="102" t="str">
        <f t="array" ref="X844">_xlfn.XLOOKUP(V844,Stock1!I844,Stock1!J844,"")</f>
        <v/>
      </c>
      <c r="Y844" s="102" t="str">
        <f t="array" ref="Y844">_xlfn.XLOOKUP("Screen Protector for Android Phone and Other",Stock1!B844,Stock1!I844,"")</f>
        <v/>
      </c>
      <c r="Z844" s="102" t="str">
        <f t="array" ref="Z844">_xlfn.XLOOKUP("Screen Protector for Galaxy Phone",Stock1!B844,Stock1!I844,"")</f>
        <v/>
      </c>
      <c r="AA844" s="102" t="str">
        <f t="array" ref="AA844">_xlfn.XLOOKUP("Screen Protector for Galaxy Tab",Stock1!B844,Stock1!I844,"")</f>
        <v/>
      </c>
      <c r="AB844" s="102" t="str">
        <f t="shared" si="4"/>
        <v/>
      </c>
      <c r="AC844" s="102" t="str">
        <f t="array" ref="AC844">_xlfn.XLOOKUP(AB844,Stock1!I844,Stock1!F844,"")</f>
        <v/>
      </c>
      <c r="AD844" s="102" t="str">
        <f t="array" ref="AD844">_xlfn.XLOOKUP(AB844,Stock1!I844,Stock1!J844,"")</f>
        <v/>
      </c>
      <c r="AE844" s="102" t="str">
        <f t="array" ref="AE844">_xlfn.XLOOKUP("Storage",Stock1!B844,Stock1!I844,"")</f>
        <v/>
      </c>
      <c r="AF844" s="102" t="str">
        <f t="array" ref="AF844">_xlfn.XLOOKUP(AE844,Stock1!I844,Stock1!F844,"")</f>
        <v/>
      </c>
      <c r="AG844" s="102" t="str">
        <f t="array" ref="AG844">_xlfn.XLOOKUP(AE844,Stock1!I844,Stock1!J844,"")</f>
        <v/>
      </c>
    </row>
    <row r="845">
      <c r="K845" s="660" t="str">
        <f t="array" ref="K845">IFERROR(_xlfn.XLOOKUP(I845,Incentive!B:B,Incentive!E:E,""),"")</f>
        <v/>
      </c>
      <c r="L845" s="659" t="str">
        <f>IFERROR(VLOOKUP(I845,Stock1!F:J,5,False),"")</f>
        <v/>
      </c>
      <c r="M845" s="659" t="str">
        <f>IFERROR(VLOOKUP(I845,Stock2!F:J,5,False),"")</f>
        <v/>
      </c>
      <c r="V845" s="102" t="str">
        <f t="array" ref="V845">_xlfn.XLOOKUP("Charger",Stock1!B845,Stock1!I845,"")</f>
        <v/>
      </c>
      <c r="W845" s="102" t="str">
        <f t="array" ref="W845">_xlfn.XLOOKUP(V845,Stock1!I845,Stock1!F845,"")</f>
        <v/>
      </c>
      <c r="X845" s="102" t="str">
        <f t="array" ref="X845">_xlfn.XLOOKUP(V845,Stock1!I845,Stock1!J845,"")</f>
        <v/>
      </c>
      <c r="Y845" s="102" t="str">
        <f t="array" ref="Y845">_xlfn.XLOOKUP("Screen Protector for Android Phone and Other",Stock1!B845,Stock1!I845,"")</f>
        <v/>
      </c>
      <c r="Z845" s="102" t="str">
        <f t="array" ref="Z845">_xlfn.XLOOKUP("Screen Protector for Galaxy Phone",Stock1!B845,Stock1!I845,"")</f>
        <v/>
      </c>
      <c r="AA845" s="102" t="str">
        <f t="array" ref="AA845">_xlfn.XLOOKUP("Screen Protector for Galaxy Tab",Stock1!B845,Stock1!I845,"")</f>
        <v/>
      </c>
      <c r="AB845" s="102" t="str">
        <f t="shared" si="4"/>
        <v/>
      </c>
      <c r="AC845" s="102" t="str">
        <f t="array" ref="AC845">_xlfn.XLOOKUP(AB845,Stock1!I845,Stock1!F845,"")</f>
        <v/>
      </c>
      <c r="AD845" s="102" t="str">
        <f t="array" ref="AD845">_xlfn.XLOOKUP(AB845,Stock1!I845,Stock1!J845,"")</f>
        <v/>
      </c>
      <c r="AE845" s="102" t="str">
        <f t="array" ref="AE845">_xlfn.XLOOKUP("Storage",Stock1!B845,Stock1!I845,"")</f>
        <v/>
      </c>
      <c r="AF845" s="102" t="str">
        <f t="array" ref="AF845">_xlfn.XLOOKUP(AE845,Stock1!I845,Stock1!F845,"")</f>
        <v/>
      </c>
      <c r="AG845" s="102" t="str">
        <f t="array" ref="AG845">_xlfn.XLOOKUP(AE845,Stock1!I845,Stock1!J845,"")</f>
        <v/>
      </c>
    </row>
    <row r="846">
      <c r="K846" s="660" t="str">
        <f t="array" ref="K846">IFERROR(_xlfn.XLOOKUP(I846,Incentive!B:B,Incentive!E:E,""),"")</f>
        <v/>
      </c>
      <c r="L846" s="659" t="str">
        <f>IFERROR(VLOOKUP(I846,Stock1!F:J,5,False),"")</f>
        <v/>
      </c>
      <c r="M846" s="659" t="str">
        <f>IFERROR(VLOOKUP(I846,Stock2!F:J,5,False),"")</f>
        <v/>
      </c>
      <c r="V846" s="102" t="str">
        <f t="array" ref="V846">_xlfn.XLOOKUP("Charger",Stock1!B846,Stock1!I846,"")</f>
        <v/>
      </c>
      <c r="W846" s="102" t="str">
        <f t="array" ref="W846">_xlfn.XLOOKUP(V846,Stock1!I846,Stock1!F846,"")</f>
        <v/>
      </c>
      <c r="X846" s="102" t="str">
        <f t="array" ref="X846">_xlfn.XLOOKUP(V846,Stock1!I846,Stock1!J846,"")</f>
        <v/>
      </c>
      <c r="Y846" s="102" t="str">
        <f t="array" ref="Y846">_xlfn.XLOOKUP("Screen Protector for Android Phone and Other",Stock1!B846,Stock1!I846,"")</f>
        <v/>
      </c>
      <c r="Z846" s="102" t="str">
        <f t="array" ref="Z846">_xlfn.XLOOKUP("Screen Protector for Galaxy Phone",Stock1!B846,Stock1!I846,"")</f>
        <v/>
      </c>
      <c r="AA846" s="102" t="str">
        <f t="array" ref="AA846">_xlfn.XLOOKUP("Screen Protector for Galaxy Tab",Stock1!B846,Stock1!I846,"")</f>
        <v/>
      </c>
      <c r="AB846" s="102" t="str">
        <f t="shared" si="4"/>
        <v/>
      </c>
      <c r="AC846" s="102" t="str">
        <f t="array" ref="AC846">_xlfn.XLOOKUP(AB846,Stock1!I846,Stock1!F846,"")</f>
        <v/>
      </c>
      <c r="AD846" s="102" t="str">
        <f t="array" ref="AD846">_xlfn.XLOOKUP(AB846,Stock1!I846,Stock1!J846,"")</f>
        <v/>
      </c>
      <c r="AE846" s="102" t="str">
        <f t="array" ref="AE846">_xlfn.XLOOKUP("Storage",Stock1!B846,Stock1!I846,"")</f>
        <v/>
      </c>
      <c r="AF846" s="102" t="str">
        <f t="array" ref="AF846">_xlfn.XLOOKUP(AE846,Stock1!I846,Stock1!F846,"")</f>
        <v/>
      </c>
      <c r="AG846" s="102" t="str">
        <f t="array" ref="AG846">_xlfn.XLOOKUP(AE846,Stock1!I846,Stock1!J846,"")</f>
        <v/>
      </c>
    </row>
    <row r="847">
      <c r="K847" s="660" t="str">
        <f t="array" ref="K847">IFERROR(_xlfn.XLOOKUP(I847,Incentive!B:B,Incentive!E:E,""),"")</f>
        <v/>
      </c>
      <c r="L847" s="659" t="str">
        <f>IFERROR(VLOOKUP(I847,Stock1!F:J,5,False),"")</f>
        <v/>
      </c>
      <c r="M847" s="659" t="str">
        <f>IFERROR(VLOOKUP(I847,Stock2!F:J,5,False),"")</f>
        <v/>
      </c>
      <c r="V847" s="102" t="str">
        <f t="array" ref="V847">_xlfn.XLOOKUP("Charger",Stock1!B847,Stock1!I847,"")</f>
        <v/>
      </c>
      <c r="W847" s="102" t="str">
        <f t="array" ref="W847">_xlfn.XLOOKUP(V847,Stock1!I847,Stock1!F847,"")</f>
        <v/>
      </c>
      <c r="X847" s="102" t="str">
        <f t="array" ref="X847">_xlfn.XLOOKUP(V847,Stock1!I847,Stock1!J847,"")</f>
        <v/>
      </c>
      <c r="Y847" s="102" t="str">
        <f t="array" ref="Y847">_xlfn.XLOOKUP("Screen Protector for Android Phone and Other",Stock1!B847,Stock1!I847,"")</f>
        <v/>
      </c>
      <c r="Z847" s="102" t="str">
        <f t="array" ref="Z847">_xlfn.XLOOKUP("Screen Protector for Galaxy Phone",Stock1!B847,Stock1!I847,"")</f>
        <v/>
      </c>
      <c r="AA847" s="102" t="str">
        <f t="array" ref="AA847">_xlfn.XLOOKUP("Screen Protector for Galaxy Tab",Stock1!B847,Stock1!I847,"")</f>
        <v/>
      </c>
      <c r="AB847" s="102" t="str">
        <f t="shared" si="4"/>
        <v/>
      </c>
      <c r="AC847" s="102" t="str">
        <f t="array" ref="AC847">_xlfn.XLOOKUP(AB847,Stock1!I847,Stock1!F847,"")</f>
        <v/>
      </c>
      <c r="AD847" s="102" t="str">
        <f t="array" ref="AD847">_xlfn.XLOOKUP(AB847,Stock1!I847,Stock1!J847,"")</f>
        <v/>
      </c>
      <c r="AE847" s="102" t="str">
        <f t="array" ref="AE847">_xlfn.XLOOKUP("Storage",Stock1!B847,Stock1!I847,"")</f>
        <v/>
      </c>
      <c r="AF847" s="102" t="str">
        <f t="array" ref="AF847">_xlfn.XLOOKUP(AE847,Stock1!I847,Stock1!F847,"")</f>
        <v/>
      </c>
      <c r="AG847" s="102" t="str">
        <f t="array" ref="AG847">_xlfn.XLOOKUP(AE847,Stock1!I847,Stock1!J847,"")</f>
        <v/>
      </c>
    </row>
    <row r="848">
      <c r="K848" s="660" t="str">
        <f t="array" ref="K848">IFERROR(_xlfn.XLOOKUP(I848,Incentive!B:B,Incentive!E:E,""),"")</f>
        <v/>
      </c>
      <c r="L848" s="659" t="str">
        <f>IFERROR(VLOOKUP(I848,Stock1!F:J,5,False),"")</f>
        <v/>
      </c>
      <c r="M848" s="659" t="str">
        <f>IFERROR(VLOOKUP(I848,Stock2!F:J,5,False),"")</f>
        <v/>
      </c>
      <c r="V848" s="102" t="str">
        <f t="array" ref="V848">_xlfn.XLOOKUP("Charger",Stock1!B848,Stock1!I848,"")</f>
        <v/>
      </c>
      <c r="W848" s="102" t="str">
        <f t="array" ref="W848">_xlfn.XLOOKUP(V848,Stock1!I848,Stock1!F848,"")</f>
        <v/>
      </c>
      <c r="X848" s="102" t="str">
        <f t="array" ref="X848">_xlfn.XLOOKUP(V848,Stock1!I848,Stock1!J848,"")</f>
        <v/>
      </c>
      <c r="Y848" s="102" t="str">
        <f t="array" ref="Y848">_xlfn.XLOOKUP("Screen Protector for Android Phone and Other",Stock1!B848,Stock1!I848,"")</f>
        <v/>
      </c>
      <c r="Z848" s="102" t="str">
        <f t="array" ref="Z848">_xlfn.XLOOKUP("Screen Protector for Galaxy Phone",Stock1!B848,Stock1!I848,"")</f>
        <v/>
      </c>
      <c r="AA848" s="102" t="str">
        <f t="array" ref="AA848">_xlfn.XLOOKUP("Screen Protector for Galaxy Tab",Stock1!B848,Stock1!I848,"")</f>
        <v/>
      </c>
      <c r="AB848" s="102" t="str">
        <f t="shared" si="4"/>
        <v/>
      </c>
      <c r="AC848" s="102" t="str">
        <f t="array" ref="AC848">_xlfn.XLOOKUP(AB848,Stock1!I848,Stock1!F848,"")</f>
        <v/>
      </c>
      <c r="AD848" s="102" t="str">
        <f t="array" ref="AD848">_xlfn.XLOOKUP(AB848,Stock1!I848,Stock1!J848,"")</f>
        <v/>
      </c>
      <c r="AE848" s="102" t="str">
        <f t="array" ref="AE848">_xlfn.XLOOKUP("Storage",Stock1!B848,Stock1!I848,"")</f>
        <v/>
      </c>
      <c r="AF848" s="102" t="str">
        <f t="array" ref="AF848">_xlfn.XLOOKUP(AE848,Stock1!I848,Stock1!F848,"")</f>
        <v/>
      </c>
      <c r="AG848" s="102" t="str">
        <f t="array" ref="AG848">_xlfn.XLOOKUP(AE848,Stock1!I848,Stock1!J848,"")</f>
        <v/>
      </c>
    </row>
    <row r="849">
      <c r="K849" s="660" t="str">
        <f t="array" ref="K849">IFERROR(_xlfn.XLOOKUP(I849,Incentive!B:B,Incentive!E:E,""),"")</f>
        <v/>
      </c>
      <c r="L849" s="659" t="str">
        <f>IFERROR(VLOOKUP(I849,Stock1!F:J,5,False),"")</f>
        <v/>
      </c>
      <c r="M849" s="659" t="str">
        <f>IFERROR(VLOOKUP(I849,Stock2!F:J,5,False),"")</f>
        <v/>
      </c>
      <c r="V849" s="102" t="str">
        <f t="array" ref="V849">_xlfn.XLOOKUP("Charger",Stock1!B849,Stock1!I849,"")</f>
        <v/>
      </c>
      <c r="W849" s="102" t="str">
        <f t="array" ref="W849">_xlfn.XLOOKUP(V849,Stock1!I849,Stock1!F849,"")</f>
        <v/>
      </c>
      <c r="X849" s="102" t="str">
        <f t="array" ref="X849">_xlfn.XLOOKUP(V849,Stock1!I849,Stock1!J849,"")</f>
        <v/>
      </c>
      <c r="Y849" s="102" t="str">
        <f t="array" ref="Y849">_xlfn.XLOOKUP("Screen Protector for Android Phone and Other",Stock1!B849,Stock1!I849,"")</f>
        <v/>
      </c>
      <c r="Z849" s="102" t="str">
        <f t="array" ref="Z849">_xlfn.XLOOKUP("Screen Protector for Galaxy Phone",Stock1!B849,Stock1!I849,"")</f>
        <v/>
      </c>
      <c r="AA849" s="102" t="str">
        <f t="array" ref="AA849">_xlfn.XLOOKUP("Screen Protector for Galaxy Tab",Stock1!B849,Stock1!I849,"")</f>
        <v/>
      </c>
      <c r="AB849" s="102" t="str">
        <f t="shared" si="4"/>
        <v/>
      </c>
      <c r="AC849" s="102" t="str">
        <f t="array" ref="AC849">_xlfn.XLOOKUP(AB849,Stock1!I849,Stock1!F849,"")</f>
        <v/>
      </c>
      <c r="AD849" s="102" t="str">
        <f t="array" ref="AD849">_xlfn.XLOOKUP(AB849,Stock1!I849,Stock1!J849,"")</f>
        <v/>
      </c>
      <c r="AE849" s="102" t="str">
        <f t="array" ref="AE849">_xlfn.XLOOKUP("Storage",Stock1!B849,Stock1!I849,"")</f>
        <v/>
      </c>
      <c r="AF849" s="102" t="str">
        <f t="array" ref="AF849">_xlfn.XLOOKUP(AE849,Stock1!I849,Stock1!F849,"")</f>
        <v/>
      </c>
      <c r="AG849" s="102" t="str">
        <f t="array" ref="AG849">_xlfn.XLOOKUP(AE849,Stock1!I849,Stock1!J849,"")</f>
        <v/>
      </c>
    </row>
    <row r="850">
      <c r="K850" s="660" t="str">
        <f t="array" ref="K850">IFERROR(_xlfn.XLOOKUP(I850,Incentive!B:B,Incentive!E:E,""),"")</f>
        <v/>
      </c>
      <c r="L850" s="659" t="str">
        <f>IFERROR(VLOOKUP(I850,Stock1!F:J,5,False),"")</f>
        <v/>
      </c>
      <c r="M850" s="659" t="str">
        <f>IFERROR(VLOOKUP(I850,Stock2!F:J,5,False),"")</f>
        <v/>
      </c>
      <c r="V850" s="102" t="str">
        <f t="array" ref="V850">_xlfn.XLOOKUP("Charger",Stock1!B850,Stock1!I850,"")</f>
        <v/>
      </c>
      <c r="W850" s="102" t="str">
        <f t="array" ref="W850">_xlfn.XLOOKUP(V850,Stock1!I850,Stock1!F850,"")</f>
        <v/>
      </c>
      <c r="X850" s="102" t="str">
        <f t="array" ref="X850">_xlfn.XLOOKUP(V850,Stock1!I850,Stock1!J850,"")</f>
        <v/>
      </c>
      <c r="Y850" s="102" t="str">
        <f t="array" ref="Y850">_xlfn.XLOOKUP("Screen Protector for Android Phone and Other",Stock1!B850,Stock1!I850,"")</f>
        <v/>
      </c>
      <c r="Z850" s="102" t="str">
        <f t="array" ref="Z850">_xlfn.XLOOKUP("Screen Protector for Galaxy Phone",Stock1!B850,Stock1!I850,"")</f>
        <v/>
      </c>
      <c r="AA850" s="102" t="str">
        <f t="array" ref="AA850">_xlfn.XLOOKUP("Screen Protector for Galaxy Tab",Stock1!B850,Stock1!I850,"")</f>
        <v/>
      </c>
      <c r="AB850" s="102" t="str">
        <f t="shared" si="4"/>
        <v/>
      </c>
      <c r="AC850" s="102" t="str">
        <f t="array" ref="AC850">_xlfn.XLOOKUP(AB850,Stock1!I850,Stock1!F850,"")</f>
        <v/>
      </c>
      <c r="AD850" s="102" t="str">
        <f t="array" ref="AD850">_xlfn.XLOOKUP(AB850,Stock1!I850,Stock1!J850,"")</f>
        <v/>
      </c>
      <c r="AE850" s="102" t="str">
        <f t="array" ref="AE850">_xlfn.XLOOKUP("Storage",Stock1!B850,Stock1!I850,"")</f>
        <v/>
      </c>
      <c r="AF850" s="102" t="str">
        <f t="array" ref="AF850">_xlfn.XLOOKUP(AE850,Stock1!I850,Stock1!F850,"")</f>
        <v/>
      </c>
      <c r="AG850" s="102" t="str">
        <f t="array" ref="AG850">_xlfn.XLOOKUP(AE850,Stock1!I850,Stock1!J850,"")</f>
        <v/>
      </c>
    </row>
    <row r="851">
      <c r="K851" s="660" t="str">
        <f t="array" ref="K851">IFERROR(_xlfn.XLOOKUP(I851,Incentive!B:B,Incentive!E:E,""),"")</f>
        <v/>
      </c>
      <c r="L851" s="659" t="str">
        <f>IFERROR(VLOOKUP(I851,Stock1!F:J,5,False),"")</f>
        <v/>
      </c>
      <c r="M851" s="659" t="str">
        <f>IFERROR(VLOOKUP(I851,Stock2!F:J,5,False),"")</f>
        <v/>
      </c>
      <c r="V851" s="102" t="str">
        <f t="array" ref="V851">_xlfn.XLOOKUP("Charger",Stock1!B851,Stock1!I851,"")</f>
        <v/>
      </c>
      <c r="W851" s="102" t="str">
        <f t="array" ref="W851">_xlfn.XLOOKUP(V851,Stock1!I851,Stock1!F851,"")</f>
        <v/>
      </c>
      <c r="X851" s="102" t="str">
        <f t="array" ref="X851">_xlfn.XLOOKUP(V851,Stock1!I851,Stock1!J851,"")</f>
        <v/>
      </c>
      <c r="Y851" s="102" t="str">
        <f t="array" ref="Y851">_xlfn.XLOOKUP("Screen Protector for Android Phone and Other",Stock1!B851,Stock1!I851,"")</f>
        <v/>
      </c>
      <c r="Z851" s="102" t="str">
        <f t="array" ref="Z851">_xlfn.XLOOKUP("Screen Protector for Galaxy Phone",Stock1!B851,Stock1!I851,"")</f>
        <v/>
      </c>
      <c r="AA851" s="102" t="str">
        <f t="array" ref="AA851">_xlfn.XLOOKUP("Screen Protector for Galaxy Tab",Stock1!B851,Stock1!I851,"")</f>
        <v/>
      </c>
      <c r="AB851" s="102" t="str">
        <f t="shared" si="4"/>
        <v/>
      </c>
      <c r="AC851" s="102" t="str">
        <f t="array" ref="AC851">_xlfn.XLOOKUP(AB851,Stock1!I851,Stock1!F851,"")</f>
        <v/>
      </c>
      <c r="AD851" s="102" t="str">
        <f t="array" ref="AD851">_xlfn.XLOOKUP(AB851,Stock1!I851,Stock1!J851,"")</f>
        <v/>
      </c>
      <c r="AE851" s="102" t="str">
        <f t="array" ref="AE851">_xlfn.XLOOKUP("Storage",Stock1!B851,Stock1!I851,"")</f>
        <v/>
      </c>
      <c r="AF851" s="102" t="str">
        <f t="array" ref="AF851">_xlfn.XLOOKUP(AE851,Stock1!I851,Stock1!F851,"")</f>
        <v/>
      </c>
      <c r="AG851" s="102" t="str">
        <f t="array" ref="AG851">_xlfn.XLOOKUP(AE851,Stock1!I851,Stock1!J851,"")</f>
        <v/>
      </c>
    </row>
    <row r="852">
      <c r="K852" s="660" t="str">
        <f t="array" ref="K852">IFERROR(_xlfn.XLOOKUP(I852,Incentive!B:B,Incentive!E:E,""),"")</f>
        <v/>
      </c>
      <c r="L852" s="659" t="str">
        <f>IFERROR(VLOOKUP(I852,Stock1!F:J,5,False),"")</f>
        <v/>
      </c>
      <c r="M852" s="659" t="str">
        <f>IFERROR(VLOOKUP(I852,Stock2!F:J,5,False),"")</f>
        <v/>
      </c>
      <c r="V852" s="102" t="str">
        <f t="array" ref="V852">_xlfn.XLOOKUP("Charger",Stock1!B852,Stock1!I852,"")</f>
        <v/>
      </c>
      <c r="W852" s="102" t="str">
        <f t="array" ref="W852">_xlfn.XLOOKUP(V852,Stock1!I852,Stock1!F852,"")</f>
        <v/>
      </c>
      <c r="X852" s="102" t="str">
        <f t="array" ref="X852">_xlfn.XLOOKUP(V852,Stock1!I852,Stock1!J852,"")</f>
        <v/>
      </c>
      <c r="Y852" s="102" t="str">
        <f t="array" ref="Y852">_xlfn.XLOOKUP("Screen Protector for Android Phone and Other",Stock1!B852,Stock1!I852,"")</f>
        <v/>
      </c>
      <c r="Z852" s="102" t="str">
        <f t="array" ref="Z852">_xlfn.XLOOKUP("Screen Protector for Galaxy Phone",Stock1!B852,Stock1!I852,"")</f>
        <v/>
      </c>
      <c r="AA852" s="102" t="str">
        <f t="array" ref="AA852">_xlfn.XLOOKUP("Screen Protector for Galaxy Tab",Stock1!B852,Stock1!I852,"")</f>
        <v/>
      </c>
      <c r="AB852" s="102" t="str">
        <f t="shared" si="4"/>
        <v/>
      </c>
      <c r="AC852" s="102" t="str">
        <f t="array" ref="AC852">_xlfn.XLOOKUP(AB852,Stock1!I852,Stock1!F852,"")</f>
        <v/>
      </c>
      <c r="AD852" s="102" t="str">
        <f t="array" ref="AD852">_xlfn.XLOOKUP(AB852,Stock1!I852,Stock1!J852,"")</f>
        <v/>
      </c>
      <c r="AE852" s="102" t="str">
        <f t="array" ref="AE852">_xlfn.XLOOKUP("Storage",Stock1!B852,Stock1!I852,"")</f>
        <v/>
      </c>
      <c r="AF852" s="102" t="str">
        <f t="array" ref="AF852">_xlfn.XLOOKUP(AE852,Stock1!I852,Stock1!F852,"")</f>
        <v/>
      </c>
      <c r="AG852" s="102" t="str">
        <f t="array" ref="AG852">_xlfn.XLOOKUP(AE852,Stock1!I852,Stock1!J852,"")</f>
        <v/>
      </c>
    </row>
    <row r="853">
      <c r="K853" s="660" t="str">
        <f t="array" ref="K853">IFERROR(_xlfn.XLOOKUP(I853,Incentive!B:B,Incentive!E:E,""),"")</f>
        <v/>
      </c>
      <c r="L853" s="659" t="str">
        <f>IFERROR(VLOOKUP(I853,Stock1!F:J,5,False),"")</f>
        <v/>
      </c>
      <c r="M853" s="659" t="str">
        <f>IFERROR(VLOOKUP(I853,Stock2!F:J,5,False),"")</f>
        <v/>
      </c>
      <c r="V853" s="102" t="str">
        <f t="array" ref="V853">_xlfn.XLOOKUP("Charger",Stock1!B853,Stock1!I853,"")</f>
        <v/>
      </c>
      <c r="W853" s="102" t="str">
        <f t="array" ref="W853">_xlfn.XLOOKUP(V853,Stock1!I853,Stock1!F853,"")</f>
        <v/>
      </c>
      <c r="X853" s="102" t="str">
        <f t="array" ref="X853">_xlfn.XLOOKUP(V853,Stock1!I853,Stock1!J853,"")</f>
        <v/>
      </c>
      <c r="Y853" s="102" t="str">
        <f t="array" ref="Y853">_xlfn.XLOOKUP("Screen Protector for Android Phone and Other",Stock1!B853,Stock1!I853,"")</f>
        <v/>
      </c>
      <c r="Z853" s="102" t="str">
        <f t="array" ref="Z853">_xlfn.XLOOKUP("Screen Protector for Galaxy Phone",Stock1!B853,Stock1!I853,"")</f>
        <v/>
      </c>
      <c r="AA853" s="102" t="str">
        <f t="array" ref="AA853">_xlfn.XLOOKUP("Screen Protector for Galaxy Tab",Stock1!B853,Stock1!I853,"")</f>
        <v/>
      </c>
      <c r="AB853" s="102" t="str">
        <f t="shared" si="4"/>
        <v/>
      </c>
      <c r="AC853" s="102" t="str">
        <f t="array" ref="AC853">_xlfn.XLOOKUP(AB853,Stock1!I853,Stock1!F853,"")</f>
        <v/>
      </c>
      <c r="AD853" s="102" t="str">
        <f t="array" ref="AD853">_xlfn.XLOOKUP(AB853,Stock1!I853,Stock1!J853,"")</f>
        <v/>
      </c>
      <c r="AE853" s="102" t="str">
        <f t="array" ref="AE853">_xlfn.XLOOKUP("Storage",Stock1!B853,Stock1!I853,"")</f>
        <v/>
      </c>
      <c r="AF853" s="102" t="str">
        <f t="array" ref="AF853">_xlfn.XLOOKUP(AE853,Stock1!I853,Stock1!F853,"")</f>
        <v/>
      </c>
      <c r="AG853" s="102" t="str">
        <f t="array" ref="AG853">_xlfn.XLOOKUP(AE853,Stock1!I853,Stock1!J853,"")</f>
        <v/>
      </c>
    </row>
    <row r="854">
      <c r="K854" s="660" t="str">
        <f t="array" ref="K854">IFERROR(_xlfn.XLOOKUP(I854,Incentive!B:B,Incentive!E:E,""),"")</f>
        <v/>
      </c>
      <c r="L854" s="659" t="str">
        <f>IFERROR(VLOOKUP(I854,Stock1!F:J,5,False),"")</f>
        <v/>
      </c>
      <c r="M854" s="659" t="str">
        <f>IFERROR(VLOOKUP(I854,Stock2!F:J,5,False),"")</f>
        <v/>
      </c>
      <c r="V854" s="102" t="str">
        <f t="array" ref="V854">_xlfn.XLOOKUP("Charger",Stock1!B854,Stock1!I854,"")</f>
        <v/>
      </c>
      <c r="W854" s="102" t="str">
        <f t="array" ref="W854">_xlfn.XLOOKUP(V854,Stock1!I854,Stock1!F854,"")</f>
        <v/>
      </c>
      <c r="X854" s="102" t="str">
        <f t="array" ref="X854">_xlfn.XLOOKUP(V854,Stock1!I854,Stock1!J854,"")</f>
        <v/>
      </c>
      <c r="Y854" s="102" t="str">
        <f t="array" ref="Y854">_xlfn.XLOOKUP("Screen Protector for Android Phone and Other",Stock1!B854,Stock1!I854,"")</f>
        <v/>
      </c>
      <c r="Z854" s="102" t="str">
        <f t="array" ref="Z854">_xlfn.XLOOKUP("Screen Protector for Galaxy Phone",Stock1!B854,Stock1!I854,"")</f>
        <v/>
      </c>
      <c r="AA854" s="102" t="str">
        <f t="array" ref="AA854">_xlfn.XLOOKUP("Screen Protector for Galaxy Tab",Stock1!B854,Stock1!I854,"")</f>
        <v/>
      </c>
      <c r="AB854" s="102" t="str">
        <f t="shared" si="4"/>
        <v/>
      </c>
      <c r="AC854" s="102" t="str">
        <f t="array" ref="AC854">_xlfn.XLOOKUP(AB854,Stock1!I854,Stock1!F854,"")</f>
        <v/>
      </c>
      <c r="AD854" s="102" t="str">
        <f t="array" ref="AD854">_xlfn.XLOOKUP(AB854,Stock1!I854,Stock1!J854,"")</f>
        <v/>
      </c>
      <c r="AE854" s="102" t="str">
        <f t="array" ref="AE854">_xlfn.XLOOKUP("Storage",Stock1!B854,Stock1!I854,"")</f>
        <v/>
      </c>
      <c r="AF854" s="102" t="str">
        <f t="array" ref="AF854">_xlfn.XLOOKUP(AE854,Stock1!I854,Stock1!F854,"")</f>
        <v/>
      </c>
      <c r="AG854" s="102" t="str">
        <f t="array" ref="AG854">_xlfn.XLOOKUP(AE854,Stock1!I854,Stock1!J854,"")</f>
        <v/>
      </c>
    </row>
    <row r="855">
      <c r="K855" s="660" t="str">
        <f t="array" ref="K855">IFERROR(_xlfn.XLOOKUP(I855,Incentive!B:B,Incentive!E:E,""),"")</f>
        <v/>
      </c>
      <c r="L855" s="659" t="str">
        <f>IFERROR(VLOOKUP(I855,Stock1!F:J,5,False),"")</f>
        <v/>
      </c>
      <c r="M855" s="659" t="str">
        <f>IFERROR(VLOOKUP(I855,Stock2!F:J,5,False),"")</f>
        <v/>
      </c>
      <c r="V855" s="102" t="str">
        <f t="array" ref="V855">_xlfn.XLOOKUP("Charger",Stock1!B855,Stock1!I855,"")</f>
        <v/>
      </c>
      <c r="W855" s="102" t="str">
        <f t="array" ref="W855">_xlfn.XLOOKUP(V855,Stock1!I855,Stock1!F855,"")</f>
        <v/>
      </c>
      <c r="X855" s="102" t="str">
        <f t="array" ref="X855">_xlfn.XLOOKUP(V855,Stock1!I855,Stock1!J855,"")</f>
        <v/>
      </c>
      <c r="Y855" s="102" t="str">
        <f t="array" ref="Y855">_xlfn.XLOOKUP("Screen Protector for Android Phone and Other",Stock1!B855,Stock1!I855,"")</f>
        <v/>
      </c>
      <c r="Z855" s="102" t="str">
        <f t="array" ref="Z855">_xlfn.XLOOKUP("Screen Protector for Galaxy Phone",Stock1!B855,Stock1!I855,"")</f>
        <v/>
      </c>
      <c r="AA855" s="102" t="str">
        <f t="array" ref="AA855">_xlfn.XLOOKUP("Screen Protector for Galaxy Tab",Stock1!B855,Stock1!I855,"")</f>
        <v/>
      </c>
      <c r="AB855" s="102" t="str">
        <f t="shared" si="4"/>
        <v/>
      </c>
      <c r="AC855" s="102" t="str">
        <f t="array" ref="AC855">_xlfn.XLOOKUP(AB855,Stock1!I855,Stock1!F855,"")</f>
        <v/>
      </c>
      <c r="AD855" s="102" t="str">
        <f t="array" ref="AD855">_xlfn.XLOOKUP(AB855,Stock1!I855,Stock1!J855,"")</f>
        <v/>
      </c>
      <c r="AE855" s="102" t="str">
        <f t="array" ref="AE855">_xlfn.XLOOKUP("Storage",Stock1!B855,Stock1!I855,"")</f>
        <v/>
      </c>
      <c r="AF855" s="102" t="str">
        <f t="array" ref="AF855">_xlfn.XLOOKUP(AE855,Stock1!I855,Stock1!F855,"")</f>
        <v/>
      </c>
      <c r="AG855" s="102" t="str">
        <f t="array" ref="AG855">_xlfn.XLOOKUP(AE855,Stock1!I855,Stock1!J855,"")</f>
        <v/>
      </c>
    </row>
    <row r="856">
      <c r="K856" s="660" t="str">
        <f t="array" ref="K856">IFERROR(_xlfn.XLOOKUP(I856,Incentive!B:B,Incentive!E:E,""),"")</f>
        <v/>
      </c>
      <c r="L856" s="659" t="str">
        <f>IFERROR(VLOOKUP(I856,Stock1!F:J,5,False),"")</f>
        <v/>
      </c>
      <c r="M856" s="659" t="str">
        <f>IFERROR(VLOOKUP(I856,Stock2!F:J,5,False),"")</f>
        <v/>
      </c>
      <c r="V856" s="102" t="str">
        <f t="array" ref="V856">_xlfn.XLOOKUP("Charger",Stock1!B856,Stock1!I856,"")</f>
        <v/>
      </c>
      <c r="W856" s="102" t="str">
        <f t="array" ref="W856">_xlfn.XLOOKUP(V856,Stock1!I856,Stock1!F856,"")</f>
        <v/>
      </c>
      <c r="X856" s="102" t="str">
        <f t="array" ref="X856">_xlfn.XLOOKUP(V856,Stock1!I856,Stock1!J856,"")</f>
        <v/>
      </c>
      <c r="Y856" s="102" t="str">
        <f t="array" ref="Y856">_xlfn.XLOOKUP("Screen Protector for Android Phone and Other",Stock1!B856,Stock1!I856,"")</f>
        <v/>
      </c>
      <c r="Z856" s="102" t="str">
        <f t="array" ref="Z856">_xlfn.XLOOKUP("Screen Protector for Galaxy Phone",Stock1!B856,Stock1!I856,"")</f>
        <v/>
      </c>
      <c r="AA856" s="102" t="str">
        <f t="array" ref="AA856">_xlfn.XLOOKUP("Screen Protector for Galaxy Tab",Stock1!B856,Stock1!I856,"")</f>
        <v/>
      </c>
      <c r="AB856" s="102" t="str">
        <f t="shared" si="4"/>
        <v/>
      </c>
      <c r="AC856" s="102" t="str">
        <f t="array" ref="AC856">_xlfn.XLOOKUP(AB856,Stock1!I856,Stock1!F856,"")</f>
        <v/>
      </c>
      <c r="AD856" s="102" t="str">
        <f t="array" ref="AD856">_xlfn.XLOOKUP(AB856,Stock1!I856,Stock1!J856,"")</f>
        <v/>
      </c>
      <c r="AE856" s="102" t="str">
        <f t="array" ref="AE856">_xlfn.XLOOKUP("Storage",Stock1!B856,Stock1!I856,"")</f>
        <v/>
      </c>
      <c r="AF856" s="102" t="str">
        <f t="array" ref="AF856">_xlfn.XLOOKUP(AE856,Stock1!I856,Stock1!F856,"")</f>
        <v/>
      </c>
      <c r="AG856" s="102" t="str">
        <f t="array" ref="AG856">_xlfn.XLOOKUP(AE856,Stock1!I856,Stock1!J856,"")</f>
        <v/>
      </c>
    </row>
    <row r="857">
      <c r="K857" s="660" t="str">
        <f t="array" ref="K857">IFERROR(_xlfn.XLOOKUP(I857,Incentive!B:B,Incentive!E:E,""),"")</f>
        <v/>
      </c>
      <c r="L857" s="659" t="str">
        <f>IFERROR(VLOOKUP(I857,Stock1!F:J,5,False),"")</f>
        <v/>
      </c>
      <c r="M857" s="659" t="str">
        <f>IFERROR(VLOOKUP(I857,Stock2!F:J,5,False),"")</f>
        <v/>
      </c>
      <c r="V857" s="102" t="str">
        <f t="array" ref="V857">_xlfn.XLOOKUP("Charger",Stock1!B857,Stock1!I857,"")</f>
        <v/>
      </c>
      <c r="W857" s="102" t="str">
        <f t="array" ref="W857">_xlfn.XLOOKUP(V857,Stock1!I857,Stock1!F857,"")</f>
        <v/>
      </c>
      <c r="X857" s="102" t="str">
        <f t="array" ref="X857">_xlfn.XLOOKUP(V857,Stock1!I857,Stock1!J857,"")</f>
        <v/>
      </c>
      <c r="Y857" s="102" t="str">
        <f t="array" ref="Y857">_xlfn.XLOOKUP("Screen Protector for Android Phone and Other",Stock1!B857,Stock1!I857,"")</f>
        <v/>
      </c>
      <c r="Z857" s="102" t="str">
        <f t="array" ref="Z857">_xlfn.XLOOKUP("Screen Protector for Galaxy Phone",Stock1!B857,Stock1!I857,"")</f>
        <v/>
      </c>
      <c r="AA857" s="102" t="str">
        <f t="array" ref="AA857">_xlfn.XLOOKUP("Screen Protector for Galaxy Tab",Stock1!B857,Stock1!I857,"")</f>
        <v/>
      </c>
      <c r="AB857" s="102" t="str">
        <f t="shared" si="4"/>
        <v/>
      </c>
      <c r="AC857" s="102" t="str">
        <f t="array" ref="AC857">_xlfn.XLOOKUP(AB857,Stock1!I857,Stock1!F857,"")</f>
        <v/>
      </c>
      <c r="AD857" s="102" t="str">
        <f t="array" ref="AD857">_xlfn.XLOOKUP(AB857,Stock1!I857,Stock1!J857,"")</f>
        <v/>
      </c>
      <c r="AE857" s="102" t="str">
        <f t="array" ref="AE857">_xlfn.XLOOKUP("Storage",Stock1!B857,Stock1!I857,"")</f>
        <v/>
      </c>
      <c r="AF857" s="102" t="str">
        <f t="array" ref="AF857">_xlfn.XLOOKUP(AE857,Stock1!I857,Stock1!F857,"")</f>
        <v/>
      </c>
      <c r="AG857" s="102" t="str">
        <f t="array" ref="AG857">_xlfn.XLOOKUP(AE857,Stock1!I857,Stock1!J857,"")</f>
        <v/>
      </c>
    </row>
    <row r="858">
      <c r="K858" s="660" t="str">
        <f t="array" ref="K858">IFERROR(_xlfn.XLOOKUP(I858,Incentive!B:B,Incentive!E:E,""),"")</f>
        <v/>
      </c>
      <c r="L858" s="659" t="str">
        <f>IFERROR(VLOOKUP(I858,Stock1!F:J,5,False),"")</f>
        <v/>
      </c>
      <c r="M858" s="659" t="str">
        <f>IFERROR(VLOOKUP(I858,Stock2!F:J,5,False),"")</f>
        <v/>
      </c>
      <c r="V858" s="102" t="str">
        <f t="array" ref="V858">_xlfn.XLOOKUP("Charger",Stock1!B858,Stock1!I858,"")</f>
        <v/>
      </c>
      <c r="W858" s="102" t="str">
        <f t="array" ref="W858">_xlfn.XLOOKUP(V858,Stock1!I858,Stock1!F858,"")</f>
        <v/>
      </c>
      <c r="X858" s="102" t="str">
        <f t="array" ref="X858">_xlfn.XLOOKUP(V858,Stock1!I858,Stock1!J858,"")</f>
        <v/>
      </c>
      <c r="Y858" s="102" t="str">
        <f t="array" ref="Y858">_xlfn.XLOOKUP("Screen Protector for Android Phone and Other",Stock1!B858,Stock1!I858,"")</f>
        <v/>
      </c>
      <c r="Z858" s="102" t="str">
        <f t="array" ref="Z858">_xlfn.XLOOKUP("Screen Protector for Galaxy Phone",Stock1!B858,Stock1!I858,"")</f>
        <v/>
      </c>
      <c r="AA858" s="102" t="str">
        <f t="array" ref="AA858">_xlfn.XLOOKUP("Screen Protector for Galaxy Tab",Stock1!B858,Stock1!I858,"")</f>
        <v/>
      </c>
      <c r="AB858" s="102" t="str">
        <f t="shared" si="4"/>
        <v/>
      </c>
      <c r="AC858" s="102" t="str">
        <f t="array" ref="AC858">_xlfn.XLOOKUP(AB858,Stock1!I858,Stock1!F858,"")</f>
        <v/>
      </c>
      <c r="AD858" s="102" t="str">
        <f t="array" ref="AD858">_xlfn.XLOOKUP(AB858,Stock1!I858,Stock1!J858,"")</f>
        <v/>
      </c>
      <c r="AE858" s="102" t="str">
        <f t="array" ref="AE858">_xlfn.XLOOKUP("Storage",Stock1!B858,Stock1!I858,"")</f>
        <v/>
      </c>
      <c r="AF858" s="102" t="str">
        <f t="array" ref="AF858">_xlfn.XLOOKUP(AE858,Stock1!I858,Stock1!F858,"")</f>
        <v/>
      </c>
      <c r="AG858" s="102" t="str">
        <f t="array" ref="AG858">_xlfn.XLOOKUP(AE858,Stock1!I858,Stock1!J858,"")</f>
        <v/>
      </c>
    </row>
    <row r="859">
      <c r="K859" s="660" t="str">
        <f t="array" ref="K859">IFERROR(_xlfn.XLOOKUP(I859,Incentive!B:B,Incentive!E:E,""),"")</f>
        <v/>
      </c>
      <c r="L859" s="659" t="str">
        <f>IFERROR(VLOOKUP(I859,Stock1!F:J,5,False),"")</f>
        <v/>
      </c>
      <c r="M859" s="659" t="str">
        <f>IFERROR(VLOOKUP(I859,Stock2!F:J,5,False),"")</f>
        <v/>
      </c>
      <c r="V859" s="102" t="str">
        <f t="array" ref="V859">_xlfn.XLOOKUP("Charger",Stock1!B859,Stock1!I859,"")</f>
        <v/>
      </c>
      <c r="W859" s="102" t="str">
        <f t="array" ref="W859">_xlfn.XLOOKUP(V859,Stock1!I859,Stock1!F859,"")</f>
        <v/>
      </c>
      <c r="X859" s="102" t="str">
        <f t="array" ref="X859">_xlfn.XLOOKUP(V859,Stock1!I859,Stock1!J859,"")</f>
        <v/>
      </c>
      <c r="Y859" s="102" t="str">
        <f t="array" ref="Y859">_xlfn.XLOOKUP("Screen Protector for Android Phone and Other",Stock1!B859,Stock1!I859,"")</f>
        <v/>
      </c>
      <c r="Z859" s="102" t="str">
        <f t="array" ref="Z859">_xlfn.XLOOKUP("Screen Protector for Galaxy Phone",Stock1!B859,Stock1!I859,"")</f>
        <v/>
      </c>
      <c r="AA859" s="102" t="str">
        <f t="array" ref="AA859">_xlfn.XLOOKUP("Screen Protector for Galaxy Tab",Stock1!B859,Stock1!I859,"")</f>
        <v/>
      </c>
      <c r="AB859" s="102" t="str">
        <f t="shared" si="4"/>
        <v/>
      </c>
      <c r="AC859" s="102" t="str">
        <f t="array" ref="AC859">_xlfn.XLOOKUP(AB859,Stock1!I859,Stock1!F859,"")</f>
        <v/>
      </c>
      <c r="AD859" s="102" t="str">
        <f t="array" ref="AD859">_xlfn.XLOOKUP(AB859,Stock1!I859,Stock1!J859,"")</f>
        <v/>
      </c>
      <c r="AE859" s="102" t="str">
        <f t="array" ref="AE859">_xlfn.XLOOKUP("Storage",Stock1!B859,Stock1!I859,"")</f>
        <v/>
      </c>
      <c r="AF859" s="102" t="str">
        <f t="array" ref="AF859">_xlfn.XLOOKUP(AE859,Stock1!I859,Stock1!F859,"")</f>
        <v/>
      </c>
      <c r="AG859" s="102" t="str">
        <f t="array" ref="AG859">_xlfn.XLOOKUP(AE859,Stock1!I859,Stock1!J859,"")</f>
        <v/>
      </c>
    </row>
    <row r="860">
      <c r="K860" s="660" t="str">
        <f t="array" ref="K860">IFERROR(_xlfn.XLOOKUP(I860,Incentive!B:B,Incentive!E:E,""),"")</f>
        <v/>
      </c>
      <c r="L860" s="659" t="str">
        <f>IFERROR(VLOOKUP(I860,Stock1!F:J,5,False),"")</f>
        <v/>
      </c>
      <c r="M860" s="659" t="str">
        <f>IFERROR(VLOOKUP(I860,Stock2!F:J,5,False),"")</f>
        <v/>
      </c>
      <c r="V860" s="102" t="str">
        <f t="array" ref="V860">_xlfn.XLOOKUP("Charger",Stock1!B860,Stock1!I860,"")</f>
        <v/>
      </c>
      <c r="W860" s="102" t="str">
        <f t="array" ref="W860">_xlfn.XLOOKUP(V860,Stock1!I860,Stock1!F860,"")</f>
        <v/>
      </c>
      <c r="X860" s="102" t="str">
        <f t="array" ref="X860">_xlfn.XLOOKUP(V860,Stock1!I860,Stock1!J860,"")</f>
        <v/>
      </c>
      <c r="Y860" s="102" t="str">
        <f t="array" ref="Y860">_xlfn.XLOOKUP("Screen Protector for Android Phone and Other",Stock1!B860,Stock1!I860,"")</f>
        <v/>
      </c>
      <c r="Z860" s="102" t="str">
        <f t="array" ref="Z860">_xlfn.XLOOKUP("Screen Protector for Galaxy Phone",Stock1!B860,Stock1!I860,"")</f>
        <v/>
      </c>
      <c r="AA860" s="102" t="str">
        <f t="array" ref="AA860">_xlfn.XLOOKUP("Screen Protector for Galaxy Tab",Stock1!B860,Stock1!I860,"")</f>
        <v/>
      </c>
      <c r="AB860" s="102" t="str">
        <f t="shared" si="4"/>
        <v/>
      </c>
      <c r="AC860" s="102" t="str">
        <f t="array" ref="AC860">_xlfn.XLOOKUP(AB860,Stock1!I860,Stock1!F860,"")</f>
        <v/>
      </c>
      <c r="AD860" s="102" t="str">
        <f t="array" ref="AD860">_xlfn.XLOOKUP(AB860,Stock1!I860,Stock1!J860,"")</f>
        <v/>
      </c>
      <c r="AE860" s="102" t="str">
        <f t="array" ref="AE860">_xlfn.XLOOKUP("Storage",Stock1!B860,Stock1!I860,"")</f>
        <v/>
      </c>
      <c r="AF860" s="102" t="str">
        <f t="array" ref="AF860">_xlfn.XLOOKUP(AE860,Stock1!I860,Stock1!F860,"")</f>
        <v/>
      </c>
      <c r="AG860" s="102" t="str">
        <f t="array" ref="AG860">_xlfn.XLOOKUP(AE860,Stock1!I860,Stock1!J860,"")</f>
        <v/>
      </c>
    </row>
    <row r="861">
      <c r="K861" s="660" t="str">
        <f t="array" ref="K861">IFERROR(_xlfn.XLOOKUP(I861,Incentive!B:B,Incentive!E:E,""),"")</f>
        <v/>
      </c>
      <c r="L861" s="659" t="str">
        <f>IFERROR(VLOOKUP(I861,Stock1!F:J,5,False),"")</f>
        <v/>
      </c>
      <c r="M861" s="659" t="str">
        <f>IFERROR(VLOOKUP(I861,Stock2!F:J,5,False),"")</f>
        <v/>
      </c>
      <c r="V861" s="102" t="str">
        <f t="array" ref="V861">_xlfn.XLOOKUP("Charger",Stock1!B861,Stock1!I861,"")</f>
        <v/>
      </c>
      <c r="W861" s="102" t="str">
        <f t="array" ref="W861">_xlfn.XLOOKUP(V861,Stock1!I861,Stock1!F861,"")</f>
        <v/>
      </c>
      <c r="X861" s="102" t="str">
        <f t="array" ref="X861">_xlfn.XLOOKUP(V861,Stock1!I861,Stock1!J861,"")</f>
        <v/>
      </c>
      <c r="Y861" s="102" t="str">
        <f t="array" ref="Y861">_xlfn.XLOOKUP("Screen Protector for Android Phone and Other",Stock1!B861,Stock1!I861,"")</f>
        <v/>
      </c>
      <c r="Z861" s="102" t="str">
        <f t="array" ref="Z861">_xlfn.XLOOKUP("Screen Protector for Galaxy Phone",Stock1!B861,Stock1!I861,"")</f>
        <v/>
      </c>
      <c r="AA861" s="102" t="str">
        <f t="array" ref="AA861">_xlfn.XLOOKUP("Screen Protector for Galaxy Tab",Stock1!B861,Stock1!I861,"")</f>
        <v/>
      </c>
      <c r="AB861" s="102" t="str">
        <f t="shared" si="4"/>
        <v/>
      </c>
      <c r="AC861" s="102" t="str">
        <f t="array" ref="AC861">_xlfn.XLOOKUP(AB861,Stock1!I861,Stock1!F861,"")</f>
        <v/>
      </c>
      <c r="AD861" s="102" t="str">
        <f t="array" ref="AD861">_xlfn.XLOOKUP(AB861,Stock1!I861,Stock1!J861,"")</f>
        <v/>
      </c>
      <c r="AE861" s="102" t="str">
        <f t="array" ref="AE861">_xlfn.XLOOKUP("Storage",Stock1!B861,Stock1!I861,"")</f>
        <v/>
      </c>
      <c r="AF861" s="102" t="str">
        <f t="array" ref="AF861">_xlfn.XLOOKUP(AE861,Stock1!I861,Stock1!F861,"")</f>
        <v/>
      </c>
      <c r="AG861" s="102" t="str">
        <f t="array" ref="AG861">_xlfn.XLOOKUP(AE861,Stock1!I861,Stock1!J861,"")</f>
        <v/>
      </c>
    </row>
    <row r="862">
      <c r="K862" s="660" t="str">
        <f t="array" ref="K862">IFERROR(_xlfn.XLOOKUP(I862,Incentive!B:B,Incentive!E:E,""),"")</f>
        <v/>
      </c>
      <c r="L862" s="659" t="str">
        <f>IFERROR(VLOOKUP(I862,Stock1!F:J,5,False),"")</f>
        <v/>
      </c>
      <c r="M862" s="659" t="str">
        <f>IFERROR(VLOOKUP(I862,Stock2!F:J,5,False),"")</f>
        <v/>
      </c>
      <c r="V862" s="102" t="str">
        <f t="array" ref="V862">_xlfn.XLOOKUP("Charger",Stock1!B862,Stock1!I862,"")</f>
        <v/>
      </c>
      <c r="W862" s="102" t="str">
        <f t="array" ref="W862">_xlfn.XLOOKUP(V862,Stock1!I862,Stock1!F862,"")</f>
        <v/>
      </c>
      <c r="X862" s="102" t="str">
        <f t="array" ref="X862">_xlfn.XLOOKUP(V862,Stock1!I862,Stock1!J862,"")</f>
        <v/>
      </c>
      <c r="Y862" s="102" t="str">
        <f t="array" ref="Y862">_xlfn.XLOOKUP("Screen Protector for Android Phone and Other",Stock1!B862,Stock1!I862,"")</f>
        <v/>
      </c>
      <c r="Z862" s="102" t="str">
        <f t="array" ref="Z862">_xlfn.XLOOKUP("Screen Protector for Galaxy Phone",Stock1!B862,Stock1!I862,"")</f>
        <v/>
      </c>
      <c r="AA862" s="102" t="str">
        <f t="array" ref="AA862">_xlfn.XLOOKUP("Screen Protector for Galaxy Tab",Stock1!B862,Stock1!I862,"")</f>
        <v/>
      </c>
      <c r="AB862" s="102" t="str">
        <f t="shared" si="4"/>
        <v/>
      </c>
      <c r="AC862" s="102" t="str">
        <f t="array" ref="AC862">_xlfn.XLOOKUP(AB862,Stock1!I862,Stock1!F862,"")</f>
        <v/>
      </c>
      <c r="AD862" s="102" t="str">
        <f t="array" ref="AD862">_xlfn.XLOOKUP(AB862,Stock1!I862,Stock1!J862,"")</f>
        <v/>
      </c>
      <c r="AE862" s="102" t="str">
        <f t="array" ref="AE862">_xlfn.XLOOKUP("Storage",Stock1!B862,Stock1!I862,"")</f>
        <v/>
      </c>
      <c r="AF862" s="102" t="str">
        <f t="array" ref="AF862">_xlfn.XLOOKUP(AE862,Stock1!I862,Stock1!F862,"")</f>
        <v/>
      </c>
      <c r="AG862" s="102" t="str">
        <f t="array" ref="AG862">_xlfn.XLOOKUP(AE862,Stock1!I862,Stock1!J862,"")</f>
        <v/>
      </c>
    </row>
    <row r="863">
      <c r="K863" s="660" t="str">
        <f t="array" ref="K863">IFERROR(_xlfn.XLOOKUP(I863,Incentive!B:B,Incentive!E:E,""),"")</f>
        <v/>
      </c>
      <c r="L863" s="659" t="str">
        <f>IFERROR(VLOOKUP(I863,Stock1!F:J,5,False),"")</f>
        <v/>
      </c>
      <c r="M863" s="659" t="str">
        <f>IFERROR(VLOOKUP(I863,Stock2!F:J,5,False),"")</f>
        <v/>
      </c>
      <c r="V863" s="102" t="str">
        <f t="array" ref="V863">_xlfn.XLOOKUP("Charger",Stock1!B863,Stock1!I863,"")</f>
        <v/>
      </c>
      <c r="W863" s="102" t="str">
        <f t="array" ref="W863">_xlfn.XLOOKUP(V863,Stock1!I863,Stock1!F863,"")</f>
        <v/>
      </c>
      <c r="X863" s="102" t="str">
        <f t="array" ref="X863">_xlfn.XLOOKUP(V863,Stock1!I863,Stock1!J863,"")</f>
        <v/>
      </c>
      <c r="Y863" s="102" t="str">
        <f t="array" ref="Y863">_xlfn.XLOOKUP("Screen Protector for Android Phone and Other",Stock1!B863,Stock1!I863,"")</f>
        <v/>
      </c>
      <c r="Z863" s="102" t="str">
        <f t="array" ref="Z863">_xlfn.XLOOKUP("Screen Protector for Galaxy Phone",Stock1!B863,Stock1!I863,"")</f>
        <v/>
      </c>
      <c r="AA863" s="102" t="str">
        <f t="array" ref="AA863">_xlfn.XLOOKUP("Screen Protector for Galaxy Tab",Stock1!B863,Stock1!I863,"")</f>
        <v/>
      </c>
      <c r="AB863" s="102" t="str">
        <f t="shared" si="4"/>
        <v/>
      </c>
      <c r="AC863" s="102" t="str">
        <f t="array" ref="AC863">_xlfn.XLOOKUP(AB863,Stock1!I863,Stock1!F863,"")</f>
        <v/>
      </c>
      <c r="AD863" s="102" t="str">
        <f t="array" ref="AD863">_xlfn.XLOOKUP(AB863,Stock1!I863,Stock1!J863,"")</f>
        <v/>
      </c>
      <c r="AE863" s="102" t="str">
        <f t="array" ref="AE863">_xlfn.XLOOKUP("Storage",Stock1!B863,Stock1!I863,"")</f>
        <v/>
      </c>
      <c r="AF863" s="102" t="str">
        <f t="array" ref="AF863">_xlfn.XLOOKUP(AE863,Stock1!I863,Stock1!F863,"")</f>
        <v/>
      </c>
      <c r="AG863" s="102" t="str">
        <f t="array" ref="AG863">_xlfn.XLOOKUP(AE863,Stock1!I863,Stock1!J863,"")</f>
        <v/>
      </c>
    </row>
    <row r="864">
      <c r="K864" s="660" t="str">
        <f t="array" ref="K864">IFERROR(_xlfn.XLOOKUP(I864,Incentive!B:B,Incentive!E:E,""),"")</f>
        <v/>
      </c>
      <c r="L864" s="659" t="str">
        <f>IFERROR(VLOOKUP(I864,Stock1!F:J,5,False),"")</f>
        <v/>
      </c>
      <c r="M864" s="659" t="str">
        <f>IFERROR(VLOOKUP(I864,Stock2!F:J,5,False),"")</f>
        <v/>
      </c>
      <c r="V864" s="102" t="str">
        <f t="array" ref="V864">_xlfn.XLOOKUP("Charger",Stock1!B864,Stock1!I864,"")</f>
        <v/>
      </c>
      <c r="W864" s="102" t="str">
        <f t="array" ref="W864">_xlfn.XLOOKUP(V864,Stock1!I864,Stock1!F864,"")</f>
        <v/>
      </c>
      <c r="X864" s="102" t="str">
        <f t="array" ref="X864">_xlfn.XLOOKUP(V864,Stock1!I864,Stock1!J864,"")</f>
        <v/>
      </c>
      <c r="Y864" s="102" t="str">
        <f t="array" ref="Y864">_xlfn.XLOOKUP("Screen Protector for Android Phone and Other",Stock1!B864,Stock1!I864,"")</f>
        <v/>
      </c>
      <c r="Z864" s="102" t="str">
        <f t="array" ref="Z864">_xlfn.XLOOKUP("Screen Protector for Galaxy Phone",Stock1!B864,Stock1!I864,"")</f>
        <v/>
      </c>
      <c r="AA864" s="102" t="str">
        <f t="array" ref="AA864">_xlfn.XLOOKUP("Screen Protector for Galaxy Tab",Stock1!B864,Stock1!I864,"")</f>
        <v/>
      </c>
      <c r="AB864" s="102" t="str">
        <f t="shared" si="4"/>
        <v/>
      </c>
      <c r="AC864" s="102" t="str">
        <f t="array" ref="AC864">_xlfn.XLOOKUP(AB864,Stock1!I864,Stock1!F864,"")</f>
        <v/>
      </c>
      <c r="AD864" s="102" t="str">
        <f t="array" ref="AD864">_xlfn.XLOOKUP(AB864,Stock1!I864,Stock1!J864,"")</f>
        <v/>
      </c>
      <c r="AE864" s="102" t="str">
        <f t="array" ref="AE864">_xlfn.XLOOKUP("Storage",Stock1!B864,Stock1!I864,"")</f>
        <v/>
      </c>
      <c r="AF864" s="102" t="str">
        <f t="array" ref="AF864">_xlfn.XLOOKUP(AE864,Stock1!I864,Stock1!F864,"")</f>
        <v/>
      </c>
      <c r="AG864" s="102" t="str">
        <f t="array" ref="AG864">_xlfn.XLOOKUP(AE864,Stock1!I864,Stock1!J864,"")</f>
        <v/>
      </c>
    </row>
    <row r="865">
      <c r="K865" s="660" t="str">
        <f t="array" ref="K865">IFERROR(_xlfn.XLOOKUP(I865,Incentive!B:B,Incentive!E:E,""),"")</f>
        <v/>
      </c>
      <c r="L865" s="659" t="str">
        <f>IFERROR(VLOOKUP(I865,Stock1!F:J,5,False),"")</f>
        <v/>
      </c>
      <c r="M865" s="659" t="str">
        <f>IFERROR(VLOOKUP(I865,Stock2!F:J,5,False),"")</f>
        <v/>
      </c>
      <c r="V865" s="102" t="str">
        <f t="array" ref="V865">_xlfn.XLOOKUP("Charger",Stock1!B865,Stock1!I865,"")</f>
        <v/>
      </c>
      <c r="W865" s="102" t="str">
        <f t="array" ref="W865">_xlfn.XLOOKUP(V865,Stock1!I865,Stock1!F865,"")</f>
        <v/>
      </c>
      <c r="X865" s="102" t="str">
        <f t="array" ref="X865">_xlfn.XLOOKUP(V865,Stock1!I865,Stock1!J865,"")</f>
        <v/>
      </c>
      <c r="Y865" s="102" t="str">
        <f t="array" ref="Y865">_xlfn.XLOOKUP("Screen Protector for Android Phone and Other",Stock1!B865,Stock1!I865,"")</f>
        <v/>
      </c>
      <c r="Z865" s="102" t="str">
        <f t="array" ref="Z865">_xlfn.XLOOKUP("Screen Protector for Galaxy Phone",Stock1!B865,Stock1!I865,"")</f>
        <v/>
      </c>
      <c r="AA865" s="102" t="str">
        <f t="array" ref="AA865">_xlfn.XLOOKUP("Screen Protector for Galaxy Tab",Stock1!B865,Stock1!I865,"")</f>
        <v/>
      </c>
      <c r="AB865" s="102" t="str">
        <f t="shared" si="4"/>
        <v/>
      </c>
      <c r="AC865" s="102" t="str">
        <f t="array" ref="AC865">_xlfn.XLOOKUP(AB865,Stock1!I865,Stock1!F865,"")</f>
        <v/>
      </c>
      <c r="AD865" s="102" t="str">
        <f t="array" ref="AD865">_xlfn.XLOOKUP(AB865,Stock1!I865,Stock1!J865,"")</f>
        <v/>
      </c>
      <c r="AE865" s="102" t="str">
        <f t="array" ref="AE865">_xlfn.XLOOKUP("Storage",Stock1!B865,Stock1!I865,"")</f>
        <v/>
      </c>
      <c r="AF865" s="102" t="str">
        <f t="array" ref="AF865">_xlfn.XLOOKUP(AE865,Stock1!I865,Stock1!F865,"")</f>
        <v/>
      </c>
      <c r="AG865" s="102" t="str">
        <f t="array" ref="AG865">_xlfn.XLOOKUP(AE865,Stock1!I865,Stock1!J865,"")</f>
        <v/>
      </c>
    </row>
    <row r="866">
      <c r="K866" s="660" t="str">
        <f t="array" ref="K866">IFERROR(_xlfn.XLOOKUP(I866,Incentive!B:B,Incentive!E:E,""),"")</f>
        <v/>
      </c>
      <c r="L866" s="659" t="str">
        <f>IFERROR(VLOOKUP(I866,Stock1!F:J,5,False),"")</f>
        <v/>
      </c>
      <c r="M866" s="659" t="str">
        <f>IFERROR(VLOOKUP(I866,Stock2!F:J,5,False),"")</f>
        <v/>
      </c>
      <c r="V866" s="102" t="str">
        <f t="array" ref="V866">_xlfn.XLOOKUP("Charger",Stock1!B866,Stock1!I866,"")</f>
        <v/>
      </c>
      <c r="W866" s="102" t="str">
        <f t="array" ref="W866">_xlfn.XLOOKUP(V866,Stock1!I866,Stock1!F866,"")</f>
        <v/>
      </c>
      <c r="X866" s="102" t="str">
        <f t="array" ref="X866">_xlfn.XLOOKUP(V866,Stock1!I866,Stock1!J866,"")</f>
        <v/>
      </c>
      <c r="Y866" s="102" t="str">
        <f t="array" ref="Y866">_xlfn.XLOOKUP("Screen Protector for Android Phone and Other",Stock1!B866,Stock1!I866,"")</f>
        <v/>
      </c>
      <c r="Z866" s="102" t="str">
        <f t="array" ref="Z866">_xlfn.XLOOKUP("Screen Protector for Galaxy Phone",Stock1!B866,Stock1!I866,"")</f>
        <v/>
      </c>
      <c r="AA866" s="102" t="str">
        <f t="array" ref="AA866">_xlfn.XLOOKUP("Screen Protector for Galaxy Tab",Stock1!B866,Stock1!I866,"")</f>
        <v/>
      </c>
      <c r="AB866" s="102" t="str">
        <f t="shared" si="4"/>
        <v/>
      </c>
      <c r="AC866" s="102" t="str">
        <f t="array" ref="AC866">_xlfn.XLOOKUP(AB866,Stock1!I866,Stock1!F866,"")</f>
        <v/>
      </c>
      <c r="AD866" s="102" t="str">
        <f t="array" ref="AD866">_xlfn.XLOOKUP(AB866,Stock1!I866,Stock1!J866,"")</f>
        <v/>
      </c>
      <c r="AE866" s="102" t="str">
        <f t="array" ref="AE866">_xlfn.XLOOKUP("Storage",Stock1!B866,Stock1!I866,"")</f>
        <v/>
      </c>
      <c r="AF866" s="102" t="str">
        <f t="array" ref="AF866">_xlfn.XLOOKUP(AE866,Stock1!I866,Stock1!F866,"")</f>
        <v/>
      </c>
      <c r="AG866" s="102" t="str">
        <f t="array" ref="AG866">_xlfn.XLOOKUP(AE866,Stock1!I866,Stock1!J866,"")</f>
        <v/>
      </c>
    </row>
    <row r="867">
      <c r="K867" s="660" t="str">
        <f t="array" ref="K867">IFERROR(_xlfn.XLOOKUP(I867,Incentive!B:B,Incentive!E:E,""),"")</f>
        <v/>
      </c>
      <c r="L867" s="659" t="str">
        <f>IFERROR(VLOOKUP(I867,Stock1!F:J,5,False),"")</f>
        <v/>
      </c>
      <c r="M867" s="659" t="str">
        <f>IFERROR(VLOOKUP(I867,Stock2!F:J,5,False),"")</f>
        <v/>
      </c>
      <c r="V867" s="102" t="str">
        <f t="array" ref="V867">_xlfn.XLOOKUP("Charger",Stock1!B867,Stock1!I867,"")</f>
        <v/>
      </c>
      <c r="W867" s="102" t="str">
        <f t="array" ref="W867">_xlfn.XLOOKUP(V867,Stock1!I867,Stock1!F867,"")</f>
        <v/>
      </c>
      <c r="X867" s="102" t="str">
        <f t="array" ref="X867">_xlfn.XLOOKUP(V867,Stock1!I867,Stock1!J867,"")</f>
        <v/>
      </c>
      <c r="Y867" s="102" t="str">
        <f t="array" ref="Y867">_xlfn.XLOOKUP("Screen Protector for Android Phone and Other",Stock1!B867,Stock1!I867,"")</f>
        <v/>
      </c>
      <c r="Z867" s="102" t="str">
        <f t="array" ref="Z867">_xlfn.XLOOKUP("Screen Protector for Galaxy Phone",Stock1!B867,Stock1!I867,"")</f>
        <v/>
      </c>
      <c r="AA867" s="102" t="str">
        <f t="array" ref="AA867">_xlfn.XLOOKUP("Screen Protector for Galaxy Tab",Stock1!B867,Stock1!I867,"")</f>
        <v/>
      </c>
      <c r="AB867" s="102" t="str">
        <f t="shared" si="4"/>
        <v/>
      </c>
      <c r="AC867" s="102" t="str">
        <f t="array" ref="AC867">_xlfn.XLOOKUP(AB867,Stock1!I867,Stock1!F867,"")</f>
        <v/>
      </c>
      <c r="AD867" s="102" t="str">
        <f t="array" ref="AD867">_xlfn.XLOOKUP(AB867,Stock1!I867,Stock1!J867,"")</f>
        <v/>
      </c>
      <c r="AE867" s="102" t="str">
        <f t="array" ref="AE867">_xlfn.XLOOKUP("Storage",Stock1!B867,Stock1!I867,"")</f>
        <v/>
      </c>
      <c r="AF867" s="102" t="str">
        <f t="array" ref="AF867">_xlfn.XLOOKUP(AE867,Stock1!I867,Stock1!F867,"")</f>
        <v/>
      </c>
      <c r="AG867" s="102" t="str">
        <f t="array" ref="AG867">_xlfn.XLOOKUP(AE867,Stock1!I867,Stock1!J867,"")</f>
        <v/>
      </c>
    </row>
    <row r="868">
      <c r="K868" s="660" t="str">
        <f t="array" ref="K868">IFERROR(_xlfn.XLOOKUP(I868,Incentive!B:B,Incentive!E:E,""),"")</f>
        <v/>
      </c>
      <c r="L868" s="659" t="str">
        <f>IFERROR(VLOOKUP(I868,Stock1!F:J,5,False),"")</f>
        <v/>
      </c>
      <c r="M868" s="659" t="str">
        <f>IFERROR(VLOOKUP(I868,Stock2!F:J,5,False),"")</f>
        <v/>
      </c>
      <c r="V868" s="102" t="str">
        <f t="array" ref="V868">_xlfn.XLOOKUP("Charger",Stock1!B868,Stock1!I868,"")</f>
        <v/>
      </c>
      <c r="W868" s="102" t="str">
        <f t="array" ref="W868">_xlfn.XLOOKUP(V868,Stock1!I868,Stock1!F868,"")</f>
        <v/>
      </c>
      <c r="X868" s="102" t="str">
        <f t="array" ref="X868">_xlfn.XLOOKUP(V868,Stock1!I868,Stock1!J868,"")</f>
        <v/>
      </c>
      <c r="Y868" s="102" t="str">
        <f t="array" ref="Y868">_xlfn.XLOOKUP("Screen Protector for Android Phone and Other",Stock1!B868,Stock1!I868,"")</f>
        <v/>
      </c>
      <c r="Z868" s="102" t="str">
        <f t="array" ref="Z868">_xlfn.XLOOKUP("Screen Protector for Galaxy Phone",Stock1!B868,Stock1!I868,"")</f>
        <v/>
      </c>
      <c r="AA868" s="102" t="str">
        <f t="array" ref="AA868">_xlfn.XLOOKUP("Screen Protector for Galaxy Tab",Stock1!B868,Stock1!I868,"")</f>
        <v/>
      </c>
      <c r="AB868" s="102" t="str">
        <f t="shared" si="4"/>
        <v/>
      </c>
      <c r="AC868" s="102" t="str">
        <f t="array" ref="AC868">_xlfn.XLOOKUP(AB868,Stock1!I868,Stock1!F868,"")</f>
        <v/>
      </c>
      <c r="AD868" s="102" t="str">
        <f t="array" ref="AD868">_xlfn.XLOOKUP(AB868,Stock1!I868,Stock1!J868,"")</f>
        <v/>
      </c>
      <c r="AE868" s="102" t="str">
        <f t="array" ref="AE868">_xlfn.XLOOKUP("Storage",Stock1!B868,Stock1!I868,"")</f>
        <v/>
      </c>
      <c r="AF868" s="102" t="str">
        <f t="array" ref="AF868">_xlfn.XLOOKUP(AE868,Stock1!I868,Stock1!F868,"")</f>
        <v/>
      </c>
      <c r="AG868" s="102" t="str">
        <f t="array" ref="AG868">_xlfn.XLOOKUP(AE868,Stock1!I868,Stock1!J868,"")</f>
        <v/>
      </c>
    </row>
    <row r="869">
      <c r="K869" s="660" t="str">
        <f t="array" ref="K869">IFERROR(_xlfn.XLOOKUP(I869,Incentive!B:B,Incentive!E:E,""),"")</f>
        <v/>
      </c>
      <c r="L869" s="659" t="str">
        <f>IFERROR(VLOOKUP(I869,Stock1!F:J,5,False),"")</f>
        <v/>
      </c>
      <c r="M869" s="659" t="str">
        <f>IFERROR(VLOOKUP(I869,Stock2!F:J,5,False),"")</f>
        <v/>
      </c>
      <c r="V869" s="102" t="str">
        <f t="array" ref="V869">_xlfn.XLOOKUP("Charger",Stock1!B869,Stock1!I869,"")</f>
        <v/>
      </c>
      <c r="W869" s="102" t="str">
        <f t="array" ref="W869">_xlfn.XLOOKUP(V869,Stock1!I869,Stock1!F869,"")</f>
        <v/>
      </c>
      <c r="X869" s="102" t="str">
        <f t="array" ref="X869">_xlfn.XLOOKUP(V869,Stock1!I869,Stock1!J869,"")</f>
        <v/>
      </c>
      <c r="Y869" s="102" t="str">
        <f t="array" ref="Y869">_xlfn.XLOOKUP("Screen Protector for Android Phone and Other",Stock1!B869,Stock1!I869,"")</f>
        <v/>
      </c>
      <c r="Z869" s="102" t="str">
        <f t="array" ref="Z869">_xlfn.XLOOKUP("Screen Protector for Galaxy Phone",Stock1!B869,Stock1!I869,"")</f>
        <v/>
      </c>
      <c r="AA869" s="102" t="str">
        <f t="array" ref="AA869">_xlfn.XLOOKUP("Screen Protector for Galaxy Tab",Stock1!B869,Stock1!I869,"")</f>
        <v/>
      </c>
      <c r="AB869" s="102" t="str">
        <f t="shared" si="4"/>
        <v/>
      </c>
      <c r="AC869" s="102" t="str">
        <f t="array" ref="AC869">_xlfn.XLOOKUP(AB869,Stock1!I869,Stock1!F869,"")</f>
        <v/>
      </c>
      <c r="AD869" s="102" t="str">
        <f t="array" ref="AD869">_xlfn.XLOOKUP(AB869,Stock1!I869,Stock1!J869,"")</f>
        <v/>
      </c>
      <c r="AE869" s="102" t="str">
        <f t="array" ref="AE869">_xlfn.XLOOKUP("Storage",Stock1!B869,Stock1!I869,"")</f>
        <v/>
      </c>
      <c r="AF869" s="102" t="str">
        <f t="array" ref="AF869">_xlfn.XLOOKUP(AE869,Stock1!I869,Stock1!F869,"")</f>
        <v/>
      </c>
      <c r="AG869" s="102" t="str">
        <f t="array" ref="AG869">_xlfn.XLOOKUP(AE869,Stock1!I869,Stock1!J869,"")</f>
        <v/>
      </c>
    </row>
    <row r="870">
      <c r="K870" s="660" t="str">
        <f t="array" ref="K870">IFERROR(_xlfn.XLOOKUP(I870,Incentive!B:B,Incentive!E:E,""),"")</f>
        <v/>
      </c>
      <c r="L870" s="659" t="str">
        <f>IFERROR(VLOOKUP(I870,Stock1!F:J,5,False),"")</f>
        <v/>
      </c>
      <c r="M870" s="659" t="str">
        <f>IFERROR(VLOOKUP(I870,Stock2!F:J,5,False),"")</f>
        <v/>
      </c>
      <c r="V870" s="102" t="str">
        <f t="array" ref="V870">_xlfn.XLOOKUP("Charger",Stock1!B870,Stock1!I870,"")</f>
        <v/>
      </c>
      <c r="W870" s="102" t="str">
        <f t="array" ref="W870">_xlfn.XLOOKUP(V870,Stock1!I870,Stock1!F870,"")</f>
        <v/>
      </c>
      <c r="X870" s="102" t="str">
        <f t="array" ref="X870">_xlfn.XLOOKUP(V870,Stock1!I870,Stock1!J870,"")</f>
        <v/>
      </c>
      <c r="Y870" s="102" t="str">
        <f t="array" ref="Y870">_xlfn.XLOOKUP("Screen Protector for Android Phone and Other",Stock1!B870,Stock1!I870,"")</f>
        <v/>
      </c>
      <c r="Z870" s="102" t="str">
        <f t="array" ref="Z870">_xlfn.XLOOKUP("Screen Protector for Galaxy Phone",Stock1!B870,Stock1!I870,"")</f>
        <v/>
      </c>
      <c r="AA870" s="102" t="str">
        <f t="array" ref="AA870">_xlfn.XLOOKUP("Screen Protector for Galaxy Tab",Stock1!B870,Stock1!I870,"")</f>
        <v/>
      </c>
      <c r="AB870" s="102" t="str">
        <f t="shared" si="4"/>
        <v/>
      </c>
      <c r="AC870" s="102" t="str">
        <f t="array" ref="AC870">_xlfn.XLOOKUP(AB870,Stock1!I870,Stock1!F870,"")</f>
        <v/>
      </c>
      <c r="AD870" s="102" t="str">
        <f t="array" ref="AD870">_xlfn.XLOOKUP(AB870,Stock1!I870,Stock1!J870,"")</f>
        <v/>
      </c>
      <c r="AE870" s="102" t="str">
        <f t="array" ref="AE870">_xlfn.XLOOKUP("Storage",Stock1!B870,Stock1!I870,"")</f>
        <v/>
      </c>
      <c r="AF870" s="102" t="str">
        <f t="array" ref="AF870">_xlfn.XLOOKUP(AE870,Stock1!I870,Stock1!F870,"")</f>
        <v/>
      </c>
      <c r="AG870" s="102" t="str">
        <f t="array" ref="AG870">_xlfn.XLOOKUP(AE870,Stock1!I870,Stock1!J870,"")</f>
        <v/>
      </c>
    </row>
    <row r="871">
      <c r="K871" s="660" t="str">
        <f t="array" ref="K871">IFERROR(_xlfn.XLOOKUP(I871,Incentive!B:B,Incentive!E:E,""),"")</f>
        <v/>
      </c>
      <c r="L871" s="659" t="str">
        <f>IFERROR(VLOOKUP(I871,Stock1!F:J,5,False),"")</f>
        <v/>
      </c>
      <c r="M871" s="659" t="str">
        <f>IFERROR(VLOOKUP(I871,Stock2!F:J,5,False),"")</f>
        <v/>
      </c>
      <c r="V871" s="102" t="str">
        <f t="array" ref="V871">_xlfn.XLOOKUP("Charger",Stock1!B871,Stock1!I871,"")</f>
        <v/>
      </c>
      <c r="W871" s="102" t="str">
        <f t="array" ref="W871">_xlfn.XLOOKUP(V871,Stock1!I871,Stock1!F871,"")</f>
        <v/>
      </c>
      <c r="X871" s="102" t="str">
        <f t="array" ref="X871">_xlfn.XLOOKUP(V871,Stock1!I871,Stock1!J871,"")</f>
        <v/>
      </c>
      <c r="Y871" s="102" t="str">
        <f t="array" ref="Y871">_xlfn.XLOOKUP("Screen Protector for Android Phone and Other",Stock1!B871,Stock1!I871,"")</f>
        <v/>
      </c>
      <c r="Z871" s="102" t="str">
        <f t="array" ref="Z871">_xlfn.XLOOKUP("Screen Protector for Galaxy Phone",Stock1!B871,Stock1!I871,"")</f>
        <v/>
      </c>
      <c r="AA871" s="102" t="str">
        <f t="array" ref="AA871">_xlfn.XLOOKUP("Screen Protector for Galaxy Tab",Stock1!B871,Stock1!I871,"")</f>
        <v/>
      </c>
      <c r="AB871" s="102" t="str">
        <f t="shared" si="4"/>
        <v/>
      </c>
      <c r="AC871" s="102" t="str">
        <f t="array" ref="AC871">_xlfn.XLOOKUP(AB871,Stock1!I871,Stock1!F871,"")</f>
        <v/>
      </c>
      <c r="AD871" s="102" t="str">
        <f t="array" ref="AD871">_xlfn.XLOOKUP(AB871,Stock1!I871,Stock1!J871,"")</f>
        <v/>
      </c>
      <c r="AE871" s="102" t="str">
        <f t="array" ref="AE871">_xlfn.XLOOKUP("Storage",Stock1!B871,Stock1!I871,"")</f>
        <v/>
      </c>
      <c r="AF871" s="102" t="str">
        <f t="array" ref="AF871">_xlfn.XLOOKUP(AE871,Stock1!I871,Stock1!F871,"")</f>
        <v/>
      </c>
      <c r="AG871" s="102" t="str">
        <f t="array" ref="AG871">_xlfn.XLOOKUP(AE871,Stock1!I871,Stock1!J871,"")</f>
        <v/>
      </c>
    </row>
    <row r="872">
      <c r="K872" s="660" t="str">
        <f t="array" ref="K872">IFERROR(_xlfn.XLOOKUP(I872,Incentive!B:B,Incentive!E:E,""),"")</f>
        <v/>
      </c>
      <c r="L872" s="659" t="str">
        <f>IFERROR(VLOOKUP(I872,Stock1!F:J,5,False),"")</f>
        <v/>
      </c>
      <c r="M872" s="659" t="str">
        <f>IFERROR(VLOOKUP(I872,Stock2!F:J,5,False),"")</f>
        <v/>
      </c>
      <c r="V872" s="102" t="str">
        <f t="array" ref="V872">_xlfn.XLOOKUP("Charger",Stock1!B872,Stock1!I872,"")</f>
        <v/>
      </c>
      <c r="W872" s="102" t="str">
        <f t="array" ref="W872">_xlfn.XLOOKUP(V872,Stock1!I872,Stock1!F872,"")</f>
        <v/>
      </c>
      <c r="X872" s="102" t="str">
        <f t="array" ref="X872">_xlfn.XLOOKUP(V872,Stock1!I872,Stock1!J872,"")</f>
        <v/>
      </c>
      <c r="Y872" s="102" t="str">
        <f t="array" ref="Y872">_xlfn.XLOOKUP("Screen Protector for Android Phone and Other",Stock1!B872,Stock1!I872,"")</f>
        <v/>
      </c>
      <c r="Z872" s="102" t="str">
        <f t="array" ref="Z872">_xlfn.XLOOKUP("Screen Protector for Galaxy Phone",Stock1!B872,Stock1!I872,"")</f>
        <v/>
      </c>
      <c r="AA872" s="102" t="str">
        <f t="array" ref="AA872">_xlfn.XLOOKUP("Screen Protector for Galaxy Tab",Stock1!B872,Stock1!I872,"")</f>
        <v/>
      </c>
      <c r="AB872" s="102" t="str">
        <f t="shared" si="4"/>
        <v/>
      </c>
      <c r="AC872" s="102" t="str">
        <f t="array" ref="AC872">_xlfn.XLOOKUP(AB872,Stock1!I872,Stock1!F872,"")</f>
        <v/>
      </c>
      <c r="AD872" s="102" t="str">
        <f t="array" ref="AD872">_xlfn.XLOOKUP(AB872,Stock1!I872,Stock1!J872,"")</f>
        <v/>
      </c>
      <c r="AE872" s="102" t="str">
        <f t="array" ref="AE872">_xlfn.XLOOKUP("Storage",Stock1!B872,Stock1!I872,"")</f>
        <v/>
      </c>
      <c r="AF872" s="102" t="str">
        <f t="array" ref="AF872">_xlfn.XLOOKUP(AE872,Stock1!I872,Stock1!F872,"")</f>
        <v/>
      </c>
      <c r="AG872" s="102" t="str">
        <f t="array" ref="AG872">_xlfn.XLOOKUP(AE872,Stock1!I872,Stock1!J872,"")</f>
        <v/>
      </c>
    </row>
    <row r="873">
      <c r="K873" s="660" t="str">
        <f t="array" ref="K873">IFERROR(_xlfn.XLOOKUP(I873,Incentive!B:B,Incentive!E:E,""),"")</f>
        <v/>
      </c>
      <c r="L873" s="659" t="str">
        <f>IFERROR(VLOOKUP(I873,Stock1!F:J,5,False),"")</f>
        <v/>
      </c>
      <c r="M873" s="659" t="str">
        <f>IFERROR(VLOOKUP(I873,Stock2!F:J,5,False),"")</f>
        <v/>
      </c>
      <c r="V873" s="102" t="str">
        <f t="array" ref="V873">_xlfn.XLOOKUP("Charger",Stock1!B873,Stock1!I873,"")</f>
        <v/>
      </c>
      <c r="W873" s="102" t="str">
        <f t="array" ref="W873">_xlfn.XLOOKUP(V873,Stock1!I873,Stock1!F873,"")</f>
        <v/>
      </c>
      <c r="X873" s="102" t="str">
        <f t="array" ref="X873">_xlfn.XLOOKUP(V873,Stock1!I873,Stock1!J873,"")</f>
        <v/>
      </c>
      <c r="Y873" s="102" t="str">
        <f t="array" ref="Y873">_xlfn.XLOOKUP("Screen Protector for Android Phone and Other",Stock1!B873,Stock1!I873,"")</f>
        <v/>
      </c>
      <c r="Z873" s="102" t="str">
        <f t="array" ref="Z873">_xlfn.XLOOKUP("Screen Protector for Galaxy Phone",Stock1!B873,Stock1!I873,"")</f>
        <v/>
      </c>
      <c r="AA873" s="102" t="str">
        <f t="array" ref="AA873">_xlfn.XLOOKUP("Screen Protector for Galaxy Tab",Stock1!B873,Stock1!I873,"")</f>
        <v/>
      </c>
      <c r="AB873" s="102" t="str">
        <f t="shared" si="4"/>
        <v/>
      </c>
      <c r="AC873" s="102" t="str">
        <f t="array" ref="AC873">_xlfn.XLOOKUP(AB873,Stock1!I873,Stock1!F873,"")</f>
        <v/>
      </c>
      <c r="AD873" s="102" t="str">
        <f t="array" ref="AD873">_xlfn.XLOOKUP(AB873,Stock1!I873,Stock1!J873,"")</f>
        <v/>
      </c>
      <c r="AE873" s="102" t="str">
        <f t="array" ref="AE873">_xlfn.XLOOKUP("Storage",Stock1!B873,Stock1!I873,"")</f>
        <v/>
      </c>
      <c r="AF873" s="102" t="str">
        <f t="array" ref="AF873">_xlfn.XLOOKUP(AE873,Stock1!I873,Stock1!F873,"")</f>
        <v/>
      </c>
      <c r="AG873" s="102" t="str">
        <f t="array" ref="AG873">_xlfn.XLOOKUP(AE873,Stock1!I873,Stock1!J873,"")</f>
        <v/>
      </c>
    </row>
    <row r="874">
      <c r="K874" s="660" t="str">
        <f t="array" ref="K874">IFERROR(_xlfn.XLOOKUP(I874,Incentive!B:B,Incentive!E:E,""),"")</f>
        <v/>
      </c>
      <c r="L874" s="659" t="str">
        <f>IFERROR(VLOOKUP(I874,Stock1!F:J,5,False),"")</f>
        <v/>
      </c>
      <c r="M874" s="659" t="str">
        <f>IFERROR(VLOOKUP(I874,Stock2!F:J,5,False),"")</f>
        <v/>
      </c>
      <c r="V874" s="102" t="str">
        <f t="array" ref="V874">_xlfn.XLOOKUP("Charger",Stock1!B874,Stock1!I874,"")</f>
        <v/>
      </c>
      <c r="W874" s="102" t="str">
        <f t="array" ref="W874">_xlfn.XLOOKUP(V874,Stock1!I874,Stock1!F874,"")</f>
        <v/>
      </c>
      <c r="X874" s="102" t="str">
        <f t="array" ref="X874">_xlfn.XLOOKUP(V874,Stock1!I874,Stock1!J874,"")</f>
        <v/>
      </c>
      <c r="Y874" s="102" t="str">
        <f t="array" ref="Y874">_xlfn.XLOOKUP("Screen Protector for Android Phone and Other",Stock1!B874,Stock1!I874,"")</f>
        <v/>
      </c>
      <c r="Z874" s="102" t="str">
        <f t="array" ref="Z874">_xlfn.XLOOKUP("Screen Protector for Galaxy Phone",Stock1!B874,Stock1!I874,"")</f>
        <v/>
      </c>
      <c r="AA874" s="102" t="str">
        <f t="array" ref="AA874">_xlfn.XLOOKUP("Screen Protector for Galaxy Tab",Stock1!B874,Stock1!I874,"")</f>
        <v/>
      </c>
      <c r="AB874" s="102" t="str">
        <f t="shared" si="4"/>
        <v/>
      </c>
      <c r="AC874" s="102" t="str">
        <f t="array" ref="AC874">_xlfn.XLOOKUP(AB874,Stock1!I874,Stock1!F874,"")</f>
        <v/>
      </c>
      <c r="AD874" s="102" t="str">
        <f t="array" ref="AD874">_xlfn.XLOOKUP(AB874,Stock1!I874,Stock1!J874,"")</f>
        <v/>
      </c>
      <c r="AE874" s="102" t="str">
        <f t="array" ref="AE874">_xlfn.XLOOKUP("Storage",Stock1!B874,Stock1!I874,"")</f>
        <v/>
      </c>
      <c r="AF874" s="102" t="str">
        <f t="array" ref="AF874">_xlfn.XLOOKUP(AE874,Stock1!I874,Stock1!F874,"")</f>
        <v/>
      </c>
      <c r="AG874" s="102" t="str">
        <f t="array" ref="AG874">_xlfn.XLOOKUP(AE874,Stock1!I874,Stock1!J874,"")</f>
        <v/>
      </c>
    </row>
    <row r="875">
      <c r="K875" s="660" t="str">
        <f t="array" ref="K875">IFERROR(_xlfn.XLOOKUP(I875,Incentive!B:B,Incentive!E:E,""),"")</f>
        <v/>
      </c>
      <c r="L875" s="659" t="str">
        <f>IFERROR(VLOOKUP(I875,Stock1!F:J,5,False),"")</f>
        <v/>
      </c>
      <c r="M875" s="659" t="str">
        <f>IFERROR(VLOOKUP(I875,Stock2!F:J,5,False),"")</f>
        <v/>
      </c>
      <c r="V875" s="102" t="str">
        <f t="array" ref="V875">_xlfn.XLOOKUP("Charger",Stock1!B875,Stock1!I875,"")</f>
        <v/>
      </c>
      <c r="W875" s="102" t="str">
        <f t="array" ref="W875">_xlfn.XLOOKUP(V875,Stock1!I875,Stock1!F875,"")</f>
        <v/>
      </c>
      <c r="X875" s="102" t="str">
        <f t="array" ref="X875">_xlfn.XLOOKUP(V875,Stock1!I875,Stock1!J875,"")</f>
        <v/>
      </c>
      <c r="Y875" s="102" t="str">
        <f t="array" ref="Y875">_xlfn.XLOOKUP("Screen Protector for Android Phone and Other",Stock1!B875,Stock1!I875,"")</f>
        <v/>
      </c>
      <c r="Z875" s="102" t="str">
        <f t="array" ref="Z875">_xlfn.XLOOKUP("Screen Protector for Galaxy Phone",Stock1!B875,Stock1!I875,"")</f>
        <v/>
      </c>
      <c r="AA875" s="102" t="str">
        <f t="array" ref="AA875">_xlfn.XLOOKUP("Screen Protector for Galaxy Tab",Stock1!B875,Stock1!I875,"")</f>
        <v/>
      </c>
      <c r="AB875" s="102" t="str">
        <f t="shared" si="4"/>
        <v/>
      </c>
      <c r="AC875" s="102" t="str">
        <f t="array" ref="AC875">_xlfn.XLOOKUP(AB875,Stock1!I875,Stock1!F875,"")</f>
        <v/>
      </c>
      <c r="AD875" s="102" t="str">
        <f t="array" ref="AD875">_xlfn.XLOOKUP(AB875,Stock1!I875,Stock1!J875,"")</f>
        <v/>
      </c>
      <c r="AE875" s="102" t="str">
        <f t="array" ref="AE875">_xlfn.XLOOKUP("Storage",Stock1!B875,Stock1!I875,"")</f>
        <v/>
      </c>
      <c r="AF875" s="102" t="str">
        <f t="array" ref="AF875">_xlfn.XLOOKUP(AE875,Stock1!I875,Stock1!F875,"")</f>
        <v/>
      </c>
      <c r="AG875" s="102" t="str">
        <f t="array" ref="AG875">_xlfn.XLOOKUP(AE875,Stock1!I875,Stock1!J875,"")</f>
        <v/>
      </c>
    </row>
    <row r="876">
      <c r="K876" s="660" t="str">
        <f t="array" ref="K876">IFERROR(_xlfn.XLOOKUP(I876,Incentive!B:B,Incentive!E:E,""),"")</f>
        <v/>
      </c>
      <c r="L876" s="659" t="str">
        <f>IFERROR(VLOOKUP(I876,Stock1!F:J,5,False),"")</f>
        <v/>
      </c>
      <c r="M876" s="659" t="str">
        <f>IFERROR(VLOOKUP(I876,Stock2!F:J,5,False),"")</f>
        <v/>
      </c>
      <c r="V876" s="102" t="str">
        <f t="array" ref="V876">_xlfn.XLOOKUP("Charger",Stock1!B876,Stock1!I876,"")</f>
        <v/>
      </c>
      <c r="W876" s="102" t="str">
        <f t="array" ref="W876">_xlfn.XLOOKUP(V876,Stock1!I876,Stock1!F876,"")</f>
        <v/>
      </c>
      <c r="X876" s="102" t="str">
        <f t="array" ref="X876">_xlfn.XLOOKUP(V876,Stock1!I876,Stock1!J876,"")</f>
        <v/>
      </c>
      <c r="Y876" s="102" t="str">
        <f t="array" ref="Y876">_xlfn.XLOOKUP("Screen Protector for Android Phone and Other",Stock1!B876,Stock1!I876,"")</f>
        <v/>
      </c>
      <c r="Z876" s="102" t="str">
        <f t="array" ref="Z876">_xlfn.XLOOKUP("Screen Protector for Galaxy Phone",Stock1!B876,Stock1!I876,"")</f>
        <v/>
      </c>
      <c r="AA876" s="102" t="str">
        <f t="array" ref="AA876">_xlfn.XLOOKUP("Screen Protector for Galaxy Tab",Stock1!B876,Stock1!I876,"")</f>
        <v/>
      </c>
      <c r="AB876" s="102" t="str">
        <f t="shared" si="4"/>
        <v/>
      </c>
      <c r="AC876" s="102" t="str">
        <f t="array" ref="AC876">_xlfn.XLOOKUP(AB876,Stock1!I876,Stock1!F876,"")</f>
        <v/>
      </c>
      <c r="AD876" s="102" t="str">
        <f t="array" ref="AD876">_xlfn.XLOOKUP(AB876,Stock1!I876,Stock1!J876,"")</f>
        <v/>
      </c>
      <c r="AE876" s="102" t="str">
        <f t="array" ref="AE876">_xlfn.XLOOKUP("Storage",Stock1!B876,Stock1!I876,"")</f>
        <v/>
      </c>
      <c r="AF876" s="102" t="str">
        <f t="array" ref="AF876">_xlfn.XLOOKUP(AE876,Stock1!I876,Stock1!F876,"")</f>
        <v/>
      </c>
      <c r="AG876" s="102" t="str">
        <f t="array" ref="AG876">_xlfn.XLOOKUP(AE876,Stock1!I876,Stock1!J876,"")</f>
        <v/>
      </c>
    </row>
    <row r="877">
      <c r="K877" s="660" t="str">
        <f t="array" ref="K877">IFERROR(_xlfn.XLOOKUP(I877,Incentive!B:B,Incentive!E:E,""),"")</f>
        <v/>
      </c>
      <c r="L877" s="659" t="str">
        <f>IFERROR(VLOOKUP(I877,Stock1!F:J,5,False),"")</f>
        <v/>
      </c>
      <c r="M877" s="659" t="str">
        <f>IFERROR(VLOOKUP(I877,Stock2!F:J,5,False),"")</f>
        <v/>
      </c>
      <c r="V877" s="102" t="str">
        <f t="array" ref="V877">_xlfn.XLOOKUP("Charger",Stock1!B877,Stock1!I877,"")</f>
        <v/>
      </c>
      <c r="W877" s="102" t="str">
        <f t="array" ref="W877">_xlfn.XLOOKUP(V877,Stock1!I877,Stock1!F877,"")</f>
        <v/>
      </c>
      <c r="X877" s="102" t="str">
        <f t="array" ref="X877">_xlfn.XLOOKUP(V877,Stock1!I877,Stock1!J877,"")</f>
        <v/>
      </c>
      <c r="Y877" s="102" t="str">
        <f t="array" ref="Y877">_xlfn.XLOOKUP("Screen Protector for Android Phone and Other",Stock1!B877,Stock1!I877,"")</f>
        <v/>
      </c>
      <c r="Z877" s="102" t="str">
        <f t="array" ref="Z877">_xlfn.XLOOKUP("Screen Protector for Galaxy Phone",Stock1!B877,Stock1!I877,"")</f>
        <v/>
      </c>
      <c r="AA877" s="102" t="str">
        <f t="array" ref="AA877">_xlfn.XLOOKUP("Screen Protector for Galaxy Tab",Stock1!B877,Stock1!I877,"")</f>
        <v/>
      </c>
      <c r="AB877" s="102" t="str">
        <f t="shared" si="4"/>
        <v/>
      </c>
      <c r="AC877" s="102" t="str">
        <f t="array" ref="AC877">_xlfn.XLOOKUP(AB877,Stock1!I877,Stock1!F877,"")</f>
        <v/>
      </c>
      <c r="AD877" s="102" t="str">
        <f t="array" ref="AD877">_xlfn.XLOOKUP(AB877,Stock1!I877,Stock1!J877,"")</f>
        <v/>
      </c>
      <c r="AE877" s="102" t="str">
        <f t="array" ref="AE877">_xlfn.XLOOKUP("Storage",Stock1!B877,Stock1!I877,"")</f>
        <v/>
      </c>
      <c r="AF877" s="102" t="str">
        <f t="array" ref="AF877">_xlfn.XLOOKUP(AE877,Stock1!I877,Stock1!F877,"")</f>
        <v/>
      </c>
      <c r="AG877" s="102" t="str">
        <f t="array" ref="AG877">_xlfn.XLOOKUP(AE877,Stock1!I877,Stock1!J877,"")</f>
        <v/>
      </c>
    </row>
    <row r="878">
      <c r="K878" s="660" t="str">
        <f t="array" ref="K878">IFERROR(_xlfn.XLOOKUP(I878,Incentive!B:B,Incentive!E:E,""),"")</f>
        <v/>
      </c>
      <c r="L878" s="659" t="str">
        <f>IFERROR(VLOOKUP(I878,Stock1!F:J,5,False),"")</f>
        <v/>
      </c>
      <c r="M878" s="659" t="str">
        <f>IFERROR(VLOOKUP(I878,Stock2!F:J,5,False),"")</f>
        <v/>
      </c>
      <c r="V878" s="102" t="str">
        <f t="array" ref="V878">_xlfn.XLOOKUP("Charger",Stock1!B878,Stock1!I878,"")</f>
        <v/>
      </c>
      <c r="W878" s="102" t="str">
        <f t="array" ref="W878">_xlfn.XLOOKUP(V878,Stock1!I878,Stock1!F878,"")</f>
        <v/>
      </c>
      <c r="X878" s="102" t="str">
        <f t="array" ref="X878">_xlfn.XLOOKUP(V878,Stock1!I878,Stock1!J878,"")</f>
        <v/>
      </c>
      <c r="Y878" s="102" t="str">
        <f t="array" ref="Y878">_xlfn.XLOOKUP("Screen Protector for Android Phone and Other",Stock1!B878,Stock1!I878,"")</f>
        <v/>
      </c>
      <c r="Z878" s="102" t="str">
        <f t="array" ref="Z878">_xlfn.XLOOKUP("Screen Protector for Galaxy Phone",Stock1!B878,Stock1!I878,"")</f>
        <v/>
      </c>
      <c r="AA878" s="102" t="str">
        <f t="array" ref="AA878">_xlfn.XLOOKUP("Screen Protector for Galaxy Tab",Stock1!B878,Stock1!I878,"")</f>
        <v/>
      </c>
      <c r="AB878" s="102" t="str">
        <f t="shared" si="4"/>
        <v/>
      </c>
      <c r="AC878" s="102" t="str">
        <f t="array" ref="AC878">_xlfn.XLOOKUP(AB878,Stock1!I878,Stock1!F878,"")</f>
        <v/>
      </c>
      <c r="AD878" s="102" t="str">
        <f t="array" ref="AD878">_xlfn.XLOOKUP(AB878,Stock1!I878,Stock1!J878,"")</f>
        <v/>
      </c>
      <c r="AE878" s="102" t="str">
        <f t="array" ref="AE878">_xlfn.XLOOKUP("Storage",Stock1!B878,Stock1!I878,"")</f>
        <v/>
      </c>
      <c r="AF878" s="102" t="str">
        <f t="array" ref="AF878">_xlfn.XLOOKUP(AE878,Stock1!I878,Stock1!F878,"")</f>
        <v/>
      </c>
      <c r="AG878" s="102" t="str">
        <f t="array" ref="AG878">_xlfn.XLOOKUP(AE878,Stock1!I878,Stock1!J878,"")</f>
        <v/>
      </c>
    </row>
    <row r="879">
      <c r="K879" s="660" t="str">
        <f t="array" ref="K879">IFERROR(_xlfn.XLOOKUP(I879,Incentive!B:B,Incentive!E:E,""),"")</f>
        <v/>
      </c>
      <c r="L879" s="659" t="str">
        <f>IFERROR(VLOOKUP(I879,Stock1!F:J,5,False),"")</f>
        <v/>
      </c>
      <c r="M879" s="659" t="str">
        <f>IFERROR(VLOOKUP(I879,Stock2!F:J,5,False),"")</f>
        <v/>
      </c>
      <c r="V879" s="102" t="str">
        <f t="array" ref="V879">_xlfn.XLOOKUP("Charger",Stock1!B879,Stock1!I879,"")</f>
        <v/>
      </c>
      <c r="W879" s="102" t="str">
        <f t="array" ref="W879">_xlfn.XLOOKUP(V879,Stock1!I879,Stock1!F879,"")</f>
        <v/>
      </c>
      <c r="X879" s="102" t="str">
        <f t="array" ref="X879">_xlfn.XLOOKUP(V879,Stock1!I879,Stock1!J879,"")</f>
        <v/>
      </c>
      <c r="Y879" s="102" t="str">
        <f t="array" ref="Y879">_xlfn.XLOOKUP("Screen Protector for Android Phone and Other",Stock1!B879,Stock1!I879,"")</f>
        <v/>
      </c>
      <c r="Z879" s="102" t="str">
        <f t="array" ref="Z879">_xlfn.XLOOKUP("Screen Protector for Galaxy Phone",Stock1!B879,Stock1!I879,"")</f>
        <v/>
      </c>
      <c r="AA879" s="102" t="str">
        <f t="array" ref="AA879">_xlfn.XLOOKUP("Screen Protector for Galaxy Tab",Stock1!B879,Stock1!I879,"")</f>
        <v/>
      </c>
      <c r="AB879" s="102" t="str">
        <f t="shared" si="4"/>
        <v/>
      </c>
      <c r="AC879" s="102" t="str">
        <f t="array" ref="AC879">_xlfn.XLOOKUP(AB879,Stock1!I879,Stock1!F879,"")</f>
        <v/>
      </c>
      <c r="AD879" s="102" t="str">
        <f t="array" ref="AD879">_xlfn.XLOOKUP(AB879,Stock1!I879,Stock1!J879,"")</f>
        <v/>
      </c>
      <c r="AE879" s="102" t="str">
        <f t="array" ref="AE879">_xlfn.XLOOKUP("Storage",Stock1!B879,Stock1!I879,"")</f>
        <v/>
      </c>
      <c r="AF879" s="102" t="str">
        <f t="array" ref="AF879">_xlfn.XLOOKUP(AE879,Stock1!I879,Stock1!F879,"")</f>
        <v/>
      </c>
      <c r="AG879" s="102" t="str">
        <f t="array" ref="AG879">_xlfn.XLOOKUP(AE879,Stock1!I879,Stock1!J879,"")</f>
        <v/>
      </c>
    </row>
    <row r="880">
      <c r="K880" s="660" t="str">
        <f t="array" ref="K880">IFERROR(_xlfn.XLOOKUP(I880,Incentive!B:B,Incentive!E:E,""),"")</f>
        <v/>
      </c>
      <c r="L880" s="659" t="str">
        <f>IFERROR(VLOOKUP(I880,Stock1!F:J,5,False),"")</f>
        <v/>
      </c>
      <c r="M880" s="659" t="str">
        <f>IFERROR(VLOOKUP(I880,Stock2!F:J,5,False),"")</f>
        <v/>
      </c>
      <c r="V880" s="102" t="str">
        <f t="array" ref="V880">_xlfn.XLOOKUP("Charger",Stock1!B880,Stock1!I880,"")</f>
        <v/>
      </c>
      <c r="W880" s="102" t="str">
        <f t="array" ref="W880">_xlfn.XLOOKUP(V880,Stock1!I880,Stock1!F880,"")</f>
        <v/>
      </c>
      <c r="X880" s="102" t="str">
        <f t="array" ref="X880">_xlfn.XLOOKUP(V880,Stock1!I880,Stock1!J880,"")</f>
        <v/>
      </c>
      <c r="Y880" s="102" t="str">
        <f t="array" ref="Y880">_xlfn.XLOOKUP("Screen Protector for Android Phone and Other",Stock1!B880,Stock1!I880,"")</f>
        <v/>
      </c>
      <c r="Z880" s="102" t="str">
        <f t="array" ref="Z880">_xlfn.XLOOKUP("Screen Protector for Galaxy Phone",Stock1!B880,Stock1!I880,"")</f>
        <v/>
      </c>
      <c r="AA880" s="102" t="str">
        <f t="array" ref="AA880">_xlfn.XLOOKUP("Screen Protector for Galaxy Tab",Stock1!B880,Stock1!I880,"")</f>
        <v/>
      </c>
      <c r="AB880" s="102" t="str">
        <f t="shared" si="4"/>
        <v/>
      </c>
      <c r="AC880" s="102" t="str">
        <f t="array" ref="AC880">_xlfn.XLOOKUP(AB880,Stock1!I880,Stock1!F880,"")</f>
        <v/>
      </c>
      <c r="AD880" s="102" t="str">
        <f t="array" ref="AD880">_xlfn.XLOOKUP(AB880,Stock1!I880,Stock1!J880,"")</f>
        <v/>
      </c>
      <c r="AE880" s="102" t="str">
        <f t="array" ref="AE880">_xlfn.XLOOKUP("Storage",Stock1!B880,Stock1!I880,"")</f>
        <v/>
      </c>
      <c r="AF880" s="102" t="str">
        <f t="array" ref="AF880">_xlfn.XLOOKUP(AE880,Stock1!I880,Stock1!F880,"")</f>
        <v/>
      </c>
      <c r="AG880" s="102" t="str">
        <f t="array" ref="AG880">_xlfn.XLOOKUP(AE880,Stock1!I880,Stock1!J880,"")</f>
        <v/>
      </c>
    </row>
    <row r="881">
      <c r="K881" s="660" t="str">
        <f t="array" ref="K881">IFERROR(_xlfn.XLOOKUP(I881,Incentive!B:B,Incentive!E:E,""),"")</f>
        <v/>
      </c>
      <c r="L881" s="659" t="str">
        <f>IFERROR(VLOOKUP(I881,Stock1!F:J,5,False),"")</f>
        <v/>
      </c>
      <c r="M881" s="659" t="str">
        <f>IFERROR(VLOOKUP(I881,Stock2!F:J,5,False),"")</f>
        <v/>
      </c>
      <c r="V881" s="102" t="str">
        <f t="array" ref="V881">_xlfn.XLOOKUP("Charger",Stock1!B881,Stock1!I881,"")</f>
        <v/>
      </c>
      <c r="W881" s="102" t="str">
        <f t="array" ref="W881">_xlfn.XLOOKUP(V881,Stock1!I881,Stock1!F881,"")</f>
        <v/>
      </c>
      <c r="X881" s="102" t="str">
        <f t="array" ref="X881">_xlfn.XLOOKUP(V881,Stock1!I881,Stock1!J881,"")</f>
        <v/>
      </c>
      <c r="Y881" s="102" t="str">
        <f t="array" ref="Y881">_xlfn.XLOOKUP("Screen Protector for Android Phone and Other",Stock1!B881,Stock1!I881,"")</f>
        <v/>
      </c>
      <c r="Z881" s="102" t="str">
        <f t="array" ref="Z881">_xlfn.XLOOKUP("Screen Protector for Galaxy Phone",Stock1!B881,Stock1!I881,"")</f>
        <v/>
      </c>
      <c r="AA881" s="102" t="str">
        <f t="array" ref="AA881">_xlfn.XLOOKUP("Screen Protector for Galaxy Tab",Stock1!B881,Stock1!I881,"")</f>
        <v/>
      </c>
      <c r="AB881" s="102" t="str">
        <f t="shared" si="4"/>
        <v/>
      </c>
      <c r="AC881" s="102" t="str">
        <f t="array" ref="AC881">_xlfn.XLOOKUP(AB881,Stock1!I881,Stock1!F881,"")</f>
        <v/>
      </c>
      <c r="AD881" s="102" t="str">
        <f t="array" ref="AD881">_xlfn.XLOOKUP(AB881,Stock1!I881,Stock1!J881,"")</f>
        <v/>
      </c>
      <c r="AE881" s="102" t="str">
        <f t="array" ref="AE881">_xlfn.XLOOKUP("Storage",Stock1!B881,Stock1!I881,"")</f>
        <v/>
      </c>
      <c r="AF881" s="102" t="str">
        <f t="array" ref="AF881">_xlfn.XLOOKUP(AE881,Stock1!I881,Stock1!F881,"")</f>
        <v/>
      </c>
      <c r="AG881" s="102" t="str">
        <f t="array" ref="AG881">_xlfn.XLOOKUP(AE881,Stock1!I881,Stock1!J881,"")</f>
        <v/>
      </c>
    </row>
    <row r="882">
      <c r="K882" s="660" t="str">
        <f t="array" ref="K882">IFERROR(_xlfn.XLOOKUP(I882,Incentive!B:B,Incentive!E:E,""),"")</f>
        <v/>
      </c>
      <c r="L882" s="659" t="str">
        <f>IFERROR(VLOOKUP(I882,Stock1!F:J,5,False),"")</f>
        <v/>
      </c>
      <c r="M882" s="659" t="str">
        <f>IFERROR(VLOOKUP(I882,Stock2!F:J,5,False),"")</f>
        <v/>
      </c>
      <c r="V882" s="102" t="str">
        <f t="array" ref="V882">_xlfn.XLOOKUP("Charger",Stock1!B882,Stock1!I882,"")</f>
        <v/>
      </c>
      <c r="W882" s="102" t="str">
        <f t="array" ref="W882">_xlfn.XLOOKUP(V882,Stock1!I882,Stock1!F882,"")</f>
        <v/>
      </c>
      <c r="X882" s="102" t="str">
        <f t="array" ref="X882">_xlfn.XLOOKUP(V882,Stock1!I882,Stock1!J882,"")</f>
        <v/>
      </c>
      <c r="Y882" s="102" t="str">
        <f t="array" ref="Y882">_xlfn.XLOOKUP("Screen Protector for Android Phone and Other",Stock1!B882,Stock1!I882,"")</f>
        <v/>
      </c>
      <c r="Z882" s="102" t="str">
        <f t="array" ref="Z882">_xlfn.XLOOKUP("Screen Protector for Galaxy Phone",Stock1!B882,Stock1!I882,"")</f>
        <v/>
      </c>
      <c r="AA882" s="102" t="str">
        <f t="array" ref="AA882">_xlfn.XLOOKUP("Screen Protector for Galaxy Tab",Stock1!B882,Stock1!I882,"")</f>
        <v/>
      </c>
      <c r="AB882" s="102" t="str">
        <f t="shared" si="4"/>
        <v/>
      </c>
      <c r="AC882" s="102" t="str">
        <f t="array" ref="AC882">_xlfn.XLOOKUP(AB882,Stock1!I882,Stock1!F882,"")</f>
        <v/>
      </c>
      <c r="AD882" s="102" t="str">
        <f t="array" ref="AD882">_xlfn.XLOOKUP(AB882,Stock1!I882,Stock1!J882,"")</f>
        <v/>
      </c>
      <c r="AE882" s="102" t="str">
        <f t="array" ref="AE882">_xlfn.XLOOKUP("Storage",Stock1!B882,Stock1!I882,"")</f>
        <v/>
      </c>
      <c r="AF882" s="102" t="str">
        <f t="array" ref="AF882">_xlfn.XLOOKUP(AE882,Stock1!I882,Stock1!F882,"")</f>
        <v/>
      </c>
      <c r="AG882" s="102" t="str">
        <f t="array" ref="AG882">_xlfn.XLOOKUP(AE882,Stock1!I882,Stock1!J882,"")</f>
        <v/>
      </c>
    </row>
    <row r="883">
      <c r="K883" s="660" t="str">
        <f t="array" ref="K883">IFERROR(_xlfn.XLOOKUP(I883,Incentive!B:B,Incentive!E:E,""),"")</f>
        <v/>
      </c>
      <c r="L883" s="659" t="str">
        <f>IFERROR(VLOOKUP(I883,Stock1!F:J,5,False),"")</f>
        <v/>
      </c>
      <c r="M883" s="659" t="str">
        <f>IFERROR(VLOOKUP(I883,Stock2!F:J,5,False),"")</f>
        <v/>
      </c>
      <c r="V883" s="102" t="str">
        <f t="array" ref="V883">_xlfn.XLOOKUP("Charger",Stock1!B883,Stock1!I883,"")</f>
        <v/>
      </c>
      <c r="W883" s="102" t="str">
        <f t="array" ref="W883">_xlfn.XLOOKUP(V883,Stock1!I883,Stock1!F883,"")</f>
        <v/>
      </c>
      <c r="X883" s="102" t="str">
        <f t="array" ref="X883">_xlfn.XLOOKUP(V883,Stock1!I883,Stock1!J883,"")</f>
        <v/>
      </c>
      <c r="Y883" s="102" t="str">
        <f t="array" ref="Y883">_xlfn.XLOOKUP("Screen Protector for Android Phone and Other",Stock1!B883,Stock1!I883,"")</f>
        <v/>
      </c>
      <c r="Z883" s="102" t="str">
        <f t="array" ref="Z883">_xlfn.XLOOKUP("Screen Protector for Galaxy Phone",Stock1!B883,Stock1!I883,"")</f>
        <v/>
      </c>
      <c r="AA883" s="102" t="str">
        <f t="array" ref="AA883">_xlfn.XLOOKUP("Screen Protector for Galaxy Tab",Stock1!B883,Stock1!I883,"")</f>
        <v/>
      </c>
      <c r="AB883" s="102" t="str">
        <f t="shared" si="4"/>
        <v/>
      </c>
      <c r="AC883" s="102" t="str">
        <f t="array" ref="AC883">_xlfn.XLOOKUP(AB883,Stock1!I883,Stock1!F883,"")</f>
        <v/>
      </c>
      <c r="AD883" s="102" t="str">
        <f t="array" ref="AD883">_xlfn.XLOOKUP(AB883,Stock1!I883,Stock1!J883,"")</f>
        <v/>
      </c>
      <c r="AE883" s="102" t="str">
        <f t="array" ref="AE883">_xlfn.XLOOKUP("Storage",Stock1!B883,Stock1!I883,"")</f>
        <v/>
      </c>
      <c r="AF883" s="102" t="str">
        <f t="array" ref="AF883">_xlfn.XLOOKUP(AE883,Stock1!I883,Stock1!F883,"")</f>
        <v/>
      </c>
      <c r="AG883" s="102" t="str">
        <f t="array" ref="AG883">_xlfn.XLOOKUP(AE883,Stock1!I883,Stock1!J883,"")</f>
        <v/>
      </c>
    </row>
    <row r="884">
      <c r="K884" s="660" t="str">
        <f t="array" ref="K884">IFERROR(_xlfn.XLOOKUP(I884,Incentive!B:B,Incentive!E:E,""),"")</f>
        <v/>
      </c>
      <c r="L884" s="659" t="str">
        <f>IFERROR(VLOOKUP(I884,Stock1!F:J,5,False),"")</f>
        <v/>
      </c>
      <c r="M884" s="659" t="str">
        <f>IFERROR(VLOOKUP(I884,Stock2!F:J,5,False),"")</f>
        <v/>
      </c>
      <c r="V884" s="102" t="str">
        <f t="array" ref="V884">_xlfn.XLOOKUP("Charger",Stock1!B884,Stock1!I884,"")</f>
        <v/>
      </c>
      <c r="W884" s="102" t="str">
        <f t="array" ref="W884">_xlfn.XLOOKUP(V884,Stock1!I884,Stock1!F884,"")</f>
        <v/>
      </c>
      <c r="X884" s="102" t="str">
        <f t="array" ref="X884">_xlfn.XLOOKUP(V884,Stock1!I884,Stock1!J884,"")</f>
        <v/>
      </c>
      <c r="Y884" s="102" t="str">
        <f t="array" ref="Y884">_xlfn.XLOOKUP("Screen Protector for Android Phone and Other",Stock1!B884,Stock1!I884,"")</f>
        <v/>
      </c>
      <c r="Z884" s="102" t="str">
        <f t="array" ref="Z884">_xlfn.XLOOKUP("Screen Protector for Galaxy Phone",Stock1!B884,Stock1!I884,"")</f>
        <v/>
      </c>
      <c r="AA884" s="102" t="str">
        <f t="array" ref="AA884">_xlfn.XLOOKUP("Screen Protector for Galaxy Tab",Stock1!B884,Stock1!I884,"")</f>
        <v/>
      </c>
      <c r="AB884" s="102" t="str">
        <f t="shared" si="4"/>
        <v/>
      </c>
      <c r="AC884" s="102" t="str">
        <f t="array" ref="AC884">_xlfn.XLOOKUP(AB884,Stock1!I884,Stock1!F884,"")</f>
        <v/>
      </c>
      <c r="AD884" s="102" t="str">
        <f t="array" ref="AD884">_xlfn.XLOOKUP(AB884,Stock1!I884,Stock1!J884,"")</f>
        <v/>
      </c>
      <c r="AE884" s="102" t="str">
        <f t="array" ref="AE884">_xlfn.XLOOKUP("Storage",Stock1!B884,Stock1!I884,"")</f>
        <v/>
      </c>
      <c r="AF884" s="102" t="str">
        <f t="array" ref="AF884">_xlfn.XLOOKUP(AE884,Stock1!I884,Stock1!F884,"")</f>
        <v/>
      </c>
      <c r="AG884" s="102" t="str">
        <f t="array" ref="AG884">_xlfn.XLOOKUP(AE884,Stock1!I884,Stock1!J884,"")</f>
        <v/>
      </c>
    </row>
    <row r="885">
      <c r="K885" s="660" t="str">
        <f t="array" ref="K885">IFERROR(_xlfn.XLOOKUP(I885,Incentive!B:B,Incentive!E:E,""),"")</f>
        <v/>
      </c>
      <c r="L885" s="659" t="str">
        <f>IFERROR(VLOOKUP(I885,Stock1!F:J,5,False),"")</f>
        <v/>
      </c>
      <c r="M885" s="659" t="str">
        <f>IFERROR(VLOOKUP(I885,Stock2!F:J,5,False),"")</f>
        <v/>
      </c>
      <c r="V885" s="102" t="str">
        <f t="array" ref="V885">_xlfn.XLOOKUP("Charger",Stock1!B885,Stock1!I885,"")</f>
        <v/>
      </c>
      <c r="W885" s="102" t="str">
        <f t="array" ref="W885">_xlfn.XLOOKUP(V885,Stock1!I885,Stock1!F885,"")</f>
        <v/>
      </c>
      <c r="X885" s="102" t="str">
        <f t="array" ref="X885">_xlfn.XLOOKUP(V885,Stock1!I885,Stock1!J885,"")</f>
        <v/>
      </c>
      <c r="Y885" s="102" t="str">
        <f t="array" ref="Y885">_xlfn.XLOOKUP("Screen Protector for Android Phone and Other",Stock1!B885,Stock1!I885,"")</f>
        <v/>
      </c>
      <c r="Z885" s="102" t="str">
        <f t="array" ref="Z885">_xlfn.XLOOKUP("Screen Protector for Galaxy Phone",Stock1!B885,Stock1!I885,"")</f>
        <v/>
      </c>
      <c r="AA885" s="102" t="str">
        <f t="array" ref="AA885">_xlfn.XLOOKUP("Screen Protector for Galaxy Tab",Stock1!B885,Stock1!I885,"")</f>
        <v/>
      </c>
      <c r="AB885" s="102" t="str">
        <f t="shared" si="4"/>
        <v/>
      </c>
      <c r="AC885" s="102" t="str">
        <f t="array" ref="AC885">_xlfn.XLOOKUP(AB885,Stock1!I885,Stock1!F885,"")</f>
        <v/>
      </c>
      <c r="AD885" s="102" t="str">
        <f t="array" ref="AD885">_xlfn.XLOOKUP(AB885,Stock1!I885,Stock1!J885,"")</f>
        <v/>
      </c>
      <c r="AE885" s="102" t="str">
        <f t="array" ref="AE885">_xlfn.XLOOKUP("Storage",Stock1!B885,Stock1!I885,"")</f>
        <v/>
      </c>
      <c r="AF885" s="102" t="str">
        <f t="array" ref="AF885">_xlfn.XLOOKUP(AE885,Stock1!I885,Stock1!F885,"")</f>
        <v/>
      </c>
      <c r="AG885" s="102" t="str">
        <f t="array" ref="AG885">_xlfn.XLOOKUP(AE885,Stock1!I885,Stock1!J885,"")</f>
        <v/>
      </c>
    </row>
    <row r="886">
      <c r="K886" s="660" t="str">
        <f t="array" ref="K886">IFERROR(_xlfn.XLOOKUP(I886,Incentive!B:B,Incentive!E:E,""),"")</f>
        <v/>
      </c>
      <c r="L886" s="659" t="str">
        <f>IFERROR(VLOOKUP(I886,Stock1!F:J,5,False),"")</f>
        <v/>
      </c>
      <c r="M886" s="659" t="str">
        <f>IFERROR(VLOOKUP(I886,Stock2!F:J,5,False),"")</f>
        <v/>
      </c>
      <c r="V886" s="102" t="str">
        <f t="array" ref="V886">_xlfn.XLOOKUP("Charger",Stock1!B886,Stock1!I886,"")</f>
        <v/>
      </c>
      <c r="W886" s="102" t="str">
        <f t="array" ref="W886">_xlfn.XLOOKUP(V886,Stock1!I886,Stock1!F886,"")</f>
        <v/>
      </c>
      <c r="X886" s="102" t="str">
        <f t="array" ref="X886">_xlfn.XLOOKUP(V886,Stock1!I886,Stock1!J886,"")</f>
        <v/>
      </c>
      <c r="Y886" s="102" t="str">
        <f t="array" ref="Y886">_xlfn.XLOOKUP("Screen Protector for Android Phone and Other",Stock1!B886,Stock1!I886,"")</f>
        <v/>
      </c>
      <c r="Z886" s="102" t="str">
        <f t="array" ref="Z886">_xlfn.XLOOKUP("Screen Protector for Galaxy Phone",Stock1!B886,Stock1!I886,"")</f>
        <v/>
      </c>
      <c r="AA886" s="102" t="str">
        <f t="array" ref="AA886">_xlfn.XLOOKUP("Screen Protector for Galaxy Tab",Stock1!B886,Stock1!I886,"")</f>
        <v/>
      </c>
      <c r="AB886" s="102" t="str">
        <f t="shared" si="4"/>
        <v/>
      </c>
      <c r="AC886" s="102" t="str">
        <f t="array" ref="AC886">_xlfn.XLOOKUP(AB886,Stock1!I886,Stock1!F886,"")</f>
        <v/>
      </c>
      <c r="AD886" s="102" t="str">
        <f t="array" ref="AD886">_xlfn.XLOOKUP(AB886,Stock1!I886,Stock1!J886,"")</f>
        <v/>
      </c>
      <c r="AE886" s="102" t="str">
        <f t="array" ref="AE886">_xlfn.XLOOKUP("Storage",Stock1!B886,Stock1!I886,"")</f>
        <v/>
      </c>
      <c r="AF886" s="102" t="str">
        <f t="array" ref="AF886">_xlfn.XLOOKUP(AE886,Stock1!I886,Stock1!F886,"")</f>
        <v/>
      </c>
      <c r="AG886" s="102" t="str">
        <f t="array" ref="AG886">_xlfn.XLOOKUP(AE886,Stock1!I886,Stock1!J886,"")</f>
        <v/>
      </c>
    </row>
    <row r="887">
      <c r="K887" s="660" t="str">
        <f t="array" ref="K887">IFERROR(_xlfn.XLOOKUP(I887,Incentive!B:B,Incentive!E:E,""),"")</f>
        <v/>
      </c>
      <c r="L887" s="659" t="str">
        <f>IFERROR(VLOOKUP(I887,Stock1!F:J,5,False),"")</f>
        <v/>
      </c>
      <c r="M887" s="659" t="str">
        <f>IFERROR(VLOOKUP(I887,Stock2!F:J,5,False),"")</f>
        <v/>
      </c>
      <c r="V887" s="102" t="str">
        <f t="array" ref="V887">_xlfn.XLOOKUP("Charger",Stock1!B887,Stock1!I887,"")</f>
        <v/>
      </c>
      <c r="W887" s="102" t="str">
        <f t="array" ref="W887">_xlfn.XLOOKUP(V887,Stock1!I887,Stock1!F887,"")</f>
        <v/>
      </c>
      <c r="X887" s="102" t="str">
        <f t="array" ref="X887">_xlfn.XLOOKUP(V887,Stock1!I887,Stock1!J887,"")</f>
        <v/>
      </c>
      <c r="Y887" s="102" t="str">
        <f t="array" ref="Y887">_xlfn.XLOOKUP("Screen Protector for Android Phone and Other",Stock1!B887,Stock1!I887,"")</f>
        <v/>
      </c>
      <c r="Z887" s="102" t="str">
        <f t="array" ref="Z887">_xlfn.XLOOKUP("Screen Protector for Galaxy Phone",Stock1!B887,Stock1!I887,"")</f>
        <v/>
      </c>
      <c r="AA887" s="102" t="str">
        <f t="array" ref="AA887">_xlfn.XLOOKUP("Screen Protector for Galaxy Tab",Stock1!B887,Stock1!I887,"")</f>
        <v/>
      </c>
      <c r="AB887" s="102" t="str">
        <f t="shared" si="4"/>
        <v/>
      </c>
      <c r="AC887" s="102" t="str">
        <f t="array" ref="AC887">_xlfn.XLOOKUP(AB887,Stock1!I887,Stock1!F887,"")</f>
        <v/>
      </c>
      <c r="AD887" s="102" t="str">
        <f t="array" ref="AD887">_xlfn.XLOOKUP(AB887,Stock1!I887,Stock1!J887,"")</f>
        <v/>
      </c>
      <c r="AE887" s="102" t="str">
        <f t="array" ref="AE887">_xlfn.XLOOKUP("Storage",Stock1!B887,Stock1!I887,"")</f>
        <v/>
      </c>
      <c r="AF887" s="102" t="str">
        <f t="array" ref="AF887">_xlfn.XLOOKUP(AE887,Stock1!I887,Stock1!F887,"")</f>
        <v/>
      </c>
      <c r="AG887" s="102" t="str">
        <f t="array" ref="AG887">_xlfn.XLOOKUP(AE887,Stock1!I887,Stock1!J887,"")</f>
        <v/>
      </c>
    </row>
    <row r="888">
      <c r="K888" s="660" t="str">
        <f t="array" ref="K888">IFERROR(_xlfn.XLOOKUP(I888,Incentive!B:B,Incentive!E:E,""),"")</f>
        <v/>
      </c>
      <c r="L888" s="659" t="str">
        <f>IFERROR(VLOOKUP(I888,Stock1!F:J,5,False),"")</f>
        <v/>
      </c>
      <c r="M888" s="659" t="str">
        <f>IFERROR(VLOOKUP(I888,Stock2!F:J,5,False),"")</f>
        <v/>
      </c>
      <c r="V888" s="102" t="str">
        <f t="array" ref="V888">_xlfn.XLOOKUP("Charger",Stock1!B888,Stock1!I888,"")</f>
        <v/>
      </c>
      <c r="W888" s="102" t="str">
        <f t="array" ref="W888">_xlfn.XLOOKUP(V888,Stock1!I888,Stock1!F888,"")</f>
        <v/>
      </c>
      <c r="X888" s="102" t="str">
        <f t="array" ref="X888">_xlfn.XLOOKUP(V888,Stock1!I888,Stock1!J888,"")</f>
        <v/>
      </c>
      <c r="Y888" s="102" t="str">
        <f t="array" ref="Y888">_xlfn.XLOOKUP("Screen Protector for Android Phone and Other",Stock1!B888,Stock1!I888,"")</f>
        <v/>
      </c>
      <c r="Z888" s="102" t="str">
        <f t="array" ref="Z888">_xlfn.XLOOKUP("Screen Protector for Galaxy Phone",Stock1!B888,Stock1!I888,"")</f>
        <v/>
      </c>
      <c r="AA888" s="102" t="str">
        <f t="array" ref="AA888">_xlfn.XLOOKUP("Screen Protector for Galaxy Tab",Stock1!B888,Stock1!I888,"")</f>
        <v/>
      </c>
      <c r="AB888" s="102" t="str">
        <f t="shared" si="4"/>
        <v/>
      </c>
      <c r="AC888" s="102" t="str">
        <f t="array" ref="AC888">_xlfn.XLOOKUP(AB888,Stock1!I888,Stock1!F888,"")</f>
        <v/>
      </c>
      <c r="AD888" s="102" t="str">
        <f t="array" ref="AD888">_xlfn.XLOOKUP(AB888,Stock1!I888,Stock1!J888,"")</f>
        <v/>
      </c>
      <c r="AE888" s="102" t="str">
        <f t="array" ref="AE888">_xlfn.XLOOKUP("Storage",Stock1!B888,Stock1!I888,"")</f>
        <v/>
      </c>
      <c r="AF888" s="102" t="str">
        <f t="array" ref="AF888">_xlfn.XLOOKUP(AE888,Stock1!I888,Stock1!F888,"")</f>
        <v/>
      </c>
      <c r="AG888" s="102" t="str">
        <f t="array" ref="AG888">_xlfn.XLOOKUP(AE888,Stock1!I888,Stock1!J888,"")</f>
        <v/>
      </c>
    </row>
    <row r="889">
      <c r="K889" s="660" t="str">
        <f t="array" ref="K889">IFERROR(_xlfn.XLOOKUP(I889,Incentive!B:B,Incentive!E:E,""),"")</f>
        <v/>
      </c>
      <c r="L889" s="659" t="str">
        <f>IFERROR(VLOOKUP(I889,Stock1!F:J,5,False),"")</f>
        <v/>
      </c>
      <c r="M889" s="659" t="str">
        <f>IFERROR(VLOOKUP(I889,Stock2!F:J,5,False),"")</f>
        <v/>
      </c>
      <c r="V889" s="102" t="str">
        <f t="array" ref="V889">_xlfn.XLOOKUP("Charger",Stock1!B889,Stock1!I889,"")</f>
        <v/>
      </c>
      <c r="W889" s="102" t="str">
        <f t="array" ref="W889">_xlfn.XLOOKUP(V889,Stock1!I889,Stock1!F889,"")</f>
        <v/>
      </c>
      <c r="X889" s="102" t="str">
        <f t="array" ref="X889">_xlfn.XLOOKUP(V889,Stock1!I889,Stock1!J889,"")</f>
        <v/>
      </c>
      <c r="Y889" s="102" t="str">
        <f t="array" ref="Y889">_xlfn.XLOOKUP("Screen Protector for Android Phone and Other",Stock1!B889,Stock1!I889,"")</f>
        <v/>
      </c>
      <c r="Z889" s="102" t="str">
        <f t="array" ref="Z889">_xlfn.XLOOKUP("Screen Protector for Galaxy Phone",Stock1!B889,Stock1!I889,"")</f>
        <v/>
      </c>
      <c r="AA889" s="102" t="str">
        <f t="array" ref="AA889">_xlfn.XLOOKUP("Screen Protector for Galaxy Tab",Stock1!B889,Stock1!I889,"")</f>
        <v/>
      </c>
      <c r="AB889" s="102" t="str">
        <f t="shared" si="4"/>
        <v/>
      </c>
      <c r="AC889" s="102" t="str">
        <f t="array" ref="AC889">_xlfn.XLOOKUP(AB889,Stock1!I889,Stock1!F889,"")</f>
        <v/>
      </c>
      <c r="AD889" s="102" t="str">
        <f t="array" ref="AD889">_xlfn.XLOOKUP(AB889,Stock1!I889,Stock1!J889,"")</f>
        <v/>
      </c>
      <c r="AE889" s="102" t="str">
        <f t="array" ref="AE889">_xlfn.XLOOKUP("Storage",Stock1!B889,Stock1!I889,"")</f>
        <v/>
      </c>
      <c r="AF889" s="102" t="str">
        <f t="array" ref="AF889">_xlfn.XLOOKUP(AE889,Stock1!I889,Stock1!F889,"")</f>
        <v/>
      </c>
      <c r="AG889" s="102" t="str">
        <f t="array" ref="AG889">_xlfn.XLOOKUP(AE889,Stock1!I889,Stock1!J889,"")</f>
        <v/>
      </c>
    </row>
    <row r="890">
      <c r="K890" s="660" t="str">
        <f t="array" ref="K890">IFERROR(_xlfn.XLOOKUP(I890,Incentive!B:B,Incentive!E:E,""),"")</f>
        <v/>
      </c>
      <c r="L890" s="659" t="str">
        <f>IFERROR(VLOOKUP(I890,Stock1!F:J,5,False),"")</f>
        <v/>
      </c>
      <c r="M890" s="659" t="str">
        <f>IFERROR(VLOOKUP(I890,Stock2!F:J,5,False),"")</f>
        <v/>
      </c>
      <c r="V890" s="102" t="str">
        <f t="array" ref="V890">_xlfn.XLOOKUP("Charger",Stock1!B890,Stock1!I890,"")</f>
        <v/>
      </c>
      <c r="W890" s="102" t="str">
        <f t="array" ref="W890">_xlfn.XLOOKUP(V890,Stock1!I890,Stock1!F890,"")</f>
        <v/>
      </c>
      <c r="X890" s="102" t="str">
        <f t="array" ref="X890">_xlfn.XLOOKUP(V890,Stock1!I890,Stock1!J890,"")</f>
        <v/>
      </c>
      <c r="Y890" s="102" t="str">
        <f t="array" ref="Y890">_xlfn.XLOOKUP("Screen Protector for Android Phone and Other",Stock1!B890,Stock1!I890,"")</f>
        <v/>
      </c>
      <c r="Z890" s="102" t="str">
        <f t="array" ref="Z890">_xlfn.XLOOKUP("Screen Protector for Galaxy Phone",Stock1!B890,Stock1!I890,"")</f>
        <v/>
      </c>
      <c r="AA890" s="102" t="str">
        <f t="array" ref="AA890">_xlfn.XLOOKUP("Screen Protector for Galaxy Tab",Stock1!B890,Stock1!I890,"")</f>
        <v/>
      </c>
      <c r="AB890" s="102" t="str">
        <f t="shared" si="4"/>
        <v/>
      </c>
      <c r="AC890" s="102" t="str">
        <f t="array" ref="AC890">_xlfn.XLOOKUP(AB890,Stock1!I890,Stock1!F890,"")</f>
        <v/>
      </c>
      <c r="AD890" s="102" t="str">
        <f t="array" ref="AD890">_xlfn.XLOOKUP(AB890,Stock1!I890,Stock1!J890,"")</f>
        <v/>
      </c>
      <c r="AE890" s="102" t="str">
        <f t="array" ref="AE890">_xlfn.XLOOKUP("Storage",Stock1!B890,Stock1!I890,"")</f>
        <v/>
      </c>
      <c r="AF890" s="102" t="str">
        <f t="array" ref="AF890">_xlfn.XLOOKUP(AE890,Stock1!I890,Stock1!F890,"")</f>
        <v/>
      </c>
      <c r="AG890" s="102" t="str">
        <f t="array" ref="AG890">_xlfn.XLOOKUP(AE890,Stock1!I890,Stock1!J890,"")</f>
        <v/>
      </c>
    </row>
    <row r="891">
      <c r="K891" s="660" t="str">
        <f t="array" ref="K891">IFERROR(_xlfn.XLOOKUP(I891,Incentive!B:B,Incentive!E:E,""),"")</f>
        <v/>
      </c>
      <c r="L891" s="659" t="str">
        <f>IFERROR(VLOOKUP(I891,Stock1!F:J,5,False),"")</f>
        <v/>
      </c>
      <c r="M891" s="659" t="str">
        <f>IFERROR(VLOOKUP(I891,Stock2!F:J,5,False),"")</f>
        <v/>
      </c>
      <c r="V891" s="102" t="str">
        <f t="array" ref="V891">_xlfn.XLOOKUP("Charger",Stock1!B891,Stock1!I891,"")</f>
        <v/>
      </c>
      <c r="W891" s="102" t="str">
        <f t="array" ref="W891">_xlfn.XLOOKUP(V891,Stock1!I891,Stock1!F891,"")</f>
        <v/>
      </c>
      <c r="X891" s="102" t="str">
        <f t="array" ref="X891">_xlfn.XLOOKUP(V891,Stock1!I891,Stock1!J891,"")</f>
        <v/>
      </c>
      <c r="Y891" s="102" t="str">
        <f t="array" ref="Y891">_xlfn.XLOOKUP("Screen Protector for Android Phone and Other",Stock1!B891,Stock1!I891,"")</f>
        <v/>
      </c>
      <c r="Z891" s="102" t="str">
        <f t="array" ref="Z891">_xlfn.XLOOKUP("Screen Protector for Galaxy Phone",Stock1!B891,Stock1!I891,"")</f>
        <v/>
      </c>
      <c r="AA891" s="102" t="str">
        <f t="array" ref="AA891">_xlfn.XLOOKUP("Screen Protector for Galaxy Tab",Stock1!B891,Stock1!I891,"")</f>
        <v/>
      </c>
      <c r="AB891" s="102" t="str">
        <f t="shared" si="4"/>
        <v/>
      </c>
      <c r="AC891" s="102" t="str">
        <f t="array" ref="AC891">_xlfn.XLOOKUP(AB891,Stock1!I891,Stock1!F891,"")</f>
        <v/>
      </c>
      <c r="AD891" s="102" t="str">
        <f t="array" ref="AD891">_xlfn.XLOOKUP(AB891,Stock1!I891,Stock1!J891,"")</f>
        <v/>
      </c>
      <c r="AE891" s="102" t="str">
        <f t="array" ref="AE891">_xlfn.XLOOKUP("Storage",Stock1!B891,Stock1!I891,"")</f>
        <v/>
      </c>
      <c r="AF891" s="102" t="str">
        <f t="array" ref="AF891">_xlfn.XLOOKUP(AE891,Stock1!I891,Stock1!F891,"")</f>
        <v/>
      </c>
      <c r="AG891" s="102" t="str">
        <f t="array" ref="AG891">_xlfn.XLOOKUP(AE891,Stock1!I891,Stock1!J891,"")</f>
        <v/>
      </c>
    </row>
    <row r="892">
      <c r="K892" s="660" t="str">
        <f t="array" ref="K892">IFERROR(_xlfn.XLOOKUP(I892,Incentive!B:B,Incentive!E:E,""),"")</f>
        <v/>
      </c>
      <c r="L892" s="659" t="str">
        <f>IFERROR(VLOOKUP(I892,Stock1!F:J,5,False),"")</f>
        <v/>
      </c>
      <c r="M892" s="659" t="str">
        <f>IFERROR(VLOOKUP(I892,Stock2!F:J,5,False),"")</f>
        <v/>
      </c>
      <c r="V892" s="102" t="str">
        <f t="array" ref="V892">_xlfn.XLOOKUP("Charger",Stock1!B892,Stock1!I892,"")</f>
        <v/>
      </c>
      <c r="W892" s="102" t="str">
        <f t="array" ref="W892">_xlfn.XLOOKUP(V892,Stock1!I892,Stock1!F892,"")</f>
        <v/>
      </c>
      <c r="X892" s="102" t="str">
        <f t="array" ref="X892">_xlfn.XLOOKUP(V892,Stock1!I892,Stock1!J892,"")</f>
        <v/>
      </c>
      <c r="Y892" s="102" t="str">
        <f t="array" ref="Y892">_xlfn.XLOOKUP("Screen Protector for Android Phone and Other",Stock1!B892,Stock1!I892,"")</f>
        <v/>
      </c>
      <c r="Z892" s="102" t="str">
        <f t="array" ref="Z892">_xlfn.XLOOKUP("Screen Protector for Galaxy Phone",Stock1!B892,Stock1!I892,"")</f>
        <v/>
      </c>
      <c r="AA892" s="102" t="str">
        <f t="array" ref="AA892">_xlfn.XLOOKUP("Screen Protector for Galaxy Tab",Stock1!B892,Stock1!I892,"")</f>
        <v/>
      </c>
      <c r="AB892" s="102" t="str">
        <f t="shared" si="4"/>
        <v/>
      </c>
      <c r="AC892" s="102" t="str">
        <f t="array" ref="AC892">_xlfn.XLOOKUP(AB892,Stock1!I892,Stock1!F892,"")</f>
        <v/>
      </c>
      <c r="AD892" s="102" t="str">
        <f t="array" ref="AD892">_xlfn.XLOOKUP(AB892,Stock1!I892,Stock1!J892,"")</f>
        <v/>
      </c>
      <c r="AE892" s="102" t="str">
        <f t="array" ref="AE892">_xlfn.XLOOKUP("Storage",Stock1!B892,Stock1!I892,"")</f>
        <v/>
      </c>
      <c r="AF892" s="102" t="str">
        <f t="array" ref="AF892">_xlfn.XLOOKUP(AE892,Stock1!I892,Stock1!F892,"")</f>
        <v/>
      </c>
      <c r="AG892" s="102" t="str">
        <f t="array" ref="AG892">_xlfn.XLOOKUP(AE892,Stock1!I892,Stock1!J892,"")</f>
        <v/>
      </c>
    </row>
    <row r="893">
      <c r="K893" s="660" t="str">
        <f t="array" ref="K893">IFERROR(_xlfn.XLOOKUP(I893,Incentive!B:B,Incentive!E:E,""),"")</f>
        <v/>
      </c>
      <c r="L893" s="659" t="str">
        <f>IFERROR(VLOOKUP(I893,Stock1!F:J,5,False),"")</f>
        <v/>
      </c>
      <c r="M893" s="659" t="str">
        <f>IFERROR(VLOOKUP(I893,Stock2!F:J,5,False),"")</f>
        <v/>
      </c>
      <c r="V893" s="102" t="str">
        <f t="array" ref="V893">_xlfn.XLOOKUP("Charger",Stock1!B893,Stock1!I893,"")</f>
        <v/>
      </c>
      <c r="W893" s="102" t="str">
        <f t="array" ref="W893">_xlfn.XLOOKUP(V893,Stock1!I893,Stock1!F893,"")</f>
        <v/>
      </c>
      <c r="X893" s="102" t="str">
        <f t="array" ref="X893">_xlfn.XLOOKUP(V893,Stock1!I893,Stock1!J893,"")</f>
        <v/>
      </c>
      <c r="Y893" s="102" t="str">
        <f t="array" ref="Y893">_xlfn.XLOOKUP("Screen Protector for Android Phone and Other",Stock1!B893,Stock1!I893,"")</f>
        <v/>
      </c>
      <c r="Z893" s="102" t="str">
        <f t="array" ref="Z893">_xlfn.XLOOKUP("Screen Protector for Galaxy Phone",Stock1!B893,Stock1!I893,"")</f>
        <v/>
      </c>
      <c r="AA893" s="102" t="str">
        <f t="array" ref="AA893">_xlfn.XLOOKUP("Screen Protector for Galaxy Tab",Stock1!B893,Stock1!I893,"")</f>
        <v/>
      </c>
      <c r="AB893" s="102" t="str">
        <f t="shared" si="4"/>
        <v/>
      </c>
      <c r="AC893" s="102" t="str">
        <f t="array" ref="AC893">_xlfn.XLOOKUP(AB893,Stock1!I893,Stock1!F893,"")</f>
        <v/>
      </c>
      <c r="AD893" s="102" t="str">
        <f t="array" ref="AD893">_xlfn.XLOOKUP(AB893,Stock1!I893,Stock1!J893,"")</f>
        <v/>
      </c>
      <c r="AE893" s="102" t="str">
        <f t="array" ref="AE893">_xlfn.XLOOKUP("Storage",Stock1!B893,Stock1!I893,"")</f>
        <v/>
      </c>
      <c r="AF893" s="102" t="str">
        <f t="array" ref="AF893">_xlfn.XLOOKUP(AE893,Stock1!I893,Stock1!F893,"")</f>
        <v/>
      </c>
      <c r="AG893" s="102" t="str">
        <f t="array" ref="AG893">_xlfn.XLOOKUP(AE893,Stock1!I893,Stock1!J893,"")</f>
        <v/>
      </c>
    </row>
    <row r="894">
      <c r="K894" s="660" t="str">
        <f t="array" ref="K894">IFERROR(_xlfn.XLOOKUP(I894,Incentive!B:B,Incentive!E:E,""),"")</f>
        <v/>
      </c>
      <c r="L894" s="659" t="str">
        <f>IFERROR(VLOOKUP(I894,Stock1!F:J,5,False),"")</f>
        <v/>
      </c>
      <c r="M894" s="659" t="str">
        <f>IFERROR(VLOOKUP(I894,Stock2!F:J,5,False),"")</f>
        <v/>
      </c>
      <c r="V894" s="102" t="str">
        <f t="array" ref="V894">_xlfn.XLOOKUP("Charger",Stock1!B894,Stock1!I894,"")</f>
        <v/>
      </c>
      <c r="W894" s="102" t="str">
        <f t="array" ref="W894">_xlfn.XLOOKUP(V894,Stock1!I894,Stock1!F894,"")</f>
        <v/>
      </c>
      <c r="X894" s="102" t="str">
        <f t="array" ref="X894">_xlfn.XLOOKUP(V894,Stock1!I894,Stock1!J894,"")</f>
        <v/>
      </c>
      <c r="Y894" s="102" t="str">
        <f t="array" ref="Y894">_xlfn.XLOOKUP("Screen Protector for Android Phone and Other",Stock1!B894,Stock1!I894,"")</f>
        <v/>
      </c>
      <c r="Z894" s="102" t="str">
        <f t="array" ref="Z894">_xlfn.XLOOKUP("Screen Protector for Galaxy Phone",Stock1!B894,Stock1!I894,"")</f>
        <v/>
      </c>
      <c r="AA894" s="102" t="str">
        <f t="array" ref="AA894">_xlfn.XLOOKUP("Screen Protector for Galaxy Tab",Stock1!B894,Stock1!I894,"")</f>
        <v/>
      </c>
      <c r="AB894" s="102" t="str">
        <f t="shared" si="4"/>
        <v/>
      </c>
      <c r="AC894" s="102" t="str">
        <f t="array" ref="AC894">_xlfn.XLOOKUP(AB894,Stock1!I894,Stock1!F894,"")</f>
        <v/>
      </c>
      <c r="AD894" s="102" t="str">
        <f t="array" ref="AD894">_xlfn.XLOOKUP(AB894,Stock1!I894,Stock1!J894,"")</f>
        <v/>
      </c>
      <c r="AE894" s="102" t="str">
        <f t="array" ref="AE894">_xlfn.XLOOKUP("Storage",Stock1!B894,Stock1!I894,"")</f>
        <v/>
      </c>
      <c r="AF894" s="102" t="str">
        <f t="array" ref="AF894">_xlfn.XLOOKUP(AE894,Stock1!I894,Stock1!F894,"")</f>
        <v/>
      </c>
      <c r="AG894" s="102" t="str">
        <f t="array" ref="AG894">_xlfn.XLOOKUP(AE894,Stock1!I894,Stock1!J894,"")</f>
        <v/>
      </c>
    </row>
    <row r="895">
      <c r="K895" s="660" t="str">
        <f t="array" ref="K895">IFERROR(_xlfn.XLOOKUP(I895,Incentive!B:B,Incentive!E:E,""),"")</f>
        <v/>
      </c>
      <c r="L895" s="659" t="str">
        <f>IFERROR(VLOOKUP(I895,Stock1!F:J,5,False),"")</f>
        <v/>
      </c>
      <c r="M895" s="659" t="str">
        <f>IFERROR(VLOOKUP(I895,Stock2!F:J,5,False),"")</f>
        <v/>
      </c>
      <c r="V895" s="102" t="str">
        <f t="array" ref="V895">_xlfn.XLOOKUP("Charger",Stock1!B895,Stock1!I895,"")</f>
        <v/>
      </c>
      <c r="W895" s="102" t="str">
        <f t="array" ref="W895">_xlfn.XLOOKUP(V895,Stock1!I895,Stock1!F895,"")</f>
        <v/>
      </c>
      <c r="X895" s="102" t="str">
        <f t="array" ref="X895">_xlfn.XLOOKUP(V895,Stock1!I895,Stock1!J895,"")</f>
        <v/>
      </c>
      <c r="Y895" s="102" t="str">
        <f t="array" ref="Y895">_xlfn.XLOOKUP("Screen Protector for Android Phone and Other",Stock1!B895,Stock1!I895,"")</f>
        <v/>
      </c>
      <c r="Z895" s="102" t="str">
        <f t="array" ref="Z895">_xlfn.XLOOKUP("Screen Protector for Galaxy Phone",Stock1!B895,Stock1!I895,"")</f>
        <v/>
      </c>
      <c r="AA895" s="102" t="str">
        <f t="array" ref="AA895">_xlfn.XLOOKUP("Screen Protector for Galaxy Tab",Stock1!B895,Stock1!I895,"")</f>
        <v/>
      </c>
      <c r="AB895" s="102" t="str">
        <f t="shared" si="4"/>
        <v/>
      </c>
      <c r="AC895" s="102" t="str">
        <f t="array" ref="AC895">_xlfn.XLOOKUP(AB895,Stock1!I895,Stock1!F895,"")</f>
        <v/>
      </c>
      <c r="AD895" s="102" t="str">
        <f t="array" ref="AD895">_xlfn.XLOOKUP(AB895,Stock1!I895,Stock1!J895,"")</f>
        <v/>
      </c>
      <c r="AE895" s="102" t="str">
        <f t="array" ref="AE895">_xlfn.XLOOKUP("Storage",Stock1!B895,Stock1!I895,"")</f>
        <v/>
      </c>
      <c r="AF895" s="102" t="str">
        <f t="array" ref="AF895">_xlfn.XLOOKUP(AE895,Stock1!I895,Stock1!F895,"")</f>
        <v/>
      </c>
      <c r="AG895" s="102" t="str">
        <f t="array" ref="AG895">_xlfn.XLOOKUP(AE895,Stock1!I895,Stock1!J895,"")</f>
        <v/>
      </c>
    </row>
    <row r="896">
      <c r="K896" s="660" t="str">
        <f t="array" ref="K896">IFERROR(_xlfn.XLOOKUP(I896,Incentive!B:B,Incentive!E:E,""),"")</f>
        <v/>
      </c>
      <c r="L896" s="659" t="str">
        <f>IFERROR(VLOOKUP(I896,Stock1!F:J,5,False),"")</f>
        <v/>
      </c>
      <c r="M896" s="659" t="str">
        <f>IFERROR(VLOOKUP(I896,Stock2!F:J,5,False),"")</f>
        <v/>
      </c>
      <c r="V896" s="102" t="str">
        <f t="array" ref="V896">_xlfn.XLOOKUP("Charger",Stock1!B896,Stock1!I896,"")</f>
        <v/>
      </c>
      <c r="W896" s="102" t="str">
        <f t="array" ref="W896">_xlfn.XLOOKUP(V896,Stock1!I896,Stock1!F896,"")</f>
        <v/>
      </c>
      <c r="X896" s="102" t="str">
        <f t="array" ref="X896">_xlfn.XLOOKUP(V896,Stock1!I896,Stock1!J896,"")</f>
        <v/>
      </c>
      <c r="Y896" s="102" t="str">
        <f t="array" ref="Y896">_xlfn.XLOOKUP("Screen Protector for Android Phone and Other",Stock1!B896,Stock1!I896,"")</f>
        <v/>
      </c>
      <c r="Z896" s="102" t="str">
        <f t="array" ref="Z896">_xlfn.XLOOKUP("Screen Protector for Galaxy Phone",Stock1!B896,Stock1!I896,"")</f>
        <v/>
      </c>
      <c r="AA896" s="102" t="str">
        <f t="array" ref="AA896">_xlfn.XLOOKUP("Screen Protector for Galaxy Tab",Stock1!B896,Stock1!I896,"")</f>
        <v/>
      </c>
      <c r="AB896" s="102" t="str">
        <f t="shared" si="4"/>
        <v/>
      </c>
      <c r="AC896" s="102" t="str">
        <f t="array" ref="AC896">_xlfn.XLOOKUP(AB896,Stock1!I896,Stock1!F896,"")</f>
        <v/>
      </c>
      <c r="AD896" s="102" t="str">
        <f t="array" ref="AD896">_xlfn.XLOOKUP(AB896,Stock1!I896,Stock1!J896,"")</f>
        <v/>
      </c>
      <c r="AE896" s="102" t="str">
        <f t="array" ref="AE896">_xlfn.XLOOKUP("Storage",Stock1!B896,Stock1!I896,"")</f>
        <v/>
      </c>
      <c r="AF896" s="102" t="str">
        <f t="array" ref="AF896">_xlfn.XLOOKUP(AE896,Stock1!I896,Stock1!F896,"")</f>
        <v/>
      </c>
      <c r="AG896" s="102" t="str">
        <f t="array" ref="AG896">_xlfn.XLOOKUP(AE896,Stock1!I896,Stock1!J896,"")</f>
        <v/>
      </c>
    </row>
    <row r="897">
      <c r="K897" s="660" t="str">
        <f t="array" ref="K897">IFERROR(_xlfn.XLOOKUP(I897,Incentive!B:B,Incentive!E:E,""),"")</f>
        <v/>
      </c>
      <c r="L897" s="659" t="str">
        <f>IFERROR(VLOOKUP(I897,Stock1!F:J,5,False),"")</f>
        <v/>
      </c>
      <c r="M897" s="659" t="str">
        <f>IFERROR(VLOOKUP(I897,Stock2!F:J,5,False),"")</f>
        <v/>
      </c>
      <c r="V897" s="102" t="str">
        <f t="array" ref="V897">_xlfn.XLOOKUP("Charger",Stock1!B897,Stock1!I897,"")</f>
        <v/>
      </c>
      <c r="W897" s="102" t="str">
        <f t="array" ref="W897">_xlfn.XLOOKUP(V897,Stock1!I897,Stock1!F897,"")</f>
        <v/>
      </c>
      <c r="X897" s="102" t="str">
        <f t="array" ref="X897">_xlfn.XLOOKUP(V897,Stock1!I897,Stock1!J897,"")</f>
        <v/>
      </c>
      <c r="Y897" s="102" t="str">
        <f t="array" ref="Y897">_xlfn.XLOOKUP("Screen Protector for Android Phone and Other",Stock1!B897,Stock1!I897,"")</f>
        <v/>
      </c>
      <c r="Z897" s="102" t="str">
        <f t="array" ref="Z897">_xlfn.XLOOKUP("Screen Protector for Galaxy Phone",Stock1!B897,Stock1!I897,"")</f>
        <v/>
      </c>
      <c r="AA897" s="102" t="str">
        <f t="array" ref="AA897">_xlfn.XLOOKUP("Screen Protector for Galaxy Tab",Stock1!B897,Stock1!I897,"")</f>
        <v/>
      </c>
      <c r="AB897" s="102" t="str">
        <f t="shared" si="4"/>
        <v/>
      </c>
      <c r="AC897" s="102" t="str">
        <f t="array" ref="AC897">_xlfn.XLOOKUP(AB897,Stock1!I897,Stock1!F897,"")</f>
        <v/>
      </c>
      <c r="AD897" s="102" t="str">
        <f t="array" ref="AD897">_xlfn.XLOOKUP(AB897,Stock1!I897,Stock1!J897,"")</f>
        <v/>
      </c>
      <c r="AE897" s="102" t="str">
        <f t="array" ref="AE897">_xlfn.XLOOKUP("Storage",Stock1!B897,Stock1!I897,"")</f>
        <v/>
      </c>
      <c r="AF897" s="102" t="str">
        <f t="array" ref="AF897">_xlfn.XLOOKUP(AE897,Stock1!I897,Stock1!F897,"")</f>
        <v/>
      </c>
      <c r="AG897" s="102" t="str">
        <f t="array" ref="AG897">_xlfn.XLOOKUP(AE897,Stock1!I897,Stock1!J897,"")</f>
        <v/>
      </c>
    </row>
    <row r="898">
      <c r="K898" s="660" t="str">
        <f t="array" ref="K898">IFERROR(_xlfn.XLOOKUP(I898,Incentive!B:B,Incentive!E:E,""),"")</f>
        <v/>
      </c>
      <c r="L898" s="659" t="str">
        <f>IFERROR(VLOOKUP(I898,Stock1!F:J,5,False),"")</f>
        <v/>
      </c>
      <c r="M898" s="659" t="str">
        <f>IFERROR(VLOOKUP(I898,Stock2!F:J,5,False),"")</f>
        <v/>
      </c>
      <c r="V898" s="102" t="str">
        <f t="array" ref="V898">_xlfn.XLOOKUP("Charger",Stock1!B898,Stock1!I898,"")</f>
        <v/>
      </c>
      <c r="W898" s="102" t="str">
        <f t="array" ref="W898">_xlfn.XLOOKUP(V898,Stock1!I898,Stock1!F898,"")</f>
        <v/>
      </c>
      <c r="X898" s="102" t="str">
        <f t="array" ref="X898">_xlfn.XLOOKUP(V898,Stock1!I898,Stock1!J898,"")</f>
        <v/>
      </c>
      <c r="Y898" s="102" t="str">
        <f t="array" ref="Y898">_xlfn.XLOOKUP("Screen Protector for Android Phone and Other",Stock1!B898,Stock1!I898,"")</f>
        <v/>
      </c>
      <c r="Z898" s="102" t="str">
        <f t="array" ref="Z898">_xlfn.XLOOKUP("Screen Protector for Galaxy Phone",Stock1!B898,Stock1!I898,"")</f>
        <v/>
      </c>
      <c r="AA898" s="102" t="str">
        <f t="array" ref="AA898">_xlfn.XLOOKUP("Screen Protector for Galaxy Tab",Stock1!B898,Stock1!I898,"")</f>
        <v/>
      </c>
      <c r="AB898" s="102" t="str">
        <f t="shared" si="4"/>
        <v/>
      </c>
      <c r="AC898" s="102" t="str">
        <f t="array" ref="AC898">_xlfn.XLOOKUP(AB898,Stock1!I898,Stock1!F898,"")</f>
        <v/>
      </c>
      <c r="AD898" s="102" t="str">
        <f t="array" ref="AD898">_xlfn.XLOOKUP(AB898,Stock1!I898,Stock1!J898,"")</f>
        <v/>
      </c>
      <c r="AE898" s="102" t="str">
        <f t="array" ref="AE898">_xlfn.XLOOKUP("Storage",Stock1!B898,Stock1!I898,"")</f>
        <v/>
      </c>
      <c r="AF898" s="102" t="str">
        <f t="array" ref="AF898">_xlfn.XLOOKUP(AE898,Stock1!I898,Stock1!F898,"")</f>
        <v/>
      </c>
      <c r="AG898" s="102" t="str">
        <f t="array" ref="AG898">_xlfn.XLOOKUP(AE898,Stock1!I898,Stock1!J898,"")</f>
        <v/>
      </c>
    </row>
    <row r="899">
      <c r="K899" s="660" t="str">
        <f t="array" ref="K899">IFERROR(_xlfn.XLOOKUP(I899,Incentive!B:B,Incentive!E:E,""),"")</f>
        <v/>
      </c>
      <c r="L899" s="659" t="str">
        <f>IFERROR(VLOOKUP(I899,Stock1!F:J,5,False),"")</f>
        <v/>
      </c>
      <c r="M899" s="659" t="str">
        <f>IFERROR(VLOOKUP(I899,Stock2!F:J,5,False),"")</f>
        <v/>
      </c>
      <c r="V899" s="102" t="str">
        <f t="array" ref="V899">_xlfn.XLOOKUP("Charger",Stock1!B899,Stock1!I899,"")</f>
        <v/>
      </c>
      <c r="W899" s="102" t="str">
        <f t="array" ref="W899">_xlfn.XLOOKUP(V899,Stock1!I899,Stock1!F899,"")</f>
        <v/>
      </c>
      <c r="X899" s="102" t="str">
        <f t="array" ref="X899">_xlfn.XLOOKUP(V899,Stock1!I899,Stock1!J899,"")</f>
        <v/>
      </c>
      <c r="Y899" s="102" t="str">
        <f t="array" ref="Y899">_xlfn.XLOOKUP("Screen Protector for Android Phone and Other",Stock1!B899,Stock1!I899,"")</f>
        <v/>
      </c>
      <c r="Z899" s="102" t="str">
        <f t="array" ref="Z899">_xlfn.XLOOKUP("Screen Protector for Galaxy Phone",Stock1!B899,Stock1!I899,"")</f>
        <v/>
      </c>
      <c r="AA899" s="102" t="str">
        <f t="array" ref="AA899">_xlfn.XLOOKUP("Screen Protector for Galaxy Tab",Stock1!B899,Stock1!I899,"")</f>
        <v/>
      </c>
      <c r="AB899" s="102" t="str">
        <f t="shared" si="4"/>
        <v/>
      </c>
      <c r="AC899" s="102" t="str">
        <f t="array" ref="AC899">_xlfn.XLOOKUP(AB899,Stock1!I899,Stock1!F899,"")</f>
        <v/>
      </c>
      <c r="AD899" s="102" t="str">
        <f t="array" ref="AD899">_xlfn.XLOOKUP(AB899,Stock1!I899,Stock1!J899,"")</f>
        <v/>
      </c>
      <c r="AE899" s="102" t="str">
        <f t="array" ref="AE899">_xlfn.XLOOKUP("Storage",Stock1!B899,Stock1!I899,"")</f>
        <v/>
      </c>
      <c r="AF899" s="102" t="str">
        <f t="array" ref="AF899">_xlfn.XLOOKUP(AE899,Stock1!I899,Stock1!F899,"")</f>
        <v/>
      </c>
      <c r="AG899" s="102" t="str">
        <f t="array" ref="AG899">_xlfn.XLOOKUP(AE899,Stock1!I899,Stock1!J899,"")</f>
        <v/>
      </c>
    </row>
    <row r="900">
      <c r="K900" s="660" t="str">
        <f t="array" ref="K900">IFERROR(_xlfn.XLOOKUP(I900,Incentive!B:B,Incentive!E:E,""),"")</f>
        <v/>
      </c>
      <c r="L900" s="659" t="str">
        <f>IFERROR(VLOOKUP(I900,Stock1!F:J,5,False),"")</f>
        <v/>
      </c>
      <c r="M900" s="659" t="str">
        <f>IFERROR(VLOOKUP(I900,Stock2!F:J,5,False),"")</f>
        <v/>
      </c>
      <c r="V900" s="102" t="str">
        <f t="array" ref="V900">_xlfn.XLOOKUP("Charger",Stock1!B900,Stock1!I900,"")</f>
        <v/>
      </c>
      <c r="W900" s="102" t="str">
        <f t="array" ref="W900">_xlfn.XLOOKUP(V900,Stock1!I900,Stock1!F900,"")</f>
        <v/>
      </c>
      <c r="X900" s="102" t="str">
        <f t="array" ref="X900">_xlfn.XLOOKUP(V900,Stock1!I900,Stock1!J900,"")</f>
        <v/>
      </c>
      <c r="Y900" s="102" t="str">
        <f t="array" ref="Y900">_xlfn.XLOOKUP("Screen Protector for Android Phone and Other",Stock1!B900,Stock1!I900,"")</f>
        <v/>
      </c>
      <c r="Z900" s="102" t="str">
        <f t="array" ref="Z900">_xlfn.XLOOKUP("Screen Protector for Galaxy Phone",Stock1!B900,Stock1!I900,"")</f>
        <v/>
      </c>
      <c r="AA900" s="102" t="str">
        <f t="array" ref="AA900">_xlfn.XLOOKUP("Screen Protector for Galaxy Tab",Stock1!B900,Stock1!I900,"")</f>
        <v/>
      </c>
      <c r="AB900" s="102" t="str">
        <f t="shared" si="4"/>
        <v/>
      </c>
      <c r="AC900" s="102" t="str">
        <f t="array" ref="AC900">_xlfn.XLOOKUP(AB900,Stock1!I900,Stock1!F900,"")</f>
        <v/>
      </c>
      <c r="AD900" s="102" t="str">
        <f t="array" ref="AD900">_xlfn.XLOOKUP(AB900,Stock1!I900,Stock1!J900,"")</f>
        <v/>
      </c>
      <c r="AE900" s="102" t="str">
        <f t="array" ref="AE900">_xlfn.XLOOKUP("Storage",Stock1!B900,Stock1!I900,"")</f>
        <v/>
      </c>
      <c r="AF900" s="102" t="str">
        <f t="array" ref="AF900">_xlfn.XLOOKUP(AE900,Stock1!I900,Stock1!F900,"")</f>
        <v/>
      </c>
      <c r="AG900" s="102" t="str">
        <f t="array" ref="AG900">_xlfn.XLOOKUP(AE900,Stock1!I900,Stock1!J900,"")</f>
        <v/>
      </c>
    </row>
    <row r="901">
      <c r="K901" s="660" t="str">
        <f t="array" ref="K901">IFERROR(_xlfn.XLOOKUP(I901,Incentive!B:B,Incentive!E:E,""),"")</f>
        <v/>
      </c>
      <c r="L901" s="659" t="str">
        <f>IFERROR(VLOOKUP(I901,Stock1!F:J,5,False),"")</f>
        <v/>
      </c>
      <c r="M901" s="659" t="str">
        <f>IFERROR(VLOOKUP(I901,Stock2!F:J,5,False),"")</f>
        <v/>
      </c>
      <c r="V901" s="102" t="str">
        <f t="array" ref="V901">_xlfn.XLOOKUP("Charger",Stock1!B901,Stock1!I901,"")</f>
        <v/>
      </c>
      <c r="W901" s="102" t="str">
        <f t="array" ref="W901">_xlfn.XLOOKUP(V901,Stock1!I901,Stock1!F901,"")</f>
        <v/>
      </c>
      <c r="X901" s="102" t="str">
        <f t="array" ref="X901">_xlfn.XLOOKUP(V901,Stock1!I901,Stock1!J901,"")</f>
        <v/>
      </c>
      <c r="Y901" s="102" t="str">
        <f t="array" ref="Y901">_xlfn.XLOOKUP("Screen Protector for Android Phone and Other",Stock1!B901,Stock1!I901,"")</f>
        <v/>
      </c>
      <c r="Z901" s="102" t="str">
        <f t="array" ref="Z901">_xlfn.XLOOKUP("Screen Protector for Galaxy Phone",Stock1!B901,Stock1!I901,"")</f>
        <v/>
      </c>
      <c r="AA901" s="102" t="str">
        <f t="array" ref="AA901">_xlfn.XLOOKUP("Screen Protector for Galaxy Tab",Stock1!B901,Stock1!I901,"")</f>
        <v/>
      </c>
      <c r="AB901" s="102" t="str">
        <f t="shared" si="4"/>
        <v/>
      </c>
      <c r="AC901" s="102" t="str">
        <f t="array" ref="AC901">_xlfn.XLOOKUP(AB901,Stock1!I901,Stock1!F901,"")</f>
        <v/>
      </c>
      <c r="AD901" s="102" t="str">
        <f t="array" ref="AD901">_xlfn.XLOOKUP(AB901,Stock1!I901,Stock1!J901,"")</f>
        <v/>
      </c>
      <c r="AE901" s="102" t="str">
        <f t="array" ref="AE901">_xlfn.XLOOKUP("Storage",Stock1!B901,Stock1!I901,"")</f>
        <v/>
      </c>
      <c r="AF901" s="102" t="str">
        <f t="array" ref="AF901">_xlfn.XLOOKUP(AE901,Stock1!I901,Stock1!F901,"")</f>
        <v/>
      </c>
      <c r="AG901" s="102" t="str">
        <f t="array" ref="AG901">_xlfn.XLOOKUP(AE901,Stock1!I901,Stock1!J901,"")</f>
        <v/>
      </c>
    </row>
    <row r="902">
      <c r="K902" s="660" t="str">
        <f t="array" ref="K902">IFERROR(_xlfn.XLOOKUP(I902,Incentive!B:B,Incentive!E:E,""),"")</f>
        <v/>
      </c>
      <c r="L902" s="659" t="str">
        <f>IFERROR(VLOOKUP(I902,Stock1!F:J,5,False),"")</f>
        <v/>
      </c>
      <c r="M902" s="659" t="str">
        <f>IFERROR(VLOOKUP(I902,Stock2!F:J,5,False),"")</f>
        <v/>
      </c>
      <c r="V902" s="102" t="str">
        <f t="array" ref="V902">_xlfn.XLOOKUP("Charger",Stock1!B902,Stock1!I902,"")</f>
        <v/>
      </c>
      <c r="W902" s="102" t="str">
        <f t="array" ref="W902">_xlfn.XLOOKUP(V902,Stock1!I902,Stock1!F902,"")</f>
        <v/>
      </c>
      <c r="X902" s="102" t="str">
        <f t="array" ref="X902">_xlfn.XLOOKUP(V902,Stock1!I902,Stock1!J902,"")</f>
        <v/>
      </c>
      <c r="Y902" s="102" t="str">
        <f t="array" ref="Y902">_xlfn.XLOOKUP("Screen Protector for Android Phone and Other",Stock1!B902,Stock1!I902,"")</f>
        <v/>
      </c>
      <c r="Z902" s="102" t="str">
        <f t="array" ref="Z902">_xlfn.XLOOKUP("Screen Protector for Galaxy Phone",Stock1!B902,Stock1!I902,"")</f>
        <v/>
      </c>
      <c r="AA902" s="102" t="str">
        <f t="array" ref="AA902">_xlfn.XLOOKUP("Screen Protector for Galaxy Tab",Stock1!B902,Stock1!I902,"")</f>
        <v/>
      </c>
      <c r="AB902" s="102" t="str">
        <f t="shared" si="4"/>
        <v/>
      </c>
      <c r="AC902" s="102" t="str">
        <f t="array" ref="AC902">_xlfn.XLOOKUP(AB902,Stock1!I902,Stock1!F902,"")</f>
        <v/>
      </c>
      <c r="AD902" s="102" t="str">
        <f t="array" ref="AD902">_xlfn.XLOOKUP(AB902,Stock1!I902,Stock1!J902,"")</f>
        <v/>
      </c>
      <c r="AE902" s="102" t="str">
        <f t="array" ref="AE902">_xlfn.XLOOKUP("Storage",Stock1!B902,Stock1!I902,"")</f>
        <v/>
      </c>
      <c r="AF902" s="102" t="str">
        <f t="array" ref="AF902">_xlfn.XLOOKUP(AE902,Stock1!I902,Stock1!F902,"")</f>
        <v/>
      </c>
      <c r="AG902" s="102" t="str">
        <f t="array" ref="AG902">_xlfn.XLOOKUP(AE902,Stock1!I902,Stock1!J902,"")</f>
        <v/>
      </c>
    </row>
    <row r="903">
      <c r="K903" s="660" t="str">
        <f t="array" ref="K903">IFERROR(_xlfn.XLOOKUP(I903,Incentive!B:B,Incentive!E:E,""),"")</f>
        <v/>
      </c>
      <c r="L903" s="659" t="str">
        <f>IFERROR(VLOOKUP(I903,Stock1!F:J,5,False),"")</f>
        <v/>
      </c>
      <c r="M903" s="659" t="str">
        <f>IFERROR(VLOOKUP(I903,Stock2!F:J,5,False),"")</f>
        <v/>
      </c>
      <c r="V903" s="102" t="str">
        <f t="array" ref="V903">_xlfn.XLOOKUP("Charger",Stock1!B903,Stock1!I903,"")</f>
        <v/>
      </c>
      <c r="W903" s="102" t="str">
        <f t="array" ref="W903">_xlfn.XLOOKUP(V903,Stock1!I903,Stock1!F903,"")</f>
        <v/>
      </c>
      <c r="X903" s="102" t="str">
        <f t="array" ref="X903">_xlfn.XLOOKUP(V903,Stock1!I903,Stock1!J903,"")</f>
        <v/>
      </c>
      <c r="Y903" s="102" t="str">
        <f t="array" ref="Y903">_xlfn.XLOOKUP("Screen Protector for Android Phone and Other",Stock1!B903,Stock1!I903,"")</f>
        <v/>
      </c>
      <c r="Z903" s="102" t="str">
        <f t="array" ref="Z903">_xlfn.XLOOKUP("Screen Protector for Galaxy Phone",Stock1!B903,Stock1!I903,"")</f>
        <v/>
      </c>
      <c r="AA903" s="102" t="str">
        <f t="array" ref="AA903">_xlfn.XLOOKUP("Screen Protector for Galaxy Tab",Stock1!B903,Stock1!I903,"")</f>
        <v/>
      </c>
      <c r="AB903" s="102" t="str">
        <f t="shared" si="4"/>
        <v/>
      </c>
      <c r="AC903" s="102" t="str">
        <f t="array" ref="AC903">_xlfn.XLOOKUP(AB903,Stock1!I903,Stock1!F903,"")</f>
        <v/>
      </c>
      <c r="AD903" s="102" t="str">
        <f t="array" ref="AD903">_xlfn.XLOOKUP(AB903,Stock1!I903,Stock1!J903,"")</f>
        <v/>
      </c>
      <c r="AE903" s="102" t="str">
        <f t="array" ref="AE903">_xlfn.XLOOKUP("Storage",Stock1!B903,Stock1!I903,"")</f>
        <v/>
      </c>
      <c r="AF903" s="102" t="str">
        <f t="array" ref="AF903">_xlfn.XLOOKUP(AE903,Stock1!I903,Stock1!F903,"")</f>
        <v/>
      </c>
      <c r="AG903" s="102" t="str">
        <f t="array" ref="AG903">_xlfn.XLOOKUP(AE903,Stock1!I903,Stock1!J903,"")</f>
        <v/>
      </c>
    </row>
    <row r="904">
      <c r="K904" s="660" t="str">
        <f t="array" ref="K904">IFERROR(_xlfn.XLOOKUP(I904,Incentive!B:B,Incentive!E:E,""),"")</f>
        <v/>
      </c>
      <c r="L904" s="659" t="str">
        <f>IFERROR(VLOOKUP(I904,Stock1!F:J,5,False),"")</f>
        <v/>
      </c>
      <c r="M904" s="659" t="str">
        <f>IFERROR(VLOOKUP(I904,Stock2!F:J,5,False),"")</f>
        <v/>
      </c>
      <c r="V904" s="102" t="str">
        <f t="array" ref="V904">_xlfn.XLOOKUP("Charger",Stock1!B904,Stock1!I904,"")</f>
        <v/>
      </c>
      <c r="W904" s="102" t="str">
        <f t="array" ref="W904">_xlfn.XLOOKUP(V904,Stock1!I904,Stock1!F904,"")</f>
        <v/>
      </c>
      <c r="X904" s="102" t="str">
        <f t="array" ref="X904">_xlfn.XLOOKUP(V904,Stock1!I904,Stock1!J904,"")</f>
        <v/>
      </c>
      <c r="Y904" s="102" t="str">
        <f t="array" ref="Y904">_xlfn.XLOOKUP("Screen Protector for Android Phone and Other",Stock1!B904,Stock1!I904,"")</f>
        <v/>
      </c>
      <c r="Z904" s="102" t="str">
        <f t="array" ref="Z904">_xlfn.XLOOKUP("Screen Protector for Galaxy Phone",Stock1!B904,Stock1!I904,"")</f>
        <v/>
      </c>
      <c r="AA904" s="102" t="str">
        <f t="array" ref="AA904">_xlfn.XLOOKUP("Screen Protector for Galaxy Tab",Stock1!B904,Stock1!I904,"")</f>
        <v/>
      </c>
      <c r="AB904" s="102" t="str">
        <f t="shared" si="4"/>
        <v/>
      </c>
      <c r="AC904" s="102" t="str">
        <f t="array" ref="AC904">_xlfn.XLOOKUP(AB904,Stock1!I904,Stock1!F904,"")</f>
        <v/>
      </c>
      <c r="AD904" s="102" t="str">
        <f t="array" ref="AD904">_xlfn.XLOOKUP(AB904,Stock1!I904,Stock1!J904,"")</f>
        <v/>
      </c>
      <c r="AE904" s="102" t="str">
        <f t="array" ref="AE904">_xlfn.XLOOKUP("Storage",Stock1!B904,Stock1!I904,"")</f>
        <v/>
      </c>
      <c r="AF904" s="102" t="str">
        <f t="array" ref="AF904">_xlfn.XLOOKUP(AE904,Stock1!I904,Stock1!F904,"")</f>
        <v/>
      </c>
      <c r="AG904" s="102" t="str">
        <f t="array" ref="AG904">_xlfn.XLOOKUP(AE904,Stock1!I904,Stock1!J904,"")</f>
        <v/>
      </c>
    </row>
    <row r="905">
      <c r="K905" s="660" t="str">
        <f t="array" ref="K905">IFERROR(_xlfn.XLOOKUP(I905,Incentive!B:B,Incentive!E:E,""),"")</f>
        <v/>
      </c>
      <c r="L905" s="659" t="str">
        <f>IFERROR(VLOOKUP(I905,Stock1!F:J,5,False),"")</f>
        <v/>
      </c>
      <c r="M905" s="659" t="str">
        <f>IFERROR(VLOOKUP(I905,Stock2!F:J,5,False),"")</f>
        <v/>
      </c>
      <c r="V905" s="102" t="str">
        <f t="array" ref="V905">_xlfn.XLOOKUP("Charger",Stock1!B905,Stock1!I905,"")</f>
        <v/>
      </c>
      <c r="W905" s="102" t="str">
        <f t="array" ref="W905">_xlfn.XLOOKUP(V905,Stock1!I905,Stock1!F905,"")</f>
        <v/>
      </c>
      <c r="X905" s="102" t="str">
        <f t="array" ref="X905">_xlfn.XLOOKUP(V905,Stock1!I905,Stock1!J905,"")</f>
        <v/>
      </c>
      <c r="Y905" s="102" t="str">
        <f t="array" ref="Y905">_xlfn.XLOOKUP("Screen Protector for Android Phone and Other",Stock1!B905,Stock1!I905,"")</f>
        <v/>
      </c>
      <c r="Z905" s="102" t="str">
        <f t="array" ref="Z905">_xlfn.XLOOKUP("Screen Protector for Galaxy Phone",Stock1!B905,Stock1!I905,"")</f>
        <v/>
      </c>
      <c r="AA905" s="102" t="str">
        <f t="array" ref="AA905">_xlfn.XLOOKUP("Screen Protector for Galaxy Tab",Stock1!B905,Stock1!I905,"")</f>
        <v/>
      </c>
      <c r="AB905" s="102" t="str">
        <f t="shared" si="4"/>
        <v/>
      </c>
      <c r="AC905" s="102" t="str">
        <f t="array" ref="AC905">_xlfn.XLOOKUP(AB905,Stock1!I905,Stock1!F905,"")</f>
        <v/>
      </c>
      <c r="AD905" s="102" t="str">
        <f t="array" ref="AD905">_xlfn.XLOOKUP(AB905,Stock1!I905,Stock1!J905,"")</f>
        <v/>
      </c>
      <c r="AE905" s="102" t="str">
        <f t="array" ref="AE905">_xlfn.XLOOKUP("Storage",Stock1!B905,Stock1!I905,"")</f>
        <v/>
      </c>
      <c r="AF905" s="102" t="str">
        <f t="array" ref="AF905">_xlfn.XLOOKUP(AE905,Stock1!I905,Stock1!F905,"")</f>
        <v/>
      </c>
      <c r="AG905" s="102" t="str">
        <f t="array" ref="AG905">_xlfn.XLOOKUP(AE905,Stock1!I905,Stock1!J905,"")</f>
        <v/>
      </c>
    </row>
    <row r="906">
      <c r="K906" s="660" t="str">
        <f t="array" ref="K906">IFERROR(_xlfn.XLOOKUP(I906,Incentive!B:B,Incentive!E:E,""),"")</f>
        <v/>
      </c>
      <c r="L906" s="659" t="str">
        <f>IFERROR(VLOOKUP(I906,Stock1!F:J,5,False),"")</f>
        <v/>
      </c>
      <c r="M906" s="659" t="str">
        <f>IFERROR(VLOOKUP(I906,Stock2!F:J,5,False),"")</f>
        <v/>
      </c>
      <c r="V906" s="102" t="str">
        <f t="array" ref="V906">_xlfn.XLOOKUP("Charger",Stock1!B906,Stock1!I906,"")</f>
        <v/>
      </c>
      <c r="W906" s="102" t="str">
        <f t="array" ref="W906">_xlfn.XLOOKUP(V906,Stock1!I906,Stock1!F906,"")</f>
        <v/>
      </c>
      <c r="X906" s="102" t="str">
        <f t="array" ref="X906">_xlfn.XLOOKUP(V906,Stock1!I906,Stock1!J906,"")</f>
        <v/>
      </c>
      <c r="Y906" s="102" t="str">
        <f t="array" ref="Y906">_xlfn.XLOOKUP("Screen Protector for Android Phone and Other",Stock1!B906,Stock1!I906,"")</f>
        <v/>
      </c>
      <c r="Z906" s="102" t="str">
        <f t="array" ref="Z906">_xlfn.XLOOKUP("Screen Protector for Galaxy Phone",Stock1!B906,Stock1!I906,"")</f>
        <v/>
      </c>
      <c r="AA906" s="102" t="str">
        <f t="array" ref="AA906">_xlfn.XLOOKUP("Screen Protector for Galaxy Tab",Stock1!B906,Stock1!I906,"")</f>
        <v/>
      </c>
      <c r="AB906" s="102" t="str">
        <f t="shared" si="4"/>
        <v/>
      </c>
      <c r="AC906" s="102" t="str">
        <f t="array" ref="AC906">_xlfn.XLOOKUP(AB906,Stock1!I906,Stock1!F906,"")</f>
        <v/>
      </c>
      <c r="AD906" s="102" t="str">
        <f t="array" ref="AD906">_xlfn.XLOOKUP(AB906,Stock1!I906,Stock1!J906,"")</f>
        <v/>
      </c>
      <c r="AE906" s="102" t="str">
        <f t="array" ref="AE906">_xlfn.XLOOKUP("Storage",Stock1!B906,Stock1!I906,"")</f>
        <v/>
      </c>
      <c r="AF906" s="102" t="str">
        <f t="array" ref="AF906">_xlfn.XLOOKUP(AE906,Stock1!I906,Stock1!F906,"")</f>
        <v/>
      </c>
      <c r="AG906" s="102" t="str">
        <f t="array" ref="AG906">_xlfn.XLOOKUP(AE906,Stock1!I906,Stock1!J906,"")</f>
        <v/>
      </c>
    </row>
    <row r="907">
      <c r="K907" s="660" t="str">
        <f t="array" ref="K907">IFERROR(_xlfn.XLOOKUP(I907,Incentive!B:B,Incentive!E:E,""),"")</f>
        <v/>
      </c>
      <c r="L907" s="659" t="str">
        <f>IFERROR(VLOOKUP(I907,Stock1!F:J,5,False),"")</f>
        <v/>
      </c>
      <c r="M907" s="659" t="str">
        <f>IFERROR(VLOOKUP(I907,Stock2!F:J,5,False),"")</f>
        <v/>
      </c>
      <c r="V907" s="102" t="str">
        <f t="array" ref="V907">_xlfn.XLOOKUP("Charger",Stock1!B907,Stock1!I907,"")</f>
        <v/>
      </c>
      <c r="W907" s="102" t="str">
        <f t="array" ref="W907">_xlfn.XLOOKUP(V907,Stock1!I907,Stock1!F907,"")</f>
        <v/>
      </c>
      <c r="X907" s="102" t="str">
        <f t="array" ref="X907">_xlfn.XLOOKUP(V907,Stock1!I907,Stock1!J907,"")</f>
        <v/>
      </c>
      <c r="Y907" s="102" t="str">
        <f t="array" ref="Y907">_xlfn.XLOOKUP("Screen Protector for Android Phone and Other",Stock1!B907,Stock1!I907,"")</f>
        <v/>
      </c>
      <c r="Z907" s="102" t="str">
        <f t="array" ref="Z907">_xlfn.XLOOKUP("Screen Protector for Galaxy Phone",Stock1!B907,Stock1!I907,"")</f>
        <v/>
      </c>
      <c r="AA907" s="102" t="str">
        <f t="array" ref="AA907">_xlfn.XLOOKUP("Screen Protector for Galaxy Tab",Stock1!B907,Stock1!I907,"")</f>
        <v/>
      </c>
      <c r="AB907" s="102" t="str">
        <f t="shared" si="4"/>
        <v/>
      </c>
      <c r="AC907" s="102" t="str">
        <f t="array" ref="AC907">_xlfn.XLOOKUP(AB907,Stock1!I907,Stock1!F907,"")</f>
        <v/>
      </c>
      <c r="AD907" s="102" t="str">
        <f t="array" ref="AD907">_xlfn.XLOOKUP(AB907,Stock1!I907,Stock1!J907,"")</f>
        <v/>
      </c>
      <c r="AE907" s="102" t="str">
        <f t="array" ref="AE907">_xlfn.XLOOKUP("Storage",Stock1!B907,Stock1!I907,"")</f>
        <v/>
      </c>
      <c r="AF907" s="102" t="str">
        <f t="array" ref="AF907">_xlfn.XLOOKUP(AE907,Stock1!I907,Stock1!F907,"")</f>
        <v/>
      </c>
      <c r="AG907" s="102" t="str">
        <f t="array" ref="AG907">_xlfn.XLOOKUP(AE907,Stock1!I907,Stock1!J907,"")</f>
        <v/>
      </c>
    </row>
    <row r="908">
      <c r="K908" s="660" t="str">
        <f t="array" ref="K908">IFERROR(_xlfn.XLOOKUP(I908,Incentive!B:B,Incentive!E:E,""),"")</f>
        <v/>
      </c>
      <c r="L908" s="659" t="str">
        <f>IFERROR(VLOOKUP(I908,Stock1!F:J,5,False),"")</f>
        <v/>
      </c>
      <c r="M908" s="659" t="str">
        <f>IFERROR(VLOOKUP(I908,Stock2!F:J,5,False),"")</f>
        <v/>
      </c>
      <c r="V908" s="102" t="str">
        <f t="array" ref="V908">_xlfn.XLOOKUP("Charger",Stock1!B908,Stock1!I908,"")</f>
        <v/>
      </c>
      <c r="W908" s="102" t="str">
        <f t="array" ref="W908">_xlfn.XLOOKUP(V908,Stock1!I908,Stock1!F908,"")</f>
        <v/>
      </c>
      <c r="X908" s="102" t="str">
        <f t="array" ref="X908">_xlfn.XLOOKUP(V908,Stock1!I908,Stock1!J908,"")</f>
        <v/>
      </c>
      <c r="Y908" s="102" t="str">
        <f t="array" ref="Y908">_xlfn.XLOOKUP("Screen Protector for Android Phone and Other",Stock1!B908,Stock1!I908,"")</f>
        <v/>
      </c>
      <c r="Z908" s="102" t="str">
        <f t="array" ref="Z908">_xlfn.XLOOKUP("Screen Protector for Galaxy Phone",Stock1!B908,Stock1!I908,"")</f>
        <v/>
      </c>
      <c r="AA908" s="102" t="str">
        <f t="array" ref="AA908">_xlfn.XLOOKUP("Screen Protector for Galaxy Tab",Stock1!B908,Stock1!I908,"")</f>
        <v/>
      </c>
      <c r="AB908" s="102" t="str">
        <f t="shared" si="4"/>
        <v/>
      </c>
      <c r="AC908" s="102" t="str">
        <f t="array" ref="AC908">_xlfn.XLOOKUP(AB908,Stock1!I908,Stock1!F908,"")</f>
        <v/>
      </c>
      <c r="AD908" s="102" t="str">
        <f t="array" ref="AD908">_xlfn.XLOOKUP(AB908,Stock1!I908,Stock1!J908,"")</f>
        <v/>
      </c>
      <c r="AE908" s="102" t="str">
        <f t="array" ref="AE908">_xlfn.XLOOKUP("Storage",Stock1!B908,Stock1!I908,"")</f>
        <v/>
      </c>
      <c r="AF908" s="102" t="str">
        <f t="array" ref="AF908">_xlfn.XLOOKUP(AE908,Stock1!I908,Stock1!F908,"")</f>
        <v/>
      </c>
      <c r="AG908" s="102" t="str">
        <f t="array" ref="AG908">_xlfn.XLOOKUP(AE908,Stock1!I908,Stock1!J908,"")</f>
        <v/>
      </c>
    </row>
    <row r="909">
      <c r="K909" s="660" t="str">
        <f t="array" ref="K909">IFERROR(_xlfn.XLOOKUP(I909,Incentive!B:B,Incentive!E:E,""),"")</f>
        <v/>
      </c>
      <c r="L909" s="659" t="str">
        <f>IFERROR(VLOOKUP(I909,Stock1!F:J,5,False),"")</f>
        <v/>
      </c>
      <c r="M909" s="659" t="str">
        <f>IFERROR(VLOOKUP(I909,Stock2!F:J,5,False),"")</f>
        <v/>
      </c>
      <c r="V909" s="102" t="str">
        <f t="array" ref="V909">_xlfn.XLOOKUP("Charger",Stock1!B909,Stock1!I909,"")</f>
        <v/>
      </c>
      <c r="W909" s="102" t="str">
        <f t="array" ref="W909">_xlfn.XLOOKUP(V909,Stock1!I909,Stock1!F909,"")</f>
        <v/>
      </c>
      <c r="X909" s="102" t="str">
        <f t="array" ref="X909">_xlfn.XLOOKUP(V909,Stock1!I909,Stock1!J909,"")</f>
        <v/>
      </c>
      <c r="Y909" s="102" t="str">
        <f t="array" ref="Y909">_xlfn.XLOOKUP("Screen Protector for Android Phone and Other",Stock1!B909,Stock1!I909,"")</f>
        <v/>
      </c>
      <c r="Z909" s="102" t="str">
        <f t="array" ref="Z909">_xlfn.XLOOKUP("Screen Protector for Galaxy Phone",Stock1!B909,Stock1!I909,"")</f>
        <v/>
      </c>
      <c r="AA909" s="102" t="str">
        <f t="array" ref="AA909">_xlfn.XLOOKUP("Screen Protector for Galaxy Tab",Stock1!B909,Stock1!I909,"")</f>
        <v/>
      </c>
      <c r="AB909" s="102" t="str">
        <f t="shared" si="4"/>
        <v/>
      </c>
      <c r="AC909" s="102" t="str">
        <f t="array" ref="AC909">_xlfn.XLOOKUP(AB909,Stock1!I909,Stock1!F909,"")</f>
        <v/>
      </c>
      <c r="AD909" s="102" t="str">
        <f t="array" ref="AD909">_xlfn.XLOOKUP(AB909,Stock1!I909,Stock1!J909,"")</f>
        <v/>
      </c>
      <c r="AE909" s="102" t="str">
        <f t="array" ref="AE909">_xlfn.XLOOKUP("Storage",Stock1!B909,Stock1!I909,"")</f>
        <v/>
      </c>
      <c r="AF909" s="102" t="str">
        <f t="array" ref="AF909">_xlfn.XLOOKUP(AE909,Stock1!I909,Stock1!F909,"")</f>
        <v/>
      </c>
      <c r="AG909" s="102" t="str">
        <f t="array" ref="AG909">_xlfn.XLOOKUP(AE909,Stock1!I909,Stock1!J909,"")</f>
        <v/>
      </c>
    </row>
    <row r="910">
      <c r="K910" s="660" t="str">
        <f t="array" ref="K910">IFERROR(_xlfn.XLOOKUP(I910,Incentive!B:B,Incentive!E:E,""),"")</f>
        <v/>
      </c>
      <c r="L910" s="659" t="str">
        <f>IFERROR(VLOOKUP(I910,Stock1!F:J,5,False),"")</f>
        <v/>
      </c>
      <c r="M910" s="659" t="str">
        <f>IFERROR(VLOOKUP(I910,Stock2!F:J,5,False),"")</f>
        <v/>
      </c>
      <c r="V910" s="102" t="str">
        <f t="array" ref="V910">_xlfn.XLOOKUP("Charger",Stock1!B910,Stock1!I910,"")</f>
        <v/>
      </c>
      <c r="W910" s="102" t="str">
        <f t="array" ref="W910">_xlfn.XLOOKUP(V910,Stock1!I910,Stock1!F910,"")</f>
        <v/>
      </c>
      <c r="X910" s="102" t="str">
        <f t="array" ref="X910">_xlfn.XLOOKUP(V910,Stock1!I910,Stock1!J910,"")</f>
        <v/>
      </c>
      <c r="Y910" s="102" t="str">
        <f t="array" ref="Y910">_xlfn.XLOOKUP("Screen Protector for Android Phone and Other",Stock1!B910,Stock1!I910,"")</f>
        <v/>
      </c>
      <c r="Z910" s="102" t="str">
        <f t="array" ref="Z910">_xlfn.XLOOKUP("Screen Protector for Galaxy Phone",Stock1!B910,Stock1!I910,"")</f>
        <v/>
      </c>
      <c r="AA910" s="102" t="str">
        <f t="array" ref="AA910">_xlfn.XLOOKUP("Screen Protector for Galaxy Tab",Stock1!B910,Stock1!I910,"")</f>
        <v/>
      </c>
      <c r="AB910" s="102" t="str">
        <f t="shared" si="4"/>
        <v/>
      </c>
      <c r="AC910" s="102" t="str">
        <f t="array" ref="AC910">_xlfn.XLOOKUP(AB910,Stock1!I910,Stock1!F910,"")</f>
        <v/>
      </c>
      <c r="AD910" s="102" t="str">
        <f t="array" ref="AD910">_xlfn.XLOOKUP(AB910,Stock1!I910,Stock1!J910,"")</f>
        <v/>
      </c>
      <c r="AE910" s="102" t="str">
        <f t="array" ref="AE910">_xlfn.XLOOKUP("Storage",Stock1!B910,Stock1!I910,"")</f>
        <v/>
      </c>
      <c r="AF910" s="102" t="str">
        <f t="array" ref="AF910">_xlfn.XLOOKUP(AE910,Stock1!I910,Stock1!F910,"")</f>
        <v/>
      </c>
      <c r="AG910" s="102" t="str">
        <f t="array" ref="AG910">_xlfn.XLOOKUP(AE910,Stock1!I910,Stock1!J910,"")</f>
        <v/>
      </c>
    </row>
    <row r="911">
      <c r="K911" s="660" t="str">
        <f t="array" ref="K911">IFERROR(_xlfn.XLOOKUP(I911,Incentive!B:B,Incentive!E:E,""),"")</f>
        <v/>
      </c>
      <c r="L911" s="659" t="str">
        <f>IFERROR(VLOOKUP(I911,Stock1!F:J,5,False),"")</f>
        <v/>
      </c>
      <c r="M911" s="659" t="str">
        <f>IFERROR(VLOOKUP(I911,Stock2!F:J,5,False),"")</f>
        <v/>
      </c>
      <c r="V911" s="102" t="str">
        <f t="array" ref="V911">_xlfn.XLOOKUP("Charger",Stock1!B911,Stock1!I911,"")</f>
        <v/>
      </c>
      <c r="W911" s="102" t="str">
        <f t="array" ref="W911">_xlfn.XLOOKUP(V911,Stock1!I911,Stock1!F911,"")</f>
        <v/>
      </c>
      <c r="X911" s="102" t="str">
        <f t="array" ref="X911">_xlfn.XLOOKUP(V911,Stock1!I911,Stock1!J911,"")</f>
        <v/>
      </c>
      <c r="Y911" s="102" t="str">
        <f t="array" ref="Y911">_xlfn.XLOOKUP("Screen Protector for Android Phone and Other",Stock1!B911,Stock1!I911,"")</f>
        <v/>
      </c>
      <c r="Z911" s="102" t="str">
        <f t="array" ref="Z911">_xlfn.XLOOKUP("Screen Protector for Galaxy Phone",Stock1!B911,Stock1!I911,"")</f>
        <v/>
      </c>
      <c r="AA911" s="102" t="str">
        <f t="array" ref="AA911">_xlfn.XLOOKUP("Screen Protector for Galaxy Tab",Stock1!B911,Stock1!I911,"")</f>
        <v/>
      </c>
      <c r="AB911" s="102" t="str">
        <f t="shared" si="4"/>
        <v/>
      </c>
      <c r="AC911" s="102" t="str">
        <f t="array" ref="AC911">_xlfn.XLOOKUP(AB911,Stock1!I911,Stock1!F911,"")</f>
        <v/>
      </c>
      <c r="AD911" s="102" t="str">
        <f t="array" ref="AD911">_xlfn.XLOOKUP(AB911,Stock1!I911,Stock1!J911,"")</f>
        <v/>
      </c>
      <c r="AE911" s="102" t="str">
        <f t="array" ref="AE911">_xlfn.XLOOKUP("Storage",Stock1!B911,Stock1!I911,"")</f>
        <v/>
      </c>
      <c r="AF911" s="102" t="str">
        <f t="array" ref="AF911">_xlfn.XLOOKUP(AE911,Stock1!I911,Stock1!F911,"")</f>
        <v/>
      </c>
      <c r="AG911" s="102" t="str">
        <f t="array" ref="AG911">_xlfn.XLOOKUP(AE911,Stock1!I911,Stock1!J911,"")</f>
        <v/>
      </c>
    </row>
    <row r="912">
      <c r="K912" s="660" t="str">
        <f t="array" ref="K912">IFERROR(_xlfn.XLOOKUP(I912,Incentive!B:B,Incentive!E:E,""),"")</f>
        <v/>
      </c>
      <c r="L912" s="659" t="str">
        <f>IFERROR(VLOOKUP(I912,Stock1!F:J,5,False),"")</f>
        <v/>
      </c>
      <c r="M912" s="659" t="str">
        <f>IFERROR(VLOOKUP(I912,Stock2!F:J,5,False),"")</f>
        <v/>
      </c>
      <c r="V912" s="102" t="str">
        <f t="array" ref="V912">_xlfn.XLOOKUP("Charger",Stock1!B912,Stock1!I912,"")</f>
        <v/>
      </c>
      <c r="W912" s="102" t="str">
        <f t="array" ref="W912">_xlfn.XLOOKUP(V912,Stock1!I912,Stock1!F912,"")</f>
        <v/>
      </c>
      <c r="X912" s="102" t="str">
        <f t="array" ref="X912">_xlfn.XLOOKUP(V912,Stock1!I912,Stock1!J912,"")</f>
        <v/>
      </c>
      <c r="Y912" s="102" t="str">
        <f t="array" ref="Y912">_xlfn.XLOOKUP("Screen Protector for Android Phone and Other",Stock1!B912,Stock1!I912,"")</f>
        <v/>
      </c>
      <c r="Z912" s="102" t="str">
        <f t="array" ref="Z912">_xlfn.XLOOKUP("Screen Protector for Galaxy Phone",Stock1!B912,Stock1!I912,"")</f>
        <v/>
      </c>
      <c r="AA912" s="102" t="str">
        <f t="array" ref="AA912">_xlfn.XLOOKUP("Screen Protector for Galaxy Tab",Stock1!B912,Stock1!I912,"")</f>
        <v/>
      </c>
      <c r="AB912" s="102" t="str">
        <f t="shared" si="4"/>
        <v/>
      </c>
      <c r="AC912" s="102" t="str">
        <f t="array" ref="AC912">_xlfn.XLOOKUP(AB912,Stock1!I912,Stock1!F912,"")</f>
        <v/>
      </c>
      <c r="AD912" s="102" t="str">
        <f t="array" ref="AD912">_xlfn.XLOOKUP(AB912,Stock1!I912,Stock1!J912,"")</f>
        <v/>
      </c>
      <c r="AE912" s="102" t="str">
        <f t="array" ref="AE912">_xlfn.XLOOKUP("Storage",Stock1!B912,Stock1!I912,"")</f>
        <v/>
      </c>
      <c r="AF912" s="102" t="str">
        <f t="array" ref="AF912">_xlfn.XLOOKUP(AE912,Stock1!I912,Stock1!F912,"")</f>
        <v/>
      </c>
      <c r="AG912" s="102" t="str">
        <f t="array" ref="AG912">_xlfn.XLOOKUP(AE912,Stock1!I912,Stock1!J912,"")</f>
        <v/>
      </c>
    </row>
    <row r="913">
      <c r="K913" s="660" t="str">
        <f t="array" ref="K913">IFERROR(_xlfn.XLOOKUP(I913,Incentive!B:B,Incentive!E:E,""),"")</f>
        <v/>
      </c>
      <c r="L913" s="659" t="str">
        <f>IFERROR(VLOOKUP(I913,Stock1!F:J,5,False),"")</f>
        <v/>
      </c>
      <c r="M913" s="659" t="str">
        <f>IFERROR(VLOOKUP(I913,Stock2!F:J,5,False),"")</f>
        <v/>
      </c>
      <c r="V913" s="102" t="str">
        <f t="array" ref="V913">_xlfn.XLOOKUP("Charger",Stock1!B913,Stock1!I913,"")</f>
        <v/>
      </c>
      <c r="W913" s="102" t="str">
        <f t="array" ref="W913">_xlfn.XLOOKUP(V913,Stock1!I913,Stock1!F913,"")</f>
        <v/>
      </c>
      <c r="X913" s="102" t="str">
        <f t="array" ref="X913">_xlfn.XLOOKUP(V913,Stock1!I913,Stock1!J913,"")</f>
        <v/>
      </c>
      <c r="Y913" s="102" t="str">
        <f t="array" ref="Y913">_xlfn.XLOOKUP("Screen Protector for Android Phone and Other",Stock1!B913,Stock1!I913,"")</f>
        <v/>
      </c>
      <c r="Z913" s="102" t="str">
        <f t="array" ref="Z913">_xlfn.XLOOKUP("Screen Protector for Galaxy Phone",Stock1!B913,Stock1!I913,"")</f>
        <v/>
      </c>
      <c r="AA913" s="102" t="str">
        <f t="array" ref="AA913">_xlfn.XLOOKUP("Screen Protector for Galaxy Tab",Stock1!B913,Stock1!I913,"")</f>
        <v/>
      </c>
      <c r="AB913" s="102" t="str">
        <f t="shared" si="4"/>
        <v/>
      </c>
      <c r="AC913" s="102" t="str">
        <f t="array" ref="AC913">_xlfn.XLOOKUP(AB913,Stock1!I913,Stock1!F913,"")</f>
        <v/>
      </c>
      <c r="AD913" s="102" t="str">
        <f t="array" ref="AD913">_xlfn.XLOOKUP(AB913,Stock1!I913,Stock1!J913,"")</f>
        <v/>
      </c>
      <c r="AE913" s="102" t="str">
        <f t="array" ref="AE913">_xlfn.XLOOKUP("Storage",Stock1!B913,Stock1!I913,"")</f>
        <v/>
      </c>
      <c r="AF913" s="102" t="str">
        <f t="array" ref="AF913">_xlfn.XLOOKUP(AE913,Stock1!I913,Stock1!F913,"")</f>
        <v/>
      </c>
      <c r="AG913" s="102" t="str">
        <f t="array" ref="AG913">_xlfn.XLOOKUP(AE913,Stock1!I913,Stock1!J913,"")</f>
        <v/>
      </c>
    </row>
    <row r="914">
      <c r="K914" s="660" t="str">
        <f t="array" ref="K914">IFERROR(_xlfn.XLOOKUP(I914,Incentive!B:B,Incentive!E:E,""),"")</f>
        <v/>
      </c>
      <c r="L914" s="659" t="str">
        <f>IFERROR(VLOOKUP(I914,Stock1!F:J,5,False),"")</f>
        <v/>
      </c>
      <c r="M914" s="659" t="str">
        <f>IFERROR(VLOOKUP(I914,Stock2!F:J,5,False),"")</f>
        <v/>
      </c>
      <c r="V914" s="102" t="str">
        <f t="array" ref="V914">_xlfn.XLOOKUP("Charger",Stock1!B914,Stock1!I914,"")</f>
        <v/>
      </c>
      <c r="W914" s="102" t="str">
        <f t="array" ref="W914">_xlfn.XLOOKUP(V914,Stock1!I914,Stock1!F914,"")</f>
        <v/>
      </c>
      <c r="X914" s="102" t="str">
        <f t="array" ref="X914">_xlfn.XLOOKUP(V914,Stock1!I914,Stock1!J914,"")</f>
        <v/>
      </c>
      <c r="Y914" s="102" t="str">
        <f t="array" ref="Y914">_xlfn.XLOOKUP("Screen Protector for Android Phone and Other",Stock1!B914,Stock1!I914,"")</f>
        <v/>
      </c>
      <c r="Z914" s="102" t="str">
        <f t="array" ref="Z914">_xlfn.XLOOKUP("Screen Protector for Galaxy Phone",Stock1!B914,Stock1!I914,"")</f>
        <v/>
      </c>
      <c r="AA914" s="102" t="str">
        <f t="array" ref="AA914">_xlfn.XLOOKUP("Screen Protector for Galaxy Tab",Stock1!B914,Stock1!I914,"")</f>
        <v/>
      </c>
      <c r="AB914" s="102" t="str">
        <f t="shared" si="4"/>
        <v/>
      </c>
      <c r="AC914" s="102" t="str">
        <f t="array" ref="AC914">_xlfn.XLOOKUP(AB914,Stock1!I914,Stock1!F914,"")</f>
        <v/>
      </c>
      <c r="AD914" s="102" t="str">
        <f t="array" ref="AD914">_xlfn.XLOOKUP(AB914,Stock1!I914,Stock1!J914,"")</f>
        <v/>
      </c>
      <c r="AE914" s="102" t="str">
        <f t="array" ref="AE914">_xlfn.XLOOKUP("Storage",Stock1!B914,Stock1!I914,"")</f>
        <v/>
      </c>
      <c r="AF914" s="102" t="str">
        <f t="array" ref="AF914">_xlfn.XLOOKUP(AE914,Stock1!I914,Stock1!F914,"")</f>
        <v/>
      </c>
      <c r="AG914" s="102" t="str">
        <f t="array" ref="AG914">_xlfn.XLOOKUP(AE914,Stock1!I914,Stock1!J914,"")</f>
        <v/>
      </c>
    </row>
    <row r="915">
      <c r="K915" s="660" t="str">
        <f t="array" ref="K915">IFERROR(_xlfn.XLOOKUP(I915,Incentive!B:B,Incentive!E:E,""),"")</f>
        <v/>
      </c>
      <c r="L915" s="659" t="str">
        <f>IFERROR(VLOOKUP(I915,Stock1!F:J,5,False),"")</f>
        <v/>
      </c>
      <c r="M915" s="659" t="str">
        <f>IFERROR(VLOOKUP(I915,Stock2!F:J,5,False),"")</f>
        <v/>
      </c>
      <c r="V915" s="102" t="str">
        <f t="array" ref="V915">_xlfn.XLOOKUP("Charger",Stock1!B915,Stock1!I915,"")</f>
        <v/>
      </c>
      <c r="W915" s="102" t="str">
        <f t="array" ref="W915">_xlfn.XLOOKUP(V915,Stock1!I915,Stock1!F915,"")</f>
        <v/>
      </c>
      <c r="X915" s="102" t="str">
        <f t="array" ref="X915">_xlfn.XLOOKUP(V915,Stock1!I915,Stock1!J915,"")</f>
        <v/>
      </c>
      <c r="Y915" s="102" t="str">
        <f t="array" ref="Y915">_xlfn.XLOOKUP("Screen Protector for Android Phone and Other",Stock1!B915,Stock1!I915,"")</f>
        <v/>
      </c>
      <c r="Z915" s="102" t="str">
        <f t="array" ref="Z915">_xlfn.XLOOKUP("Screen Protector for Galaxy Phone",Stock1!B915,Stock1!I915,"")</f>
        <v/>
      </c>
      <c r="AA915" s="102" t="str">
        <f t="array" ref="AA915">_xlfn.XLOOKUP("Screen Protector for Galaxy Tab",Stock1!B915,Stock1!I915,"")</f>
        <v/>
      </c>
      <c r="AB915" s="102" t="str">
        <f t="shared" si="4"/>
        <v/>
      </c>
      <c r="AC915" s="102" t="str">
        <f t="array" ref="AC915">_xlfn.XLOOKUP(AB915,Stock1!I915,Stock1!F915,"")</f>
        <v/>
      </c>
      <c r="AD915" s="102" t="str">
        <f t="array" ref="AD915">_xlfn.XLOOKUP(AB915,Stock1!I915,Stock1!J915,"")</f>
        <v/>
      </c>
      <c r="AE915" s="102" t="str">
        <f t="array" ref="AE915">_xlfn.XLOOKUP("Storage",Stock1!B915,Stock1!I915,"")</f>
        <v/>
      </c>
      <c r="AF915" s="102" t="str">
        <f t="array" ref="AF915">_xlfn.XLOOKUP(AE915,Stock1!I915,Stock1!F915,"")</f>
        <v/>
      </c>
      <c r="AG915" s="102" t="str">
        <f t="array" ref="AG915">_xlfn.XLOOKUP(AE915,Stock1!I915,Stock1!J915,"")</f>
        <v/>
      </c>
    </row>
    <row r="916">
      <c r="K916" s="660" t="str">
        <f t="array" ref="K916">IFERROR(_xlfn.XLOOKUP(I916,Incentive!B:B,Incentive!E:E,""),"")</f>
        <v/>
      </c>
      <c r="L916" s="659" t="str">
        <f>IFERROR(VLOOKUP(I916,Stock1!F:J,5,False),"")</f>
        <v/>
      </c>
      <c r="M916" s="659" t="str">
        <f>IFERROR(VLOOKUP(I916,Stock2!F:J,5,False),"")</f>
        <v/>
      </c>
      <c r="V916" s="102" t="str">
        <f t="array" ref="V916">_xlfn.XLOOKUP("Charger",Stock1!B916,Stock1!I916,"")</f>
        <v/>
      </c>
      <c r="W916" s="102" t="str">
        <f t="array" ref="W916">_xlfn.XLOOKUP(V916,Stock1!I916,Stock1!F916,"")</f>
        <v/>
      </c>
      <c r="X916" s="102" t="str">
        <f t="array" ref="X916">_xlfn.XLOOKUP(V916,Stock1!I916,Stock1!J916,"")</f>
        <v/>
      </c>
      <c r="Y916" s="102" t="str">
        <f t="array" ref="Y916">_xlfn.XLOOKUP("Screen Protector for Android Phone and Other",Stock1!B916,Stock1!I916,"")</f>
        <v/>
      </c>
      <c r="Z916" s="102" t="str">
        <f t="array" ref="Z916">_xlfn.XLOOKUP("Screen Protector for Galaxy Phone",Stock1!B916,Stock1!I916,"")</f>
        <v/>
      </c>
      <c r="AA916" s="102" t="str">
        <f t="array" ref="AA916">_xlfn.XLOOKUP("Screen Protector for Galaxy Tab",Stock1!B916,Stock1!I916,"")</f>
        <v/>
      </c>
      <c r="AB916" s="102" t="str">
        <f t="shared" si="4"/>
        <v/>
      </c>
      <c r="AC916" s="102" t="str">
        <f t="array" ref="AC916">_xlfn.XLOOKUP(AB916,Stock1!I916,Stock1!F916,"")</f>
        <v/>
      </c>
      <c r="AD916" s="102" t="str">
        <f t="array" ref="AD916">_xlfn.XLOOKUP(AB916,Stock1!I916,Stock1!J916,"")</f>
        <v/>
      </c>
      <c r="AE916" s="102" t="str">
        <f t="array" ref="AE916">_xlfn.XLOOKUP("Storage",Stock1!B916,Stock1!I916,"")</f>
        <v/>
      </c>
      <c r="AF916" s="102" t="str">
        <f t="array" ref="AF916">_xlfn.XLOOKUP(AE916,Stock1!I916,Stock1!F916,"")</f>
        <v/>
      </c>
      <c r="AG916" s="102" t="str">
        <f t="array" ref="AG916">_xlfn.XLOOKUP(AE916,Stock1!I916,Stock1!J916,"")</f>
        <v/>
      </c>
    </row>
    <row r="917">
      <c r="K917" s="660" t="str">
        <f t="array" ref="K917">IFERROR(_xlfn.XLOOKUP(I917,Incentive!B:B,Incentive!E:E,""),"")</f>
        <v/>
      </c>
      <c r="L917" s="659" t="str">
        <f>IFERROR(VLOOKUP(I917,Stock1!F:J,5,False),"")</f>
        <v/>
      </c>
      <c r="M917" s="659" t="str">
        <f>IFERROR(VLOOKUP(I917,Stock2!F:J,5,False),"")</f>
        <v/>
      </c>
      <c r="V917" s="102" t="str">
        <f t="array" ref="V917">_xlfn.XLOOKUP("Charger",Stock1!B917,Stock1!I917,"")</f>
        <v/>
      </c>
      <c r="W917" s="102" t="str">
        <f t="array" ref="W917">_xlfn.XLOOKUP(V917,Stock1!I917,Stock1!F917,"")</f>
        <v/>
      </c>
      <c r="X917" s="102" t="str">
        <f t="array" ref="X917">_xlfn.XLOOKUP(V917,Stock1!I917,Stock1!J917,"")</f>
        <v/>
      </c>
      <c r="Y917" s="102" t="str">
        <f t="array" ref="Y917">_xlfn.XLOOKUP("Screen Protector for Android Phone and Other",Stock1!B917,Stock1!I917,"")</f>
        <v/>
      </c>
      <c r="Z917" s="102" t="str">
        <f t="array" ref="Z917">_xlfn.XLOOKUP("Screen Protector for Galaxy Phone",Stock1!B917,Stock1!I917,"")</f>
        <v/>
      </c>
      <c r="AA917" s="102" t="str">
        <f t="array" ref="AA917">_xlfn.XLOOKUP("Screen Protector for Galaxy Tab",Stock1!B917,Stock1!I917,"")</f>
        <v/>
      </c>
      <c r="AB917" s="102" t="str">
        <f t="shared" si="4"/>
        <v/>
      </c>
      <c r="AC917" s="102" t="str">
        <f t="array" ref="AC917">_xlfn.XLOOKUP(AB917,Stock1!I917,Stock1!F917,"")</f>
        <v/>
      </c>
      <c r="AD917" s="102" t="str">
        <f t="array" ref="AD917">_xlfn.XLOOKUP(AB917,Stock1!I917,Stock1!J917,"")</f>
        <v/>
      </c>
      <c r="AE917" s="102" t="str">
        <f t="array" ref="AE917">_xlfn.XLOOKUP("Storage",Stock1!B917,Stock1!I917,"")</f>
        <v/>
      </c>
      <c r="AF917" s="102" t="str">
        <f t="array" ref="AF917">_xlfn.XLOOKUP(AE917,Stock1!I917,Stock1!F917,"")</f>
        <v/>
      </c>
      <c r="AG917" s="102" t="str">
        <f t="array" ref="AG917">_xlfn.XLOOKUP(AE917,Stock1!I917,Stock1!J917,"")</f>
        <v/>
      </c>
    </row>
    <row r="918">
      <c r="K918" s="660" t="str">
        <f t="array" ref="K918">IFERROR(_xlfn.XLOOKUP(I918,Incentive!B:B,Incentive!E:E,""),"")</f>
        <v/>
      </c>
      <c r="L918" s="659" t="str">
        <f>IFERROR(VLOOKUP(I918,Stock1!F:J,5,False),"")</f>
        <v/>
      </c>
      <c r="M918" s="659" t="str">
        <f>IFERROR(VLOOKUP(I918,Stock2!F:J,5,False),"")</f>
        <v/>
      </c>
      <c r="V918" s="102" t="str">
        <f t="array" ref="V918">_xlfn.XLOOKUP("Charger",Stock1!B918,Stock1!I918,"")</f>
        <v/>
      </c>
      <c r="W918" s="102" t="str">
        <f t="array" ref="W918">_xlfn.XLOOKUP(V918,Stock1!I918,Stock1!F918,"")</f>
        <v/>
      </c>
      <c r="X918" s="102" t="str">
        <f t="array" ref="X918">_xlfn.XLOOKUP(V918,Stock1!I918,Stock1!J918,"")</f>
        <v/>
      </c>
      <c r="Y918" s="102" t="str">
        <f t="array" ref="Y918">_xlfn.XLOOKUP("Screen Protector for Android Phone and Other",Stock1!B918,Stock1!I918,"")</f>
        <v/>
      </c>
      <c r="Z918" s="102" t="str">
        <f t="array" ref="Z918">_xlfn.XLOOKUP("Screen Protector for Galaxy Phone",Stock1!B918,Stock1!I918,"")</f>
        <v/>
      </c>
      <c r="AA918" s="102" t="str">
        <f t="array" ref="AA918">_xlfn.XLOOKUP("Screen Protector for Galaxy Tab",Stock1!B918,Stock1!I918,"")</f>
        <v/>
      </c>
      <c r="AB918" s="102" t="str">
        <f t="shared" si="4"/>
        <v/>
      </c>
      <c r="AC918" s="102" t="str">
        <f t="array" ref="AC918">_xlfn.XLOOKUP(AB918,Stock1!I918,Stock1!F918,"")</f>
        <v/>
      </c>
      <c r="AD918" s="102" t="str">
        <f t="array" ref="AD918">_xlfn.XLOOKUP(AB918,Stock1!I918,Stock1!J918,"")</f>
        <v/>
      </c>
      <c r="AE918" s="102" t="str">
        <f t="array" ref="AE918">_xlfn.XLOOKUP("Storage",Stock1!B918,Stock1!I918,"")</f>
        <v/>
      </c>
      <c r="AF918" s="102" t="str">
        <f t="array" ref="AF918">_xlfn.XLOOKUP(AE918,Stock1!I918,Stock1!F918,"")</f>
        <v/>
      </c>
      <c r="AG918" s="102" t="str">
        <f t="array" ref="AG918">_xlfn.XLOOKUP(AE918,Stock1!I918,Stock1!J918,"")</f>
        <v/>
      </c>
    </row>
    <row r="919">
      <c r="K919" s="660" t="str">
        <f t="array" ref="K919">IFERROR(_xlfn.XLOOKUP(I919,Incentive!B:B,Incentive!E:E,""),"")</f>
        <v/>
      </c>
      <c r="L919" s="659" t="str">
        <f>IFERROR(VLOOKUP(I919,Stock1!F:J,5,False),"")</f>
        <v/>
      </c>
      <c r="M919" s="659" t="str">
        <f>IFERROR(VLOOKUP(I919,Stock2!F:J,5,False),"")</f>
        <v/>
      </c>
      <c r="V919" s="102" t="str">
        <f t="array" ref="V919">_xlfn.XLOOKUP("Charger",Stock1!B919,Stock1!I919,"")</f>
        <v/>
      </c>
      <c r="W919" s="102" t="str">
        <f t="array" ref="W919">_xlfn.XLOOKUP(V919,Stock1!I919,Stock1!F919,"")</f>
        <v/>
      </c>
      <c r="X919" s="102" t="str">
        <f t="array" ref="X919">_xlfn.XLOOKUP(V919,Stock1!I919,Stock1!J919,"")</f>
        <v/>
      </c>
      <c r="Y919" s="102" t="str">
        <f t="array" ref="Y919">_xlfn.XLOOKUP("Screen Protector for Android Phone and Other",Stock1!B919,Stock1!I919,"")</f>
        <v/>
      </c>
      <c r="Z919" s="102" t="str">
        <f t="array" ref="Z919">_xlfn.XLOOKUP("Screen Protector for Galaxy Phone",Stock1!B919,Stock1!I919,"")</f>
        <v/>
      </c>
      <c r="AA919" s="102" t="str">
        <f t="array" ref="AA919">_xlfn.XLOOKUP("Screen Protector for Galaxy Tab",Stock1!B919,Stock1!I919,"")</f>
        <v/>
      </c>
      <c r="AB919" s="102" t="str">
        <f t="shared" si="4"/>
        <v/>
      </c>
      <c r="AC919" s="102" t="str">
        <f t="array" ref="AC919">_xlfn.XLOOKUP(AB919,Stock1!I919,Stock1!F919,"")</f>
        <v/>
      </c>
      <c r="AD919" s="102" t="str">
        <f t="array" ref="AD919">_xlfn.XLOOKUP(AB919,Stock1!I919,Stock1!J919,"")</f>
        <v/>
      </c>
      <c r="AE919" s="102" t="str">
        <f t="array" ref="AE919">_xlfn.XLOOKUP("Storage",Stock1!B919,Stock1!I919,"")</f>
        <v/>
      </c>
      <c r="AF919" s="102" t="str">
        <f t="array" ref="AF919">_xlfn.XLOOKUP(AE919,Stock1!I919,Stock1!F919,"")</f>
        <v/>
      </c>
      <c r="AG919" s="102" t="str">
        <f t="array" ref="AG919">_xlfn.XLOOKUP(AE919,Stock1!I919,Stock1!J919,"")</f>
        <v/>
      </c>
    </row>
    <row r="920">
      <c r="K920" s="660" t="str">
        <f t="array" ref="K920">IFERROR(_xlfn.XLOOKUP(I920,Incentive!B:B,Incentive!E:E,""),"")</f>
        <v/>
      </c>
      <c r="L920" s="659" t="str">
        <f>IFERROR(VLOOKUP(I920,Stock1!F:J,5,False),"")</f>
        <v/>
      </c>
      <c r="M920" s="659" t="str">
        <f>IFERROR(VLOOKUP(I920,Stock2!F:J,5,False),"")</f>
        <v/>
      </c>
      <c r="V920" s="102" t="str">
        <f t="array" ref="V920">_xlfn.XLOOKUP("Charger",Stock1!B920,Stock1!I920,"")</f>
        <v/>
      </c>
      <c r="W920" s="102" t="str">
        <f t="array" ref="W920">_xlfn.XLOOKUP(V920,Stock1!I920,Stock1!F920,"")</f>
        <v/>
      </c>
      <c r="X920" s="102" t="str">
        <f t="array" ref="X920">_xlfn.XLOOKUP(V920,Stock1!I920,Stock1!J920,"")</f>
        <v/>
      </c>
      <c r="Y920" s="102" t="str">
        <f t="array" ref="Y920">_xlfn.XLOOKUP("Screen Protector for Android Phone and Other",Stock1!B920,Stock1!I920,"")</f>
        <v/>
      </c>
      <c r="Z920" s="102" t="str">
        <f t="array" ref="Z920">_xlfn.XLOOKUP("Screen Protector for Galaxy Phone",Stock1!B920,Stock1!I920,"")</f>
        <v/>
      </c>
      <c r="AA920" s="102" t="str">
        <f t="array" ref="AA920">_xlfn.XLOOKUP("Screen Protector for Galaxy Tab",Stock1!B920,Stock1!I920,"")</f>
        <v/>
      </c>
      <c r="AB920" s="102" t="str">
        <f t="shared" si="4"/>
        <v/>
      </c>
      <c r="AC920" s="102" t="str">
        <f t="array" ref="AC920">_xlfn.XLOOKUP(AB920,Stock1!I920,Stock1!F920,"")</f>
        <v/>
      </c>
      <c r="AD920" s="102" t="str">
        <f t="array" ref="AD920">_xlfn.XLOOKUP(AB920,Stock1!I920,Stock1!J920,"")</f>
        <v/>
      </c>
      <c r="AE920" s="102" t="str">
        <f t="array" ref="AE920">_xlfn.XLOOKUP("Storage",Stock1!B920,Stock1!I920,"")</f>
        <v/>
      </c>
      <c r="AF920" s="102" t="str">
        <f t="array" ref="AF920">_xlfn.XLOOKUP(AE920,Stock1!I920,Stock1!F920,"")</f>
        <v/>
      </c>
      <c r="AG920" s="102" t="str">
        <f t="array" ref="AG920">_xlfn.XLOOKUP(AE920,Stock1!I920,Stock1!J920,"")</f>
        <v/>
      </c>
    </row>
    <row r="921">
      <c r="K921" s="660" t="str">
        <f t="array" ref="K921">IFERROR(_xlfn.XLOOKUP(I921,Incentive!B:B,Incentive!E:E,""),"")</f>
        <v/>
      </c>
      <c r="L921" s="659" t="str">
        <f>IFERROR(VLOOKUP(I921,Stock1!F:J,5,False),"")</f>
        <v/>
      </c>
      <c r="M921" s="659" t="str">
        <f>IFERROR(VLOOKUP(I921,Stock2!F:J,5,False),"")</f>
        <v/>
      </c>
      <c r="V921" s="102" t="str">
        <f t="array" ref="V921">_xlfn.XLOOKUP("Charger",Stock1!B921,Stock1!I921,"")</f>
        <v/>
      </c>
      <c r="W921" s="102" t="str">
        <f t="array" ref="W921">_xlfn.XLOOKUP(V921,Stock1!I921,Stock1!F921,"")</f>
        <v/>
      </c>
      <c r="X921" s="102" t="str">
        <f t="array" ref="X921">_xlfn.XLOOKUP(V921,Stock1!I921,Stock1!J921,"")</f>
        <v/>
      </c>
      <c r="Y921" s="102" t="str">
        <f t="array" ref="Y921">_xlfn.XLOOKUP("Screen Protector for Android Phone and Other",Stock1!B921,Stock1!I921,"")</f>
        <v/>
      </c>
      <c r="Z921" s="102" t="str">
        <f t="array" ref="Z921">_xlfn.XLOOKUP("Screen Protector for Galaxy Phone",Stock1!B921,Stock1!I921,"")</f>
        <v/>
      </c>
      <c r="AA921" s="102" t="str">
        <f t="array" ref="AA921">_xlfn.XLOOKUP("Screen Protector for Galaxy Tab",Stock1!B921,Stock1!I921,"")</f>
        <v/>
      </c>
      <c r="AB921" s="102" t="str">
        <f t="shared" si="4"/>
        <v/>
      </c>
      <c r="AC921" s="102" t="str">
        <f t="array" ref="AC921">_xlfn.XLOOKUP(AB921,Stock1!I921,Stock1!F921,"")</f>
        <v/>
      </c>
      <c r="AD921" s="102" t="str">
        <f t="array" ref="AD921">_xlfn.XLOOKUP(AB921,Stock1!I921,Stock1!J921,"")</f>
        <v/>
      </c>
      <c r="AE921" s="102" t="str">
        <f t="array" ref="AE921">_xlfn.XLOOKUP("Storage",Stock1!B921,Stock1!I921,"")</f>
        <v/>
      </c>
      <c r="AF921" s="102" t="str">
        <f t="array" ref="AF921">_xlfn.XLOOKUP(AE921,Stock1!I921,Stock1!F921,"")</f>
        <v/>
      </c>
      <c r="AG921" s="102" t="str">
        <f t="array" ref="AG921">_xlfn.XLOOKUP(AE921,Stock1!I921,Stock1!J921,"")</f>
        <v/>
      </c>
    </row>
    <row r="922">
      <c r="K922" s="660" t="str">
        <f t="array" ref="K922">IFERROR(_xlfn.XLOOKUP(I922,Incentive!B:B,Incentive!E:E,""),"")</f>
        <v/>
      </c>
      <c r="L922" s="659" t="str">
        <f>IFERROR(VLOOKUP(I922,Stock1!F:J,5,False),"")</f>
        <v/>
      </c>
      <c r="M922" s="659" t="str">
        <f>IFERROR(VLOOKUP(I922,Stock2!F:J,5,False),"")</f>
        <v/>
      </c>
      <c r="V922" s="102" t="str">
        <f t="array" ref="V922">_xlfn.XLOOKUP("Charger",Stock1!B922,Stock1!I922,"")</f>
        <v/>
      </c>
      <c r="W922" s="102" t="str">
        <f t="array" ref="W922">_xlfn.XLOOKUP(V922,Stock1!I922,Stock1!F922,"")</f>
        <v/>
      </c>
      <c r="X922" s="102" t="str">
        <f t="array" ref="X922">_xlfn.XLOOKUP(V922,Stock1!I922,Stock1!J922,"")</f>
        <v/>
      </c>
      <c r="Y922" s="102" t="str">
        <f t="array" ref="Y922">_xlfn.XLOOKUP("Screen Protector for Android Phone and Other",Stock1!B922,Stock1!I922,"")</f>
        <v/>
      </c>
      <c r="Z922" s="102" t="str">
        <f t="array" ref="Z922">_xlfn.XLOOKUP("Screen Protector for Galaxy Phone",Stock1!B922,Stock1!I922,"")</f>
        <v/>
      </c>
      <c r="AA922" s="102" t="str">
        <f t="array" ref="AA922">_xlfn.XLOOKUP("Screen Protector for Galaxy Tab",Stock1!B922,Stock1!I922,"")</f>
        <v/>
      </c>
      <c r="AB922" s="102" t="str">
        <f t="shared" si="4"/>
        <v/>
      </c>
      <c r="AC922" s="102" t="str">
        <f t="array" ref="AC922">_xlfn.XLOOKUP(AB922,Stock1!I922,Stock1!F922,"")</f>
        <v/>
      </c>
      <c r="AD922" s="102" t="str">
        <f t="array" ref="AD922">_xlfn.XLOOKUP(AB922,Stock1!I922,Stock1!J922,"")</f>
        <v/>
      </c>
      <c r="AE922" s="102" t="str">
        <f t="array" ref="AE922">_xlfn.XLOOKUP("Storage",Stock1!B922,Stock1!I922,"")</f>
        <v/>
      </c>
      <c r="AF922" s="102" t="str">
        <f t="array" ref="AF922">_xlfn.XLOOKUP(AE922,Stock1!I922,Stock1!F922,"")</f>
        <v/>
      </c>
      <c r="AG922" s="102" t="str">
        <f t="array" ref="AG922">_xlfn.XLOOKUP(AE922,Stock1!I922,Stock1!J922,"")</f>
        <v/>
      </c>
    </row>
    <row r="923">
      <c r="K923" s="660" t="str">
        <f t="array" ref="K923">IFERROR(_xlfn.XLOOKUP(I923,Incentive!B:B,Incentive!E:E,""),"")</f>
        <v/>
      </c>
      <c r="L923" s="659" t="str">
        <f>IFERROR(VLOOKUP(I923,Stock1!F:J,5,False),"")</f>
        <v/>
      </c>
      <c r="M923" s="659" t="str">
        <f>IFERROR(VLOOKUP(I923,Stock2!F:J,5,False),"")</f>
        <v/>
      </c>
      <c r="V923" s="102" t="str">
        <f t="array" ref="V923">_xlfn.XLOOKUP("Charger",Stock1!B923,Stock1!I923,"")</f>
        <v/>
      </c>
      <c r="W923" s="102" t="str">
        <f t="array" ref="W923">_xlfn.XLOOKUP(V923,Stock1!I923,Stock1!F923,"")</f>
        <v/>
      </c>
      <c r="X923" s="102" t="str">
        <f t="array" ref="X923">_xlfn.XLOOKUP(V923,Stock1!I923,Stock1!J923,"")</f>
        <v/>
      </c>
      <c r="Y923" s="102" t="str">
        <f t="array" ref="Y923">_xlfn.XLOOKUP("Screen Protector for Android Phone and Other",Stock1!B923,Stock1!I923,"")</f>
        <v/>
      </c>
      <c r="Z923" s="102" t="str">
        <f t="array" ref="Z923">_xlfn.XLOOKUP("Screen Protector for Galaxy Phone",Stock1!B923,Stock1!I923,"")</f>
        <v/>
      </c>
      <c r="AA923" s="102" t="str">
        <f t="array" ref="AA923">_xlfn.XLOOKUP("Screen Protector for Galaxy Tab",Stock1!B923,Stock1!I923,"")</f>
        <v/>
      </c>
      <c r="AB923" s="102" t="str">
        <f t="shared" si="4"/>
        <v/>
      </c>
      <c r="AC923" s="102" t="str">
        <f t="array" ref="AC923">_xlfn.XLOOKUP(AB923,Stock1!I923,Stock1!F923,"")</f>
        <v/>
      </c>
      <c r="AD923" s="102" t="str">
        <f t="array" ref="AD923">_xlfn.XLOOKUP(AB923,Stock1!I923,Stock1!J923,"")</f>
        <v/>
      </c>
      <c r="AE923" s="102" t="str">
        <f t="array" ref="AE923">_xlfn.XLOOKUP("Storage",Stock1!B923,Stock1!I923,"")</f>
        <v/>
      </c>
      <c r="AF923" s="102" t="str">
        <f t="array" ref="AF923">_xlfn.XLOOKUP(AE923,Stock1!I923,Stock1!F923,"")</f>
        <v/>
      </c>
      <c r="AG923" s="102" t="str">
        <f t="array" ref="AG923">_xlfn.XLOOKUP(AE923,Stock1!I923,Stock1!J923,"")</f>
        <v/>
      </c>
    </row>
    <row r="924">
      <c r="K924" s="660" t="str">
        <f t="array" ref="K924">IFERROR(_xlfn.XLOOKUP(I924,Incentive!B:B,Incentive!E:E,""),"")</f>
        <v/>
      </c>
      <c r="L924" s="659" t="str">
        <f>IFERROR(VLOOKUP(I924,Stock1!F:J,5,False),"")</f>
        <v/>
      </c>
      <c r="M924" s="659" t="str">
        <f>IFERROR(VLOOKUP(I924,Stock2!F:J,5,False),"")</f>
        <v/>
      </c>
      <c r="V924" s="102" t="str">
        <f t="array" ref="V924">_xlfn.XLOOKUP("Charger",Stock1!B924,Stock1!I924,"")</f>
        <v/>
      </c>
      <c r="W924" s="102" t="str">
        <f t="array" ref="W924">_xlfn.XLOOKUP(V924,Stock1!I924,Stock1!F924,"")</f>
        <v/>
      </c>
      <c r="X924" s="102" t="str">
        <f t="array" ref="X924">_xlfn.XLOOKUP(V924,Stock1!I924,Stock1!J924,"")</f>
        <v/>
      </c>
      <c r="Y924" s="102" t="str">
        <f t="array" ref="Y924">_xlfn.XLOOKUP("Screen Protector for Android Phone and Other",Stock1!B924,Stock1!I924,"")</f>
        <v/>
      </c>
      <c r="Z924" s="102" t="str">
        <f t="array" ref="Z924">_xlfn.XLOOKUP("Screen Protector for Galaxy Phone",Stock1!B924,Stock1!I924,"")</f>
        <v/>
      </c>
      <c r="AA924" s="102" t="str">
        <f t="array" ref="AA924">_xlfn.XLOOKUP("Screen Protector for Galaxy Tab",Stock1!B924,Stock1!I924,"")</f>
        <v/>
      </c>
      <c r="AB924" s="102" t="str">
        <f t="shared" si="4"/>
        <v/>
      </c>
      <c r="AC924" s="102" t="str">
        <f t="array" ref="AC924">_xlfn.XLOOKUP(AB924,Stock1!I924,Stock1!F924,"")</f>
        <v/>
      </c>
      <c r="AD924" s="102" t="str">
        <f t="array" ref="AD924">_xlfn.XLOOKUP(AB924,Stock1!I924,Stock1!J924,"")</f>
        <v/>
      </c>
      <c r="AE924" s="102" t="str">
        <f t="array" ref="AE924">_xlfn.XLOOKUP("Storage",Stock1!B924,Stock1!I924,"")</f>
        <v/>
      </c>
      <c r="AF924" s="102" t="str">
        <f t="array" ref="AF924">_xlfn.XLOOKUP(AE924,Stock1!I924,Stock1!F924,"")</f>
        <v/>
      </c>
      <c r="AG924" s="102" t="str">
        <f t="array" ref="AG924">_xlfn.XLOOKUP(AE924,Stock1!I924,Stock1!J924,"")</f>
        <v/>
      </c>
    </row>
    <row r="925">
      <c r="K925" s="660" t="str">
        <f t="array" ref="K925">IFERROR(_xlfn.XLOOKUP(I925,Incentive!B:B,Incentive!E:E,""),"")</f>
        <v/>
      </c>
      <c r="L925" s="659" t="str">
        <f>IFERROR(VLOOKUP(I925,Stock1!F:J,5,False),"")</f>
        <v/>
      </c>
      <c r="M925" s="659" t="str">
        <f>IFERROR(VLOOKUP(I925,Stock2!F:J,5,False),"")</f>
        <v/>
      </c>
      <c r="V925" s="102" t="str">
        <f t="array" ref="V925">_xlfn.XLOOKUP("Charger",Stock1!B925,Stock1!I925,"")</f>
        <v/>
      </c>
      <c r="W925" s="102" t="str">
        <f t="array" ref="W925">_xlfn.XLOOKUP(V925,Stock1!I925,Stock1!F925,"")</f>
        <v/>
      </c>
      <c r="X925" s="102" t="str">
        <f t="array" ref="X925">_xlfn.XLOOKUP(V925,Stock1!I925,Stock1!J925,"")</f>
        <v/>
      </c>
      <c r="Y925" s="102" t="str">
        <f t="array" ref="Y925">_xlfn.XLOOKUP("Screen Protector for Android Phone and Other",Stock1!B925,Stock1!I925,"")</f>
        <v/>
      </c>
      <c r="Z925" s="102" t="str">
        <f t="array" ref="Z925">_xlfn.XLOOKUP("Screen Protector for Galaxy Phone",Stock1!B925,Stock1!I925,"")</f>
        <v/>
      </c>
      <c r="AA925" s="102" t="str">
        <f t="array" ref="AA925">_xlfn.XLOOKUP("Screen Protector for Galaxy Tab",Stock1!B925,Stock1!I925,"")</f>
        <v/>
      </c>
      <c r="AB925" s="102" t="str">
        <f t="shared" si="4"/>
        <v/>
      </c>
      <c r="AC925" s="102" t="str">
        <f t="array" ref="AC925">_xlfn.XLOOKUP(AB925,Stock1!I925,Stock1!F925,"")</f>
        <v/>
      </c>
      <c r="AD925" s="102" t="str">
        <f t="array" ref="AD925">_xlfn.XLOOKUP(AB925,Stock1!I925,Stock1!J925,"")</f>
        <v/>
      </c>
      <c r="AE925" s="102" t="str">
        <f t="array" ref="AE925">_xlfn.XLOOKUP("Storage",Stock1!B925,Stock1!I925,"")</f>
        <v/>
      </c>
      <c r="AF925" s="102" t="str">
        <f t="array" ref="AF925">_xlfn.XLOOKUP(AE925,Stock1!I925,Stock1!F925,"")</f>
        <v/>
      </c>
      <c r="AG925" s="102" t="str">
        <f t="array" ref="AG925">_xlfn.XLOOKUP(AE925,Stock1!I925,Stock1!J925,"")</f>
        <v/>
      </c>
    </row>
    <row r="926">
      <c r="K926" s="660" t="str">
        <f t="array" ref="K926">IFERROR(_xlfn.XLOOKUP(I926,Incentive!B:B,Incentive!E:E,""),"")</f>
        <v/>
      </c>
      <c r="L926" s="659" t="str">
        <f>IFERROR(VLOOKUP(I926,Stock1!F:J,5,False),"")</f>
        <v/>
      </c>
      <c r="M926" s="659" t="str">
        <f>IFERROR(VLOOKUP(I926,Stock2!F:J,5,False),"")</f>
        <v/>
      </c>
      <c r="V926" s="102" t="str">
        <f t="array" ref="V926">_xlfn.XLOOKUP("Charger",Stock1!B926,Stock1!I926,"")</f>
        <v/>
      </c>
      <c r="W926" s="102" t="str">
        <f t="array" ref="W926">_xlfn.XLOOKUP(V926,Stock1!I926,Stock1!F926,"")</f>
        <v/>
      </c>
      <c r="X926" s="102" t="str">
        <f t="array" ref="X926">_xlfn.XLOOKUP(V926,Stock1!I926,Stock1!J926,"")</f>
        <v/>
      </c>
      <c r="Y926" s="102" t="str">
        <f t="array" ref="Y926">_xlfn.XLOOKUP("Screen Protector for Android Phone and Other",Stock1!B926,Stock1!I926,"")</f>
        <v/>
      </c>
      <c r="Z926" s="102" t="str">
        <f t="array" ref="Z926">_xlfn.XLOOKUP("Screen Protector for Galaxy Phone",Stock1!B926,Stock1!I926,"")</f>
        <v/>
      </c>
      <c r="AA926" s="102" t="str">
        <f t="array" ref="AA926">_xlfn.XLOOKUP("Screen Protector for Galaxy Tab",Stock1!B926,Stock1!I926,"")</f>
        <v/>
      </c>
      <c r="AB926" s="102" t="str">
        <f t="shared" si="4"/>
        <v/>
      </c>
      <c r="AC926" s="102" t="str">
        <f t="array" ref="AC926">_xlfn.XLOOKUP(AB926,Stock1!I926,Stock1!F926,"")</f>
        <v/>
      </c>
      <c r="AD926" s="102" t="str">
        <f t="array" ref="AD926">_xlfn.XLOOKUP(AB926,Stock1!I926,Stock1!J926,"")</f>
        <v/>
      </c>
      <c r="AE926" s="102" t="str">
        <f t="array" ref="AE926">_xlfn.XLOOKUP("Storage",Stock1!B926,Stock1!I926,"")</f>
        <v/>
      </c>
      <c r="AF926" s="102" t="str">
        <f t="array" ref="AF926">_xlfn.XLOOKUP(AE926,Stock1!I926,Stock1!F926,"")</f>
        <v/>
      </c>
      <c r="AG926" s="102" t="str">
        <f t="array" ref="AG926">_xlfn.XLOOKUP(AE926,Stock1!I926,Stock1!J926,"")</f>
        <v/>
      </c>
    </row>
    <row r="927">
      <c r="K927" s="660" t="str">
        <f t="array" ref="K927">IFERROR(_xlfn.XLOOKUP(I927,Incentive!B:B,Incentive!E:E,""),"")</f>
        <v/>
      </c>
      <c r="L927" s="659" t="str">
        <f>IFERROR(VLOOKUP(I927,Stock1!F:J,5,False),"")</f>
        <v/>
      </c>
      <c r="M927" s="659" t="str">
        <f>IFERROR(VLOOKUP(I927,Stock2!F:J,5,False),"")</f>
        <v/>
      </c>
      <c r="V927" s="102" t="str">
        <f t="array" ref="V927">_xlfn.XLOOKUP("Charger",Stock1!B927,Stock1!I927,"")</f>
        <v/>
      </c>
      <c r="W927" s="102" t="str">
        <f t="array" ref="W927">_xlfn.XLOOKUP(V927,Stock1!I927,Stock1!F927,"")</f>
        <v/>
      </c>
      <c r="X927" s="102" t="str">
        <f t="array" ref="X927">_xlfn.XLOOKUP(V927,Stock1!I927,Stock1!J927,"")</f>
        <v/>
      </c>
      <c r="Y927" s="102" t="str">
        <f t="array" ref="Y927">_xlfn.XLOOKUP("Screen Protector for Android Phone and Other",Stock1!B927,Stock1!I927,"")</f>
        <v/>
      </c>
      <c r="Z927" s="102" t="str">
        <f t="array" ref="Z927">_xlfn.XLOOKUP("Screen Protector for Galaxy Phone",Stock1!B927,Stock1!I927,"")</f>
        <v/>
      </c>
      <c r="AA927" s="102" t="str">
        <f t="array" ref="AA927">_xlfn.XLOOKUP("Screen Protector for Galaxy Tab",Stock1!B927,Stock1!I927,"")</f>
        <v/>
      </c>
      <c r="AB927" s="102" t="str">
        <f t="shared" si="4"/>
        <v/>
      </c>
      <c r="AC927" s="102" t="str">
        <f t="array" ref="AC927">_xlfn.XLOOKUP(AB927,Stock1!I927,Stock1!F927,"")</f>
        <v/>
      </c>
      <c r="AD927" s="102" t="str">
        <f t="array" ref="AD927">_xlfn.XLOOKUP(AB927,Stock1!I927,Stock1!J927,"")</f>
        <v/>
      </c>
      <c r="AE927" s="102" t="str">
        <f t="array" ref="AE927">_xlfn.XLOOKUP("Storage",Stock1!B927,Stock1!I927,"")</f>
        <v/>
      </c>
      <c r="AF927" s="102" t="str">
        <f t="array" ref="AF927">_xlfn.XLOOKUP(AE927,Stock1!I927,Stock1!F927,"")</f>
        <v/>
      </c>
      <c r="AG927" s="102" t="str">
        <f t="array" ref="AG927">_xlfn.XLOOKUP(AE927,Stock1!I927,Stock1!J927,"")</f>
        <v/>
      </c>
    </row>
    <row r="928">
      <c r="K928" s="660" t="str">
        <f t="array" ref="K928">IFERROR(_xlfn.XLOOKUP(I928,Incentive!B:B,Incentive!E:E,""),"")</f>
        <v/>
      </c>
      <c r="L928" s="659" t="str">
        <f>IFERROR(VLOOKUP(I928,Stock1!F:J,5,False),"")</f>
        <v/>
      </c>
      <c r="M928" s="659" t="str">
        <f>IFERROR(VLOOKUP(I928,Stock2!F:J,5,False),"")</f>
        <v/>
      </c>
      <c r="V928" s="102" t="str">
        <f t="array" ref="V928">_xlfn.XLOOKUP("Charger",Stock1!B928,Stock1!I928,"")</f>
        <v/>
      </c>
      <c r="W928" s="102" t="str">
        <f t="array" ref="W928">_xlfn.XLOOKUP(V928,Stock1!I928,Stock1!F928,"")</f>
        <v/>
      </c>
      <c r="X928" s="102" t="str">
        <f t="array" ref="X928">_xlfn.XLOOKUP(V928,Stock1!I928,Stock1!J928,"")</f>
        <v/>
      </c>
      <c r="Y928" s="102" t="str">
        <f t="array" ref="Y928">_xlfn.XLOOKUP("Screen Protector for Android Phone and Other",Stock1!B928,Stock1!I928,"")</f>
        <v/>
      </c>
      <c r="Z928" s="102" t="str">
        <f t="array" ref="Z928">_xlfn.XLOOKUP("Screen Protector for Galaxy Phone",Stock1!B928,Stock1!I928,"")</f>
        <v/>
      </c>
      <c r="AA928" s="102" t="str">
        <f t="array" ref="AA928">_xlfn.XLOOKUP("Screen Protector for Galaxy Tab",Stock1!B928,Stock1!I928,"")</f>
        <v/>
      </c>
      <c r="AB928" s="102" t="str">
        <f t="shared" si="4"/>
        <v/>
      </c>
      <c r="AC928" s="102" t="str">
        <f t="array" ref="AC928">_xlfn.XLOOKUP(AB928,Stock1!I928,Stock1!F928,"")</f>
        <v/>
      </c>
      <c r="AD928" s="102" t="str">
        <f t="array" ref="AD928">_xlfn.XLOOKUP(AB928,Stock1!I928,Stock1!J928,"")</f>
        <v/>
      </c>
      <c r="AE928" s="102" t="str">
        <f t="array" ref="AE928">_xlfn.XLOOKUP("Storage",Stock1!B928,Stock1!I928,"")</f>
        <v/>
      </c>
      <c r="AF928" s="102" t="str">
        <f t="array" ref="AF928">_xlfn.XLOOKUP(AE928,Stock1!I928,Stock1!F928,"")</f>
        <v/>
      </c>
      <c r="AG928" s="102" t="str">
        <f t="array" ref="AG928">_xlfn.XLOOKUP(AE928,Stock1!I928,Stock1!J928,"")</f>
        <v/>
      </c>
    </row>
    <row r="929">
      <c r="K929" s="660" t="str">
        <f t="array" ref="K929">IFERROR(_xlfn.XLOOKUP(I929,Incentive!B:B,Incentive!E:E,""),"")</f>
        <v/>
      </c>
      <c r="L929" s="659" t="str">
        <f>IFERROR(VLOOKUP(I929,Stock1!F:J,5,False),"")</f>
        <v/>
      </c>
      <c r="M929" s="659" t="str">
        <f>IFERROR(VLOOKUP(I929,Stock2!F:J,5,False),"")</f>
        <v/>
      </c>
      <c r="V929" s="102" t="str">
        <f t="array" ref="V929">_xlfn.XLOOKUP("Charger",Stock1!B929,Stock1!I929,"")</f>
        <v/>
      </c>
      <c r="W929" s="102" t="str">
        <f t="array" ref="W929">_xlfn.XLOOKUP(V929,Stock1!I929,Stock1!F929,"")</f>
        <v/>
      </c>
      <c r="X929" s="102" t="str">
        <f t="array" ref="X929">_xlfn.XLOOKUP(V929,Stock1!I929,Stock1!J929,"")</f>
        <v/>
      </c>
      <c r="Y929" s="102" t="str">
        <f t="array" ref="Y929">_xlfn.XLOOKUP("Screen Protector for Android Phone and Other",Stock1!B929,Stock1!I929,"")</f>
        <v/>
      </c>
      <c r="Z929" s="102" t="str">
        <f t="array" ref="Z929">_xlfn.XLOOKUP("Screen Protector for Galaxy Phone",Stock1!B929,Stock1!I929,"")</f>
        <v/>
      </c>
      <c r="AA929" s="102" t="str">
        <f t="array" ref="AA929">_xlfn.XLOOKUP("Screen Protector for Galaxy Tab",Stock1!B929,Stock1!I929,"")</f>
        <v/>
      </c>
      <c r="AB929" s="102" t="str">
        <f t="shared" si="4"/>
        <v/>
      </c>
      <c r="AC929" s="102" t="str">
        <f t="array" ref="AC929">_xlfn.XLOOKUP(AB929,Stock1!I929,Stock1!F929,"")</f>
        <v/>
      </c>
      <c r="AD929" s="102" t="str">
        <f t="array" ref="AD929">_xlfn.XLOOKUP(AB929,Stock1!I929,Stock1!J929,"")</f>
        <v/>
      </c>
      <c r="AE929" s="102" t="str">
        <f t="array" ref="AE929">_xlfn.XLOOKUP("Storage",Stock1!B929,Stock1!I929,"")</f>
        <v/>
      </c>
      <c r="AF929" s="102" t="str">
        <f t="array" ref="AF929">_xlfn.XLOOKUP(AE929,Stock1!I929,Stock1!F929,"")</f>
        <v/>
      </c>
      <c r="AG929" s="102" t="str">
        <f t="array" ref="AG929">_xlfn.XLOOKUP(AE929,Stock1!I929,Stock1!J929,"")</f>
        <v/>
      </c>
    </row>
    <row r="930">
      <c r="K930" s="660" t="str">
        <f t="array" ref="K930">IFERROR(_xlfn.XLOOKUP(I930,Incentive!B:B,Incentive!E:E,""),"")</f>
        <v/>
      </c>
      <c r="L930" s="659" t="str">
        <f>IFERROR(VLOOKUP(I930,Stock1!F:J,5,False),"")</f>
        <v/>
      </c>
      <c r="M930" s="659" t="str">
        <f>IFERROR(VLOOKUP(I930,Stock2!F:J,5,False),"")</f>
        <v/>
      </c>
      <c r="V930" s="102" t="str">
        <f t="array" ref="V930">_xlfn.XLOOKUP("Charger",Stock1!B930,Stock1!I930,"")</f>
        <v/>
      </c>
      <c r="W930" s="102" t="str">
        <f t="array" ref="W930">_xlfn.XLOOKUP(V930,Stock1!I930,Stock1!F930,"")</f>
        <v/>
      </c>
      <c r="X930" s="102" t="str">
        <f t="array" ref="X930">_xlfn.XLOOKUP(V930,Stock1!I930,Stock1!J930,"")</f>
        <v/>
      </c>
      <c r="Y930" s="102" t="str">
        <f t="array" ref="Y930">_xlfn.XLOOKUP("Screen Protector for Android Phone and Other",Stock1!B930,Stock1!I930,"")</f>
        <v/>
      </c>
      <c r="Z930" s="102" t="str">
        <f t="array" ref="Z930">_xlfn.XLOOKUP("Screen Protector for Galaxy Phone",Stock1!B930,Stock1!I930,"")</f>
        <v/>
      </c>
      <c r="AA930" s="102" t="str">
        <f t="array" ref="AA930">_xlfn.XLOOKUP("Screen Protector for Galaxy Tab",Stock1!B930,Stock1!I930,"")</f>
        <v/>
      </c>
      <c r="AB930" s="102" t="str">
        <f t="shared" si="4"/>
        <v/>
      </c>
      <c r="AC930" s="102" t="str">
        <f t="array" ref="AC930">_xlfn.XLOOKUP(AB930,Stock1!I930,Stock1!F930,"")</f>
        <v/>
      </c>
      <c r="AD930" s="102" t="str">
        <f t="array" ref="AD930">_xlfn.XLOOKUP(AB930,Stock1!I930,Stock1!J930,"")</f>
        <v/>
      </c>
      <c r="AE930" s="102" t="str">
        <f t="array" ref="AE930">_xlfn.XLOOKUP("Storage",Stock1!B930,Stock1!I930,"")</f>
        <v/>
      </c>
      <c r="AF930" s="102" t="str">
        <f t="array" ref="AF930">_xlfn.XLOOKUP(AE930,Stock1!I930,Stock1!F930,"")</f>
        <v/>
      </c>
      <c r="AG930" s="102" t="str">
        <f t="array" ref="AG930">_xlfn.XLOOKUP(AE930,Stock1!I930,Stock1!J930,"")</f>
        <v/>
      </c>
    </row>
    <row r="931">
      <c r="K931" s="660" t="str">
        <f t="array" ref="K931">IFERROR(_xlfn.XLOOKUP(I931,Incentive!B:B,Incentive!E:E,""),"")</f>
        <v/>
      </c>
      <c r="L931" s="659" t="str">
        <f>IFERROR(VLOOKUP(I931,Stock1!F:J,5,False),"")</f>
        <v/>
      </c>
      <c r="M931" s="659" t="str">
        <f>IFERROR(VLOOKUP(I931,Stock2!F:J,5,False),"")</f>
        <v/>
      </c>
      <c r="V931" s="102" t="str">
        <f t="array" ref="V931">_xlfn.XLOOKUP("Charger",Stock1!B931,Stock1!I931,"")</f>
        <v/>
      </c>
      <c r="W931" s="102" t="str">
        <f t="array" ref="W931">_xlfn.XLOOKUP(V931,Stock1!I931,Stock1!F931,"")</f>
        <v/>
      </c>
      <c r="X931" s="102" t="str">
        <f t="array" ref="X931">_xlfn.XLOOKUP(V931,Stock1!I931,Stock1!J931,"")</f>
        <v/>
      </c>
      <c r="Y931" s="102" t="str">
        <f t="array" ref="Y931">_xlfn.XLOOKUP("Screen Protector for Android Phone and Other",Stock1!B931,Stock1!I931,"")</f>
        <v/>
      </c>
      <c r="Z931" s="102" t="str">
        <f t="array" ref="Z931">_xlfn.XLOOKUP("Screen Protector for Galaxy Phone",Stock1!B931,Stock1!I931,"")</f>
        <v/>
      </c>
      <c r="AA931" s="102" t="str">
        <f t="array" ref="AA931">_xlfn.XLOOKUP("Screen Protector for Galaxy Tab",Stock1!B931,Stock1!I931,"")</f>
        <v/>
      </c>
      <c r="AB931" s="102" t="str">
        <f t="shared" si="4"/>
        <v/>
      </c>
      <c r="AC931" s="102" t="str">
        <f t="array" ref="AC931">_xlfn.XLOOKUP(AB931,Stock1!I931,Stock1!F931,"")</f>
        <v/>
      </c>
      <c r="AD931" s="102" t="str">
        <f t="array" ref="AD931">_xlfn.XLOOKUP(AB931,Stock1!I931,Stock1!J931,"")</f>
        <v/>
      </c>
      <c r="AE931" s="102" t="str">
        <f t="array" ref="AE931">_xlfn.XLOOKUP("Storage",Stock1!B931,Stock1!I931,"")</f>
        <v/>
      </c>
      <c r="AF931" s="102" t="str">
        <f t="array" ref="AF931">_xlfn.XLOOKUP(AE931,Stock1!I931,Stock1!F931,"")</f>
        <v/>
      </c>
      <c r="AG931" s="102" t="str">
        <f t="array" ref="AG931">_xlfn.XLOOKUP(AE931,Stock1!I931,Stock1!J931,"")</f>
        <v/>
      </c>
    </row>
    <row r="932">
      <c r="K932" s="660" t="str">
        <f t="array" ref="K932">IFERROR(_xlfn.XLOOKUP(I932,Incentive!B:B,Incentive!E:E,""),"")</f>
        <v/>
      </c>
      <c r="L932" s="659" t="str">
        <f>IFERROR(VLOOKUP(I932,Stock1!F:J,5,False),"")</f>
        <v/>
      </c>
      <c r="M932" s="659" t="str">
        <f>IFERROR(VLOOKUP(I932,Stock2!F:J,5,False),"")</f>
        <v/>
      </c>
      <c r="V932" s="102" t="str">
        <f t="array" ref="V932">_xlfn.XLOOKUP("Charger",Stock1!B932,Stock1!I932,"")</f>
        <v/>
      </c>
      <c r="W932" s="102" t="str">
        <f t="array" ref="W932">_xlfn.XLOOKUP(V932,Stock1!I932,Stock1!F932,"")</f>
        <v/>
      </c>
      <c r="X932" s="102" t="str">
        <f t="array" ref="X932">_xlfn.XLOOKUP(V932,Stock1!I932,Stock1!J932,"")</f>
        <v/>
      </c>
      <c r="Y932" s="102" t="str">
        <f t="array" ref="Y932">_xlfn.XLOOKUP("Screen Protector for Android Phone and Other",Stock1!B932,Stock1!I932,"")</f>
        <v/>
      </c>
      <c r="Z932" s="102" t="str">
        <f t="array" ref="Z932">_xlfn.XLOOKUP("Screen Protector for Galaxy Phone",Stock1!B932,Stock1!I932,"")</f>
        <v/>
      </c>
      <c r="AA932" s="102" t="str">
        <f t="array" ref="AA932">_xlfn.XLOOKUP("Screen Protector for Galaxy Tab",Stock1!B932,Stock1!I932,"")</f>
        <v/>
      </c>
      <c r="AB932" s="102" t="str">
        <f t="shared" si="4"/>
        <v/>
      </c>
      <c r="AC932" s="102" t="str">
        <f t="array" ref="AC932">_xlfn.XLOOKUP(AB932,Stock1!I932,Stock1!F932,"")</f>
        <v/>
      </c>
      <c r="AD932" s="102" t="str">
        <f t="array" ref="AD932">_xlfn.XLOOKUP(AB932,Stock1!I932,Stock1!J932,"")</f>
        <v/>
      </c>
      <c r="AE932" s="102" t="str">
        <f t="array" ref="AE932">_xlfn.XLOOKUP("Storage",Stock1!B932,Stock1!I932,"")</f>
        <v/>
      </c>
      <c r="AF932" s="102" t="str">
        <f t="array" ref="AF932">_xlfn.XLOOKUP(AE932,Stock1!I932,Stock1!F932,"")</f>
        <v/>
      </c>
      <c r="AG932" s="102" t="str">
        <f t="array" ref="AG932">_xlfn.XLOOKUP(AE932,Stock1!I932,Stock1!J932,"")</f>
        <v/>
      </c>
    </row>
    <row r="933">
      <c r="K933" s="660" t="str">
        <f t="array" ref="K933">IFERROR(_xlfn.XLOOKUP(I933,Incentive!B:B,Incentive!E:E,""),"")</f>
        <v/>
      </c>
      <c r="L933" s="659" t="str">
        <f>IFERROR(VLOOKUP(I933,Stock1!F:J,5,False),"")</f>
        <v/>
      </c>
      <c r="M933" s="659" t="str">
        <f>IFERROR(VLOOKUP(I933,Stock2!F:J,5,False),"")</f>
        <v/>
      </c>
      <c r="V933" s="102" t="str">
        <f t="array" ref="V933">_xlfn.XLOOKUP("Charger",Stock1!B933,Stock1!I933,"")</f>
        <v/>
      </c>
      <c r="W933" s="102" t="str">
        <f t="array" ref="W933">_xlfn.XLOOKUP(V933,Stock1!I933,Stock1!F933,"")</f>
        <v/>
      </c>
      <c r="X933" s="102" t="str">
        <f t="array" ref="X933">_xlfn.XLOOKUP(V933,Stock1!I933,Stock1!J933,"")</f>
        <v/>
      </c>
      <c r="Y933" s="102" t="str">
        <f t="array" ref="Y933">_xlfn.XLOOKUP("Screen Protector for Android Phone and Other",Stock1!B933,Stock1!I933,"")</f>
        <v/>
      </c>
      <c r="Z933" s="102" t="str">
        <f t="array" ref="Z933">_xlfn.XLOOKUP("Screen Protector for Galaxy Phone",Stock1!B933,Stock1!I933,"")</f>
        <v/>
      </c>
      <c r="AA933" s="102" t="str">
        <f t="array" ref="AA933">_xlfn.XLOOKUP("Screen Protector for Galaxy Tab",Stock1!B933,Stock1!I933,"")</f>
        <v/>
      </c>
      <c r="AB933" s="102" t="str">
        <f t="shared" si="4"/>
        <v/>
      </c>
      <c r="AC933" s="102" t="str">
        <f t="array" ref="AC933">_xlfn.XLOOKUP(AB933,Stock1!I933,Stock1!F933,"")</f>
        <v/>
      </c>
      <c r="AD933" s="102" t="str">
        <f t="array" ref="AD933">_xlfn.XLOOKUP(AB933,Stock1!I933,Stock1!J933,"")</f>
        <v/>
      </c>
      <c r="AE933" s="102" t="str">
        <f t="array" ref="AE933">_xlfn.XLOOKUP("Storage",Stock1!B933,Stock1!I933,"")</f>
        <v/>
      </c>
      <c r="AF933" s="102" t="str">
        <f t="array" ref="AF933">_xlfn.XLOOKUP(AE933,Stock1!I933,Stock1!F933,"")</f>
        <v/>
      </c>
      <c r="AG933" s="102" t="str">
        <f t="array" ref="AG933">_xlfn.XLOOKUP(AE933,Stock1!I933,Stock1!J933,"")</f>
        <v/>
      </c>
    </row>
    <row r="934">
      <c r="K934" s="660" t="str">
        <f t="array" ref="K934">IFERROR(_xlfn.XLOOKUP(I934,Incentive!B:B,Incentive!E:E,""),"")</f>
        <v/>
      </c>
      <c r="L934" s="659" t="str">
        <f>IFERROR(VLOOKUP(I934,Stock1!F:J,5,False),"")</f>
        <v/>
      </c>
      <c r="M934" s="659" t="str">
        <f>IFERROR(VLOOKUP(I934,Stock2!F:J,5,False),"")</f>
        <v/>
      </c>
      <c r="V934" s="102" t="str">
        <f t="array" ref="V934">_xlfn.XLOOKUP("Charger",Stock1!B934,Stock1!I934,"")</f>
        <v/>
      </c>
      <c r="W934" s="102" t="str">
        <f t="array" ref="W934">_xlfn.XLOOKUP(V934,Stock1!I934,Stock1!F934,"")</f>
        <v/>
      </c>
      <c r="X934" s="102" t="str">
        <f t="array" ref="X934">_xlfn.XLOOKUP(V934,Stock1!I934,Stock1!J934,"")</f>
        <v/>
      </c>
      <c r="Y934" s="102" t="str">
        <f t="array" ref="Y934">_xlfn.XLOOKUP("Screen Protector for Android Phone and Other",Stock1!B934,Stock1!I934,"")</f>
        <v/>
      </c>
      <c r="Z934" s="102" t="str">
        <f t="array" ref="Z934">_xlfn.XLOOKUP("Screen Protector for Galaxy Phone",Stock1!B934,Stock1!I934,"")</f>
        <v/>
      </c>
      <c r="AA934" s="102" t="str">
        <f t="array" ref="AA934">_xlfn.XLOOKUP("Screen Protector for Galaxy Tab",Stock1!B934,Stock1!I934,"")</f>
        <v/>
      </c>
      <c r="AB934" s="102" t="str">
        <f t="shared" si="4"/>
        <v/>
      </c>
      <c r="AC934" s="102" t="str">
        <f t="array" ref="AC934">_xlfn.XLOOKUP(AB934,Stock1!I934,Stock1!F934,"")</f>
        <v/>
      </c>
      <c r="AD934" s="102" t="str">
        <f t="array" ref="AD934">_xlfn.XLOOKUP(AB934,Stock1!I934,Stock1!J934,"")</f>
        <v/>
      </c>
      <c r="AE934" s="102" t="str">
        <f t="array" ref="AE934">_xlfn.XLOOKUP("Storage",Stock1!B934,Stock1!I934,"")</f>
        <v/>
      </c>
      <c r="AF934" s="102" t="str">
        <f t="array" ref="AF934">_xlfn.XLOOKUP(AE934,Stock1!I934,Stock1!F934,"")</f>
        <v/>
      </c>
      <c r="AG934" s="102" t="str">
        <f t="array" ref="AG934">_xlfn.XLOOKUP(AE934,Stock1!I934,Stock1!J934,"")</f>
        <v/>
      </c>
    </row>
    <row r="935">
      <c r="K935" s="660" t="str">
        <f t="array" ref="K935">IFERROR(_xlfn.XLOOKUP(I935,Incentive!B:B,Incentive!E:E,""),"")</f>
        <v/>
      </c>
      <c r="L935" s="659" t="str">
        <f>IFERROR(VLOOKUP(I935,Stock1!F:J,5,False),"")</f>
        <v/>
      </c>
      <c r="M935" s="659" t="str">
        <f>IFERROR(VLOOKUP(I935,Stock2!F:J,5,False),"")</f>
        <v/>
      </c>
      <c r="V935" s="102" t="str">
        <f t="array" ref="V935">_xlfn.XLOOKUP("Charger",Stock1!B935,Stock1!I935,"")</f>
        <v/>
      </c>
      <c r="W935" s="102" t="str">
        <f t="array" ref="W935">_xlfn.XLOOKUP(V935,Stock1!I935,Stock1!F935,"")</f>
        <v/>
      </c>
      <c r="X935" s="102" t="str">
        <f t="array" ref="X935">_xlfn.XLOOKUP(V935,Stock1!I935,Stock1!J935,"")</f>
        <v/>
      </c>
      <c r="Y935" s="102" t="str">
        <f t="array" ref="Y935">_xlfn.XLOOKUP("Screen Protector for Android Phone and Other",Stock1!B935,Stock1!I935,"")</f>
        <v/>
      </c>
      <c r="Z935" s="102" t="str">
        <f t="array" ref="Z935">_xlfn.XLOOKUP("Screen Protector for Galaxy Phone",Stock1!B935,Stock1!I935,"")</f>
        <v/>
      </c>
      <c r="AA935" s="102" t="str">
        <f t="array" ref="AA935">_xlfn.XLOOKUP("Screen Protector for Galaxy Tab",Stock1!B935,Stock1!I935,"")</f>
        <v/>
      </c>
      <c r="AB935" s="102" t="str">
        <f t="shared" si="4"/>
        <v/>
      </c>
      <c r="AC935" s="102" t="str">
        <f t="array" ref="AC935">_xlfn.XLOOKUP(AB935,Stock1!I935,Stock1!F935,"")</f>
        <v/>
      </c>
      <c r="AD935" s="102" t="str">
        <f t="array" ref="AD935">_xlfn.XLOOKUP(AB935,Stock1!I935,Stock1!J935,"")</f>
        <v/>
      </c>
      <c r="AE935" s="102" t="str">
        <f t="array" ref="AE935">_xlfn.XLOOKUP("Storage",Stock1!B935,Stock1!I935,"")</f>
        <v/>
      </c>
      <c r="AF935" s="102" t="str">
        <f t="array" ref="AF935">_xlfn.XLOOKUP(AE935,Stock1!I935,Stock1!F935,"")</f>
        <v/>
      </c>
      <c r="AG935" s="102" t="str">
        <f t="array" ref="AG935">_xlfn.XLOOKUP(AE935,Stock1!I935,Stock1!J935,"")</f>
        <v/>
      </c>
    </row>
    <row r="936">
      <c r="K936" s="660" t="str">
        <f t="array" ref="K936">IFERROR(_xlfn.XLOOKUP(I936,Incentive!B:B,Incentive!E:E,""),"")</f>
        <v/>
      </c>
      <c r="L936" s="659" t="str">
        <f>IFERROR(VLOOKUP(I936,Stock1!F:J,5,False),"")</f>
        <v/>
      </c>
      <c r="M936" s="659" t="str">
        <f>IFERROR(VLOOKUP(I936,Stock2!F:J,5,False),"")</f>
        <v/>
      </c>
      <c r="V936" s="102" t="str">
        <f t="array" ref="V936">_xlfn.XLOOKUP("Charger",Stock1!B936,Stock1!I936,"")</f>
        <v/>
      </c>
      <c r="W936" s="102" t="str">
        <f t="array" ref="W936">_xlfn.XLOOKUP(V936,Stock1!I936,Stock1!F936,"")</f>
        <v/>
      </c>
      <c r="X936" s="102" t="str">
        <f t="array" ref="X936">_xlfn.XLOOKUP(V936,Stock1!I936,Stock1!J936,"")</f>
        <v/>
      </c>
      <c r="Y936" s="102" t="str">
        <f t="array" ref="Y936">_xlfn.XLOOKUP("Screen Protector for Android Phone and Other",Stock1!B936,Stock1!I936,"")</f>
        <v/>
      </c>
      <c r="Z936" s="102" t="str">
        <f t="array" ref="Z936">_xlfn.XLOOKUP("Screen Protector for Galaxy Phone",Stock1!B936,Stock1!I936,"")</f>
        <v/>
      </c>
      <c r="AA936" s="102" t="str">
        <f t="array" ref="AA936">_xlfn.XLOOKUP("Screen Protector for Galaxy Tab",Stock1!B936,Stock1!I936,"")</f>
        <v/>
      </c>
      <c r="AB936" s="102" t="str">
        <f t="shared" si="4"/>
        <v/>
      </c>
      <c r="AC936" s="102" t="str">
        <f t="array" ref="AC936">_xlfn.XLOOKUP(AB936,Stock1!I936,Stock1!F936,"")</f>
        <v/>
      </c>
      <c r="AD936" s="102" t="str">
        <f t="array" ref="AD936">_xlfn.XLOOKUP(AB936,Stock1!I936,Stock1!J936,"")</f>
        <v/>
      </c>
      <c r="AE936" s="102" t="str">
        <f t="array" ref="AE936">_xlfn.XLOOKUP("Storage",Stock1!B936,Stock1!I936,"")</f>
        <v/>
      </c>
      <c r="AF936" s="102" t="str">
        <f t="array" ref="AF936">_xlfn.XLOOKUP(AE936,Stock1!I936,Stock1!F936,"")</f>
        <v/>
      </c>
      <c r="AG936" s="102" t="str">
        <f t="array" ref="AG936">_xlfn.XLOOKUP(AE936,Stock1!I936,Stock1!J936,"")</f>
        <v/>
      </c>
    </row>
    <row r="937">
      <c r="K937" s="660" t="str">
        <f t="array" ref="K937">IFERROR(_xlfn.XLOOKUP(I937,Incentive!B:B,Incentive!E:E,""),"")</f>
        <v/>
      </c>
      <c r="L937" s="659" t="str">
        <f>IFERROR(VLOOKUP(I937,Stock1!F:J,5,False),"")</f>
        <v/>
      </c>
      <c r="M937" s="659" t="str">
        <f>IFERROR(VLOOKUP(I937,Stock2!F:J,5,False),"")</f>
        <v/>
      </c>
      <c r="V937" s="102" t="str">
        <f t="array" ref="V937">_xlfn.XLOOKUP("Charger",Stock1!B937,Stock1!I937,"")</f>
        <v/>
      </c>
      <c r="W937" s="102" t="str">
        <f t="array" ref="W937">_xlfn.XLOOKUP(V937,Stock1!I937,Stock1!F937,"")</f>
        <v/>
      </c>
      <c r="X937" s="102" t="str">
        <f t="array" ref="X937">_xlfn.XLOOKUP(V937,Stock1!I937,Stock1!J937,"")</f>
        <v/>
      </c>
      <c r="Y937" s="102" t="str">
        <f t="array" ref="Y937">_xlfn.XLOOKUP("Screen Protector for Android Phone and Other",Stock1!B937,Stock1!I937,"")</f>
        <v/>
      </c>
      <c r="Z937" s="102" t="str">
        <f t="array" ref="Z937">_xlfn.XLOOKUP("Screen Protector for Galaxy Phone",Stock1!B937,Stock1!I937,"")</f>
        <v/>
      </c>
      <c r="AA937" s="102" t="str">
        <f t="array" ref="AA937">_xlfn.XLOOKUP("Screen Protector for Galaxy Tab",Stock1!B937,Stock1!I937,"")</f>
        <v/>
      </c>
      <c r="AB937" s="102" t="str">
        <f t="shared" si="4"/>
        <v/>
      </c>
      <c r="AC937" s="102" t="str">
        <f t="array" ref="AC937">_xlfn.XLOOKUP(AB937,Stock1!I937,Stock1!F937,"")</f>
        <v/>
      </c>
      <c r="AD937" s="102" t="str">
        <f t="array" ref="AD937">_xlfn.XLOOKUP(AB937,Stock1!I937,Stock1!J937,"")</f>
        <v/>
      </c>
      <c r="AE937" s="102" t="str">
        <f t="array" ref="AE937">_xlfn.XLOOKUP("Storage",Stock1!B937,Stock1!I937,"")</f>
        <v/>
      </c>
      <c r="AF937" s="102" t="str">
        <f t="array" ref="AF937">_xlfn.XLOOKUP(AE937,Stock1!I937,Stock1!F937,"")</f>
        <v/>
      </c>
      <c r="AG937" s="102" t="str">
        <f t="array" ref="AG937">_xlfn.XLOOKUP(AE937,Stock1!I937,Stock1!J937,"")</f>
        <v/>
      </c>
    </row>
    <row r="938">
      <c r="K938" s="660" t="str">
        <f t="array" ref="K938">IFERROR(_xlfn.XLOOKUP(I938,Incentive!B:B,Incentive!E:E,""),"")</f>
        <v/>
      </c>
      <c r="L938" s="659" t="str">
        <f>IFERROR(VLOOKUP(I938,Stock1!F:J,5,False),"")</f>
        <v/>
      </c>
      <c r="M938" s="659" t="str">
        <f>IFERROR(VLOOKUP(I938,Stock2!F:J,5,False),"")</f>
        <v/>
      </c>
      <c r="V938" s="102" t="str">
        <f t="array" ref="V938">_xlfn.XLOOKUP("Charger",Stock1!B938,Stock1!I938,"")</f>
        <v/>
      </c>
      <c r="W938" s="102" t="str">
        <f t="array" ref="W938">_xlfn.XLOOKUP(V938,Stock1!I938,Stock1!F938,"")</f>
        <v/>
      </c>
      <c r="X938" s="102" t="str">
        <f t="array" ref="X938">_xlfn.XLOOKUP(V938,Stock1!I938,Stock1!J938,"")</f>
        <v/>
      </c>
      <c r="Y938" s="102" t="str">
        <f t="array" ref="Y938">_xlfn.XLOOKUP("Screen Protector for Android Phone and Other",Stock1!B938,Stock1!I938,"")</f>
        <v/>
      </c>
      <c r="Z938" s="102" t="str">
        <f t="array" ref="Z938">_xlfn.XLOOKUP("Screen Protector for Galaxy Phone",Stock1!B938,Stock1!I938,"")</f>
        <v/>
      </c>
      <c r="AA938" s="102" t="str">
        <f t="array" ref="AA938">_xlfn.XLOOKUP("Screen Protector for Galaxy Tab",Stock1!B938,Stock1!I938,"")</f>
        <v/>
      </c>
      <c r="AB938" s="102" t="str">
        <f t="shared" si="4"/>
        <v/>
      </c>
      <c r="AC938" s="102" t="str">
        <f t="array" ref="AC938">_xlfn.XLOOKUP(AB938,Stock1!I938,Stock1!F938,"")</f>
        <v/>
      </c>
      <c r="AD938" s="102" t="str">
        <f t="array" ref="AD938">_xlfn.XLOOKUP(AB938,Stock1!I938,Stock1!J938,"")</f>
        <v/>
      </c>
      <c r="AE938" s="102" t="str">
        <f t="array" ref="AE938">_xlfn.XLOOKUP("Storage",Stock1!B938,Stock1!I938,"")</f>
        <v/>
      </c>
      <c r="AF938" s="102" t="str">
        <f t="array" ref="AF938">_xlfn.XLOOKUP(AE938,Stock1!I938,Stock1!F938,"")</f>
        <v/>
      </c>
      <c r="AG938" s="102" t="str">
        <f t="array" ref="AG938">_xlfn.XLOOKUP(AE938,Stock1!I938,Stock1!J938,"")</f>
        <v/>
      </c>
    </row>
    <row r="939">
      <c r="K939" s="660" t="str">
        <f t="array" ref="K939">IFERROR(_xlfn.XLOOKUP(I939,Incentive!B:B,Incentive!E:E,""),"")</f>
        <v/>
      </c>
      <c r="L939" s="659" t="str">
        <f>IFERROR(VLOOKUP(I939,Stock1!F:J,5,False),"")</f>
        <v/>
      </c>
      <c r="M939" s="659" t="str">
        <f>IFERROR(VLOOKUP(I939,Stock2!F:J,5,False),"")</f>
        <v/>
      </c>
      <c r="V939" s="102" t="str">
        <f t="array" ref="V939">_xlfn.XLOOKUP("Charger",Stock1!B939,Stock1!I939,"")</f>
        <v/>
      </c>
      <c r="W939" s="102" t="str">
        <f t="array" ref="W939">_xlfn.XLOOKUP(V939,Stock1!I939,Stock1!F939,"")</f>
        <v/>
      </c>
      <c r="X939" s="102" t="str">
        <f t="array" ref="X939">_xlfn.XLOOKUP(V939,Stock1!I939,Stock1!J939,"")</f>
        <v/>
      </c>
      <c r="Y939" s="102" t="str">
        <f t="array" ref="Y939">_xlfn.XLOOKUP("Screen Protector for Android Phone and Other",Stock1!B939,Stock1!I939,"")</f>
        <v/>
      </c>
      <c r="Z939" s="102" t="str">
        <f t="array" ref="Z939">_xlfn.XLOOKUP("Screen Protector for Galaxy Phone",Stock1!B939,Stock1!I939,"")</f>
        <v/>
      </c>
      <c r="AA939" s="102" t="str">
        <f t="array" ref="AA939">_xlfn.XLOOKUP("Screen Protector for Galaxy Tab",Stock1!B939,Stock1!I939,"")</f>
        <v/>
      </c>
      <c r="AB939" s="102" t="str">
        <f t="shared" si="4"/>
        <v/>
      </c>
      <c r="AC939" s="102" t="str">
        <f t="array" ref="AC939">_xlfn.XLOOKUP(AB939,Stock1!I939,Stock1!F939,"")</f>
        <v/>
      </c>
      <c r="AD939" s="102" t="str">
        <f t="array" ref="AD939">_xlfn.XLOOKUP(AB939,Stock1!I939,Stock1!J939,"")</f>
        <v/>
      </c>
      <c r="AE939" s="102" t="str">
        <f t="array" ref="AE939">_xlfn.XLOOKUP("Storage",Stock1!B939,Stock1!I939,"")</f>
        <v/>
      </c>
      <c r="AF939" s="102" t="str">
        <f t="array" ref="AF939">_xlfn.XLOOKUP(AE939,Stock1!I939,Stock1!F939,"")</f>
        <v/>
      </c>
      <c r="AG939" s="102" t="str">
        <f t="array" ref="AG939">_xlfn.XLOOKUP(AE939,Stock1!I939,Stock1!J939,"")</f>
        <v/>
      </c>
    </row>
    <row r="940">
      <c r="K940" s="660" t="str">
        <f t="array" ref="K940">IFERROR(_xlfn.XLOOKUP(I940,Incentive!B:B,Incentive!E:E,""),"")</f>
        <v/>
      </c>
      <c r="L940" s="659" t="str">
        <f>IFERROR(VLOOKUP(I940,Stock1!F:J,5,False),"")</f>
        <v/>
      </c>
      <c r="M940" s="659" t="str">
        <f>IFERROR(VLOOKUP(I940,Stock2!F:J,5,False),"")</f>
        <v/>
      </c>
      <c r="V940" s="102" t="str">
        <f t="array" ref="V940">_xlfn.XLOOKUP("Charger",Stock1!B940,Stock1!I940,"")</f>
        <v/>
      </c>
      <c r="W940" s="102" t="str">
        <f t="array" ref="W940">_xlfn.XLOOKUP(V940,Stock1!I940,Stock1!F940,"")</f>
        <v/>
      </c>
      <c r="X940" s="102" t="str">
        <f t="array" ref="X940">_xlfn.XLOOKUP(V940,Stock1!I940,Stock1!J940,"")</f>
        <v/>
      </c>
      <c r="Y940" s="102" t="str">
        <f t="array" ref="Y940">_xlfn.XLOOKUP("Screen Protector for Android Phone and Other",Stock1!B940,Stock1!I940,"")</f>
        <v/>
      </c>
      <c r="Z940" s="102" t="str">
        <f t="array" ref="Z940">_xlfn.XLOOKUP("Screen Protector for Galaxy Phone",Stock1!B940,Stock1!I940,"")</f>
        <v/>
      </c>
      <c r="AA940" s="102" t="str">
        <f t="array" ref="AA940">_xlfn.XLOOKUP("Screen Protector for Galaxy Tab",Stock1!B940,Stock1!I940,"")</f>
        <v/>
      </c>
      <c r="AB940" s="102" t="str">
        <f t="shared" si="4"/>
        <v/>
      </c>
      <c r="AC940" s="102" t="str">
        <f t="array" ref="AC940">_xlfn.XLOOKUP(AB940,Stock1!I940,Stock1!F940,"")</f>
        <v/>
      </c>
      <c r="AD940" s="102" t="str">
        <f t="array" ref="AD940">_xlfn.XLOOKUP(AB940,Stock1!I940,Stock1!J940,"")</f>
        <v/>
      </c>
      <c r="AE940" s="102" t="str">
        <f t="array" ref="AE940">_xlfn.XLOOKUP("Storage",Stock1!B940,Stock1!I940,"")</f>
        <v/>
      </c>
      <c r="AF940" s="102" t="str">
        <f t="array" ref="AF940">_xlfn.XLOOKUP(AE940,Stock1!I940,Stock1!F940,"")</f>
        <v/>
      </c>
      <c r="AG940" s="102" t="str">
        <f t="array" ref="AG940">_xlfn.XLOOKUP(AE940,Stock1!I940,Stock1!J940,"")</f>
        <v/>
      </c>
    </row>
    <row r="941">
      <c r="K941" s="660" t="str">
        <f t="array" ref="K941">IFERROR(_xlfn.XLOOKUP(I941,Incentive!B:B,Incentive!E:E,""),"")</f>
        <v/>
      </c>
      <c r="L941" s="659" t="str">
        <f>IFERROR(VLOOKUP(I941,Stock1!F:J,5,False),"")</f>
        <v/>
      </c>
      <c r="M941" s="659" t="str">
        <f>IFERROR(VLOOKUP(I941,Stock2!F:J,5,False),"")</f>
        <v/>
      </c>
      <c r="V941" s="102" t="str">
        <f t="array" ref="V941">_xlfn.XLOOKUP("Charger",Stock1!B941,Stock1!I941,"")</f>
        <v/>
      </c>
      <c r="W941" s="102" t="str">
        <f t="array" ref="W941">_xlfn.XLOOKUP(V941,Stock1!I941,Stock1!F941,"")</f>
        <v/>
      </c>
      <c r="X941" s="102" t="str">
        <f t="array" ref="X941">_xlfn.XLOOKUP(V941,Stock1!I941,Stock1!J941,"")</f>
        <v/>
      </c>
      <c r="Y941" s="102" t="str">
        <f t="array" ref="Y941">_xlfn.XLOOKUP("Screen Protector for Android Phone and Other",Stock1!B941,Stock1!I941,"")</f>
        <v/>
      </c>
      <c r="Z941" s="102" t="str">
        <f t="array" ref="Z941">_xlfn.XLOOKUP("Screen Protector for Galaxy Phone",Stock1!B941,Stock1!I941,"")</f>
        <v/>
      </c>
      <c r="AA941" s="102" t="str">
        <f t="array" ref="AA941">_xlfn.XLOOKUP("Screen Protector for Galaxy Tab",Stock1!B941,Stock1!I941,"")</f>
        <v/>
      </c>
      <c r="AB941" s="102" t="str">
        <f t="shared" si="4"/>
        <v/>
      </c>
      <c r="AC941" s="102" t="str">
        <f t="array" ref="AC941">_xlfn.XLOOKUP(AB941,Stock1!I941,Stock1!F941,"")</f>
        <v/>
      </c>
      <c r="AD941" s="102" t="str">
        <f t="array" ref="AD941">_xlfn.XLOOKUP(AB941,Stock1!I941,Stock1!J941,"")</f>
        <v/>
      </c>
      <c r="AE941" s="102" t="str">
        <f t="array" ref="AE941">_xlfn.XLOOKUP("Storage",Stock1!B941,Stock1!I941,"")</f>
        <v/>
      </c>
      <c r="AF941" s="102" t="str">
        <f t="array" ref="AF941">_xlfn.XLOOKUP(AE941,Stock1!I941,Stock1!F941,"")</f>
        <v/>
      </c>
      <c r="AG941" s="102" t="str">
        <f t="array" ref="AG941">_xlfn.XLOOKUP(AE941,Stock1!I941,Stock1!J941,"")</f>
        <v/>
      </c>
    </row>
    <row r="942">
      <c r="K942" s="660" t="str">
        <f t="array" ref="K942">IFERROR(_xlfn.XLOOKUP(I942,Incentive!B:B,Incentive!E:E,""),"")</f>
        <v/>
      </c>
      <c r="L942" s="659" t="str">
        <f>IFERROR(VLOOKUP(I942,Stock1!F:J,5,False),"")</f>
        <v/>
      </c>
      <c r="M942" s="659" t="str">
        <f>IFERROR(VLOOKUP(I942,Stock2!F:J,5,False),"")</f>
        <v/>
      </c>
      <c r="V942" s="102" t="str">
        <f t="array" ref="V942">_xlfn.XLOOKUP("Charger",Stock1!B942,Stock1!I942,"")</f>
        <v/>
      </c>
      <c r="W942" s="102" t="str">
        <f t="array" ref="W942">_xlfn.XLOOKUP(V942,Stock1!I942,Stock1!F942,"")</f>
        <v/>
      </c>
      <c r="X942" s="102" t="str">
        <f t="array" ref="X942">_xlfn.XLOOKUP(V942,Stock1!I942,Stock1!J942,"")</f>
        <v/>
      </c>
      <c r="Y942" s="102" t="str">
        <f t="array" ref="Y942">_xlfn.XLOOKUP("Screen Protector for Android Phone and Other",Stock1!B942,Stock1!I942,"")</f>
        <v/>
      </c>
      <c r="Z942" s="102" t="str">
        <f t="array" ref="Z942">_xlfn.XLOOKUP("Screen Protector for Galaxy Phone",Stock1!B942,Stock1!I942,"")</f>
        <v/>
      </c>
      <c r="AA942" s="102" t="str">
        <f t="array" ref="AA942">_xlfn.XLOOKUP("Screen Protector for Galaxy Tab",Stock1!B942,Stock1!I942,"")</f>
        <v/>
      </c>
      <c r="AB942" s="102" t="str">
        <f t="shared" si="4"/>
        <v/>
      </c>
      <c r="AC942" s="102" t="str">
        <f t="array" ref="AC942">_xlfn.XLOOKUP(AB942,Stock1!I942,Stock1!F942,"")</f>
        <v/>
      </c>
      <c r="AD942" s="102" t="str">
        <f t="array" ref="AD942">_xlfn.XLOOKUP(AB942,Stock1!I942,Stock1!J942,"")</f>
        <v/>
      </c>
      <c r="AE942" s="102" t="str">
        <f t="array" ref="AE942">_xlfn.XLOOKUP("Storage",Stock1!B942,Stock1!I942,"")</f>
        <v/>
      </c>
      <c r="AF942" s="102" t="str">
        <f t="array" ref="AF942">_xlfn.XLOOKUP(AE942,Stock1!I942,Stock1!F942,"")</f>
        <v/>
      </c>
      <c r="AG942" s="102" t="str">
        <f t="array" ref="AG942">_xlfn.XLOOKUP(AE942,Stock1!I942,Stock1!J942,"")</f>
        <v/>
      </c>
    </row>
    <row r="943">
      <c r="K943" s="660" t="str">
        <f t="array" ref="K943">IFERROR(_xlfn.XLOOKUP(I943,Incentive!B:B,Incentive!E:E,""),"")</f>
        <v/>
      </c>
      <c r="L943" s="659" t="str">
        <f>IFERROR(VLOOKUP(I943,Stock1!F:J,5,False),"")</f>
        <v/>
      </c>
      <c r="M943" s="659" t="str">
        <f>IFERROR(VLOOKUP(I943,Stock2!F:J,5,False),"")</f>
        <v/>
      </c>
      <c r="V943" s="102" t="str">
        <f t="array" ref="V943">_xlfn.XLOOKUP("Charger",Stock1!B943,Stock1!I943,"")</f>
        <v/>
      </c>
      <c r="W943" s="102" t="str">
        <f t="array" ref="W943">_xlfn.XLOOKUP(V943,Stock1!I943,Stock1!F943,"")</f>
        <v/>
      </c>
      <c r="X943" s="102" t="str">
        <f t="array" ref="X943">_xlfn.XLOOKUP(V943,Stock1!I943,Stock1!J943,"")</f>
        <v/>
      </c>
      <c r="Y943" s="102" t="str">
        <f t="array" ref="Y943">_xlfn.XLOOKUP("Screen Protector for Android Phone and Other",Stock1!B943,Stock1!I943,"")</f>
        <v/>
      </c>
      <c r="Z943" s="102" t="str">
        <f t="array" ref="Z943">_xlfn.XLOOKUP("Screen Protector for Galaxy Phone",Stock1!B943,Stock1!I943,"")</f>
        <v/>
      </c>
      <c r="AA943" s="102" t="str">
        <f t="array" ref="AA943">_xlfn.XLOOKUP("Screen Protector for Galaxy Tab",Stock1!B943,Stock1!I943,"")</f>
        <v/>
      </c>
      <c r="AB943" s="102" t="str">
        <f t="shared" si="4"/>
        <v/>
      </c>
      <c r="AC943" s="102" t="str">
        <f t="array" ref="AC943">_xlfn.XLOOKUP(AB943,Stock1!I943,Stock1!F943,"")</f>
        <v/>
      </c>
      <c r="AD943" s="102" t="str">
        <f t="array" ref="AD943">_xlfn.XLOOKUP(AB943,Stock1!I943,Stock1!J943,"")</f>
        <v/>
      </c>
      <c r="AE943" s="102" t="str">
        <f t="array" ref="AE943">_xlfn.XLOOKUP("Storage",Stock1!B943,Stock1!I943,"")</f>
        <v/>
      </c>
      <c r="AF943" s="102" t="str">
        <f t="array" ref="AF943">_xlfn.XLOOKUP(AE943,Stock1!I943,Stock1!F943,"")</f>
        <v/>
      </c>
      <c r="AG943" s="102" t="str">
        <f t="array" ref="AG943">_xlfn.XLOOKUP(AE943,Stock1!I943,Stock1!J943,"")</f>
        <v/>
      </c>
    </row>
    <row r="944">
      <c r="K944" s="660" t="str">
        <f t="array" ref="K944">IFERROR(_xlfn.XLOOKUP(I944,Incentive!B:B,Incentive!E:E,""),"")</f>
        <v/>
      </c>
      <c r="L944" s="659" t="str">
        <f>IFERROR(VLOOKUP(I944,Stock1!F:J,5,False),"")</f>
        <v/>
      </c>
      <c r="M944" s="659" t="str">
        <f>IFERROR(VLOOKUP(I944,Stock2!F:J,5,False),"")</f>
        <v/>
      </c>
      <c r="V944" s="102" t="str">
        <f t="array" ref="V944">_xlfn.XLOOKUP("Charger",Stock1!B944,Stock1!I944,"")</f>
        <v/>
      </c>
      <c r="W944" s="102" t="str">
        <f t="array" ref="W944">_xlfn.XLOOKUP(V944,Stock1!I944,Stock1!F944,"")</f>
        <v/>
      </c>
      <c r="X944" s="102" t="str">
        <f t="array" ref="X944">_xlfn.XLOOKUP(V944,Stock1!I944,Stock1!J944,"")</f>
        <v/>
      </c>
      <c r="Y944" s="102" t="str">
        <f t="array" ref="Y944">_xlfn.XLOOKUP("Screen Protector for Android Phone and Other",Stock1!B944,Stock1!I944,"")</f>
        <v/>
      </c>
      <c r="Z944" s="102" t="str">
        <f t="array" ref="Z944">_xlfn.XLOOKUP("Screen Protector for Galaxy Phone",Stock1!B944,Stock1!I944,"")</f>
        <v/>
      </c>
      <c r="AA944" s="102" t="str">
        <f t="array" ref="AA944">_xlfn.XLOOKUP("Screen Protector for Galaxy Tab",Stock1!B944,Stock1!I944,"")</f>
        <v/>
      </c>
      <c r="AB944" s="102" t="str">
        <f t="shared" si="4"/>
        <v/>
      </c>
      <c r="AC944" s="102" t="str">
        <f t="array" ref="AC944">_xlfn.XLOOKUP(AB944,Stock1!I944,Stock1!F944,"")</f>
        <v/>
      </c>
      <c r="AD944" s="102" t="str">
        <f t="array" ref="AD944">_xlfn.XLOOKUP(AB944,Stock1!I944,Stock1!J944,"")</f>
        <v/>
      </c>
      <c r="AE944" s="102" t="str">
        <f t="array" ref="AE944">_xlfn.XLOOKUP("Storage",Stock1!B944,Stock1!I944,"")</f>
        <v/>
      </c>
      <c r="AF944" s="102" t="str">
        <f t="array" ref="AF944">_xlfn.XLOOKUP(AE944,Stock1!I944,Stock1!F944,"")</f>
        <v/>
      </c>
      <c r="AG944" s="102" t="str">
        <f t="array" ref="AG944">_xlfn.XLOOKUP(AE944,Stock1!I944,Stock1!J944,"")</f>
        <v/>
      </c>
    </row>
    <row r="945">
      <c r="K945" s="660" t="str">
        <f t="array" ref="K945">IFERROR(_xlfn.XLOOKUP(I945,Incentive!B:B,Incentive!E:E,""),"")</f>
        <v/>
      </c>
      <c r="L945" s="659" t="str">
        <f>IFERROR(VLOOKUP(I945,Stock1!F:J,5,False),"")</f>
        <v/>
      </c>
      <c r="M945" s="659" t="str">
        <f>IFERROR(VLOOKUP(I945,Stock2!F:J,5,False),"")</f>
        <v/>
      </c>
      <c r="V945" s="102" t="str">
        <f t="array" ref="V945">_xlfn.XLOOKUP("Charger",Stock1!B945,Stock1!I945,"")</f>
        <v/>
      </c>
      <c r="W945" s="102" t="str">
        <f t="array" ref="W945">_xlfn.XLOOKUP(V945,Stock1!I945,Stock1!F945,"")</f>
        <v/>
      </c>
      <c r="X945" s="102" t="str">
        <f t="array" ref="X945">_xlfn.XLOOKUP(V945,Stock1!I945,Stock1!J945,"")</f>
        <v/>
      </c>
      <c r="Y945" s="102" t="str">
        <f t="array" ref="Y945">_xlfn.XLOOKUP("Screen Protector for Android Phone and Other",Stock1!B945,Stock1!I945,"")</f>
        <v/>
      </c>
      <c r="Z945" s="102" t="str">
        <f t="array" ref="Z945">_xlfn.XLOOKUP("Screen Protector for Galaxy Phone",Stock1!B945,Stock1!I945,"")</f>
        <v/>
      </c>
      <c r="AA945" s="102" t="str">
        <f t="array" ref="AA945">_xlfn.XLOOKUP("Screen Protector for Galaxy Tab",Stock1!B945,Stock1!I945,"")</f>
        <v/>
      </c>
      <c r="AB945" s="102" t="str">
        <f t="shared" si="4"/>
        <v/>
      </c>
      <c r="AC945" s="102" t="str">
        <f t="array" ref="AC945">_xlfn.XLOOKUP(AB945,Stock1!I945,Stock1!F945,"")</f>
        <v/>
      </c>
      <c r="AD945" s="102" t="str">
        <f t="array" ref="AD945">_xlfn.XLOOKUP(AB945,Stock1!I945,Stock1!J945,"")</f>
        <v/>
      </c>
      <c r="AE945" s="102" t="str">
        <f t="array" ref="AE945">_xlfn.XLOOKUP("Storage",Stock1!B945,Stock1!I945,"")</f>
        <v/>
      </c>
      <c r="AF945" s="102" t="str">
        <f t="array" ref="AF945">_xlfn.XLOOKUP(AE945,Stock1!I945,Stock1!F945,"")</f>
        <v/>
      </c>
      <c r="AG945" s="102" t="str">
        <f t="array" ref="AG945">_xlfn.XLOOKUP(AE945,Stock1!I945,Stock1!J945,"")</f>
        <v/>
      </c>
    </row>
    <row r="946">
      <c r="K946" s="660" t="str">
        <f t="array" ref="K946">IFERROR(_xlfn.XLOOKUP(I946,Incentive!B:B,Incentive!E:E,""),"")</f>
        <v/>
      </c>
      <c r="L946" s="659" t="str">
        <f>IFERROR(VLOOKUP(I946,Stock1!F:J,5,False),"")</f>
        <v/>
      </c>
      <c r="M946" s="659" t="str">
        <f>IFERROR(VLOOKUP(I946,Stock2!F:J,5,False),"")</f>
        <v/>
      </c>
      <c r="V946" s="102" t="str">
        <f t="array" ref="V946">_xlfn.XLOOKUP("Charger",Stock1!B946,Stock1!I946,"")</f>
        <v/>
      </c>
      <c r="W946" s="102" t="str">
        <f t="array" ref="W946">_xlfn.XLOOKUP(V946,Stock1!I946,Stock1!F946,"")</f>
        <v/>
      </c>
      <c r="X946" s="102" t="str">
        <f t="array" ref="X946">_xlfn.XLOOKUP(V946,Stock1!I946,Stock1!J946,"")</f>
        <v/>
      </c>
      <c r="Y946" s="102" t="str">
        <f t="array" ref="Y946">_xlfn.XLOOKUP("Screen Protector for Android Phone and Other",Stock1!B946,Stock1!I946,"")</f>
        <v/>
      </c>
      <c r="Z946" s="102" t="str">
        <f t="array" ref="Z946">_xlfn.XLOOKUP("Screen Protector for Galaxy Phone",Stock1!B946,Stock1!I946,"")</f>
        <v/>
      </c>
      <c r="AA946" s="102" t="str">
        <f t="array" ref="AA946">_xlfn.XLOOKUP("Screen Protector for Galaxy Tab",Stock1!B946,Stock1!I946,"")</f>
        <v/>
      </c>
      <c r="AB946" s="102" t="str">
        <f t="shared" si="4"/>
        <v/>
      </c>
      <c r="AC946" s="102" t="str">
        <f t="array" ref="AC946">_xlfn.XLOOKUP(AB946,Stock1!I946,Stock1!F946,"")</f>
        <v/>
      </c>
      <c r="AD946" s="102" t="str">
        <f t="array" ref="AD946">_xlfn.XLOOKUP(AB946,Stock1!I946,Stock1!J946,"")</f>
        <v/>
      </c>
      <c r="AE946" s="102" t="str">
        <f t="array" ref="AE946">_xlfn.XLOOKUP("Storage",Stock1!B946,Stock1!I946,"")</f>
        <v/>
      </c>
      <c r="AF946" s="102" t="str">
        <f t="array" ref="AF946">_xlfn.XLOOKUP(AE946,Stock1!I946,Stock1!F946,"")</f>
        <v/>
      </c>
      <c r="AG946" s="102" t="str">
        <f t="array" ref="AG946">_xlfn.XLOOKUP(AE946,Stock1!I946,Stock1!J946,"")</f>
        <v/>
      </c>
    </row>
    <row r="947">
      <c r="K947" s="660" t="str">
        <f t="array" ref="K947">IFERROR(_xlfn.XLOOKUP(I947,Incentive!B:B,Incentive!E:E,""),"")</f>
        <v/>
      </c>
      <c r="L947" s="659" t="str">
        <f>IFERROR(VLOOKUP(I947,Stock1!F:J,5,False),"")</f>
        <v/>
      </c>
      <c r="M947" s="659" t="str">
        <f>IFERROR(VLOOKUP(I947,Stock2!F:J,5,False),"")</f>
        <v/>
      </c>
      <c r="V947" s="102" t="str">
        <f t="array" ref="V947">_xlfn.XLOOKUP("Charger",Stock1!B947,Stock1!I947,"")</f>
        <v/>
      </c>
      <c r="W947" s="102" t="str">
        <f t="array" ref="W947">_xlfn.XLOOKUP(V947,Stock1!I947,Stock1!F947,"")</f>
        <v/>
      </c>
      <c r="X947" s="102" t="str">
        <f t="array" ref="X947">_xlfn.XLOOKUP(V947,Stock1!I947,Stock1!J947,"")</f>
        <v/>
      </c>
      <c r="Y947" s="102" t="str">
        <f t="array" ref="Y947">_xlfn.XLOOKUP("Screen Protector for Android Phone and Other",Stock1!B947,Stock1!I947,"")</f>
        <v/>
      </c>
      <c r="Z947" s="102" t="str">
        <f t="array" ref="Z947">_xlfn.XLOOKUP("Screen Protector for Galaxy Phone",Stock1!B947,Stock1!I947,"")</f>
        <v/>
      </c>
      <c r="AA947" s="102" t="str">
        <f t="array" ref="AA947">_xlfn.XLOOKUP("Screen Protector for Galaxy Tab",Stock1!B947,Stock1!I947,"")</f>
        <v/>
      </c>
      <c r="AB947" s="102" t="str">
        <f t="shared" si="4"/>
        <v/>
      </c>
      <c r="AC947" s="102" t="str">
        <f t="array" ref="AC947">_xlfn.XLOOKUP(AB947,Stock1!I947,Stock1!F947,"")</f>
        <v/>
      </c>
      <c r="AD947" s="102" t="str">
        <f t="array" ref="AD947">_xlfn.XLOOKUP(AB947,Stock1!I947,Stock1!J947,"")</f>
        <v/>
      </c>
      <c r="AE947" s="102" t="str">
        <f t="array" ref="AE947">_xlfn.XLOOKUP("Storage",Stock1!B947,Stock1!I947,"")</f>
        <v/>
      </c>
      <c r="AF947" s="102" t="str">
        <f t="array" ref="AF947">_xlfn.XLOOKUP(AE947,Stock1!I947,Stock1!F947,"")</f>
        <v/>
      </c>
      <c r="AG947" s="102" t="str">
        <f t="array" ref="AG947">_xlfn.XLOOKUP(AE947,Stock1!I947,Stock1!J947,"")</f>
        <v/>
      </c>
    </row>
    <row r="948">
      <c r="K948" s="660" t="str">
        <f t="array" ref="K948">IFERROR(_xlfn.XLOOKUP(I948,Incentive!B:B,Incentive!E:E,""),"")</f>
        <v/>
      </c>
      <c r="L948" s="659" t="str">
        <f>IFERROR(VLOOKUP(I948,Stock1!F:J,5,False),"")</f>
        <v/>
      </c>
      <c r="M948" s="659" t="str">
        <f>IFERROR(VLOOKUP(I948,Stock2!F:J,5,False),"")</f>
        <v/>
      </c>
      <c r="V948" s="102" t="str">
        <f t="array" ref="V948">_xlfn.XLOOKUP("Charger",Stock1!B948,Stock1!I948,"")</f>
        <v/>
      </c>
      <c r="W948" s="102" t="str">
        <f t="array" ref="W948">_xlfn.XLOOKUP(V948,Stock1!I948,Stock1!F948,"")</f>
        <v/>
      </c>
      <c r="X948" s="102" t="str">
        <f t="array" ref="X948">_xlfn.XLOOKUP(V948,Stock1!I948,Stock1!J948,"")</f>
        <v/>
      </c>
      <c r="Y948" s="102" t="str">
        <f t="array" ref="Y948">_xlfn.XLOOKUP("Screen Protector for Android Phone and Other",Stock1!B948,Stock1!I948,"")</f>
        <v/>
      </c>
      <c r="Z948" s="102" t="str">
        <f t="array" ref="Z948">_xlfn.XLOOKUP("Screen Protector for Galaxy Phone",Stock1!B948,Stock1!I948,"")</f>
        <v/>
      </c>
      <c r="AA948" s="102" t="str">
        <f t="array" ref="AA948">_xlfn.XLOOKUP("Screen Protector for Galaxy Tab",Stock1!B948,Stock1!I948,"")</f>
        <v/>
      </c>
      <c r="AB948" s="102" t="str">
        <f t="shared" si="4"/>
        <v/>
      </c>
      <c r="AC948" s="102" t="str">
        <f t="array" ref="AC948">_xlfn.XLOOKUP(AB948,Stock1!I948,Stock1!F948,"")</f>
        <v/>
      </c>
      <c r="AD948" s="102" t="str">
        <f t="array" ref="AD948">_xlfn.XLOOKUP(AB948,Stock1!I948,Stock1!J948,"")</f>
        <v/>
      </c>
      <c r="AE948" s="102" t="str">
        <f t="array" ref="AE948">_xlfn.XLOOKUP("Storage",Stock1!B948,Stock1!I948,"")</f>
        <v/>
      </c>
      <c r="AF948" s="102" t="str">
        <f t="array" ref="AF948">_xlfn.XLOOKUP(AE948,Stock1!I948,Stock1!F948,"")</f>
        <v/>
      </c>
      <c r="AG948" s="102" t="str">
        <f t="array" ref="AG948">_xlfn.XLOOKUP(AE948,Stock1!I948,Stock1!J948,"")</f>
        <v/>
      </c>
    </row>
    <row r="949">
      <c r="K949" s="660" t="str">
        <f t="array" ref="K949">IFERROR(_xlfn.XLOOKUP(I949,Incentive!B:B,Incentive!E:E,""),"")</f>
        <v/>
      </c>
      <c r="L949" s="659" t="str">
        <f>IFERROR(VLOOKUP(I949,Stock1!F:J,5,False),"")</f>
        <v/>
      </c>
      <c r="M949" s="659" t="str">
        <f>IFERROR(VLOOKUP(I949,Stock2!F:J,5,False),"")</f>
        <v/>
      </c>
      <c r="V949" s="102" t="str">
        <f t="array" ref="V949">_xlfn.XLOOKUP("Charger",Stock1!B949,Stock1!I949,"")</f>
        <v/>
      </c>
      <c r="W949" s="102" t="str">
        <f t="array" ref="W949">_xlfn.XLOOKUP(V949,Stock1!I949,Stock1!F949,"")</f>
        <v/>
      </c>
      <c r="X949" s="102" t="str">
        <f t="array" ref="X949">_xlfn.XLOOKUP(V949,Stock1!I949,Stock1!J949,"")</f>
        <v/>
      </c>
      <c r="Y949" s="102" t="str">
        <f t="array" ref="Y949">_xlfn.XLOOKUP("Screen Protector for Android Phone and Other",Stock1!B949,Stock1!I949,"")</f>
        <v/>
      </c>
      <c r="Z949" s="102" t="str">
        <f t="array" ref="Z949">_xlfn.XLOOKUP("Screen Protector for Galaxy Phone",Stock1!B949,Stock1!I949,"")</f>
        <v/>
      </c>
      <c r="AA949" s="102" t="str">
        <f t="array" ref="AA949">_xlfn.XLOOKUP("Screen Protector for Galaxy Tab",Stock1!B949,Stock1!I949,"")</f>
        <v/>
      </c>
      <c r="AB949" s="102" t="str">
        <f t="shared" si="4"/>
        <v/>
      </c>
      <c r="AC949" s="102" t="str">
        <f t="array" ref="AC949">_xlfn.XLOOKUP(AB949,Stock1!I949,Stock1!F949,"")</f>
        <v/>
      </c>
      <c r="AD949" s="102" t="str">
        <f t="array" ref="AD949">_xlfn.XLOOKUP(AB949,Stock1!I949,Stock1!J949,"")</f>
        <v/>
      </c>
      <c r="AE949" s="102" t="str">
        <f t="array" ref="AE949">_xlfn.XLOOKUP("Storage",Stock1!B949,Stock1!I949,"")</f>
        <v/>
      </c>
      <c r="AF949" s="102" t="str">
        <f t="array" ref="AF949">_xlfn.XLOOKUP(AE949,Stock1!I949,Stock1!F949,"")</f>
        <v/>
      </c>
      <c r="AG949" s="102" t="str">
        <f t="array" ref="AG949">_xlfn.XLOOKUP(AE949,Stock1!I949,Stock1!J949,"")</f>
        <v/>
      </c>
    </row>
    <row r="950">
      <c r="K950" s="660" t="str">
        <f t="array" ref="K950">IFERROR(_xlfn.XLOOKUP(I950,Incentive!B:B,Incentive!E:E,""),"")</f>
        <v/>
      </c>
      <c r="L950" s="659" t="str">
        <f>IFERROR(VLOOKUP(I950,Stock1!F:J,5,False),"")</f>
        <v/>
      </c>
      <c r="M950" s="659" t="str">
        <f>IFERROR(VLOOKUP(I950,Stock2!F:J,5,False),"")</f>
        <v/>
      </c>
      <c r="V950" s="102" t="str">
        <f t="array" ref="V950">_xlfn.XLOOKUP("Charger",Stock1!B950,Stock1!I950,"")</f>
        <v/>
      </c>
      <c r="W950" s="102" t="str">
        <f t="array" ref="W950">_xlfn.XLOOKUP(V950,Stock1!I950,Stock1!F950,"")</f>
        <v/>
      </c>
      <c r="X950" s="102" t="str">
        <f t="array" ref="X950">_xlfn.XLOOKUP(V950,Stock1!I950,Stock1!J950,"")</f>
        <v/>
      </c>
      <c r="Y950" s="102" t="str">
        <f t="array" ref="Y950">_xlfn.XLOOKUP("Screen Protector for Android Phone and Other",Stock1!B950,Stock1!I950,"")</f>
        <v/>
      </c>
      <c r="Z950" s="102" t="str">
        <f t="array" ref="Z950">_xlfn.XLOOKUP("Screen Protector for Galaxy Phone",Stock1!B950,Stock1!I950,"")</f>
        <v/>
      </c>
      <c r="AA950" s="102" t="str">
        <f t="array" ref="AA950">_xlfn.XLOOKUP("Screen Protector for Galaxy Tab",Stock1!B950,Stock1!I950,"")</f>
        <v/>
      </c>
      <c r="AB950" s="102" t="str">
        <f t="shared" si="4"/>
        <v/>
      </c>
      <c r="AC950" s="102" t="str">
        <f t="array" ref="AC950">_xlfn.XLOOKUP(AB950,Stock1!I950,Stock1!F950,"")</f>
        <v/>
      </c>
      <c r="AD950" s="102" t="str">
        <f t="array" ref="AD950">_xlfn.XLOOKUP(AB950,Stock1!I950,Stock1!J950,"")</f>
        <v/>
      </c>
      <c r="AE950" s="102" t="str">
        <f t="array" ref="AE950">_xlfn.XLOOKUP("Storage",Stock1!B950,Stock1!I950,"")</f>
        <v/>
      </c>
      <c r="AF950" s="102" t="str">
        <f t="array" ref="AF950">_xlfn.XLOOKUP(AE950,Stock1!I950,Stock1!F950,"")</f>
        <v/>
      </c>
      <c r="AG950" s="102" t="str">
        <f t="array" ref="AG950">_xlfn.XLOOKUP(AE950,Stock1!I950,Stock1!J950,"")</f>
        <v/>
      </c>
    </row>
    <row r="951">
      <c r="K951" s="660" t="str">
        <f t="array" ref="K951">IFERROR(_xlfn.XLOOKUP(I951,Incentive!B:B,Incentive!E:E,""),"")</f>
        <v/>
      </c>
      <c r="L951" s="659" t="str">
        <f>IFERROR(VLOOKUP(I951,Stock1!F:J,5,False),"")</f>
        <v/>
      </c>
      <c r="M951" s="659" t="str">
        <f>IFERROR(VLOOKUP(I951,Stock2!F:J,5,False),"")</f>
        <v/>
      </c>
      <c r="V951" s="102" t="str">
        <f t="array" ref="V951">_xlfn.XLOOKUP("Charger",Stock1!B951,Stock1!I951,"")</f>
        <v/>
      </c>
      <c r="W951" s="102" t="str">
        <f t="array" ref="W951">_xlfn.XLOOKUP(V951,Stock1!I951,Stock1!F951,"")</f>
        <v/>
      </c>
      <c r="X951" s="102" t="str">
        <f t="array" ref="X951">_xlfn.XLOOKUP(V951,Stock1!I951,Stock1!J951,"")</f>
        <v/>
      </c>
      <c r="Y951" s="102" t="str">
        <f t="array" ref="Y951">_xlfn.XLOOKUP("Screen Protector for Android Phone and Other",Stock1!B951,Stock1!I951,"")</f>
        <v/>
      </c>
      <c r="Z951" s="102" t="str">
        <f t="array" ref="Z951">_xlfn.XLOOKUP("Screen Protector for Galaxy Phone",Stock1!B951,Stock1!I951,"")</f>
        <v/>
      </c>
      <c r="AA951" s="102" t="str">
        <f t="array" ref="AA951">_xlfn.XLOOKUP("Screen Protector for Galaxy Tab",Stock1!B951,Stock1!I951,"")</f>
        <v/>
      </c>
      <c r="AB951" s="102" t="str">
        <f t="shared" si="4"/>
        <v/>
      </c>
      <c r="AC951" s="102" t="str">
        <f t="array" ref="AC951">_xlfn.XLOOKUP(AB951,Stock1!I951,Stock1!F951,"")</f>
        <v/>
      </c>
      <c r="AD951" s="102" t="str">
        <f t="array" ref="AD951">_xlfn.XLOOKUP(AB951,Stock1!I951,Stock1!J951,"")</f>
        <v/>
      </c>
      <c r="AE951" s="102" t="str">
        <f t="array" ref="AE951">_xlfn.XLOOKUP("Storage",Stock1!B951,Stock1!I951,"")</f>
        <v/>
      </c>
      <c r="AF951" s="102" t="str">
        <f t="array" ref="AF951">_xlfn.XLOOKUP(AE951,Stock1!I951,Stock1!F951,"")</f>
        <v/>
      </c>
      <c r="AG951" s="102" t="str">
        <f t="array" ref="AG951">_xlfn.XLOOKUP(AE951,Stock1!I951,Stock1!J951,"")</f>
        <v/>
      </c>
    </row>
    <row r="952">
      <c r="K952" s="660" t="str">
        <f t="array" ref="K952">IFERROR(_xlfn.XLOOKUP(I952,Incentive!B:B,Incentive!E:E,""),"")</f>
        <v/>
      </c>
      <c r="L952" s="659" t="str">
        <f>IFERROR(VLOOKUP(I952,Stock1!F:J,5,False),"")</f>
        <v/>
      </c>
      <c r="M952" s="659" t="str">
        <f>IFERROR(VLOOKUP(I952,Stock2!F:J,5,False),"")</f>
        <v/>
      </c>
      <c r="V952" s="102" t="str">
        <f t="array" ref="V952">_xlfn.XLOOKUP("Charger",Stock1!B952,Stock1!I952,"")</f>
        <v/>
      </c>
      <c r="W952" s="102" t="str">
        <f t="array" ref="W952">_xlfn.XLOOKUP(V952,Stock1!I952,Stock1!F952,"")</f>
        <v/>
      </c>
      <c r="X952" s="102" t="str">
        <f t="array" ref="X952">_xlfn.XLOOKUP(V952,Stock1!I952,Stock1!J952,"")</f>
        <v/>
      </c>
      <c r="Y952" s="102" t="str">
        <f t="array" ref="Y952">_xlfn.XLOOKUP("Screen Protector for Android Phone and Other",Stock1!B952,Stock1!I952,"")</f>
        <v/>
      </c>
      <c r="Z952" s="102" t="str">
        <f t="array" ref="Z952">_xlfn.XLOOKUP("Screen Protector for Galaxy Phone",Stock1!B952,Stock1!I952,"")</f>
        <v/>
      </c>
      <c r="AA952" s="102" t="str">
        <f t="array" ref="AA952">_xlfn.XLOOKUP("Screen Protector for Galaxy Tab",Stock1!B952,Stock1!I952,"")</f>
        <v/>
      </c>
      <c r="AB952" s="102" t="str">
        <f t="shared" si="4"/>
        <v/>
      </c>
      <c r="AC952" s="102" t="str">
        <f t="array" ref="AC952">_xlfn.XLOOKUP(AB952,Stock1!I952,Stock1!F952,"")</f>
        <v/>
      </c>
      <c r="AD952" s="102" t="str">
        <f t="array" ref="AD952">_xlfn.XLOOKUP(AB952,Stock1!I952,Stock1!J952,"")</f>
        <v/>
      </c>
      <c r="AE952" s="102" t="str">
        <f t="array" ref="AE952">_xlfn.XLOOKUP("Storage",Stock1!B952,Stock1!I952,"")</f>
        <v/>
      </c>
      <c r="AF952" s="102" t="str">
        <f t="array" ref="AF952">_xlfn.XLOOKUP(AE952,Stock1!I952,Stock1!F952,"")</f>
        <v/>
      </c>
      <c r="AG952" s="102" t="str">
        <f t="array" ref="AG952">_xlfn.XLOOKUP(AE952,Stock1!I952,Stock1!J952,"")</f>
        <v/>
      </c>
    </row>
    <row r="953">
      <c r="K953" s="660" t="str">
        <f t="array" ref="K953">IFERROR(_xlfn.XLOOKUP(I953,Incentive!B:B,Incentive!E:E,""),"")</f>
        <v/>
      </c>
      <c r="L953" s="659" t="str">
        <f>IFERROR(VLOOKUP(I953,Stock1!F:J,5,False),"")</f>
        <v/>
      </c>
      <c r="M953" s="659" t="str">
        <f>IFERROR(VLOOKUP(I953,Stock2!F:J,5,False),"")</f>
        <v/>
      </c>
      <c r="V953" s="102" t="str">
        <f t="array" ref="V953">_xlfn.XLOOKUP("Charger",Stock1!B953,Stock1!I953,"")</f>
        <v/>
      </c>
      <c r="W953" s="102" t="str">
        <f t="array" ref="W953">_xlfn.XLOOKUP(V953,Stock1!I953,Stock1!F953,"")</f>
        <v/>
      </c>
      <c r="X953" s="102" t="str">
        <f t="array" ref="X953">_xlfn.XLOOKUP(V953,Stock1!I953,Stock1!J953,"")</f>
        <v/>
      </c>
      <c r="Y953" s="102" t="str">
        <f t="array" ref="Y953">_xlfn.XLOOKUP("Screen Protector for Android Phone and Other",Stock1!B953,Stock1!I953,"")</f>
        <v/>
      </c>
      <c r="Z953" s="102" t="str">
        <f t="array" ref="Z953">_xlfn.XLOOKUP("Screen Protector for Galaxy Phone",Stock1!B953,Stock1!I953,"")</f>
        <v/>
      </c>
      <c r="AA953" s="102" t="str">
        <f t="array" ref="AA953">_xlfn.XLOOKUP("Screen Protector for Galaxy Tab",Stock1!B953,Stock1!I953,"")</f>
        <v/>
      </c>
      <c r="AB953" s="102" t="str">
        <f t="shared" si="4"/>
        <v/>
      </c>
      <c r="AC953" s="102" t="str">
        <f t="array" ref="AC953">_xlfn.XLOOKUP(AB953,Stock1!I953,Stock1!F953,"")</f>
        <v/>
      </c>
      <c r="AD953" s="102" t="str">
        <f t="array" ref="AD953">_xlfn.XLOOKUP(AB953,Stock1!I953,Stock1!J953,"")</f>
        <v/>
      </c>
      <c r="AE953" s="102" t="str">
        <f t="array" ref="AE953">_xlfn.XLOOKUP("Storage",Stock1!B953,Stock1!I953,"")</f>
        <v/>
      </c>
      <c r="AF953" s="102" t="str">
        <f t="array" ref="AF953">_xlfn.XLOOKUP(AE953,Stock1!I953,Stock1!F953,"")</f>
        <v/>
      </c>
      <c r="AG953" s="102" t="str">
        <f t="array" ref="AG953">_xlfn.XLOOKUP(AE953,Stock1!I953,Stock1!J953,"")</f>
        <v/>
      </c>
    </row>
    <row r="954">
      <c r="K954" s="660" t="str">
        <f t="array" ref="K954">IFERROR(_xlfn.XLOOKUP(I954,Incentive!B:B,Incentive!E:E,""),"")</f>
        <v/>
      </c>
      <c r="L954" s="659" t="str">
        <f>IFERROR(VLOOKUP(I954,Stock1!F:J,5,False),"")</f>
        <v/>
      </c>
      <c r="M954" s="659" t="str">
        <f>IFERROR(VLOOKUP(I954,Stock2!F:J,5,False),"")</f>
        <v/>
      </c>
      <c r="V954" s="102" t="str">
        <f t="array" ref="V954">_xlfn.XLOOKUP("Charger",Stock1!B954,Stock1!I954,"")</f>
        <v/>
      </c>
      <c r="W954" s="102" t="str">
        <f t="array" ref="W954">_xlfn.XLOOKUP(V954,Stock1!I954,Stock1!F954,"")</f>
        <v/>
      </c>
      <c r="X954" s="102" t="str">
        <f t="array" ref="X954">_xlfn.XLOOKUP(V954,Stock1!I954,Stock1!J954,"")</f>
        <v/>
      </c>
      <c r="Y954" s="102" t="str">
        <f t="array" ref="Y954">_xlfn.XLOOKUP("Screen Protector for Android Phone and Other",Stock1!B954,Stock1!I954,"")</f>
        <v/>
      </c>
      <c r="Z954" s="102" t="str">
        <f t="array" ref="Z954">_xlfn.XLOOKUP("Screen Protector for Galaxy Phone",Stock1!B954,Stock1!I954,"")</f>
        <v/>
      </c>
      <c r="AA954" s="102" t="str">
        <f t="array" ref="AA954">_xlfn.XLOOKUP("Screen Protector for Galaxy Tab",Stock1!B954,Stock1!I954,"")</f>
        <v/>
      </c>
      <c r="AB954" s="102" t="str">
        <f t="shared" si="4"/>
        <v/>
      </c>
      <c r="AC954" s="102" t="str">
        <f t="array" ref="AC954">_xlfn.XLOOKUP(AB954,Stock1!I954,Stock1!F954,"")</f>
        <v/>
      </c>
      <c r="AD954" s="102" t="str">
        <f t="array" ref="AD954">_xlfn.XLOOKUP(AB954,Stock1!I954,Stock1!J954,"")</f>
        <v/>
      </c>
      <c r="AE954" s="102" t="str">
        <f t="array" ref="AE954">_xlfn.XLOOKUP("Storage",Stock1!B954,Stock1!I954,"")</f>
        <v/>
      </c>
      <c r="AF954" s="102" t="str">
        <f t="array" ref="AF954">_xlfn.XLOOKUP(AE954,Stock1!I954,Stock1!F954,"")</f>
        <v/>
      </c>
      <c r="AG954" s="102" t="str">
        <f t="array" ref="AG954">_xlfn.XLOOKUP(AE954,Stock1!I954,Stock1!J954,"")</f>
        <v/>
      </c>
    </row>
    <row r="955">
      <c r="K955" s="660" t="str">
        <f t="array" ref="K955">IFERROR(_xlfn.XLOOKUP(I955,Incentive!B:B,Incentive!E:E,""),"")</f>
        <v/>
      </c>
      <c r="L955" s="659" t="str">
        <f>IFERROR(VLOOKUP(I955,Stock1!F:J,5,False),"")</f>
        <v/>
      </c>
      <c r="M955" s="659" t="str">
        <f>IFERROR(VLOOKUP(I955,Stock2!F:J,5,False),"")</f>
        <v/>
      </c>
      <c r="V955" s="102" t="str">
        <f t="array" ref="V955">_xlfn.XLOOKUP("Charger",Stock1!B955,Stock1!I955,"")</f>
        <v/>
      </c>
      <c r="W955" s="102" t="str">
        <f t="array" ref="W955">_xlfn.XLOOKUP(V955,Stock1!I955,Stock1!F955,"")</f>
        <v/>
      </c>
      <c r="X955" s="102" t="str">
        <f t="array" ref="X955">_xlfn.XLOOKUP(V955,Stock1!I955,Stock1!J955,"")</f>
        <v/>
      </c>
      <c r="Y955" s="102" t="str">
        <f t="array" ref="Y955">_xlfn.XLOOKUP("Screen Protector for Android Phone and Other",Stock1!B955,Stock1!I955,"")</f>
        <v/>
      </c>
      <c r="Z955" s="102" t="str">
        <f t="array" ref="Z955">_xlfn.XLOOKUP("Screen Protector for Galaxy Phone",Stock1!B955,Stock1!I955,"")</f>
        <v/>
      </c>
      <c r="AA955" s="102" t="str">
        <f t="array" ref="AA955">_xlfn.XLOOKUP("Screen Protector for Galaxy Tab",Stock1!B955,Stock1!I955,"")</f>
        <v/>
      </c>
      <c r="AB955" s="102" t="str">
        <f t="shared" si="4"/>
        <v/>
      </c>
      <c r="AC955" s="102" t="str">
        <f t="array" ref="AC955">_xlfn.XLOOKUP(AB955,Stock1!I955,Stock1!F955,"")</f>
        <v/>
      </c>
      <c r="AD955" s="102" t="str">
        <f t="array" ref="AD955">_xlfn.XLOOKUP(AB955,Stock1!I955,Stock1!J955,"")</f>
        <v/>
      </c>
      <c r="AE955" s="102" t="str">
        <f t="array" ref="AE955">_xlfn.XLOOKUP("Storage",Stock1!B955,Stock1!I955,"")</f>
        <v/>
      </c>
      <c r="AF955" s="102" t="str">
        <f t="array" ref="AF955">_xlfn.XLOOKUP(AE955,Stock1!I955,Stock1!F955,"")</f>
        <v/>
      </c>
      <c r="AG955" s="102" t="str">
        <f t="array" ref="AG955">_xlfn.XLOOKUP(AE955,Stock1!I955,Stock1!J955,"")</f>
        <v/>
      </c>
    </row>
    <row r="956">
      <c r="K956" s="660" t="str">
        <f t="array" ref="K956">IFERROR(_xlfn.XLOOKUP(I956,Incentive!B:B,Incentive!E:E,""),"")</f>
        <v/>
      </c>
      <c r="L956" s="659" t="str">
        <f>IFERROR(VLOOKUP(I956,Stock1!F:J,5,False),"")</f>
        <v/>
      </c>
      <c r="M956" s="659" t="str">
        <f>IFERROR(VLOOKUP(I956,Stock2!F:J,5,False),"")</f>
        <v/>
      </c>
      <c r="V956" s="102" t="str">
        <f t="array" ref="V956">_xlfn.XLOOKUP("Charger",Stock1!B956,Stock1!I956,"")</f>
        <v/>
      </c>
      <c r="W956" s="102" t="str">
        <f t="array" ref="W956">_xlfn.XLOOKUP(V956,Stock1!I956,Stock1!F956,"")</f>
        <v/>
      </c>
      <c r="X956" s="102" t="str">
        <f t="array" ref="X956">_xlfn.XLOOKUP(V956,Stock1!I956,Stock1!J956,"")</f>
        <v/>
      </c>
      <c r="Y956" s="102" t="str">
        <f t="array" ref="Y956">_xlfn.XLOOKUP("Screen Protector for Android Phone and Other",Stock1!B956,Stock1!I956,"")</f>
        <v/>
      </c>
      <c r="Z956" s="102" t="str">
        <f t="array" ref="Z956">_xlfn.XLOOKUP("Screen Protector for Galaxy Phone",Stock1!B956,Stock1!I956,"")</f>
        <v/>
      </c>
      <c r="AA956" s="102" t="str">
        <f t="array" ref="AA956">_xlfn.XLOOKUP("Screen Protector for Galaxy Tab",Stock1!B956,Stock1!I956,"")</f>
        <v/>
      </c>
      <c r="AB956" s="102" t="str">
        <f t="shared" si="4"/>
        <v/>
      </c>
      <c r="AC956" s="102" t="str">
        <f t="array" ref="AC956">_xlfn.XLOOKUP(AB956,Stock1!I956,Stock1!F956,"")</f>
        <v/>
      </c>
      <c r="AD956" s="102" t="str">
        <f t="array" ref="AD956">_xlfn.XLOOKUP(AB956,Stock1!I956,Stock1!J956,"")</f>
        <v/>
      </c>
      <c r="AE956" s="102" t="str">
        <f t="array" ref="AE956">_xlfn.XLOOKUP("Storage",Stock1!B956,Stock1!I956,"")</f>
        <v/>
      </c>
      <c r="AF956" s="102" t="str">
        <f t="array" ref="AF956">_xlfn.XLOOKUP(AE956,Stock1!I956,Stock1!F956,"")</f>
        <v/>
      </c>
      <c r="AG956" s="102" t="str">
        <f t="array" ref="AG956">_xlfn.XLOOKUP(AE956,Stock1!I956,Stock1!J956,"")</f>
        <v/>
      </c>
    </row>
    <row r="957">
      <c r="K957" s="660" t="str">
        <f t="array" ref="K957">IFERROR(_xlfn.XLOOKUP(I957,Incentive!B:B,Incentive!E:E,""),"")</f>
        <v/>
      </c>
      <c r="L957" s="659" t="str">
        <f>IFERROR(VLOOKUP(I957,Stock1!F:J,5,False),"")</f>
        <v/>
      </c>
      <c r="M957" s="659" t="str">
        <f>IFERROR(VLOOKUP(I957,Stock2!F:J,5,False),"")</f>
        <v/>
      </c>
      <c r="V957" s="102" t="str">
        <f t="array" ref="V957">_xlfn.XLOOKUP("Charger",Stock1!B957,Stock1!I957,"")</f>
        <v/>
      </c>
      <c r="W957" s="102" t="str">
        <f t="array" ref="W957">_xlfn.XLOOKUP(V957,Stock1!I957,Stock1!F957,"")</f>
        <v/>
      </c>
      <c r="X957" s="102" t="str">
        <f t="array" ref="X957">_xlfn.XLOOKUP(V957,Stock1!I957,Stock1!J957,"")</f>
        <v/>
      </c>
      <c r="Y957" s="102" t="str">
        <f t="array" ref="Y957">_xlfn.XLOOKUP("Screen Protector for Android Phone and Other",Stock1!B957,Stock1!I957,"")</f>
        <v/>
      </c>
      <c r="Z957" s="102" t="str">
        <f t="array" ref="Z957">_xlfn.XLOOKUP("Screen Protector for Galaxy Phone",Stock1!B957,Stock1!I957,"")</f>
        <v/>
      </c>
      <c r="AA957" s="102" t="str">
        <f t="array" ref="AA957">_xlfn.XLOOKUP("Screen Protector for Galaxy Tab",Stock1!B957,Stock1!I957,"")</f>
        <v/>
      </c>
      <c r="AB957" s="102" t="str">
        <f t="shared" si="4"/>
        <v/>
      </c>
      <c r="AC957" s="102" t="str">
        <f t="array" ref="AC957">_xlfn.XLOOKUP(AB957,Stock1!I957,Stock1!F957,"")</f>
        <v/>
      </c>
      <c r="AD957" s="102" t="str">
        <f t="array" ref="AD957">_xlfn.XLOOKUP(AB957,Stock1!I957,Stock1!J957,"")</f>
        <v/>
      </c>
      <c r="AE957" s="102" t="str">
        <f t="array" ref="AE957">_xlfn.XLOOKUP("Storage",Stock1!B957,Stock1!I957,"")</f>
        <v/>
      </c>
      <c r="AF957" s="102" t="str">
        <f t="array" ref="AF957">_xlfn.XLOOKUP(AE957,Stock1!I957,Stock1!F957,"")</f>
        <v/>
      </c>
      <c r="AG957" s="102" t="str">
        <f t="array" ref="AG957">_xlfn.XLOOKUP(AE957,Stock1!I957,Stock1!J957,"")</f>
        <v/>
      </c>
    </row>
    <row r="958">
      <c r="K958" s="660" t="str">
        <f t="array" ref="K958">IFERROR(_xlfn.XLOOKUP(I958,Incentive!B:B,Incentive!E:E,""),"")</f>
        <v/>
      </c>
      <c r="L958" s="659" t="str">
        <f>IFERROR(VLOOKUP(I958,Stock1!F:J,5,False),"")</f>
        <v/>
      </c>
      <c r="M958" s="659" t="str">
        <f>IFERROR(VLOOKUP(I958,Stock2!F:J,5,False),"")</f>
        <v/>
      </c>
      <c r="V958" s="102" t="str">
        <f t="array" ref="V958">_xlfn.XLOOKUP("Charger",Stock1!B958,Stock1!I958,"")</f>
        <v/>
      </c>
      <c r="W958" s="102" t="str">
        <f t="array" ref="W958">_xlfn.XLOOKUP(V958,Stock1!I958,Stock1!F958,"")</f>
        <v/>
      </c>
      <c r="X958" s="102" t="str">
        <f t="array" ref="X958">_xlfn.XLOOKUP(V958,Stock1!I958,Stock1!J958,"")</f>
        <v/>
      </c>
      <c r="Y958" s="102" t="str">
        <f t="array" ref="Y958">_xlfn.XLOOKUP("Screen Protector for Android Phone and Other",Stock1!B958,Stock1!I958,"")</f>
        <v/>
      </c>
      <c r="Z958" s="102" t="str">
        <f t="array" ref="Z958">_xlfn.XLOOKUP("Screen Protector for Galaxy Phone",Stock1!B958,Stock1!I958,"")</f>
        <v/>
      </c>
      <c r="AA958" s="102" t="str">
        <f t="array" ref="AA958">_xlfn.XLOOKUP("Screen Protector for Galaxy Tab",Stock1!B958,Stock1!I958,"")</f>
        <v/>
      </c>
      <c r="AB958" s="102" t="str">
        <f t="shared" si="4"/>
        <v/>
      </c>
      <c r="AC958" s="102" t="str">
        <f t="array" ref="AC958">_xlfn.XLOOKUP(AB958,Stock1!I958,Stock1!F958,"")</f>
        <v/>
      </c>
      <c r="AD958" s="102" t="str">
        <f t="array" ref="AD958">_xlfn.XLOOKUP(AB958,Stock1!I958,Stock1!J958,"")</f>
        <v/>
      </c>
      <c r="AE958" s="102" t="str">
        <f t="array" ref="AE958">_xlfn.XLOOKUP("Storage",Stock1!B958,Stock1!I958,"")</f>
        <v/>
      </c>
      <c r="AF958" s="102" t="str">
        <f t="array" ref="AF958">_xlfn.XLOOKUP(AE958,Stock1!I958,Stock1!F958,"")</f>
        <v/>
      </c>
      <c r="AG958" s="102" t="str">
        <f t="array" ref="AG958">_xlfn.XLOOKUP(AE958,Stock1!I958,Stock1!J958,"")</f>
        <v/>
      </c>
    </row>
    <row r="959">
      <c r="K959" s="660" t="str">
        <f t="array" ref="K959">IFERROR(_xlfn.XLOOKUP(I959,Incentive!B:B,Incentive!E:E,""),"")</f>
        <v/>
      </c>
      <c r="L959" s="659" t="str">
        <f>IFERROR(VLOOKUP(I959,Stock1!F:J,5,False),"")</f>
        <v/>
      </c>
      <c r="M959" s="659" t="str">
        <f>IFERROR(VLOOKUP(I959,Stock2!F:J,5,False),"")</f>
        <v/>
      </c>
      <c r="V959" s="102" t="str">
        <f t="array" ref="V959">_xlfn.XLOOKUP("Charger",Stock1!B959,Stock1!I959,"")</f>
        <v/>
      </c>
      <c r="W959" s="102" t="str">
        <f t="array" ref="W959">_xlfn.XLOOKUP(V959,Stock1!I959,Stock1!F959,"")</f>
        <v/>
      </c>
      <c r="X959" s="102" t="str">
        <f t="array" ref="X959">_xlfn.XLOOKUP(V959,Stock1!I959,Stock1!J959,"")</f>
        <v/>
      </c>
      <c r="Y959" s="102" t="str">
        <f t="array" ref="Y959">_xlfn.XLOOKUP("Screen Protector for Android Phone and Other",Stock1!B959,Stock1!I959,"")</f>
        <v/>
      </c>
      <c r="Z959" s="102" t="str">
        <f t="array" ref="Z959">_xlfn.XLOOKUP("Screen Protector for Galaxy Phone",Stock1!B959,Stock1!I959,"")</f>
        <v/>
      </c>
      <c r="AA959" s="102" t="str">
        <f t="array" ref="AA959">_xlfn.XLOOKUP("Screen Protector for Galaxy Tab",Stock1!B959,Stock1!I959,"")</f>
        <v/>
      </c>
      <c r="AB959" s="102" t="str">
        <f t="shared" si="4"/>
        <v/>
      </c>
      <c r="AC959" s="102" t="str">
        <f t="array" ref="AC959">_xlfn.XLOOKUP(AB959,Stock1!I959,Stock1!F959,"")</f>
        <v/>
      </c>
      <c r="AD959" s="102" t="str">
        <f t="array" ref="AD959">_xlfn.XLOOKUP(AB959,Stock1!I959,Stock1!J959,"")</f>
        <v/>
      </c>
      <c r="AE959" s="102" t="str">
        <f t="array" ref="AE959">_xlfn.XLOOKUP("Storage",Stock1!B959,Stock1!I959,"")</f>
        <v/>
      </c>
      <c r="AF959" s="102" t="str">
        <f t="array" ref="AF959">_xlfn.XLOOKUP(AE959,Stock1!I959,Stock1!F959,"")</f>
        <v/>
      </c>
      <c r="AG959" s="102" t="str">
        <f t="array" ref="AG959">_xlfn.XLOOKUP(AE959,Stock1!I959,Stock1!J959,"")</f>
        <v/>
      </c>
    </row>
    <row r="960">
      <c r="K960" s="660" t="str">
        <f t="array" ref="K960">IFERROR(_xlfn.XLOOKUP(I960,Incentive!B:B,Incentive!E:E,""),"")</f>
        <v/>
      </c>
      <c r="L960" s="659" t="str">
        <f>IFERROR(VLOOKUP(I960,Stock1!F:J,5,False),"")</f>
        <v/>
      </c>
      <c r="M960" s="659" t="str">
        <f>IFERROR(VLOOKUP(I960,Stock2!F:J,5,False),"")</f>
        <v/>
      </c>
      <c r="V960" s="102" t="str">
        <f t="array" ref="V960">_xlfn.XLOOKUP("Charger",Stock1!B960,Stock1!I960,"")</f>
        <v/>
      </c>
      <c r="W960" s="102" t="str">
        <f t="array" ref="W960">_xlfn.XLOOKUP(V960,Stock1!I960,Stock1!F960,"")</f>
        <v/>
      </c>
      <c r="X960" s="102" t="str">
        <f t="array" ref="X960">_xlfn.XLOOKUP(V960,Stock1!I960,Stock1!J960,"")</f>
        <v/>
      </c>
      <c r="Y960" s="102" t="str">
        <f t="array" ref="Y960">_xlfn.XLOOKUP("Screen Protector for Android Phone and Other",Stock1!B960,Stock1!I960,"")</f>
        <v/>
      </c>
      <c r="Z960" s="102" t="str">
        <f t="array" ref="Z960">_xlfn.XLOOKUP("Screen Protector for Galaxy Phone",Stock1!B960,Stock1!I960,"")</f>
        <v/>
      </c>
      <c r="AA960" s="102" t="str">
        <f t="array" ref="AA960">_xlfn.XLOOKUP("Screen Protector for Galaxy Tab",Stock1!B960,Stock1!I960,"")</f>
        <v/>
      </c>
      <c r="AB960" s="102" t="str">
        <f t="shared" si="4"/>
        <v/>
      </c>
      <c r="AC960" s="102" t="str">
        <f t="array" ref="AC960">_xlfn.XLOOKUP(AB960,Stock1!I960,Stock1!F960,"")</f>
        <v/>
      </c>
      <c r="AD960" s="102" t="str">
        <f t="array" ref="AD960">_xlfn.XLOOKUP(AB960,Stock1!I960,Stock1!J960,"")</f>
        <v/>
      </c>
      <c r="AE960" s="102" t="str">
        <f t="array" ref="AE960">_xlfn.XLOOKUP("Storage",Stock1!B960,Stock1!I960,"")</f>
        <v/>
      </c>
      <c r="AF960" s="102" t="str">
        <f t="array" ref="AF960">_xlfn.XLOOKUP(AE960,Stock1!I960,Stock1!F960,"")</f>
        <v/>
      </c>
      <c r="AG960" s="102" t="str">
        <f t="array" ref="AG960">_xlfn.XLOOKUP(AE960,Stock1!I960,Stock1!J960,"")</f>
        <v/>
      </c>
    </row>
    <row r="961">
      <c r="K961" s="660" t="str">
        <f t="array" ref="K961">IFERROR(_xlfn.XLOOKUP(I961,Incentive!B:B,Incentive!E:E,""),"")</f>
        <v/>
      </c>
      <c r="L961" s="659" t="str">
        <f>IFERROR(VLOOKUP(I961,Stock1!F:J,5,False),"")</f>
        <v/>
      </c>
      <c r="M961" s="659" t="str">
        <f>IFERROR(VLOOKUP(I961,Stock2!F:J,5,False),"")</f>
        <v/>
      </c>
      <c r="V961" s="102" t="str">
        <f t="array" ref="V961">_xlfn.XLOOKUP("Charger",Stock1!B961,Stock1!I961,"")</f>
        <v/>
      </c>
      <c r="W961" s="102" t="str">
        <f t="array" ref="W961">_xlfn.XLOOKUP(V961,Stock1!I961,Stock1!F961,"")</f>
        <v/>
      </c>
      <c r="X961" s="102" t="str">
        <f t="array" ref="X961">_xlfn.XLOOKUP(V961,Stock1!I961,Stock1!J961,"")</f>
        <v/>
      </c>
      <c r="Y961" s="102" t="str">
        <f t="array" ref="Y961">_xlfn.XLOOKUP("Screen Protector for Android Phone and Other",Stock1!B961,Stock1!I961,"")</f>
        <v/>
      </c>
      <c r="Z961" s="102" t="str">
        <f t="array" ref="Z961">_xlfn.XLOOKUP("Screen Protector for Galaxy Phone",Stock1!B961,Stock1!I961,"")</f>
        <v/>
      </c>
      <c r="AA961" s="102" t="str">
        <f t="array" ref="AA961">_xlfn.XLOOKUP("Screen Protector for Galaxy Tab",Stock1!B961,Stock1!I961,"")</f>
        <v/>
      </c>
      <c r="AB961" s="102" t="str">
        <f t="shared" si="4"/>
        <v/>
      </c>
      <c r="AC961" s="102" t="str">
        <f t="array" ref="AC961">_xlfn.XLOOKUP(AB961,Stock1!I961,Stock1!F961,"")</f>
        <v/>
      </c>
      <c r="AD961" s="102" t="str">
        <f t="array" ref="AD961">_xlfn.XLOOKUP(AB961,Stock1!I961,Stock1!J961,"")</f>
        <v/>
      </c>
      <c r="AE961" s="102" t="str">
        <f t="array" ref="AE961">_xlfn.XLOOKUP("Storage",Stock1!B961,Stock1!I961,"")</f>
        <v/>
      </c>
      <c r="AF961" s="102" t="str">
        <f t="array" ref="AF961">_xlfn.XLOOKUP(AE961,Stock1!I961,Stock1!F961,"")</f>
        <v/>
      </c>
      <c r="AG961" s="102" t="str">
        <f t="array" ref="AG961">_xlfn.XLOOKUP(AE961,Stock1!I961,Stock1!J961,"")</f>
        <v/>
      </c>
    </row>
    <row r="962">
      <c r="K962" s="660" t="str">
        <f t="array" ref="K962">IFERROR(_xlfn.XLOOKUP(I962,Incentive!B:B,Incentive!E:E,""),"")</f>
        <v/>
      </c>
      <c r="L962" s="659" t="str">
        <f>IFERROR(VLOOKUP(I962,Stock1!F:J,5,False),"")</f>
        <v/>
      </c>
      <c r="M962" s="659" t="str">
        <f>IFERROR(VLOOKUP(I962,Stock2!F:J,5,False),"")</f>
        <v/>
      </c>
      <c r="V962" s="102" t="str">
        <f t="array" ref="V962">_xlfn.XLOOKUP("Charger",Stock1!B962,Stock1!I962,"")</f>
        <v/>
      </c>
      <c r="W962" s="102" t="str">
        <f t="array" ref="W962">_xlfn.XLOOKUP(V962,Stock1!I962,Stock1!F962,"")</f>
        <v/>
      </c>
      <c r="X962" s="102" t="str">
        <f t="array" ref="X962">_xlfn.XLOOKUP(V962,Stock1!I962,Stock1!J962,"")</f>
        <v/>
      </c>
      <c r="Y962" s="102" t="str">
        <f t="array" ref="Y962">_xlfn.XLOOKUP("Screen Protector for Android Phone and Other",Stock1!B962,Stock1!I962,"")</f>
        <v/>
      </c>
      <c r="Z962" s="102" t="str">
        <f t="array" ref="Z962">_xlfn.XLOOKUP("Screen Protector for Galaxy Phone",Stock1!B962,Stock1!I962,"")</f>
        <v/>
      </c>
      <c r="AA962" s="102" t="str">
        <f t="array" ref="AA962">_xlfn.XLOOKUP("Screen Protector for Galaxy Tab",Stock1!B962,Stock1!I962,"")</f>
        <v/>
      </c>
      <c r="AB962" s="102" t="str">
        <f t="shared" si="4"/>
        <v/>
      </c>
      <c r="AC962" s="102" t="str">
        <f t="array" ref="AC962">_xlfn.XLOOKUP(AB962,Stock1!I962,Stock1!F962,"")</f>
        <v/>
      </c>
      <c r="AD962" s="102" t="str">
        <f t="array" ref="AD962">_xlfn.XLOOKUP(AB962,Stock1!I962,Stock1!J962,"")</f>
        <v/>
      </c>
      <c r="AE962" s="102" t="str">
        <f t="array" ref="AE962">_xlfn.XLOOKUP("Storage",Stock1!B962,Stock1!I962,"")</f>
        <v/>
      </c>
      <c r="AF962" s="102" t="str">
        <f t="array" ref="AF962">_xlfn.XLOOKUP(AE962,Stock1!I962,Stock1!F962,"")</f>
        <v/>
      </c>
      <c r="AG962" s="102" t="str">
        <f t="array" ref="AG962">_xlfn.XLOOKUP(AE962,Stock1!I962,Stock1!J962,"")</f>
        <v/>
      </c>
    </row>
    <row r="963">
      <c r="K963" s="660" t="str">
        <f t="array" ref="K963">IFERROR(_xlfn.XLOOKUP(I963,Incentive!B:B,Incentive!E:E,""),"")</f>
        <v/>
      </c>
      <c r="L963" s="659" t="str">
        <f>IFERROR(VLOOKUP(I963,Stock1!F:J,5,False),"")</f>
        <v/>
      </c>
      <c r="M963" s="659" t="str">
        <f>IFERROR(VLOOKUP(I963,Stock2!F:J,5,False),"")</f>
        <v/>
      </c>
      <c r="V963" s="102" t="str">
        <f t="array" ref="V963">_xlfn.XLOOKUP("Charger",Stock1!B963,Stock1!I963,"")</f>
        <v/>
      </c>
      <c r="W963" s="102" t="str">
        <f t="array" ref="W963">_xlfn.XLOOKUP(V963,Stock1!I963,Stock1!F963,"")</f>
        <v/>
      </c>
      <c r="X963" s="102" t="str">
        <f t="array" ref="X963">_xlfn.XLOOKUP(V963,Stock1!I963,Stock1!J963,"")</f>
        <v/>
      </c>
      <c r="Y963" s="102" t="str">
        <f t="array" ref="Y963">_xlfn.XLOOKUP("Screen Protector for Android Phone and Other",Stock1!B963,Stock1!I963,"")</f>
        <v/>
      </c>
      <c r="Z963" s="102" t="str">
        <f t="array" ref="Z963">_xlfn.XLOOKUP("Screen Protector for Galaxy Phone",Stock1!B963,Stock1!I963,"")</f>
        <v/>
      </c>
      <c r="AA963" s="102" t="str">
        <f t="array" ref="AA963">_xlfn.XLOOKUP("Screen Protector for Galaxy Tab",Stock1!B963,Stock1!I963,"")</f>
        <v/>
      </c>
      <c r="AB963" s="102" t="str">
        <f t="shared" si="4"/>
        <v/>
      </c>
      <c r="AC963" s="102" t="str">
        <f t="array" ref="AC963">_xlfn.XLOOKUP(AB963,Stock1!I963,Stock1!F963,"")</f>
        <v/>
      </c>
      <c r="AD963" s="102" t="str">
        <f t="array" ref="AD963">_xlfn.XLOOKUP(AB963,Stock1!I963,Stock1!J963,"")</f>
        <v/>
      </c>
      <c r="AE963" s="102" t="str">
        <f t="array" ref="AE963">_xlfn.XLOOKUP("Storage",Stock1!B963,Stock1!I963,"")</f>
        <v/>
      </c>
      <c r="AF963" s="102" t="str">
        <f t="array" ref="AF963">_xlfn.XLOOKUP(AE963,Stock1!I963,Stock1!F963,"")</f>
        <v/>
      </c>
      <c r="AG963" s="102" t="str">
        <f t="array" ref="AG963">_xlfn.XLOOKUP(AE963,Stock1!I963,Stock1!J963,"")</f>
        <v/>
      </c>
    </row>
    <row r="964">
      <c r="K964" s="660" t="str">
        <f t="array" ref="K964">IFERROR(_xlfn.XLOOKUP(I964,Incentive!B:B,Incentive!E:E,""),"")</f>
        <v/>
      </c>
      <c r="L964" s="659" t="str">
        <f>IFERROR(VLOOKUP(I964,Stock1!F:J,5,False),"")</f>
        <v/>
      </c>
      <c r="M964" s="659" t="str">
        <f>IFERROR(VLOOKUP(I964,Stock2!F:J,5,False),"")</f>
        <v/>
      </c>
      <c r="V964" s="102" t="str">
        <f t="array" ref="V964">_xlfn.XLOOKUP("Charger",Stock1!B964,Stock1!I964,"")</f>
        <v/>
      </c>
      <c r="W964" s="102" t="str">
        <f t="array" ref="W964">_xlfn.XLOOKUP(V964,Stock1!I964,Stock1!F964,"")</f>
        <v/>
      </c>
      <c r="X964" s="102" t="str">
        <f t="array" ref="X964">_xlfn.XLOOKUP(V964,Stock1!I964,Stock1!J964,"")</f>
        <v/>
      </c>
      <c r="Y964" s="102" t="str">
        <f t="array" ref="Y964">_xlfn.XLOOKUP("Screen Protector for Android Phone and Other",Stock1!B964,Stock1!I964,"")</f>
        <v/>
      </c>
      <c r="Z964" s="102" t="str">
        <f t="array" ref="Z964">_xlfn.XLOOKUP("Screen Protector for Galaxy Phone",Stock1!B964,Stock1!I964,"")</f>
        <v/>
      </c>
      <c r="AA964" s="102" t="str">
        <f t="array" ref="AA964">_xlfn.XLOOKUP("Screen Protector for Galaxy Tab",Stock1!B964,Stock1!I964,"")</f>
        <v/>
      </c>
      <c r="AB964" s="102" t="str">
        <f t="shared" si="4"/>
        <v/>
      </c>
      <c r="AC964" s="102" t="str">
        <f t="array" ref="AC964">_xlfn.XLOOKUP(AB964,Stock1!I964,Stock1!F964,"")</f>
        <v/>
      </c>
      <c r="AD964" s="102" t="str">
        <f t="array" ref="AD964">_xlfn.XLOOKUP(AB964,Stock1!I964,Stock1!J964,"")</f>
        <v/>
      </c>
      <c r="AE964" s="102" t="str">
        <f t="array" ref="AE964">_xlfn.XLOOKUP("Storage",Stock1!B964,Stock1!I964,"")</f>
        <v/>
      </c>
      <c r="AF964" s="102" t="str">
        <f t="array" ref="AF964">_xlfn.XLOOKUP(AE964,Stock1!I964,Stock1!F964,"")</f>
        <v/>
      </c>
      <c r="AG964" s="102" t="str">
        <f t="array" ref="AG964">_xlfn.XLOOKUP(AE964,Stock1!I964,Stock1!J964,"")</f>
        <v/>
      </c>
    </row>
    <row r="965">
      <c r="K965" s="660" t="str">
        <f t="array" ref="K965">IFERROR(_xlfn.XLOOKUP(I965,Incentive!B:B,Incentive!E:E,""),"")</f>
        <v/>
      </c>
      <c r="L965" s="659" t="str">
        <f>IFERROR(VLOOKUP(I965,Stock1!F:J,5,False),"")</f>
        <v/>
      </c>
      <c r="M965" s="659" t="str">
        <f>IFERROR(VLOOKUP(I965,Stock2!F:J,5,False),"")</f>
        <v/>
      </c>
      <c r="V965" s="102" t="str">
        <f t="array" ref="V965">_xlfn.XLOOKUP("Charger",Stock1!B965,Stock1!I965,"")</f>
        <v/>
      </c>
      <c r="W965" s="102" t="str">
        <f t="array" ref="W965">_xlfn.XLOOKUP(V965,Stock1!I965,Stock1!F965,"")</f>
        <v/>
      </c>
      <c r="X965" s="102" t="str">
        <f t="array" ref="X965">_xlfn.XLOOKUP(V965,Stock1!I965,Stock1!J965,"")</f>
        <v/>
      </c>
      <c r="Y965" s="102" t="str">
        <f t="array" ref="Y965">_xlfn.XLOOKUP("Screen Protector for Android Phone and Other",Stock1!B965,Stock1!I965,"")</f>
        <v/>
      </c>
      <c r="Z965" s="102" t="str">
        <f t="array" ref="Z965">_xlfn.XLOOKUP("Screen Protector for Galaxy Phone",Stock1!B965,Stock1!I965,"")</f>
        <v/>
      </c>
      <c r="AA965" s="102" t="str">
        <f t="array" ref="AA965">_xlfn.XLOOKUP("Screen Protector for Galaxy Tab",Stock1!B965,Stock1!I965,"")</f>
        <v/>
      </c>
      <c r="AB965" s="102" t="str">
        <f t="shared" si="4"/>
        <v/>
      </c>
      <c r="AC965" s="102" t="str">
        <f t="array" ref="AC965">_xlfn.XLOOKUP(AB965,Stock1!I965,Stock1!F965,"")</f>
        <v/>
      </c>
      <c r="AD965" s="102" t="str">
        <f t="array" ref="AD965">_xlfn.XLOOKUP(AB965,Stock1!I965,Stock1!J965,"")</f>
        <v/>
      </c>
      <c r="AE965" s="102" t="str">
        <f t="array" ref="AE965">_xlfn.XLOOKUP("Storage",Stock1!B965,Stock1!I965,"")</f>
        <v/>
      </c>
      <c r="AF965" s="102" t="str">
        <f t="array" ref="AF965">_xlfn.XLOOKUP(AE965,Stock1!I965,Stock1!F965,"")</f>
        <v/>
      </c>
      <c r="AG965" s="102" t="str">
        <f t="array" ref="AG965">_xlfn.XLOOKUP(AE965,Stock1!I965,Stock1!J965,"")</f>
        <v/>
      </c>
    </row>
    <row r="966">
      <c r="K966" s="660" t="str">
        <f t="array" ref="K966">IFERROR(_xlfn.XLOOKUP(I966,Incentive!B:B,Incentive!E:E,""),"")</f>
        <v/>
      </c>
      <c r="L966" s="659" t="str">
        <f>IFERROR(VLOOKUP(I966,Stock1!F:J,5,False),"")</f>
        <v/>
      </c>
      <c r="M966" s="659" t="str">
        <f>IFERROR(VLOOKUP(I966,Stock2!F:J,5,False),"")</f>
        <v/>
      </c>
      <c r="V966" s="102" t="str">
        <f t="array" ref="V966">_xlfn.XLOOKUP("Charger",Stock1!B966,Stock1!I966,"")</f>
        <v/>
      </c>
      <c r="W966" s="102" t="str">
        <f t="array" ref="W966">_xlfn.XLOOKUP(V966,Stock1!I966,Stock1!F966,"")</f>
        <v/>
      </c>
      <c r="X966" s="102" t="str">
        <f t="array" ref="X966">_xlfn.XLOOKUP(V966,Stock1!I966,Stock1!J966,"")</f>
        <v/>
      </c>
      <c r="Y966" s="102" t="str">
        <f t="array" ref="Y966">_xlfn.XLOOKUP("Screen Protector for Android Phone and Other",Stock1!B966,Stock1!I966,"")</f>
        <v/>
      </c>
      <c r="Z966" s="102" t="str">
        <f t="array" ref="Z966">_xlfn.XLOOKUP("Screen Protector for Galaxy Phone",Stock1!B966,Stock1!I966,"")</f>
        <v/>
      </c>
      <c r="AA966" s="102" t="str">
        <f t="array" ref="AA966">_xlfn.XLOOKUP("Screen Protector for Galaxy Tab",Stock1!B966,Stock1!I966,"")</f>
        <v/>
      </c>
      <c r="AB966" s="102" t="str">
        <f t="shared" si="4"/>
        <v/>
      </c>
      <c r="AC966" s="102" t="str">
        <f t="array" ref="AC966">_xlfn.XLOOKUP(AB966,Stock1!I966,Stock1!F966,"")</f>
        <v/>
      </c>
      <c r="AD966" s="102" t="str">
        <f t="array" ref="AD966">_xlfn.XLOOKUP(AB966,Stock1!I966,Stock1!J966,"")</f>
        <v/>
      </c>
      <c r="AE966" s="102" t="str">
        <f t="array" ref="AE966">_xlfn.XLOOKUP("Storage",Stock1!B966,Stock1!I966,"")</f>
        <v/>
      </c>
      <c r="AF966" s="102" t="str">
        <f t="array" ref="AF966">_xlfn.XLOOKUP(AE966,Stock1!I966,Stock1!F966,"")</f>
        <v/>
      </c>
      <c r="AG966" s="102" t="str">
        <f t="array" ref="AG966">_xlfn.XLOOKUP(AE966,Stock1!I966,Stock1!J966,"")</f>
        <v/>
      </c>
    </row>
    <row r="967">
      <c r="K967" s="660" t="str">
        <f t="array" ref="K967">IFERROR(_xlfn.XLOOKUP(I967,Incentive!B:B,Incentive!E:E,""),"")</f>
        <v/>
      </c>
      <c r="L967" s="659" t="str">
        <f>IFERROR(VLOOKUP(I967,Stock1!F:J,5,False),"")</f>
        <v/>
      </c>
      <c r="M967" s="659" t="str">
        <f>IFERROR(VLOOKUP(I967,Stock2!F:J,5,False),"")</f>
        <v/>
      </c>
      <c r="V967" s="102" t="str">
        <f t="array" ref="V967">_xlfn.XLOOKUP("Charger",Stock1!B967,Stock1!I967,"")</f>
        <v/>
      </c>
      <c r="W967" s="102" t="str">
        <f t="array" ref="W967">_xlfn.XLOOKUP(V967,Stock1!I967,Stock1!F967,"")</f>
        <v/>
      </c>
      <c r="X967" s="102" t="str">
        <f t="array" ref="X967">_xlfn.XLOOKUP(V967,Stock1!I967,Stock1!J967,"")</f>
        <v/>
      </c>
      <c r="Y967" s="102" t="str">
        <f t="array" ref="Y967">_xlfn.XLOOKUP("Screen Protector for Android Phone and Other",Stock1!B967,Stock1!I967,"")</f>
        <v/>
      </c>
      <c r="Z967" s="102" t="str">
        <f t="array" ref="Z967">_xlfn.XLOOKUP("Screen Protector for Galaxy Phone",Stock1!B967,Stock1!I967,"")</f>
        <v/>
      </c>
      <c r="AA967" s="102" t="str">
        <f t="array" ref="AA967">_xlfn.XLOOKUP("Screen Protector for Galaxy Tab",Stock1!B967,Stock1!I967,"")</f>
        <v/>
      </c>
      <c r="AB967" s="102" t="str">
        <f t="shared" si="4"/>
        <v/>
      </c>
      <c r="AC967" s="102" t="str">
        <f t="array" ref="AC967">_xlfn.XLOOKUP(AB967,Stock1!I967,Stock1!F967,"")</f>
        <v/>
      </c>
      <c r="AD967" s="102" t="str">
        <f t="array" ref="AD967">_xlfn.XLOOKUP(AB967,Stock1!I967,Stock1!J967,"")</f>
        <v/>
      </c>
      <c r="AE967" s="102" t="str">
        <f t="array" ref="AE967">_xlfn.XLOOKUP("Storage",Stock1!B967,Stock1!I967,"")</f>
        <v/>
      </c>
      <c r="AF967" s="102" t="str">
        <f t="array" ref="AF967">_xlfn.XLOOKUP(AE967,Stock1!I967,Stock1!F967,"")</f>
        <v/>
      </c>
      <c r="AG967" s="102" t="str">
        <f t="array" ref="AG967">_xlfn.XLOOKUP(AE967,Stock1!I967,Stock1!J967,"")</f>
        <v/>
      </c>
    </row>
    <row r="968">
      <c r="K968" s="660" t="str">
        <f t="array" ref="K968">IFERROR(_xlfn.XLOOKUP(I968,Incentive!B:B,Incentive!E:E,""),"")</f>
        <v/>
      </c>
      <c r="L968" s="659" t="str">
        <f>IFERROR(VLOOKUP(I968,Stock1!F:J,5,False),"")</f>
        <v/>
      </c>
      <c r="M968" s="659" t="str">
        <f>IFERROR(VLOOKUP(I968,Stock2!F:J,5,False),"")</f>
        <v/>
      </c>
      <c r="V968" s="102" t="str">
        <f t="array" ref="V968">_xlfn.XLOOKUP("Charger",Stock1!B968,Stock1!I968,"")</f>
        <v/>
      </c>
      <c r="W968" s="102" t="str">
        <f t="array" ref="W968">_xlfn.XLOOKUP(V968,Stock1!I968,Stock1!F968,"")</f>
        <v/>
      </c>
      <c r="X968" s="102" t="str">
        <f t="array" ref="X968">_xlfn.XLOOKUP(V968,Stock1!I968,Stock1!J968,"")</f>
        <v/>
      </c>
      <c r="Y968" s="102" t="str">
        <f t="array" ref="Y968">_xlfn.XLOOKUP("Screen Protector for Android Phone and Other",Stock1!B968,Stock1!I968,"")</f>
        <v/>
      </c>
      <c r="Z968" s="102" t="str">
        <f t="array" ref="Z968">_xlfn.XLOOKUP("Screen Protector for Galaxy Phone",Stock1!B968,Stock1!I968,"")</f>
        <v/>
      </c>
      <c r="AA968" s="102" t="str">
        <f t="array" ref="AA968">_xlfn.XLOOKUP("Screen Protector for Galaxy Tab",Stock1!B968,Stock1!I968,"")</f>
        <v/>
      </c>
      <c r="AB968" s="102" t="str">
        <f t="shared" si="4"/>
        <v/>
      </c>
      <c r="AC968" s="102" t="str">
        <f t="array" ref="AC968">_xlfn.XLOOKUP(AB968,Stock1!I968,Stock1!F968,"")</f>
        <v/>
      </c>
      <c r="AD968" s="102" t="str">
        <f t="array" ref="AD968">_xlfn.XLOOKUP(AB968,Stock1!I968,Stock1!J968,"")</f>
        <v/>
      </c>
      <c r="AE968" s="102" t="str">
        <f t="array" ref="AE968">_xlfn.XLOOKUP("Storage",Stock1!B968,Stock1!I968,"")</f>
        <v/>
      </c>
      <c r="AF968" s="102" t="str">
        <f t="array" ref="AF968">_xlfn.XLOOKUP(AE968,Stock1!I968,Stock1!F968,"")</f>
        <v/>
      </c>
      <c r="AG968" s="102" t="str">
        <f t="array" ref="AG968">_xlfn.XLOOKUP(AE968,Stock1!I968,Stock1!J968,"")</f>
        <v/>
      </c>
    </row>
    <row r="969">
      <c r="K969" s="660" t="str">
        <f t="array" ref="K969">IFERROR(_xlfn.XLOOKUP(I969,Incentive!B:B,Incentive!E:E,""),"")</f>
        <v/>
      </c>
      <c r="L969" s="659" t="str">
        <f>IFERROR(VLOOKUP(I969,Stock1!F:J,5,False),"")</f>
        <v/>
      </c>
      <c r="M969" s="659" t="str">
        <f>IFERROR(VLOOKUP(I969,Stock2!F:J,5,False),"")</f>
        <v/>
      </c>
      <c r="V969" s="102" t="str">
        <f t="array" ref="V969">_xlfn.XLOOKUP("Charger",Stock1!B969,Stock1!I969,"")</f>
        <v/>
      </c>
      <c r="W969" s="102" t="str">
        <f t="array" ref="W969">_xlfn.XLOOKUP(V969,Stock1!I969,Stock1!F969,"")</f>
        <v/>
      </c>
      <c r="X969" s="102" t="str">
        <f t="array" ref="X969">_xlfn.XLOOKUP(V969,Stock1!I969,Stock1!J969,"")</f>
        <v/>
      </c>
      <c r="Y969" s="102" t="str">
        <f t="array" ref="Y969">_xlfn.XLOOKUP("Screen Protector for Android Phone and Other",Stock1!B969,Stock1!I969,"")</f>
        <v/>
      </c>
      <c r="Z969" s="102" t="str">
        <f t="array" ref="Z969">_xlfn.XLOOKUP("Screen Protector for Galaxy Phone",Stock1!B969,Stock1!I969,"")</f>
        <v/>
      </c>
      <c r="AA969" s="102" t="str">
        <f t="array" ref="AA969">_xlfn.XLOOKUP("Screen Protector for Galaxy Tab",Stock1!B969,Stock1!I969,"")</f>
        <v/>
      </c>
      <c r="AB969" s="102" t="str">
        <f t="shared" si="4"/>
        <v/>
      </c>
      <c r="AC969" s="102" t="str">
        <f t="array" ref="AC969">_xlfn.XLOOKUP(AB969,Stock1!I969,Stock1!F969,"")</f>
        <v/>
      </c>
      <c r="AD969" s="102" t="str">
        <f t="array" ref="AD969">_xlfn.XLOOKUP(AB969,Stock1!I969,Stock1!J969,"")</f>
        <v/>
      </c>
      <c r="AE969" s="102" t="str">
        <f t="array" ref="AE969">_xlfn.XLOOKUP("Storage",Stock1!B969,Stock1!I969,"")</f>
        <v/>
      </c>
      <c r="AF969" s="102" t="str">
        <f t="array" ref="AF969">_xlfn.XLOOKUP(AE969,Stock1!I969,Stock1!F969,"")</f>
        <v/>
      </c>
      <c r="AG969" s="102" t="str">
        <f t="array" ref="AG969">_xlfn.XLOOKUP(AE969,Stock1!I969,Stock1!J969,"")</f>
        <v/>
      </c>
    </row>
    <row r="970">
      <c r="K970" s="660" t="str">
        <f t="array" ref="K970">IFERROR(_xlfn.XLOOKUP(I970,Incentive!B:B,Incentive!E:E,""),"")</f>
        <v/>
      </c>
      <c r="L970" s="659" t="str">
        <f>IFERROR(VLOOKUP(I970,Stock1!F:J,5,False),"")</f>
        <v/>
      </c>
      <c r="M970" s="659" t="str">
        <f>IFERROR(VLOOKUP(I970,Stock2!F:J,5,False),"")</f>
        <v/>
      </c>
      <c r="V970" s="102" t="str">
        <f t="array" ref="V970">_xlfn.XLOOKUP("Charger",Stock1!B970,Stock1!I970,"")</f>
        <v/>
      </c>
      <c r="W970" s="102" t="str">
        <f t="array" ref="W970">_xlfn.XLOOKUP(V970,Stock1!I970,Stock1!F970,"")</f>
        <v/>
      </c>
      <c r="X970" s="102" t="str">
        <f t="array" ref="X970">_xlfn.XLOOKUP(V970,Stock1!I970,Stock1!J970,"")</f>
        <v/>
      </c>
      <c r="Y970" s="102" t="str">
        <f t="array" ref="Y970">_xlfn.XLOOKUP("Screen Protector for Android Phone and Other",Stock1!B970,Stock1!I970,"")</f>
        <v/>
      </c>
      <c r="Z970" s="102" t="str">
        <f t="array" ref="Z970">_xlfn.XLOOKUP("Screen Protector for Galaxy Phone",Stock1!B970,Stock1!I970,"")</f>
        <v/>
      </c>
      <c r="AA970" s="102" t="str">
        <f t="array" ref="AA970">_xlfn.XLOOKUP("Screen Protector for Galaxy Tab",Stock1!B970,Stock1!I970,"")</f>
        <v/>
      </c>
      <c r="AB970" s="102" t="str">
        <f t="shared" si="4"/>
        <v/>
      </c>
      <c r="AC970" s="102" t="str">
        <f t="array" ref="AC970">_xlfn.XLOOKUP(AB970,Stock1!I970,Stock1!F970,"")</f>
        <v/>
      </c>
      <c r="AD970" s="102" t="str">
        <f t="array" ref="AD970">_xlfn.XLOOKUP(AB970,Stock1!I970,Stock1!J970,"")</f>
        <v/>
      </c>
      <c r="AE970" s="102" t="str">
        <f t="array" ref="AE970">_xlfn.XLOOKUP("Storage",Stock1!B970,Stock1!I970,"")</f>
        <v/>
      </c>
      <c r="AF970" s="102" t="str">
        <f t="array" ref="AF970">_xlfn.XLOOKUP(AE970,Stock1!I970,Stock1!F970,"")</f>
        <v/>
      </c>
      <c r="AG970" s="102" t="str">
        <f t="array" ref="AG970">_xlfn.XLOOKUP(AE970,Stock1!I970,Stock1!J970,"")</f>
        <v/>
      </c>
    </row>
    <row r="971">
      <c r="K971" s="660" t="str">
        <f t="array" ref="K971">IFERROR(_xlfn.XLOOKUP(I971,Incentive!B:B,Incentive!E:E,""),"")</f>
        <v/>
      </c>
      <c r="L971" s="659" t="str">
        <f>IFERROR(VLOOKUP(I971,Stock1!F:J,5,False),"")</f>
        <v/>
      </c>
      <c r="M971" s="659" t="str">
        <f>IFERROR(VLOOKUP(I971,Stock2!F:J,5,False),"")</f>
        <v/>
      </c>
      <c r="V971" s="102" t="str">
        <f t="array" ref="V971">_xlfn.XLOOKUP("Charger",Stock1!B971,Stock1!I971,"")</f>
        <v/>
      </c>
      <c r="W971" s="102" t="str">
        <f t="array" ref="W971">_xlfn.XLOOKUP(V971,Stock1!I971,Stock1!F971,"")</f>
        <v/>
      </c>
      <c r="X971" s="102" t="str">
        <f t="array" ref="X971">_xlfn.XLOOKUP(V971,Stock1!I971,Stock1!J971,"")</f>
        <v/>
      </c>
      <c r="Y971" s="102" t="str">
        <f t="array" ref="Y971">_xlfn.XLOOKUP("Screen Protector for Android Phone and Other",Stock1!B971,Stock1!I971,"")</f>
        <v/>
      </c>
      <c r="Z971" s="102" t="str">
        <f t="array" ref="Z971">_xlfn.XLOOKUP("Screen Protector for Galaxy Phone",Stock1!B971,Stock1!I971,"")</f>
        <v/>
      </c>
      <c r="AA971" s="102" t="str">
        <f t="array" ref="AA971">_xlfn.XLOOKUP("Screen Protector for Galaxy Tab",Stock1!B971,Stock1!I971,"")</f>
        <v/>
      </c>
      <c r="AB971" s="102" t="str">
        <f t="shared" si="4"/>
        <v/>
      </c>
      <c r="AC971" s="102" t="str">
        <f t="array" ref="AC971">_xlfn.XLOOKUP(AB971,Stock1!I971,Stock1!F971,"")</f>
        <v/>
      </c>
      <c r="AD971" s="102" t="str">
        <f t="array" ref="AD971">_xlfn.XLOOKUP(AB971,Stock1!I971,Stock1!J971,"")</f>
        <v/>
      </c>
      <c r="AE971" s="102" t="str">
        <f t="array" ref="AE971">_xlfn.XLOOKUP("Storage",Stock1!B971,Stock1!I971,"")</f>
        <v/>
      </c>
      <c r="AF971" s="102" t="str">
        <f t="array" ref="AF971">_xlfn.XLOOKUP(AE971,Stock1!I971,Stock1!F971,"")</f>
        <v/>
      </c>
      <c r="AG971" s="102" t="str">
        <f t="array" ref="AG971">_xlfn.XLOOKUP(AE971,Stock1!I971,Stock1!J971,"")</f>
        <v/>
      </c>
    </row>
    <row r="972">
      <c r="K972" s="660" t="str">
        <f t="array" ref="K972">IFERROR(_xlfn.XLOOKUP(I972,Incentive!B:B,Incentive!E:E,""),"")</f>
        <v/>
      </c>
      <c r="L972" s="659" t="str">
        <f>IFERROR(VLOOKUP(I972,Stock1!F:J,5,False),"")</f>
        <v/>
      </c>
      <c r="M972" s="659" t="str">
        <f>IFERROR(VLOOKUP(I972,Stock2!F:J,5,False),"")</f>
        <v/>
      </c>
      <c r="V972" s="102" t="str">
        <f t="array" ref="V972">_xlfn.XLOOKUP("Charger",Stock1!B972,Stock1!I972,"")</f>
        <v/>
      </c>
      <c r="W972" s="102" t="str">
        <f t="array" ref="W972">_xlfn.XLOOKUP(V972,Stock1!I972,Stock1!F972,"")</f>
        <v/>
      </c>
      <c r="X972" s="102" t="str">
        <f t="array" ref="X972">_xlfn.XLOOKUP(V972,Stock1!I972,Stock1!J972,"")</f>
        <v/>
      </c>
      <c r="Y972" s="102" t="str">
        <f t="array" ref="Y972">_xlfn.XLOOKUP("Screen Protector for Android Phone and Other",Stock1!B972,Stock1!I972,"")</f>
        <v/>
      </c>
      <c r="Z972" s="102" t="str">
        <f t="array" ref="Z972">_xlfn.XLOOKUP("Screen Protector for Galaxy Phone",Stock1!B972,Stock1!I972,"")</f>
        <v/>
      </c>
      <c r="AA972" s="102" t="str">
        <f t="array" ref="AA972">_xlfn.XLOOKUP("Screen Protector for Galaxy Tab",Stock1!B972,Stock1!I972,"")</f>
        <v/>
      </c>
      <c r="AB972" s="102" t="str">
        <f t="shared" si="4"/>
        <v/>
      </c>
      <c r="AC972" s="102" t="str">
        <f t="array" ref="AC972">_xlfn.XLOOKUP(AB972,Stock1!I972,Stock1!F972,"")</f>
        <v/>
      </c>
      <c r="AD972" s="102" t="str">
        <f t="array" ref="AD972">_xlfn.XLOOKUP(AB972,Stock1!I972,Stock1!J972,"")</f>
        <v/>
      </c>
      <c r="AE972" s="102" t="str">
        <f t="array" ref="AE972">_xlfn.XLOOKUP("Storage",Stock1!B972,Stock1!I972,"")</f>
        <v/>
      </c>
      <c r="AF972" s="102" t="str">
        <f t="array" ref="AF972">_xlfn.XLOOKUP(AE972,Stock1!I972,Stock1!F972,"")</f>
        <v/>
      </c>
      <c r="AG972" s="102" t="str">
        <f t="array" ref="AG972">_xlfn.XLOOKUP(AE972,Stock1!I972,Stock1!J972,"")</f>
        <v/>
      </c>
    </row>
    <row r="973">
      <c r="K973" s="660" t="str">
        <f t="array" ref="K973">IFERROR(_xlfn.XLOOKUP(I973,Incentive!B:B,Incentive!E:E,""),"")</f>
        <v/>
      </c>
      <c r="L973" s="659" t="str">
        <f>IFERROR(VLOOKUP(I973,Stock1!F:J,5,False),"")</f>
        <v/>
      </c>
      <c r="M973" s="659" t="str">
        <f>IFERROR(VLOOKUP(I973,Stock2!F:J,5,False),"")</f>
        <v/>
      </c>
      <c r="V973" s="102" t="str">
        <f t="array" ref="V973">_xlfn.XLOOKUP("Charger",Stock1!B973,Stock1!I973,"")</f>
        <v/>
      </c>
      <c r="W973" s="102" t="str">
        <f t="array" ref="W973">_xlfn.XLOOKUP(V973,Stock1!I973,Stock1!F973,"")</f>
        <v/>
      </c>
      <c r="X973" s="102" t="str">
        <f t="array" ref="X973">_xlfn.XLOOKUP(V973,Stock1!I973,Stock1!J973,"")</f>
        <v/>
      </c>
      <c r="Y973" s="102" t="str">
        <f t="array" ref="Y973">_xlfn.XLOOKUP("Screen Protector for Android Phone and Other",Stock1!B973,Stock1!I973,"")</f>
        <v/>
      </c>
      <c r="Z973" s="102" t="str">
        <f t="array" ref="Z973">_xlfn.XLOOKUP("Screen Protector for Galaxy Phone",Stock1!B973,Stock1!I973,"")</f>
        <v/>
      </c>
      <c r="AA973" s="102" t="str">
        <f t="array" ref="AA973">_xlfn.XLOOKUP("Screen Protector for Galaxy Tab",Stock1!B973,Stock1!I973,"")</f>
        <v/>
      </c>
      <c r="AB973" s="102" t="str">
        <f t="shared" si="4"/>
        <v/>
      </c>
      <c r="AC973" s="102" t="str">
        <f t="array" ref="AC973">_xlfn.XLOOKUP(AB973,Stock1!I973,Stock1!F973,"")</f>
        <v/>
      </c>
      <c r="AD973" s="102" t="str">
        <f t="array" ref="AD973">_xlfn.XLOOKUP(AB973,Stock1!I973,Stock1!J973,"")</f>
        <v/>
      </c>
      <c r="AE973" s="102" t="str">
        <f t="array" ref="AE973">_xlfn.XLOOKUP("Storage",Stock1!B973,Stock1!I973,"")</f>
        <v/>
      </c>
      <c r="AF973" s="102" t="str">
        <f t="array" ref="AF973">_xlfn.XLOOKUP(AE973,Stock1!I973,Stock1!F973,"")</f>
        <v/>
      </c>
      <c r="AG973" s="102" t="str">
        <f t="array" ref="AG973">_xlfn.XLOOKUP(AE973,Stock1!I973,Stock1!J973,"")</f>
        <v/>
      </c>
    </row>
    <row r="974">
      <c r="K974" s="660" t="str">
        <f t="array" ref="K974">IFERROR(_xlfn.XLOOKUP(I974,Incentive!B:B,Incentive!E:E,""),"")</f>
        <v/>
      </c>
      <c r="L974" s="659" t="str">
        <f>IFERROR(VLOOKUP(I974,Stock1!F:J,5,False),"")</f>
        <v/>
      </c>
      <c r="M974" s="659" t="str">
        <f>IFERROR(VLOOKUP(I974,Stock2!F:J,5,False),"")</f>
        <v/>
      </c>
      <c r="V974" s="102" t="str">
        <f t="array" ref="V974">_xlfn.XLOOKUP("Charger",Stock1!B974,Stock1!I974,"")</f>
        <v/>
      </c>
      <c r="W974" s="102" t="str">
        <f t="array" ref="W974">_xlfn.XLOOKUP(V974,Stock1!I974,Stock1!F974,"")</f>
        <v/>
      </c>
      <c r="X974" s="102" t="str">
        <f t="array" ref="X974">_xlfn.XLOOKUP(V974,Stock1!I974,Stock1!J974,"")</f>
        <v/>
      </c>
      <c r="Y974" s="102" t="str">
        <f t="array" ref="Y974">_xlfn.XLOOKUP("Screen Protector for Android Phone and Other",Stock1!B974,Stock1!I974,"")</f>
        <v/>
      </c>
      <c r="Z974" s="102" t="str">
        <f t="array" ref="Z974">_xlfn.XLOOKUP("Screen Protector for Galaxy Phone",Stock1!B974,Stock1!I974,"")</f>
        <v/>
      </c>
      <c r="AA974" s="102" t="str">
        <f t="array" ref="AA974">_xlfn.XLOOKUP("Screen Protector for Galaxy Tab",Stock1!B974,Stock1!I974,"")</f>
        <v/>
      </c>
      <c r="AB974" s="102" t="str">
        <f t="shared" si="4"/>
        <v/>
      </c>
      <c r="AC974" s="102" t="str">
        <f t="array" ref="AC974">_xlfn.XLOOKUP(AB974,Stock1!I974,Stock1!F974,"")</f>
        <v/>
      </c>
      <c r="AD974" s="102" t="str">
        <f t="array" ref="AD974">_xlfn.XLOOKUP(AB974,Stock1!I974,Stock1!J974,"")</f>
        <v/>
      </c>
      <c r="AE974" s="102" t="str">
        <f t="array" ref="AE974">_xlfn.XLOOKUP("Storage",Stock1!B974,Stock1!I974,"")</f>
        <v/>
      </c>
      <c r="AF974" s="102" t="str">
        <f t="array" ref="AF974">_xlfn.XLOOKUP(AE974,Stock1!I974,Stock1!F974,"")</f>
        <v/>
      </c>
      <c r="AG974" s="102" t="str">
        <f t="array" ref="AG974">_xlfn.XLOOKUP(AE974,Stock1!I974,Stock1!J974,"")</f>
        <v/>
      </c>
    </row>
    <row r="975">
      <c r="K975" s="660" t="str">
        <f t="array" ref="K975">IFERROR(_xlfn.XLOOKUP(I975,Incentive!B:B,Incentive!E:E,""),"")</f>
        <v/>
      </c>
      <c r="L975" s="659" t="str">
        <f>IFERROR(VLOOKUP(I975,Stock1!F:J,5,False),"")</f>
        <v/>
      </c>
      <c r="M975" s="659" t="str">
        <f>IFERROR(VLOOKUP(I975,Stock2!F:J,5,False),"")</f>
        <v/>
      </c>
      <c r="V975" s="102" t="str">
        <f t="array" ref="V975">_xlfn.XLOOKUP("Charger",Stock1!B975,Stock1!I975,"")</f>
        <v/>
      </c>
      <c r="W975" s="102" t="str">
        <f t="array" ref="W975">_xlfn.XLOOKUP(V975,Stock1!I975,Stock1!F975,"")</f>
        <v/>
      </c>
      <c r="X975" s="102" t="str">
        <f t="array" ref="X975">_xlfn.XLOOKUP(V975,Stock1!I975,Stock1!J975,"")</f>
        <v/>
      </c>
      <c r="Y975" s="102" t="str">
        <f t="array" ref="Y975">_xlfn.XLOOKUP("Screen Protector for Android Phone and Other",Stock1!B975,Stock1!I975,"")</f>
        <v/>
      </c>
      <c r="Z975" s="102" t="str">
        <f t="array" ref="Z975">_xlfn.XLOOKUP("Screen Protector for Galaxy Phone",Stock1!B975,Stock1!I975,"")</f>
        <v/>
      </c>
      <c r="AA975" s="102" t="str">
        <f t="array" ref="AA975">_xlfn.XLOOKUP("Screen Protector for Galaxy Tab",Stock1!B975,Stock1!I975,"")</f>
        <v/>
      </c>
      <c r="AB975" s="102" t="str">
        <f t="shared" si="4"/>
        <v/>
      </c>
      <c r="AC975" s="102" t="str">
        <f t="array" ref="AC975">_xlfn.XLOOKUP(AB975,Stock1!I975,Stock1!F975,"")</f>
        <v/>
      </c>
      <c r="AD975" s="102" t="str">
        <f t="array" ref="AD975">_xlfn.XLOOKUP(AB975,Stock1!I975,Stock1!J975,"")</f>
        <v/>
      </c>
      <c r="AE975" s="102" t="str">
        <f t="array" ref="AE975">_xlfn.XLOOKUP("Storage",Stock1!B975,Stock1!I975,"")</f>
        <v/>
      </c>
      <c r="AF975" s="102" t="str">
        <f t="array" ref="AF975">_xlfn.XLOOKUP(AE975,Stock1!I975,Stock1!F975,"")</f>
        <v/>
      </c>
      <c r="AG975" s="102" t="str">
        <f t="array" ref="AG975">_xlfn.XLOOKUP(AE975,Stock1!I975,Stock1!J975,"")</f>
        <v/>
      </c>
    </row>
    <row r="976">
      <c r="K976" s="660" t="str">
        <f t="array" ref="K976">IFERROR(_xlfn.XLOOKUP(I976,Incentive!B:B,Incentive!E:E,""),"")</f>
        <v/>
      </c>
      <c r="L976" s="659" t="str">
        <f>IFERROR(VLOOKUP(I976,Stock1!F:J,5,False),"")</f>
        <v/>
      </c>
      <c r="M976" s="659" t="str">
        <f>IFERROR(VLOOKUP(I976,Stock2!F:J,5,False),"")</f>
        <v/>
      </c>
      <c r="V976" s="102" t="str">
        <f t="array" ref="V976">_xlfn.XLOOKUP("Charger",Stock1!B976,Stock1!I976,"")</f>
        <v/>
      </c>
      <c r="W976" s="102" t="str">
        <f t="array" ref="W976">_xlfn.XLOOKUP(V976,Stock1!I976,Stock1!F976,"")</f>
        <v/>
      </c>
      <c r="X976" s="102" t="str">
        <f t="array" ref="X976">_xlfn.XLOOKUP(V976,Stock1!I976,Stock1!J976,"")</f>
        <v/>
      </c>
      <c r="Y976" s="102" t="str">
        <f t="array" ref="Y976">_xlfn.XLOOKUP("Screen Protector for Android Phone and Other",Stock1!B976,Stock1!I976,"")</f>
        <v/>
      </c>
      <c r="Z976" s="102" t="str">
        <f t="array" ref="Z976">_xlfn.XLOOKUP("Screen Protector for Galaxy Phone",Stock1!B976,Stock1!I976,"")</f>
        <v/>
      </c>
      <c r="AA976" s="102" t="str">
        <f t="array" ref="AA976">_xlfn.XLOOKUP("Screen Protector for Galaxy Tab",Stock1!B976,Stock1!I976,"")</f>
        <v/>
      </c>
      <c r="AB976" s="102" t="str">
        <f t="shared" si="4"/>
        <v/>
      </c>
      <c r="AC976" s="102" t="str">
        <f t="array" ref="AC976">_xlfn.XLOOKUP(AB976,Stock1!I976,Stock1!F976,"")</f>
        <v/>
      </c>
      <c r="AD976" s="102" t="str">
        <f t="array" ref="AD976">_xlfn.XLOOKUP(AB976,Stock1!I976,Stock1!J976,"")</f>
        <v/>
      </c>
      <c r="AE976" s="102" t="str">
        <f t="array" ref="AE976">_xlfn.XLOOKUP("Storage",Stock1!B976,Stock1!I976,"")</f>
        <v/>
      </c>
      <c r="AF976" s="102" t="str">
        <f t="array" ref="AF976">_xlfn.XLOOKUP(AE976,Stock1!I976,Stock1!F976,"")</f>
        <v/>
      </c>
      <c r="AG976" s="102" t="str">
        <f t="array" ref="AG976">_xlfn.XLOOKUP(AE976,Stock1!I976,Stock1!J976,"")</f>
        <v/>
      </c>
    </row>
    <row r="977">
      <c r="K977" s="660" t="str">
        <f t="array" ref="K977">IFERROR(_xlfn.XLOOKUP(I977,Incentive!B:B,Incentive!E:E,""),"")</f>
        <v/>
      </c>
      <c r="L977" s="659" t="str">
        <f>IFERROR(VLOOKUP(I977,Stock1!F:J,5,False),"")</f>
        <v/>
      </c>
      <c r="M977" s="659" t="str">
        <f>IFERROR(VLOOKUP(I977,Stock2!F:J,5,False),"")</f>
        <v/>
      </c>
      <c r="V977" s="102" t="str">
        <f t="array" ref="V977">_xlfn.XLOOKUP("Charger",Stock1!B977,Stock1!I977,"")</f>
        <v/>
      </c>
      <c r="W977" s="102" t="str">
        <f t="array" ref="W977">_xlfn.XLOOKUP(V977,Stock1!I977,Stock1!F977,"")</f>
        <v/>
      </c>
      <c r="X977" s="102" t="str">
        <f t="array" ref="X977">_xlfn.XLOOKUP(V977,Stock1!I977,Stock1!J977,"")</f>
        <v/>
      </c>
      <c r="Y977" s="102" t="str">
        <f t="array" ref="Y977">_xlfn.XLOOKUP("Screen Protector for Android Phone and Other",Stock1!B977,Stock1!I977,"")</f>
        <v/>
      </c>
      <c r="Z977" s="102" t="str">
        <f t="array" ref="Z977">_xlfn.XLOOKUP("Screen Protector for Galaxy Phone",Stock1!B977,Stock1!I977,"")</f>
        <v/>
      </c>
      <c r="AA977" s="102" t="str">
        <f t="array" ref="AA977">_xlfn.XLOOKUP("Screen Protector for Galaxy Tab",Stock1!B977,Stock1!I977,"")</f>
        <v/>
      </c>
      <c r="AB977" s="102" t="str">
        <f t="shared" si="4"/>
        <v/>
      </c>
      <c r="AC977" s="102" t="str">
        <f t="array" ref="AC977">_xlfn.XLOOKUP(AB977,Stock1!I977,Stock1!F977,"")</f>
        <v/>
      </c>
      <c r="AD977" s="102" t="str">
        <f t="array" ref="AD977">_xlfn.XLOOKUP(AB977,Stock1!I977,Stock1!J977,"")</f>
        <v/>
      </c>
      <c r="AE977" s="102" t="str">
        <f t="array" ref="AE977">_xlfn.XLOOKUP("Storage",Stock1!B977,Stock1!I977,"")</f>
        <v/>
      </c>
      <c r="AF977" s="102" t="str">
        <f t="array" ref="AF977">_xlfn.XLOOKUP(AE977,Stock1!I977,Stock1!F977,"")</f>
        <v/>
      </c>
      <c r="AG977" s="102" t="str">
        <f t="array" ref="AG977">_xlfn.XLOOKUP(AE977,Stock1!I977,Stock1!J977,"")</f>
        <v/>
      </c>
    </row>
    <row r="978">
      <c r="K978" s="660" t="str">
        <f t="array" ref="K978">IFERROR(_xlfn.XLOOKUP(I978,Incentive!B:B,Incentive!E:E,""),"")</f>
        <v/>
      </c>
      <c r="L978" s="659" t="str">
        <f>IFERROR(VLOOKUP(I978,Stock1!F:J,5,False),"")</f>
        <v/>
      </c>
      <c r="M978" s="659" t="str">
        <f>IFERROR(VLOOKUP(I978,Stock2!F:J,5,False),"")</f>
        <v/>
      </c>
      <c r="V978" s="102" t="str">
        <f t="array" ref="V978">_xlfn.XLOOKUP("Charger",Stock1!B978,Stock1!I978,"")</f>
        <v/>
      </c>
      <c r="W978" s="102" t="str">
        <f t="array" ref="W978">_xlfn.XLOOKUP(V978,Stock1!I978,Stock1!F978,"")</f>
        <v/>
      </c>
      <c r="X978" s="102" t="str">
        <f t="array" ref="X978">_xlfn.XLOOKUP(V978,Stock1!I978,Stock1!J978,"")</f>
        <v/>
      </c>
      <c r="Y978" s="102" t="str">
        <f t="array" ref="Y978">_xlfn.XLOOKUP("Screen Protector for Android Phone and Other",Stock1!B978,Stock1!I978,"")</f>
        <v/>
      </c>
      <c r="Z978" s="102" t="str">
        <f t="array" ref="Z978">_xlfn.XLOOKUP("Screen Protector for Galaxy Phone",Stock1!B978,Stock1!I978,"")</f>
        <v/>
      </c>
      <c r="AA978" s="102" t="str">
        <f t="array" ref="AA978">_xlfn.XLOOKUP("Screen Protector for Galaxy Tab",Stock1!B978,Stock1!I978,"")</f>
        <v/>
      </c>
      <c r="AB978" s="102" t="str">
        <f t="shared" si="4"/>
        <v/>
      </c>
      <c r="AC978" s="102" t="str">
        <f t="array" ref="AC978">_xlfn.XLOOKUP(AB978,Stock1!I978,Stock1!F978,"")</f>
        <v/>
      </c>
      <c r="AD978" s="102" t="str">
        <f t="array" ref="AD978">_xlfn.XLOOKUP(AB978,Stock1!I978,Stock1!J978,"")</f>
        <v/>
      </c>
      <c r="AE978" s="102" t="str">
        <f t="array" ref="AE978">_xlfn.XLOOKUP("Storage",Stock1!B978,Stock1!I978,"")</f>
        <v/>
      </c>
      <c r="AF978" s="102" t="str">
        <f t="array" ref="AF978">_xlfn.XLOOKUP(AE978,Stock1!I978,Stock1!F978,"")</f>
        <v/>
      </c>
      <c r="AG978" s="102" t="str">
        <f t="array" ref="AG978">_xlfn.XLOOKUP(AE978,Stock1!I978,Stock1!J978,"")</f>
        <v/>
      </c>
    </row>
    <row r="979">
      <c r="K979" s="660" t="str">
        <f t="array" ref="K979">IFERROR(_xlfn.XLOOKUP(I979,Incentive!B:B,Incentive!E:E,""),"")</f>
        <v/>
      </c>
      <c r="L979" s="659" t="str">
        <f>IFERROR(VLOOKUP(I979,Stock1!F:J,5,False),"")</f>
        <v/>
      </c>
      <c r="M979" s="659" t="str">
        <f>IFERROR(VLOOKUP(I979,Stock2!F:J,5,False),"")</f>
        <v/>
      </c>
      <c r="V979" s="102" t="str">
        <f t="array" ref="V979">_xlfn.XLOOKUP("Charger",Stock1!B979,Stock1!I979,"")</f>
        <v/>
      </c>
      <c r="W979" s="102" t="str">
        <f t="array" ref="W979">_xlfn.XLOOKUP(V979,Stock1!I979,Stock1!F979,"")</f>
        <v/>
      </c>
      <c r="X979" s="102" t="str">
        <f t="array" ref="X979">_xlfn.XLOOKUP(V979,Stock1!I979,Stock1!J979,"")</f>
        <v/>
      </c>
      <c r="Y979" s="102" t="str">
        <f t="array" ref="Y979">_xlfn.XLOOKUP("Screen Protector for Android Phone and Other",Stock1!B979,Stock1!I979,"")</f>
        <v/>
      </c>
      <c r="Z979" s="102" t="str">
        <f t="array" ref="Z979">_xlfn.XLOOKUP("Screen Protector for Galaxy Phone",Stock1!B979,Stock1!I979,"")</f>
        <v/>
      </c>
      <c r="AA979" s="102" t="str">
        <f t="array" ref="AA979">_xlfn.XLOOKUP("Screen Protector for Galaxy Tab",Stock1!B979,Stock1!I979,"")</f>
        <v/>
      </c>
      <c r="AB979" s="102" t="str">
        <f t="shared" si="4"/>
        <v/>
      </c>
      <c r="AC979" s="102" t="str">
        <f t="array" ref="AC979">_xlfn.XLOOKUP(AB979,Stock1!I979,Stock1!F979,"")</f>
        <v/>
      </c>
      <c r="AD979" s="102" t="str">
        <f t="array" ref="AD979">_xlfn.XLOOKUP(AB979,Stock1!I979,Stock1!J979,"")</f>
        <v/>
      </c>
      <c r="AE979" s="102" t="str">
        <f t="array" ref="AE979">_xlfn.XLOOKUP("Storage",Stock1!B979,Stock1!I979,"")</f>
        <v/>
      </c>
      <c r="AF979" s="102" t="str">
        <f t="array" ref="AF979">_xlfn.XLOOKUP(AE979,Stock1!I979,Stock1!F979,"")</f>
        <v/>
      </c>
      <c r="AG979" s="102" t="str">
        <f t="array" ref="AG979">_xlfn.XLOOKUP(AE979,Stock1!I979,Stock1!J979,"")</f>
        <v/>
      </c>
    </row>
    <row r="980">
      <c r="K980" s="660" t="str">
        <f t="array" ref="K980">IFERROR(_xlfn.XLOOKUP(I980,Incentive!B:B,Incentive!E:E,""),"")</f>
        <v/>
      </c>
      <c r="L980" s="659" t="str">
        <f>IFERROR(VLOOKUP(I980,Stock1!F:J,5,False),"")</f>
        <v/>
      </c>
      <c r="M980" s="659" t="str">
        <f>IFERROR(VLOOKUP(I980,Stock2!F:J,5,False),"")</f>
        <v/>
      </c>
      <c r="V980" s="102" t="str">
        <f t="array" ref="V980">_xlfn.XLOOKUP("Charger",Stock1!B980,Stock1!I980,"")</f>
        <v/>
      </c>
      <c r="W980" s="102" t="str">
        <f t="array" ref="W980">_xlfn.XLOOKUP(V980,Stock1!I980,Stock1!F980,"")</f>
        <v/>
      </c>
      <c r="X980" s="102" t="str">
        <f t="array" ref="X980">_xlfn.XLOOKUP(V980,Stock1!I980,Stock1!J980,"")</f>
        <v/>
      </c>
      <c r="Y980" s="102" t="str">
        <f t="array" ref="Y980">_xlfn.XLOOKUP("Screen Protector for Android Phone and Other",Stock1!B980,Stock1!I980,"")</f>
        <v/>
      </c>
      <c r="Z980" s="102" t="str">
        <f t="array" ref="Z980">_xlfn.XLOOKUP("Screen Protector for Galaxy Phone",Stock1!B980,Stock1!I980,"")</f>
        <v/>
      </c>
      <c r="AA980" s="102" t="str">
        <f t="array" ref="AA980">_xlfn.XLOOKUP("Screen Protector for Galaxy Tab",Stock1!B980,Stock1!I980,"")</f>
        <v/>
      </c>
      <c r="AB980" s="102" t="str">
        <f t="shared" si="4"/>
        <v/>
      </c>
      <c r="AC980" s="102" t="str">
        <f t="array" ref="AC980">_xlfn.XLOOKUP(AB980,Stock1!I980,Stock1!F980,"")</f>
        <v/>
      </c>
      <c r="AD980" s="102" t="str">
        <f t="array" ref="AD980">_xlfn.XLOOKUP(AB980,Stock1!I980,Stock1!J980,"")</f>
        <v/>
      </c>
      <c r="AE980" s="102" t="str">
        <f t="array" ref="AE980">_xlfn.XLOOKUP("Storage",Stock1!B980,Stock1!I980,"")</f>
        <v/>
      </c>
      <c r="AF980" s="102" t="str">
        <f t="array" ref="AF980">_xlfn.XLOOKUP(AE980,Stock1!I980,Stock1!F980,"")</f>
        <v/>
      </c>
      <c r="AG980" s="102" t="str">
        <f t="array" ref="AG980">_xlfn.XLOOKUP(AE980,Stock1!I980,Stock1!J980,"")</f>
        <v/>
      </c>
    </row>
    <row r="981">
      <c r="K981" s="660" t="str">
        <f t="array" ref="K981">IFERROR(_xlfn.XLOOKUP(I981,Incentive!B:B,Incentive!E:E,""),"")</f>
        <v/>
      </c>
      <c r="L981" s="659" t="str">
        <f>IFERROR(VLOOKUP(I981,Stock1!F:J,5,False),"")</f>
        <v/>
      </c>
      <c r="M981" s="659" t="str">
        <f>IFERROR(VLOOKUP(I981,Stock2!F:J,5,False),"")</f>
        <v/>
      </c>
      <c r="V981" s="102" t="str">
        <f t="array" ref="V981">_xlfn.XLOOKUP("Charger",Stock1!B981,Stock1!I981,"")</f>
        <v/>
      </c>
      <c r="W981" s="102" t="str">
        <f t="array" ref="W981">_xlfn.XLOOKUP(V981,Stock1!I981,Stock1!F981,"")</f>
        <v/>
      </c>
      <c r="X981" s="102" t="str">
        <f t="array" ref="X981">_xlfn.XLOOKUP(V981,Stock1!I981,Stock1!J981,"")</f>
        <v/>
      </c>
      <c r="Y981" s="102" t="str">
        <f t="array" ref="Y981">_xlfn.XLOOKUP("Screen Protector for Android Phone and Other",Stock1!B981,Stock1!I981,"")</f>
        <v/>
      </c>
      <c r="Z981" s="102" t="str">
        <f t="array" ref="Z981">_xlfn.XLOOKUP("Screen Protector for Galaxy Phone",Stock1!B981,Stock1!I981,"")</f>
        <v/>
      </c>
      <c r="AA981" s="102" t="str">
        <f t="array" ref="AA981">_xlfn.XLOOKUP("Screen Protector for Galaxy Tab",Stock1!B981,Stock1!I981,"")</f>
        <v/>
      </c>
      <c r="AB981" s="102" t="str">
        <f t="shared" si="4"/>
        <v/>
      </c>
      <c r="AC981" s="102" t="str">
        <f t="array" ref="AC981">_xlfn.XLOOKUP(AB981,Stock1!I981,Stock1!F981,"")</f>
        <v/>
      </c>
      <c r="AD981" s="102" t="str">
        <f t="array" ref="AD981">_xlfn.XLOOKUP(AB981,Stock1!I981,Stock1!J981,"")</f>
        <v/>
      </c>
      <c r="AE981" s="102" t="str">
        <f t="array" ref="AE981">_xlfn.XLOOKUP("Storage",Stock1!B981,Stock1!I981,"")</f>
        <v/>
      </c>
      <c r="AF981" s="102" t="str">
        <f t="array" ref="AF981">_xlfn.XLOOKUP(AE981,Stock1!I981,Stock1!F981,"")</f>
        <v/>
      </c>
      <c r="AG981" s="102" t="str">
        <f t="array" ref="AG981">_xlfn.XLOOKUP(AE981,Stock1!I981,Stock1!J981,"")</f>
        <v/>
      </c>
    </row>
    <row r="982">
      <c r="K982" s="660" t="str">
        <f t="array" ref="K982">IFERROR(_xlfn.XLOOKUP(I982,Incentive!B:B,Incentive!E:E,""),"")</f>
        <v/>
      </c>
      <c r="L982" s="659" t="str">
        <f>IFERROR(VLOOKUP(I982,Stock1!F:J,5,False),"")</f>
        <v/>
      </c>
      <c r="M982" s="659" t="str">
        <f>IFERROR(VLOOKUP(I982,Stock2!F:J,5,False),"")</f>
        <v/>
      </c>
      <c r="V982" s="102" t="str">
        <f t="array" ref="V982">_xlfn.XLOOKUP("Charger",Stock1!B982,Stock1!I982,"")</f>
        <v/>
      </c>
      <c r="W982" s="102" t="str">
        <f t="array" ref="W982">_xlfn.XLOOKUP(V982,Stock1!I982,Stock1!F982,"")</f>
        <v/>
      </c>
      <c r="X982" s="102" t="str">
        <f t="array" ref="X982">_xlfn.XLOOKUP(V982,Stock1!I982,Stock1!J982,"")</f>
        <v/>
      </c>
      <c r="Y982" s="102" t="str">
        <f t="array" ref="Y982">_xlfn.XLOOKUP("Screen Protector for Android Phone and Other",Stock1!B982,Stock1!I982,"")</f>
        <v/>
      </c>
      <c r="Z982" s="102" t="str">
        <f t="array" ref="Z982">_xlfn.XLOOKUP("Screen Protector for Galaxy Phone",Stock1!B982,Stock1!I982,"")</f>
        <v/>
      </c>
      <c r="AA982" s="102" t="str">
        <f t="array" ref="AA982">_xlfn.XLOOKUP("Screen Protector for Galaxy Tab",Stock1!B982,Stock1!I982,"")</f>
        <v/>
      </c>
      <c r="AB982" s="102" t="str">
        <f t="shared" si="4"/>
        <v/>
      </c>
      <c r="AC982" s="102" t="str">
        <f t="array" ref="AC982">_xlfn.XLOOKUP(AB982,Stock1!I982,Stock1!F982,"")</f>
        <v/>
      </c>
      <c r="AD982" s="102" t="str">
        <f t="array" ref="AD982">_xlfn.XLOOKUP(AB982,Stock1!I982,Stock1!J982,"")</f>
        <v/>
      </c>
      <c r="AE982" s="102" t="str">
        <f t="array" ref="AE982">_xlfn.XLOOKUP("Storage",Stock1!B982,Stock1!I982,"")</f>
        <v/>
      </c>
      <c r="AF982" s="102" t="str">
        <f t="array" ref="AF982">_xlfn.XLOOKUP(AE982,Stock1!I982,Stock1!F982,"")</f>
        <v/>
      </c>
      <c r="AG982" s="102" t="str">
        <f t="array" ref="AG982">_xlfn.XLOOKUP(AE982,Stock1!I982,Stock1!J982,"")</f>
        <v/>
      </c>
    </row>
    <row r="983">
      <c r="K983" s="660" t="str">
        <f t="array" ref="K983">IFERROR(_xlfn.XLOOKUP(I983,Incentive!B:B,Incentive!E:E,""),"")</f>
        <v/>
      </c>
      <c r="L983" s="659" t="str">
        <f>IFERROR(VLOOKUP(I983,Stock1!F:J,5,False),"")</f>
        <v/>
      </c>
      <c r="M983" s="659" t="str">
        <f>IFERROR(VLOOKUP(I983,Stock2!F:J,5,False),"")</f>
        <v/>
      </c>
      <c r="V983" s="102" t="str">
        <f t="array" ref="V983">_xlfn.XLOOKUP("Charger",Stock1!B983,Stock1!I983,"")</f>
        <v/>
      </c>
      <c r="W983" s="102" t="str">
        <f t="array" ref="W983">_xlfn.XLOOKUP(V983,Stock1!I983,Stock1!F983,"")</f>
        <v/>
      </c>
      <c r="X983" s="102" t="str">
        <f t="array" ref="X983">_xlfn.XLOOKUP(V983,Stock1!I983,Stock1!J983,"")</f>
        <v/>
      </c>
      <c r="Y983" s="102" t="str">
        <f t="array" ref="Y983">_xlfn.XLOOKUP("Screen Protector for Android Phone and Other",Stock1!B983,Stock1!I983,"")</f>
        <v/>
      </c>
      <c r="Z983" s="102" t="str">
        <f t="array" ref="Z983">_xlfn.XLOOKUP("Screen Protector for Galaxy Phone",Stock1!B983,Stock1!I983,"")</f>
        <v/>
      </c>
      <c r="AA983" s="102" t="str">
        <f t="array" ref="AA983">_xlfn.XLOOKUP("Screen Protector for Galaxy Tab",Stock1!B983,Stock1!I983,"")</f>
        <v/>
      </c>
      <c r="AB983" s="102" t="str">
        <f t="shared" si="4"/>
        <v/>
      </c>
      <c r="AC983" s="102" t="str">
        <f t="array" ref="AC983">_xlfn.XLOOKUP(AB983,Stock1!I983,Stock1!F983,"")</f>
        <v/>
      </c>
      <c r="AD983" s="102" t="str">
        <f t="array" ref="AD983">_xlfn.XLOOKUP(AB983,Stock1!I983,Stock1!J983,"")</f>
        <v/>
      </c>
      <c r="AE983" s="102" t="str">
        <f t="array" ref="AE983">_xlfn.XLOOKUP("Storage",Stock1!B983,Stock1!I983,"")</f>
        <v/>
      </c>
      <c r="AF983" s="102" t="str">
        <f t="array" ref="AF983">_xlfn.XLOOKUP(AE983,Stock1!I983,Stock1!F983,"")</f>
        <v/>
      </c>
      <c r="AG983" s="102" t="str">
        <f t="array" ref="AG983">_xlfn.XLOOKUP(AE983,Stock1!I983,Stock1!J983,"")</f>
        <v/>
      </c>
    </row>
    <row r="984">
      <c r="K984" s="660" t="str">
        <f t="array" ref="K984">IFERROR(_xlfn.XLOOKUP(I984,Incentive!B:B,Incentive!E:E,""),"")</f>
        <v/>
      </c>
      <c r="L984" s="659" t="str">
        <f>IFERROR(VLOOKUP(I984,Stock1!F:J,5,False),"")</f>
        <v/>
      </c>
      <c r="M984" s="659" t="str">
        <f>IFERROR(VLOOKUP(I984,Stock2!F:J,5,False),"")</f>
        <v/>
      </c>
      <c r="V984" s="102" t="str">
        <f t="array" ref="V984">_xlfn.XLOOKUP("Charger",Stock1!B984,Stock1!I984,"")</f>
        <v/>
      </c>
      <c r="W984" s="102" t="str">
        <f t="array" ref="W984">_xlfn.XLOOKUP(V984,Stock1!I984,Stock1!F984,"")</f>
        <v/>
      </c>
      <c r="X984" s="102" t="str">
        <f t="array" ref="X984">_xlfn.XLOOKUP(V984,Stock1!I984,Stock1!J984,"")</f>
        <v/>
      </c>
      <c r="Y984" s="102" t="str">
        <f t="array" ref="Y984">_xlfn.XLOOKUP("Screen Protector for Android Phone and Other",Stock1!B984,Stock1!I984,"")</f>
        <v/>
      </c>
      <c r="Z984" s="102" t="str">
        <f t="array" ref="Z984">_xlfn.XLOOKUP("Screen Protector for Galaxy Phone",Stock1!B984,Stock1!I984,"")</f>
        <v/>
      </c>
      <c r="AA984" s="102" t="str">
        <f t="array" ref="AA984">_xlfn.XLOOKUP("Screen Protector for Galaxy Tab",Stock1!B984,Stock1!I984,"")</f>
        <v/>
      </c>
      <c r="AB984" s="102" t="str">
        <f t="shared" si="4"/>
        <v/>
      </c>
      <c r="AC984" s="102" t="str">
        <f t="array" ref="AC984">_xlfn.XLOOKUP(AB984,Stock1!I984,Stock1!F984,"")</f>
        <v/>
      </c>
      <c r="AD984" s="102" t="str">
        <f t="array" ref="AD984">_xlfn.XLOOKUP(AB984,Stock1!I984,Stock1!J984,"")</f>
        <v/>
      </c>
      <c r="AE984" s="102" t="str">
        <f t="array" ref="AE984">_xlfn.XLOOKUP("Storage",Stock1!B984,Stock1!I984,"")</f>
        <v/>
      </c>
      <c r="AF984" s="102" t="str">
        <f t="array" ref="AF984">_xlfn.XLOOKUP(AE984,Stock1!I984,Stock1!F984,"")</f>
        <v/>
      </c>
      <c r="AG984" s="102" t="str">
        <f t="array" ref="AG984">_xlfn.XLOOKUP(AE984,Stock1!I984,Stock1!J984,"")</f>
        <v/>
      </c>
    </row>
    <row r="985">
      <c r="K985" s="660" t="str">
        <f t="array" ref="K985">IFERROR(_xlfn.XLOOKUP(I985,Incentive!B:B,Incentive!E:E,""),"")</f>
        <v/>
      </c>
      <c r="L985" s="659" t="str">
        <f>IFERROR(VLOOKUP(I985,Stock1!F:J,5,False),"")</f>
        <v/>
      </c>
      <c r="M985" s="659" t="str">
        <f>IFERROR(VLOOKUP(I985,Stock2!F:J,5,False),"")</f>
        <v/>
      </c>
      <c r="V985" s="102" t="str">
        <f t="array" ref="V985">_xlfn.XLOOKUP("Charger",Stock1!B985,Stock1!I985,"")</f>
        <v/>
      </c>
      <c r="W985" s="102" t="str">
        <f t="array" ref="W985">_xlfn.XLOOKUP(V985,Stock1!I985,Stock1!F985,"")</f>
        <v/>
      </c>
      <c r="X985" s="102" t="str">
        <f t="array" ref="X985">_xlfn.XLOOKUP(V985,Stock1!I985,Stock1!J985,"")</f>
        <v/>
      </c>
      <c r="Y985" s="102" t="str">
        <f t="array" ref="Y985">_xlfn.XLOOKUP("Screen Protector for Android Phone and Other",Stock1!B985,Stock1!I985,"")</f>
        <v/>
      </c>
      <c r="Z985" s="102" t="str">
        <f t="array" ref="Z985">_xlfn.XLOOKUP("Screen Protector for Galaxy Phone",Stock1!B985,Stock1!I985,"")</f>
        <v/>
      </c>
      <c r="AA985" s="102" t="str">
        <f t="array" ref="AA985">_xlfn.XLOOKUP("Screen Protector for Galaxy Tab",Stock1!B985,Stock1!I985,"")</f>
        <v/>
      </c>
      <c r="AB985" s="102" t="str">
        <f t="shared" si="4"/>
        <v/>
      </c>
      <c r="AC985" s="102" t="str">
        <f t="array" ref="AC985">_xlfn.XLOOKUP(AB985,Stock1!I985,Stock1!F985,"")</f>
        <v/>
      </c>
      <c r="AD985" s="102" t="str">
        <f t="array" ref="AD985">_xlfn.XLOOKUP(AB985,Stock1!I985,Stock1!J985,"")</f>
        <v/>
      </c>
      <c r="AE985" s="102" t="str">
        <f t="array" ref="AE985">_xlfn.XLOOKUP("Storage",Stock1!B985,Stock1!I985,"")</f>
        <v/>
      </c>
      <c r="AF985" s="102" t="str">
        <f t="array" ref="AF985">_xlfn.XLOOKUP(AE985,Stock1!I985,Stock1!F985,"")</f>
        <v/>
      </c>
      <c r="AG985" s="102" t="str">
        <f t="array" ref="AG985">_xlfn.XLOOKUP(AE985,Stock1!I985,Stock1!J985,"")</f>
        <v/>
      </c>
    </row>
    <row r="986">
      <c r="K986" s="660" t="str">
        <f t="array" ref="K986">IFERROR(_xlfn.XLOOKUP(I986,Incentive!B:B,Incentive!E:E,""),"")</f>
        <v/>
      </c>
      <c r="L986" s="659" t="str">
        <f>IFERROR(VLOOKUP(I986,Stock1!F:J,5,False),"")</f>
        <v/>
      </c>
      <c r="M986" s="659" t="str">
        <f>IFERROR(VLOOKUP(I986,Stock2!F:J,5,False),"")</f>
        <v/>
      </c>
      <c r="V986" s="102" t="str">
        <f t="array" ref="V986">_xlfn.XLOOKUP("Charger",Stock1!B986,Stock1!I986,"")</f>
        <v/>
      </c>
      <c r="W986" s="102" t="str">
        <f t="array" ref="W986">_xlfn.XLOOKUP(V986,Stock1!I986,Stock1!F986,"")</f>
        <v/>
      </c>
      <c r="X986" s="102" t="str">
        <f t="array" ref="X986">_xlfn.XLOOKUP(V986,Stock1!I986,Stock1!J986,"")</f>
        <v/>
      </c>
      <c r="Y986" s="102" t="str">
        <f t="array" ref="Y986">_xlfn.XLOOKUP("Screen Protector for Android Phone and Other",Stock1!B986,Stock1!I986,"")</f>
        <v/>
      </c>
      <c r="Z986" s="102" t="str">
        <f t="array" ref="Z986">_xlfn.XLOOKUP("Screen Protector for Galaxy Phone",Stock1!B986,Stock1!I986,"")</f>
        <v/>
      </c>
      <c r="AA986" s="102" t="str">
        <f t="array" ref="AA986">_xlfn.XLOOKUP("Screen Protector for Galaxy Tab",Stock1!B986,Stock1!I986,"")</f>
        <v/>
      </c>
      <c r="AB986" s="102" t="str">
        <f t="shared" si="4"/>
        <v/>
      </c>
      <c r="AC986" s="102" t="str">
        <f t="array" ref="AC986">_xlfn.XLOOKUP(AB986,Stock1!I986,Stock1!F986,"")</f>
        <v/>
      </c>
      <c r="AD986" s="102" t="str">
        <f t="array" ref="AD986">_xlfn.XLOOKUP(AB986,Stock1!I986,Stock1!J986,"")</f>
        <v/>
      </c>
      <c r="AE986" s="102" t="str">
        <f t="array" ref="AE986">_xlfn.XLOOKUP("Storage",Stock1!B986,Stock1!I986,"")</f>
        <v/>
      </c>
      <c r="AF986" s="102" t="str">
        <f t="array" ref="AF986">_xlfn.XLOOKUP(AE986,Stock1!I986,Stock1!F986,"")</f>
        <v/>
      </c>
      <c r="AG986" s="102" t="str">
        <f t="array" ref="AG986">_xlfn.XLOOKUP(AE986,Stock1!I986,Stock1!J986,"")</f>
        <v/>
      </c>
    </row>
    <row r="987">
      <c r="K987" s="660" t="str">
        <f t="array" ref="K987">IFERROR(_xlfn.XLOOKUP(I987,Incentive!B:B,Incentive!E:E,""),"")</f>
        <v/>
      </c>
      <c r="L987" s="659" t="str">
        <f>IFERROR(VLOOKUP(I987,Stock1!F:J,5,False),"")</f>
        <v/>
      </c>
      <c r="M987" s="659" t="str">
        <f>IFERROR(VLOOKUP(I987,Stock2!F:J,5,False),"")</f>
        <v/>
      </c>
      <c r="V987" s="102" t="str">
        <f t="array" ref="V987">_xlfn.XLOOKUP("Charger",Stock1!B987,Stock1!I987,"")</f>
        <v/>
      </c>
      <c r="W987" s="102" t="str">
        <f t="array" ref="W987">_xlfn.XLOOKUP(V987,Stock1!I987,Stock1!F987,"")</f>
        <v/>
      </c>
      <c r="X987" s="102" t="str">
        <f t="array" ref="X987">_xlfn.XLOOKUP(V987,Stock1!I987,Stock1!J987,"")</f>
        <v/>
      </c>
      <c r="Y987" s="102" t="str">
        <f t="array" ref="Y987">_xlfn.XLOOKUP("Screen Protector for Android Phone and Other",Stock1!B987,Stock1!I987,"")</f>
        <v/>
      </c>
      <c r="Z987" s="102" t="str">
        <f t="array" ref="Z987">_xlfn.XLOOKUP("Screen Protector for Galaxy Phone",Stock1!B987,Stock1!I987,"")</f>
        <v/>
      </c>
      <c r="AA987" s="102" t="str">
        <f t="array" ref="AA987">_xlfn.XLOOKUP("Screen Protector for Galaxy Tab",Stock1!B987,Stock1!I987,"")</f>
        <v/>
      </c>
      <c r="AB987" s="102" t="str">
        <f t="shared" si="4"/>
        <v/>
      </c>
      <c r="AC987" s="102" t="str">
        <f t="array" ref="AC987">_xlfn.XLOOKUP(AB987,Stock1!I987,Stock1!F987,"")</f>
        <v/>
      </c>
      <c r="AD987" s="102" t="str">
        <f t="array" ref="AD987">_xlfn.XLOOKUP(AB987,Stock1!I987,Stock1!J987,"")</f>
        <v/>
      </c>
      <c r="AE987" s="102" t="str">
        <f t="array" ref="AE987">_xlfn.XLOOKUP("Storage",Stock1!B987,Stock1!I987,"")</f>
        <v/>
      </c>
      <c r="AF987" s="102" t="str">
        <f t="array" ref="AF987">_xlfn.XLOOKUP(AE987,Stock1!I987,Stock1!F987,"")</f>
        <v/>
      </c>
      <c r="AG987" s="102" t="str">
        <f t="array" ref="AG987">_xlfn.XLOOKUP(AE987,Stock1!I987,Stock1!J987,"")</f>
        <v/>
      </c>
    </row>
    <row r="988">
      <c r="K988" s="660" t="str">
        <f t="array" ref="K988">IFERROR(_xlfn.XLOOKUP(I988,Incentive!B:B,Incentive!E:E,""),"")</f>
        <v/>
      </c>
      <c r="L988" s="659" t="str">
        <f>IFERROR(VLOOKUP(I988,Stock1!F:J,5,False),"")</f>
        <v/>
      </c>
      <c r="M988" s="659" t="str">
        <f>IFERROR(VLOOKUP(I988,Stock2!F:J,5,False),"")</f>
        <v/>
      </c>
      <c r="V988" s="102" t="str">
        <f t="array" ref="V988">_xlfn.XLOOKUP("Charger",Stock1!B988,Stock1!I988,"")</f>
        <v/>
      </c>
      <c r="W988" s="102" t="str">
        <f t="array" ref="W988">_xlfn.XLOOKUP(V988,Stock1!I988,Stock1!F988,"")</f>
        <v/>
      </c>
      <c r="X988" s="102" t="str">
        <f t="array" ref="X988">_xlfn.XLOOKUP(V988,Stock1!I988,Stock1!J988,"")</f>
        <v/>
      </c>
      <c r="Y988" s="102" t="str">
        <f t="array" ref="Y988">_xlfn.XLOOKUP("Screen Protector for Android Phone and Other",Stock1!B988,Stock1!I988,"")</f>
        <v/>
      </c>
      <c r="Z988" s="102" t="str">
        <f t="array" ref="Z988">_xlfn.XLOOKUP("Screen Protector for Galaxy Phone",Stock1!B988,Stock1!I988,"")</f>
        <v/>
      </c>
      <c r="AA988" s="102" t="str">
        <f t="array" ref="AA988">_xlfn.XLOOKUP("Screen Protector for Galaxy Tab",Stock1!B988,Stock1!I988,"")</f>
        <v/>
      </c>
      <c r="AB988" s="102" t="str">
        <f t="shared" si="4"/>
        <v/>
      </c>
      <c r="AC988" s="102" t="str">
        <f t="array" ref="AC988">_xlfn.XLOOKUP(AB988,Stock1!I988,Stock1!F988,"")</f>
        <v/>
      </c>
      <c r="AD988" s="102" t="str">
        <f t="array" ref="AD988">_xlfn.XLOOKUP(AB988,Stock1!I988,Stock1!J988,"")</f>
        <v/>
      </c>
      <c r="AE988" s="102" t="str">
        <f t="array" ref="AE988">_xlfn.XLOOKUP("Storage",Stock1!B988,Stock1!I988,"")</f>
        <v/>
      </c>
      <c r="AF988" s="102" t="str">
        <f t="array" ref="AF988">_xlfn.XLOOKUP(AE988,Stock1!I988,Stock1!F988,"")</f>
        <v/>
      </c>
      <c r="AG988" s="102" t="str">
        <f t="array" ref="AG988">_xlfn.XLOOKUP(AE988,Stock1!I988,Stock1!J988,"")</f>
        <v/>
      </c>
    </row>
    <row r="989">
      <c r="K989" s="660" t="str">
        <f t="array" ref="K989">IFERROR(_xlfn.XLOOKUP(I989,Incentive!B:B,Incentive!E:E,""),"")</f>
        <v/>
      </c>
      <c r="L989" s="659" t="str">
        <f>IFERROR(VLOOKUP(I989,Stock1!F:J,5,False),"")</f>
        <v/>
      </c>
      <c r="M989" s="659" t="str">
        <f>IFERROR(VLOOKUP(I989,Stock2!F:J,5,False),"")</f>
        <v/>
      </c>
      <c r="V989" s="102" t="str">
        <f t="array" ref="V989">_xlfn.XLOOKUP("Charger",Stock1!B989,Stock1!I989,"")</f>
        <v/>
      </c>
      <c r="W989" s="102" t="str">
        <f t="array" ref="W989">_xlfn.XLOOKUP(V989,Stock1!I989,Stock1!F989,"")</f>
        <v/>
      </c>
      <c r="X989" s="102" t="str">
        <f t="array" ref="X989">_xlfn.XLOOKUP(V989,Stock1!I989,Stock1!J989,"")</f>
        <v/>
      </c>
      <c r="Y989" s="102" t="str">
        <f t="array" ref="Y989">_xlfn.XLOOKUP("Screen Protector for Android Phone and Other",Stock1!B989,Stock1!I989,"")</f>
        <v/>
      </c>
      <c r="Z989" s="102" t="str">
        <f t="array" ref="Z989">_xlfn.XLOOKUP("Screen Protector for Galaxy Phone",Stock1!B989,Stock1!I989,"")</f>
        <v/>
      </c>
      <c r="AA989" s="102" t="str">
        <f t="array" ref="AA989">_xlfn.XLOOKUP("Screen Protector for Galaxy Tab",Stock1!B989,Stock1!I989,"")</f>
        <v/>
      </c>
      <c r="AB989" s="102" t="str">
        <f t="shared" si="4"/>
        <v/>
      </c>
      <c r="AC989" s="102" t="str">
        <f t="array" ref="AC989">_xlfn.XLOOKUP(AB989,Stock1!I989,Stock1!F989,"")</f>
        <v/>
      </c>
      <c r="AD989" s="102" t="str">
        <f t="array" ref="AD989">_xlfn.XLOOKUP(AB989,Stock1!I989,Stock1!J989,"")</f>
        <v/>
      </c>
      <c r="AE989" s="102" t="str">
        <f t="array" ref="AE989">_xlfn.XLOOKUP("Storage",Stock1!B989,Stock1!I989,"")</f>
        <v/>
      </c>
      <c r="AF989" s="102" t="str">
        <f t="array" ref="AF989">_xlfn.XLOOKUP(AE989,Stock1!I989,Stock1!F989,"")</f>
        <v/>
      </c>
      <c r="AG989" s="102" t="str">
        <f t="array" ref="AG989">_xlfn.XLOOKUP(AE989,Stock1!I989,Stock1!J989,"")</f>
        <v/>
      </c>
    </row>
    <row r="990">
      <c r="K990" s="660" t="str">
        <f t="array" ref="K990">IFERROR(_xlfn.XLOOKUP(I990,Incentive!B:B,Incentive!E:E,""),"")</f>
        <v/>
      </c>
      <c r="L990" s="659" t="str">
        <f>IFERROR(VLOOKUP(I990,Stock1!F:J,5,False),"")</f>
        <v/>
      </c>
      <c r="M990" s="659" t="str">
        <f>IFERROR(VLOOKUP(I990,Stock2!F:J,5,False),"")</f>
        <v/>
      </c>
      <c r="V990" s="102" t="str">
        <f t="array" ref="V990">_xlfn.XLOOKUP("Charger",Stock1!B990,Stock1!I990,"")</f>
        <v/>
      </c>
      <c r="W990" s="102" t="str">
        <f t="array" ref="W990">_xlfn.XLOOKUP(V990,Stock1!I990,Stock1!F990,"")</f>
        <v/>
      </c>
      <c r="X990" s="102" t="str">
        <f t="array" ref="X990">_xlfn.XLOOKUP(V990,Stock1!I990,Stock1!J990,"")</f>
        <v/>
      </c>
      <c r="Y990" s="102" t="str">
        <f t="array" ref="Y990">_xlfn.XLOOKUP("Screen Protector for Android Phone and Other",Stock1!B990,Stock1!I990,"")</f>
        <v/>
      </c>
      <c r="Z990" s="102" t="str">
        <f t="array" ref="Z990">_xlfn.XLOOKUP("Screen Protector for Galaxy Phone",Stock1!B990,Stock1!I990,"")</f>
        <v/>
      </c>
      <c r="AA990" s="102" t="str">
        <f t="array" ref="AA990">_xlfn.XLOOKUP("Screen Protector for Galaxy Tab",Stock1!B990,Stock1!I990,"")</f>
        <v/>
      </c>
      <c r="AB990" s="102" t="str">
        <f t="shared" si="4"/>
        <v/>
      </c>
      <c r="AC990" s="102" t="str">
        <f t="array" ref="AC990">_xlfn.XLOOKUP(AB990,Stock1!I990,Stock1!F990,"")</f>
        <v/>
      </c>
      <c r="AD990" s="102" t="str">
        <f t="array" ref="AD990">_xlfn.XLOOKUP(AB990,Stock1!I990,Stock1!J990,"")</f>
        <v/>
      </c>
      <c r="AE990" s="102" t="str">
        <f t="array" ref="AE990">_xlfn.XLOOKUP("Storage",Stock1!B990,Stock1!I990,"")</f>
        <v/>
      </c>
      <c r="AF990" s="102" t="str">
        <f t="array" ref="AF990">_xlfn.XLOOKUP(AE990,Stock1!I990,Stock1!F990,"")</f>
        <v/>
      </c>
      <c r="AG990" s="102" t="str">
        <f t="array" ref="AG990">_xlfn.XLOOKUP(AE990,Stock1!I990,Stock1!J990,"")</f>
        <v/>
      </c>
    </row>
    <row r="991">
      <c r="K991" s="660" t="str">
        <f t="array" ref="K991">IFERROR(_xlfn.XLOOKUP(I991,Incentive!B:B,Incentive!E:E,""),"")</f>
        <v/>
      </c>
      <c r="L991" s="659" t="str">
        <f>IFERROR(VLOOKUP(I991,Stock1!F:J,5,False),"")</f>
        <v/>
      </c>
      <c r="M991" s="659" t="str">
        <f>IFERROR(VLOOKUP(I991,Stock2!F:J,5,False),"")</f>
        <v/>
      </c>
      <c r="V991" s="102" t="str">
        <f t="array" ref="V991">_xlfn.XLOOKUP("Charger",Stock1!B991,Stock1!I991,"")</f>
        <v/>
      </c>
      <c r="W991" s="102" t="str">
        <f t="array" ref="W991">_xlfn.XLOOKUP(V991,Stock1!I991,Stock1!F991,"")</f>
        <v/>
      </c>
      <c r="X991" s="102" t="str">
        <f t="array" ref="X991">_xlfn.XLOOKUP(V991,Stock1!I991,Stock1!J991,"")</f>
        <v/>
      </c>
      <c r="Y991" s="102" t="str">
        <f t="array" ref="Y991">_xlfn.XLOOKUP("Screen Protector for Android Phone and Other",Stock1!B991,Stock1!I991,"")</f>
        <v/>
      </c>
      <c r="Z991" s="102" t="str">
        <f t="array" ref="Z991">_xlfn.XLOOKUP("Screen Protector for Galaxy Phone",Stock1!B991,Stock1!I991,"")</f>
        <v/>
      </c>
      <c r="AA991" s="102" t="str">
        <f t="array" ref="AA991">_xlfn.XLOOKUP("Screen Protector for Galaxy Tab",Stock1!B991,Stock1!I991,"")</f>
        <v/>
      </c>
      <c r="AB991" s="102" t="str">
        <f t="shared" si="4"/>
        <v/>
      </c>
      <c r="AC991" s="102" t="str">
        <f t="array" ref="AC991">_xlfn.XLOOKUP(AB991,Stock1!I991,Stock1!F991,"")</f>
        <v/>
      </c>
      <c r="AD991" s="102" t="str">
        <f t="array" ref="AD991">_xlfn.XLOOKUP(AB991,Stock1!I991,Stock1!J991,"")</f>
        <v/>
      </c>
      <c r="AE991" s="102" t="str">
        <f t="array" ref="AE991">_xlfn.XLOOKUP("Storage",Stock1!B991,Stock1!I991,"")</f>
        <v/>
      </c>
      <c r="AF991" s="102" t="str">
        <f t="array" ref="AF991">_xlfn.XLOOKUP(AE991,Stock1!I991,Stock1!F991,"")</f>
        <v/>
      </c>
      <c r="AG991" s="102" t="str">
        <f t="array" ref="AG991">_xlfn.XLOOKUP(AE991,Stock1!I991,Stock1!J991,"")</f>
        <v/>
      </c>
    </row>
    <row r="992">
      <c r="K992" s="660" t="str">
        <f t="array" ref="K992">IFERROR(_xlfn.XLOOKUP(I992,Incentive!B:B,Incentive!E:E,""),"")</f>
        <v/>
      </c>
      <c r="L992" s="659" t="str">
        <f>IFERROR(VLOOKUP(I992,Stock1!F:J,5,False),"")</f>
        <v/>
      </c>
      <c r="M992" s="659" t="str">
        <f>IFERROR(VLOOKUP(I992,Stock2!F:J,5,False),"")</f>
        <v/>
      </c>
      <c r="V992" s="102" t="str">
        <f t="array" ref="V992">_xlfn.XLOOKUP("Charger",Stock1!B992,Stock1!I992,"")</f>
        <v/>
      </c>
      <c r="W992" s="102" t="str">
        <f t="array" ref="W992">_xlfn.XLOOKUP(V992,Stock1!I992,Stock1!F992,"")</f>
        <v/>
      </c>
      <c r="X992" s="102" t="str">
        <f t="array" ref="X992">_xlfn.XLOOKUP(V992,Stock1!I992,Stock1!J992,"")</f>
        <v/>
      </c>
      <c r="Y992" s="102" t="str">
        <f t="array" ref="Y992">_xlfn.XLOOKUP("Screen Protector for Android Phone and Other",Stock1!B992,Stock1!I992,"")</f>
        <v/>
      </c>
      <c r="Z992" s="102" t="str">
        <f t="array" ref="Z992">_xlfn.XLOOKUP("Screen Protector for Galaxy Phone",Stock1!B992,Stock1!I992,"")</f>
        <v/>
      </c>
      <c r="AA992" s="102" t="str">
        <f t="array" ref="AA992">_xlfn.XLOOKUP("Screen Protector for Galaxy Tab",Stock1!B992,Stock1!I992,"")</f>
        <v/>
      </c>
      <c r="AB992" s="102" t="str">
        <f t="shared" si="4"/>
        <v/>
      </c>
      <c r="AC992" s="102" t="str">
        <f t="array" ref="AC992">_xlfn.XLOOKUP(AB992,Stock1!I992,Stock1!F992,"")</f>
        <v/>
      </c>
      <c r="AD992" s="102" t="str">
        <f t="array" ref="AD992">_xlfn.XLOOKUP(AB992,Stock1!I992,Stock1!J992,"")</f>
        <v/>
      </c>
      <c r="AE992" s="102" t="str">
        <f t="array" ref="AE992">_xlfn.XLOOKUP("Storage",Stock1!B992,Stock1!I992,"")</f>
        <v/>
      </c>
      <c r="AF992" s="102" t="str">
        <f t="array" ref="AF992">_xlfn.XLOOKUP(AE992,Stock1!I992,Stock1!F992,"")</f>
        <v/>
      </c>
      <c r="AG992" s="102" t="str">
        <f t="array" ref="AG992">_xlfn.XLOOKUP(AE992,Stock1!I992,Stock1!J992,"")</f>
        <v/>
      </c>
    </row>
    <row r="993">
      <c r="K993" s="660" t="str">
        <f t="array" ref="K993">IFERROR(_xlfn.XLOOKUP(I993,Incentive!B:B,Incentive!E:E,""),"")</f>
        <v/>
      </c>
      <c r="L993" s="659" t="str">
        <f>IFERROR(VLOOKUP(I993,Stock1!F:J,5,False),"")</f>
        <v/>
      </c>
      <c r="M993" s="659" t="str">
        <f>IFERROR(VLOOKUP(I993,Stock2!F:J,5,False),"")</f>
        <v/>
      </c>
      <c r="V993" s="102" t="str">
        <f t="array" ref="V993">_xlfn.XLOOKUP("Charger",Stock1!B993,Stock1!I993,"")</f>
        <v/>
      </c>
      <c r="W993" s="102" t="str">
        <f t="array" ref="W993">_xlfn.XLOOKUP(V993,Stock1!I993,Stock1!F993,"")</f>
        <v/>
      </c>
      <c r="X993" s="102" t="str">
        <f t="array" ref="X993">_xlfn.XLOOKUP(V993,Stock1!I993,Stock1!J993,"")</f>
        <v/>
      </c>
      <c r="Y993" s="102" t="str">
        <f t="array" ref="Y993">_xlfn.XLOOKUP("Screen Protector for Android Phone and Other",Stock1!B993,Stock1!I993,"")</f>
        <v/>
      </c>
      <c r="Z993" s="102" t="str">
        <f t="array" ref="Z993">_xlfn.XLOOKUP("Screen Protector for Galaxy Phone",Stock1!B993,Stock1!I993,"")</f>
        <v/>
      </c>
      <c r="AA993" s="102" t="str">
        <f t="array" ref="AA993">_xlfn.XLOOKUP("Screen Protector for Galaxy Tab",Stock1!B993,Stock1!I993,"")</f>
        <v/>
      </c>
      <c r="AB993" s="102" t="str">
        <f t="shared" si="4"/>
        <v/>
      </c>
      <c r="AC993" s="102" t="str">
        <f t="array" ref="AC993">_xlfn.XLOOKUP(AB993,Stock1!I993,Stock1!F993,"")</f>
        <v/>
      </c>
      <c r="AD993" s="102" t="str">
        <f t="array" ref="AD993">_xlfn.XLOOKUP(AB993,Stock1!I993,Stock1!J993,"")</f>
        <v/>
      </c>
      <c r="AE993" s="102" t="str">
        <f t="array" ref="AE993">_xlfn.XLOOKUP("Storage",Stock1!B993,Stock1!I993,"")</f>
        <v/>
      </c>
      <c r="AF993" s="102" t="str">
        <f t="array" ref="AF993">_xlfn.XLOOKUP(AE993,Stock1!I993,Stock1!F993,"")</f>
        <v/>
      </c>
      <c r="AG993" s="102" t="str">
        <f t="array" ref="AG993">_xlfn.XLOOKUP(AE993,Stock1!I993,Stock1!J993,"")</f>
        <v/>
      </c>
    </row>
    <row r="994">
      <c r="K994" s="660" t="str">
        <f t="array" ref="K994">IFERROR(_xlfn.XLOOKUP(I994,Incentive!B:B,Incentive!E:E,""),"")</f>
        <v/>
      </c>
      <c r="L994" s="659" t="str">
        <f>IFERROR(VLOOKUP(I994,Stock1!F:J,5,False),"")</f>
        <v/>
      </c>
      <c r="M994" s="659" t="str">
        <f>IFERROR(VLOOKUP(I994,Stock2!F:J,5,False),"")</f>
        <v/>
      </c>
      <c r="V994" s="102" t="str">
        <f t="array" ref="V994">_xlfn.XLOOKUP("Charger",Stock1!B994,Stock1!I994,"")</f>
        <v/>
      </c>
      <c r="W994" s="102" t="str">
        <f t="array" ref="W994">_xlfn.XLOOKUP(V994,Stock1!I994,Stock1!F994,"")</f>
        <v/>
      </c>
      <c r="X994" s="102" t="str">
        <f t="array" ref="X994">_xlfn.XLOOKUP(V994,Stock1!I994,Stock1!J994,"")</f>
        <v/>
      </c>
      <c r="Y994" s="102" t="str">
        <f t="array" ref="Y994">_xlfn.XLOOKUP("Screen Protector for Android Phone and Other",Stock1!B994,Stock1!I994,"")</f>
        <v/>
      </c>
      <c r="Z994" s="102" t="str">
        <f t="array" ref="Z994">_xlfn.XLOOKUP("Screen Protector for Galaxy Phone",Stock1!B994,Stock1!I994,"")</f>
        <v/>
      </c>
      <c r="AA994" s="102" t="str">
        <f t="array" ref="AA994">_xlfn.XLOOKUP("Screen Protector for Galaxy Tab",Stock1!B994,Stock1!I994,"")</f>
        <v/>
      </c>
      <c r="AB994" s="102" t="str">
        <f t="shared" si="4"/>
        <v/>
      </c>
      <c r="AC994" s="102" t="str">
        <f t="array" ref="AC994">_xlfn.XLOOKUP(AB994,Stock1!I994,Stock1!F994,"")</f>
        <v/>
      </c>
      <c r="AD994" s="102" t="str">
        <f t="array" ref="AD994">_xlfn.XLOOKUP(AB994,Stock1!I994,Stock1!J994,"")</f>
        <v/>
      </c>
      <c r="AE994" s="102" t="str">
        <f t="array" ref="AE994">_xlfn.XLOOKUP("Storage",Stock1!B994,Stock1!I994,"")</f>
        <v/>
      </c>
      <c r="AF994" s="102" t="str">
        <f t="array" ref="AF994">_xlfn.XLOOKUP(AE994,Stock1!I994,Stock1!F994,"")</f>
        <v/>
      </c>
      <c r="AG994" s="102" t="str">
        <f t="array" ref="AG994">_xlfn.XLOOKUP(AE994,Stock1!I994,Stock1!J994,"")</f>
        <v/>
      </c>
    </row>
    <row r="995">
      <c r="K995" s="660" t="str">
        <f t="array" ref="K995">IFERROR(_xlfn.XLOOKUP(I995,Incentive!B:B,Incentive!E:E,""),"")</f>
        <v/>
      </c>
      <c r="L995" s="659" t="str">
        <f>IFERROR(VLOOKUP(I995,Stock1!F:J,5,False),"")</f>
        <v/>
      </c>
      <c r="M995" s="659" t="str">
        <f>IFERROR(VLOOKUP(I995,Stock2!F:J,5,False),"")</f>
        <v/>
      </c>
      <c r="V995" s="102" t="str">
        <f t="array" ref="V995">_xlfn.XLOOKUP("Charger",Stock1!B995,Stock1!I995,"")</f>
        <v/>
      </c>
      <c r="W995" s="102" t="str">
        <f t="array" ref="W995">_xlfn.XLOOKUP(V995,Stock1!I995,Stock1!F995,"")</f>
        <v/>
      </c>
      <c r="X995" s="102" t="str">
        <f t="array" ref="X995">_xlfn.XLOOKUP(V995,Stock1!I995,Stock1!J995,"")</f>
        <v/>
      </c>
      <c r="Y995" s="102" t="str">
        <f t="array" ref="Y995">_xlfn.XLOOKUP("Screen Protector for Android Phone and Other",Stock1!B995,Stock1!I995,"")</f>
        <v/>
      </c>
      <c r="Z995" s="102" t="str">
        <f t="array" ref="Z995">_xlfn.XLOOKUP("Screen Protector for Galaxy Phone",Stock1!B995,Stock1!I995,"")</f>
        <v/>
      </c>
      <c r="AA995" s="102" t="str">
        <f t="array" ref="AA995">_xlfn.XLOOKUP("Screen Protector for Galaxy Tab",Stock1!B995,Stock1!I995,"")</f>
        <v/>
      </c>
      <c r="AB995" s="102" t="str">
        <f t="shared" si="4"/>
        <v/>
      </c>
      <c r="AC995" s="102" t="str">
        <f t="array" ref="AC995">_xlfn.XLOOKUP(AB995,Stock1!I995,Stock1!F995,"")</f>
        <v/>
      </c>
      <c r="AD995" s="102" t="str">
        <f t="array" ref="AD995">_xlfn.XLOOKUP(AB995,Stock1!I995,Stock1!J995,"")</f>
        <v/>
      </c>
      <c r="AE995" s="102" t="str">
        <f t="array" ref="AE995">_xlfn.XLOOKUP("Storage",Stock1!B995,Stock1!I995,"")</f>
        <v/>
      </c>
      <c r="AF995" s="102" t="str">
        <f t="array" ref="AF995">_xlfn.XLOOKUP(AE995,Stock1!I995,Stock1!F995,"")</f>
        <v/>
      </c>
      <c r="AG995" s="102" t="str">
        <f t="array" ref="AG995">_xlfn.XLOOKUP(AE995,Stock1!I995,Stock1!J995,"")</f>
        <v/>
      </c>
    </row>
    <row r="996">
      <c r="K996" s="660" t="str">
        <f t="array" ref="K996">IFERROR(_xlfn.XLOOKUP(I996,Incentive!B:B,Incentive!E:E,""),"")</f>
        <v/>
      </c>
      <c r="L996" s="659" t="str">
        <f>IFERROR(VLOOKUP(I996,Stock1!F:J,5,False),"")</f>
        <v/>
      </c>
      <c r="M996" s="659" t="str">
        <f>IFERROR(VLOOKUP(I996,Stock2!F:J,5,False),"")</f>
        <v/>
      </c>
      <c r="V996" s="102" t="str">
        <f t="array" ref="V996">_xlfn.XLOOKUP("Charger",Stock1!B996,Stock1!I996,"")</f>
        <v/>
      </c>
      <c r="W996" s="102" t="str">
        <f t="array" ref="W996">_xlfn.XLOOKUP(V996,Stock1!I996,Stock1!F996,"")</f>
        <v/>
      </c>
      <c r="X996" s="102" t="str">
        <f t="array" ref="X996">_xlfn.XLOOKUP(V996,Stock1!I996,Stock1!J996,"")</f>
        <v/>
      </c>
      <c r="Y996" s="102" t="str">
        <f t="array" ref="Y996">_xlfn.XLOOKUP("Screen Protector for Android Phone and Other",Stock1!B996,Stock1!I996,"")</f>
        <v/>
      </c>
      <c r="Z996" s="102" t="str">
        <f t="array" ref="Z996">_xlfn.XLOOKUP("Screen Protector for Galaxy Phone",Stock1!B996,Stock1!I996,"")</f>
        <v/>
      </c>
      <c r="AA996" s="102" t="str">
        <f t="array" ref="AA996">_xlfn.XLOOKUP("Screen Protector for Galaxy Tab",Stock1!B996,Stock1!I996,"")</f>
        <v/>
      </c>
      <c r="AB996" s="102" t="str">
        <f t="shared" si="4"/>
        <v/>
      </c>
      <c r="AC996" s="102" t="str">
        <f t="array" ref="AC996">_xlfn.XLOOKUP(AB996,Stock1!I996,Stock1!F996,"")</f>
        <v/>
      </c>
      <c r="AD996" s="102" t="str">
        <f t="array" ref="AD996">_xlfn.XLOOKUP(AB996,Stock1!I996,Stock1!J996,"")</f>
        <v/>
      </c>
      <c r="AE996" s="102" t="str">
        <f t="array" ref="AE996">_xlfn.XLOOKUP("Storage",Stock1!B996,Stock1!I996,"")</f>
        <v/>
      </c>
      <c r="AF996" s="102" t="str">
        <f t="array" ref="AF996">_xlfn.XLOOKUP(AE996,Stock1!I996,Stock1!F996,"")</f>
        <v/>
      </c>
      <c r="AG996" s="102" t="str">
        <f t="array" ref="AG996">_xlfn.XLOOKUP(AE996,Stock1!I996,Stock1!J996,"")</f>
        <v/>
      </c>
    </row>
    <row r="997">
      <c r="K997" s="660" t="str">
        <f t="array" ref="K997">IFERROR(_xlfn.XLOOKUP(I997,Incentive!B:B,Incentive!E:E,""),"")</f>
        <v/>
      </c>
      <c r="L997" s="659" t="str">
        <f>IFERROR(VLOOKUP(I997,Stock1!F:J,5,False),"")</f>
        <v/>
      </c>
      <c r="M997" s="659" t="str">
        <f>IFERROR(VLOOKUP(I997,Stock2!F:J,5,False),"")</f>
        <v/>
      </c>
      <c r="V997" s="102" t="str">
        <f t="array" ref="V997">_xlfn.XLOOKUP("Charger",Stock1!B997,Stock1!I997,"")</f>
        <v/>
      </c>
      <c r="W997" s="102" t="str">
        <f t="array" ref="W997">_xlfn.XLOOKUP(V997,Stock1!I997,Stock1!F997,"")</f>
        <v/>
      </c>
      <c r="X997" s="102" t="str">
        <f t="array" ref="X997">_xlfn.XLOOKUP(V997,Stock1!I997,Stock1!J997,"")</f>
        <v/>
      </c>
      <c r="Y997" s="102" t="str">
        <f t="array" ref="Y997">_xlfn.XLOOKUP("Screen Protector for Android Phone and Other",Stock1!B997,Stock1!I997,"")</f>
        <v/>
      </c>
      <c r="Z997" s="102" t="str">
        <f t="array" ref="Z997">_xlfn.XLOOKUP("Screen Protector for Galaxy Phone",Stock1!B997,Stock1!I997,"")</f>
        <v/>
      </c>
      <c r="AA997" s="102" t="str">
        <f t="array" ref="AA997">_xlfn.XLOOKUP("Screen Protector for Galaxy Tab",Stock1!B997,Stock1!I997,"")</f>
        <v/>
      </c>
      <c r="AB997" s="102" t="str">
        <f t="shared" si="4"/>
        <v/>
      </c>
      <c r="AC997" s="102" t="str">
        <f t="array" ref="AC997">_xlfn.XLOOKUP(AB997,Stock1!I997,Stock1!F997,"")</f>
        <v/>
      </c>
      <c r="AD997" s="102" t="str">
        <f t="array" ref="AD997">_xlfn.XLOOKUP(AB997,Stock1!I997,Stock1!J997,"")</f>
        <v/>
      </c>
      <c r="AE997" s="102" t="str">
        <f t="array" ref="AE997">_xlfn.XLOOKUP("Storage",Stock1!B997,Stock1!I997,"")</f>
        <v/>
      </c>
      <c r="AF997" s="102" t="str">
        <f t="array" ref="AF997">_xlfn.XLOOKUP(AE997,Stock1!I997,Stock1!F997,"")</f>
        <v/>
      </c>
      <c r="AG997" s="102" t="str">
        <f t="array" ref="AG997">_xlfn.XLOOKUP(AE997,Stock1!I997,Stock1!J997,"")</f>
        <v/>
      </c>
    </row>
    <row r="998">
      <c r="K998" s="660" t="str">
        <f t="array" ref="K998">IFERROR(_xlfn.XLOOKUP(I998,Incentive!B:B,Incentive!E:E,""),"")</f>
        <v/>
      </c>
      <c r="L998" s="659" t="str">
        <f>IFERROR(VLOOKUP(I998,Stock1!F:J,5,False),"")</f>
        <v/>
      </c>
      <c r="M998" s="659" t="str">
        <f>IFERROR(VLOOKUP(I998,Stock2!F:J,5,False),"")</f>
        <v/>
      </c>
      <c r="V998" s="102" t="str">
        <f t="array" ref="V998">_xlfn.XLOOKUP("Charger",Stock1!B998,Stock1!I998,"")</f>
        <v/>
      </c>
      <c r="W998" s="102" t="str">
        <f t="array" ref="W998">_xlfn.XLOOKUP(V998,Stock1!I998,Stock1!F998,"")</f>
        <v/>
      </c>
      <c r="X998" s="102" t="str">
        <f t="array" ref="X998">_xlfn.XLOOKUP(V998,Stock1!I998,Stock1!J998,"")</f>
        <v/>
      </c>
      <c r="Y998" s="102" t="str">
        <f t="array" ref="Y998">_xlfn.XLOOKUP("Screen Protector for Android Phone and Other",Stock1!B998,Stock1!I998,"")</f>
        <v/>
      </c>
      <c r="Z998" s="102" t="str">
        <f t="array" ref="Z998">_xlfn.XLOOKUP("Screen Protector for Galaxy Phone",Stock1!B998,Stock1!I998,"")</f>
        <v/>
      </c>
      <c r="AA998" s="102" t="str">
        <f t="array" ref="AA998">_xlfn.XLOOKUP("Screen Protector for Galaxy Tab",Stock1!B998,Stock1!I998,"")</f>
        <v/>
      </c>
      <c r="AB998" s="102" t="str">
        <f t="shared" si="4"/>
        <v/>
      </c>
      <c r="AC998" s="102" t="str">
        <f t="array" ref="AC998">_xlfn.XLOOKUP(AB998,Stock1!I998,Stock1!F998,"")</f>
        <v/>
      </c>
      <c r="AD998" s="102" t="str">
        <f t="array" ref="AD998">_xlfn.XLOOKUP(AB998,Stock1!I998,Stock1!J998,"")</f>
        <v/>
      </c>
      <c r="AE998" s="102" t="str">
        <f t="array" ref="AE998">_xlfn.XLOOKUP("Storage",Stock1!B998,Stock1!I998,"")</f>
        <v/>
      </c>
      <c r="AF998" s="102" t="str">
        <f t="array" ref="AF998">_xlfn.XLOOKUP(AE998,Stock1!I998,Stock1!F998,"")</f>
        <v/>
      </c>
      <c r="AG998" s="102" t="str">
        <f t="array" ref="AG998">_xlfn.XLOOKUP(AE998,Stock1!I998,Stock1!J998,"")</f>
        <v/>
      </c>
    </row>
    <row r="999">
      <c r="K999" s="660" t="str">
        <f t="array" ref="K999">IFERROR(_xlfn.XLOOKUP(I999,Incentive!B:B,Incentive!E:E,""),"")</f>
        <v/>
      </c>
      <c r="L999" s="659" t="str">
        <f>IFERROR(VLOOKUP(I999,Stock1!F:J,5,False),"")</f>
        <v/>
      </c>
      <c r="M999" s="659" t="str">
        <f>IFERROR(VLOOKUP(I999,Stock2!F:J,5,False),"")</f>
        <v/>
      </c>
      <c r="V999" s="102" t="str">
        <f t="array" ref="V999">_xlfn.XLOOKUP("Charger",Stock1!B999,Stock1!I999,"")</f>
        <v/>
      </c>
      <c r="W999" s="102" t="str">
        <f t="array" ref="W999">_xlfn.XLOOKUP(V999,Stock1!I999,Stock1!F999,"")</f>
        <v/>
      </c>
      <c r="X999" s="102" t="str">
        <f t="array" ref="X999">_xlfn.XLOOKUP(V999,Stock1!I999,Stock1!J999,"")</f>
        <v/>
      </c>
      <c r="Y999" s="102" t="str">
        <f t="array" ref="Y999">_xlfn.XLOOKUP("Screen Protector for Android Phone and Other",Stock1!B999,Stock1!I999,"")</f>
        <v/>
      </c>
      <c r="Z999" s="102" t="str">
        <f t="array" ref="Z999">_xlfn.XLOOKUP("Screen Protector for Galaxy Phone",Stock1!B999,Stock1!I999,"")</f>
        <v/>
      </c>
      <c r="AA999" s="102" t="str">
        <f t="array" ref="AA999">_xlfn.XLOOKUP("Screen Protector for Galaxy Tab",Stock1!B999,Stock1!I999,"")</f>
        <v/>
      </c>
      <c r="AB999" s="102" t="str">
        <f t="shared" si="4"/>
        <v/>
      </c>
      <c r="AC999" s="102" t="str">
        <f t="array" ref="AC999">_xlfn.XLOOKUP(AB999,Stock1!I999,Stock1!F999,"")</f>
        <v/>
      </c>
      <c r="AD999" s="102" t="str">
        <f t="array" ref="AD999">_xlfn.XLOOKUP(AB999,Stock1!I999,Stock1!J999,"")</f>
        <v/>
      </c>
      <c r="AE999" s="102" t="str">
        <f t="array" ref="AE999">_xlfn.XLOOKUP("Storage",Stock1!B999,Stock1!I999,"")</f>
        <v/>
      </c>
      <c r="AF999" s="102" t="str">
        <f t="array" ref="AF999">_xlfn.XLOOKUP(AE999,Stock1!I999,Stock1!F999,"")</f>
        <v/>
      </c>
      <c r="AG999" s="102" t="str">
        <f t="array" ref="AG999">_xlfn.XLOOKUP(AE999,Stock1!I999,Stock1!J999,"")</f>
        <v/>
      </c>
    </row>
    <row r="1000">
      <c r="K1000" s="660" t="str">
        <f t="array" ref="K1000">IFERROR(_xlfn.XLOOKUP(I1000,Incentive!B:B,Incentive!E:E,""),"")</f>
        <v/>
      </c>
      <c r="L1000" s="659" t="str">
        <f>IFERROR(VLOOKUP(I1000,Stock1!F:J,5,False),"")</f>
        <v/>
      </c>
      <c r="M1000" s="659" t="str">
        <f>IFERROR(VLOOKUP(I1000,Stock2!F:J,5,False),"")</f>
        <v/>
      </c>
      <c r="V1000" s="102" t="str">
        <f t="array" ref="V1000">_xlfn.XLOOKUP("Charger",Stock1!B1000,Stock1!I1000,"")</f>
        <v/>
      </c>
      <c r="W1000" s="102" t="str">
        <f t="array" ref="W1000">_xlfn.XLOOKUP(V1000,Stock1!I1000,Stock1!F1000,"")</f>
        <v/>
      </c>
      <c r="X1000" s="102" t="str">
        <f t="array" ref="X1000">_xlfn.XLOOKUP(V1000,Stock1!I1000,Stock1!J1000,"")</f>
        <v/>
      </c>
      <c r="Y1000" s="102" t="str">
        <f t="array" ref="Y1000">_xlfn.XLOOKUP("Screen Protector for Android Phone and Other",Stock1!B1000,Stock1!I1000,"")</f>
        <v/>
      </c>
      <c r="Z1000" s="102" t="str">
        <f t="array" ref="Z1000">_xlfn.XLOOKUP("Screen Protector for Galaxy Phone",Stock1!B1000,Stock1!I1000,"")</f>
        <v/>
      </c>
      <c r="AA1000" s="102" t="str">
        <f t="array" ref="AA1000">_xlfn.XLOOKUP("Screen Protector for Galaxy Tab",Stock1!B1000,Stock1!I1000,"")</f>
        <v/>
      </c>
      <c r="AB1000" s="102" t="str">
        <f t="shared" si="4"/>
        <v/>
      </c>
      <c r="AC1000" s="102" t="str">
        <f t="array" ref="AC1000">_xlfn.XLOOKUP(AB1000,Stock1!I1000,Stock1!F1000,"")</f>
        <v/>
      </c>
      <c r="AD1000" s="102" t="str">
        <f t="array" ref="AD1000">_xlfn.XLOOKUP(AB1000,Stock1!I1000,Stock1!J1000,"")</f>
        <v/>
      </c>
      <c r="AE1000" s="102" t="str">
        <f t="array" ref="AE1000">_xlfn.XLOOKUP("Storage",Stock1!B1000,Stock1!I1000,"")</f>
        <v/>
      </c>
      <c r="AF1000" s="102" t="str">
        <f t="array" ref="AF1000">_xlfn.XLOOKUP(AE1000,Stock1!I1000,Stock1!F1000,"")</f>
        <v/>
      </c>
      <c r="AG1000" s="102" t="str">
        <f t="array" ref="AG1000">_xlfn.XLOOKUP(AE1000,Stock1!I1000,Stock1!J1000,"")</f>
        <v/>
      </c>
    </row>
    <row r="1001">
      <c r="K1001" s="660" t="str">
        <f t="array" ref="K1001">IFERROR(_xlfn.XLOOKUP(I1001,Incentive!B:B,Incentive!E:E,""),"")</f>
        <v/>
      </c>
      <c r="L1001" s="659" t="str">
        <f>IFERROR(VLOOKUP(I1001,Stock1!F:J,5,False),"")</f>
        <v/>
      </c>
      <c r="M1001" s="659" t="str">
        <f>IFERROR(VLOOKUP(I1001,Stock2!F:J,5,False),"")</f>
        <v/>
      </c>
      <c r="V1001" s="102" t="str">
        <f t="array" ref="V1001">_xlfn.XLOOKUP("Charger",Stock1!B1001,Stock1!I1001,"")</f>
        <v>#REF!</v>
      </c>
      <c r="W1001" s="102" t="str">
        <f t="array" ref="W1001">_xlfn.XLOOKUP(V1001,Stock1!I1001,Stock1!F1001,"")</f>
        <v>#REF!</v>
      </c>
      <c r="X1001" s="102" t="str">
        <f t="array" ref="X1001">_xlfn.XLOOKUP(V1001,Stock1!I1001,Stock1!J1001,"")</f>
        <v>#REF!</v>
      </c>
      <c r="Y1001" s="102" t="str">
        <f t="array" ref="Y1001">_xlfn.XLOOKUP("Screen Protector for Android Phone and Other",Stock1!B1001,Stock1!I1001,"")</f>
        <v>#REF!</v>
      </c>
      <c r="Z1001" s="102" t="str">
        <f t="array" ref="Z1001">_xlfn.XLOOKUP("Screen Protector for Galaxy Phone",Stock1!B1001,Stock1!I1001,"")</f>
        <v>#REF!</v>
      </c>
      <c r="AA1001" s="102" t="str">
        <f t="array" ref="AA1001">_xlfn.XLOOKUP("Screen Protector for Galaxy Tab",Stock1!B1001,Stock1!I1001,"")</f>
        <v>#REF!</v>
      </c>
      <c r="AB1001" s="102" t="str">
        <f t="shared" si="4"/>
        <v>#REF!</v>
      </c>
      <c r="AC1001" s="102" t="str">
        <f t="array" ref="AC1001">_xlfn.XLOOKUP(AB1001,Stock1!I1001,Stock1!F1001,"")</f>
        <v>#REF!</v>
      </c>
      <c r="AD1001" s="102" t="str">
        <f t="array" ref="AD1001">_xlfn.XLOOKUP(AB1001,Stock1!I1001,Stock1!J1001,"")</f>
        <v>#REF!</v>
      </c>
      <c r="AE1001" s="102" t="str">
        <f t="array" ref="AE1001">_xlfn.XLOOKUP("Storage",Stock1!B1001,Stock1!I1001,"")</f>
        <v>#REF!</v>
      </c>
      <c r="AF1001" s="102" t="str">
        <f t="array" ref="AF1001">_xlfn.XLOOKUP(AE1001,Stock1!I1001,Stock1!F1001,"")</f>
        <v>#REF!</v>
      </c>
      <c r="AG1001" s="102" t="str">
        <f t="array" ref="AG1001">_xlfn.XLOOKUP(AE1001,Stock1!I1001,Stock1!J1001,"")</f>
        <v>#REF!</v>
      </c>
    </row>
    <row r="1002">
      <c r="K1002" s="660" t="str">
        <f t="array" ref="K1002">IFERROR(_xlfn.XLOOKUP(I1002,Incentive!B:B,Incentive!E:E,""),"")</f>
        <v/>
      </c>
      <c r="L1002" s="659" t="str">
        <f>IFERROR(VLOOKUP(I1002,Stock1!F:J,5,False),"")</f>
        <v/>
      </c>
      <c r="M1002" s="659" t="str">
        <f>IFERROR(VLOOKUP(I1002,Stock2!F:J,5,False),"")</f>
        <v/>
      </c>
      <c r="V1002" s="102" t="str">
        <f t="array" ref="V1002">_xlfn.XLOOKUP("Charger",Stock1!B1002,Stock1!I1002,"")</f>
        <v>#REF!</v>
      </c>
      <c r="W1002" s="102" t="str">
        <f t="array" ref="W1002">_xlfn.XLOOKUP(V1002,Stock1!I1002,Stock1!F1002,"")</f>
        <v>#REF!</v>
      </c>
      <c r="X1002" s="102" t="str">
        <f t="array" ref="X1002">_xlfn.XLOOKUP(V1002,Stock1!I1002,Stock1!J1002,"")</f>
        <v>#REF!</v>
      </c>
      <c r="Y1002" s="102" t="str">
        <f t="array" ref="Y1002">_xlfn.XLOOKUP("Screen Protector for Android Phone and Other",Stock1!B1002,Stock1!I1002,"")</f>
        <v>#REF!</v>
      </c>
      <c r="Z1002" s="102" t="str">
        <f t="array" ref="Z1002">_xlfn.XLOOKUP("Screen Protector for Galaxy Phone",Stock1!B1002,Stock1!I1002,"")</f>
        <v>#REF!</v>
      </c>
      <c r="AA1002" s="102" t="str">
        <f t="array" ref="AA1002">_xlfn.XLOOKUP("Screen Protector for Galaxy Tab",Stock1!B1002,Stock1!I1002,"")</f>
        <v>#REF!</v>
      </c>
      <c r="AB1002" s="102" t="str">
        <f t="shared" si="4"/>
        <v>#REF!</v>
      </c>
      <c r="AC1002" s="102" t="str">
        <f t="array" ref="AC1002">_xlfn.XLOOKUP(AB1002,Stock1!I1002,Stock1!F1002,"")</f>
        <v>#REF!</v>
      </c>
      <c r="AD1002" s="102" t="str">
        <f t="array" ref="AD1002">_xlfn.XLOOKUP(AB1002,Stock1!I1002,Stock1!J1002,"")</f>
        <v>#REF!</v>
      </c>
      <c r="AE1002" s="102" t="str">
        <f t="array" ref="AE1002">_xlfn.XLOOKUP("Storage",Stock1!B1002,Stock1!I1002,"")</f>
        <v>#REF!</v>
      </c>
      <c r="AF1002" s="102" t="str">
        <f t="array" ref="AF1002">_xlfn.XLOOKUP(AE1002,Stock1!I1002,Stock1!F1002,"")</f>
        <v>#REF!</v>
      </c>
      <c r="AG1002" s="102" t="str">
        <f t="array" ref="AG1002">_xlfn.XLOOKUP(AE1002,Stock1!I1002,Stock1!J1002,"")</f>
        <v>#REF!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5.75"/>
    <col customWidth="1" min="3" max="3" width="45.88"/>
    <col customWidth="1" min="9" max="9" width="23.0"/>
  </cols>
  <sheetData>
    <row r="1">
      <c r="A1" s="664"/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5"/>
      <c r="P1" s="665"/>
      <c r="AA1" s="666"/>
      <c r="AB1" s="666"/>
      <c r="AC1" s="666"/>
      <c r="AD1" s="666"/>
      <c r="AE1" s="667"/>
      <c r="AF1" s="667"/>
      <c r="AG1" s="667"/>
      <c r="AH1" s="667"/>
      <c r="AI1" s="667"/>
      <c r="AJ1" s="667"/>
      <c r="AK1" s="667"/>
      <c r="AL1" s="667"/>
    </row>
    <row r="2">
      <c r="A2" s="668"/>
      <c r="B2" s="669" t="s">
        <v>1365</v>
      </c>
      <c r="C2" s="23"/>
      <c r="D2" s="23"/>
      <c r="E2" s="23"/>
      <c r="F2" s="23"/>
      <c r="G2" s="23"/>
      <c r="H2" s="23"/>
      <c r="I2" s="23"/>
      <c r="J2" s="23"/>
      <c r="K2" s="670"/>
      <c r="L2" s="23"/>
      <c r="M2" s="23"/>
      <c r="N2" s="23"/>
      <c r="O2" s="23"/>
      <c r="P2" s="671"/>
      <c r="Q2" s="672"/>
      <c r="R2" s="672"/>
      <c r="S2" s="672"/>
      <c r="T2" s="672"/>
      <c r="U2" s="672"/>
      <c r="V2" s="672"/>
      <c r="W2" s="672"/>
      <c r="X2" s="672"/>
      <c r="Y2" s="672"/>
      <c r="Z2" s="672"/>
      <c r="AA2" s="672"/>
      <c r="AB2" s="672"/>
      <c r="AC2" s="672"/>
      <c r="AD2" s="672"/>
      <c r="AE2" s="672"/>
      <c r="AF2" s="672"/>
      <c r="AG2" s="672"/>
      <c r="AH2" s="672"/>
      <c r="AI2" s="672"/>
      <c r="AJ2" s="672"/>
      <c r="AK2" s="672"/>
      <c r="AL2" s="672"/>
    </row>
    <row r="3">
      <c r="A3" s="668"/>
      <c r="B3" s="673" t="s">
        <v>1366</v>
      </c>
      <c r="K3" s="674" t="s">
        <v>1367</v>
      </c>
      <c r="P3" s="675"/>
      <c r="Q3" s="676"/>
      <c r="R3" s="675"/>
      <c r="S3" s="676"/>
      <c r="T3" s="677"/>
      <c r="U3" s="676"/>
      <c r="V3" s="678"/>
      <c r="W3" s="679"/>
      <c r="X3" s="679"/>
      <c r="Y3" s="679"/>
      <c r="Z3" s="679"/>
      <c r="AA3" s="679"/>
      <c r="AB3" s="679"/>
      <c r="AC3" s="678"/>
      <c r="AD3" s="678"/>
      <c r="AE3" s="680"/>
      <c r="AF3" s="681"/>
      <c r="AG3" s="681"/>
      <c r="AH3" s="681"/>
      <c r="AI3" s="681"/>
      <c r="AJ3" s="676"/>
      <c r="AK3" s="676"/>
      <c r="AL3" s="681"/>
    </row>
    <row r="4">
      <c r="A4" s="682" t="s">
        <v>1368</v>
      </c>
      <c r="B4" s="682" t="s">
        <v>1369</v>
      </c>
      <c r="C4" s="682" t="s">
        <v>1370</v>
      </c>
      <c r="D4" s="682" t="s">
        <v>235</v>
      </c>
      <c r="E4" s="683" t="s">
        <v>1371</v>
      </c>
      <c r="F4" s="683" t="s">
        <v>1196</v>
      </c>
      <c r="G4" s="682" t="s">
        <v>1372</v>
      </c>
      <c r="H4" s="682" t="s">
        <v>1373</v>
      </c>
      <c r="I4" s="682" t="s">
        <v>1197</v>
      </c>
      <c r="J4" s="682" t="s">
        <v>1374</v>
      </c>
      <c r="K4" s="682" t="s">
        <v>1375</v>
      </c>
      <c r="L4" s="682" t="s">
        <v>1376</v>
      </c>
      <c r="M4" s="682" t="s">
        <v>1377</v>
      </c>
      <c r="N4" s="682" t="s">
        <v>1378</v>
      </c>
      <c r="O4" s="682" t="s">
        <v>1379</v>
      </c>
      <c r="P4" s="683" t="s">
        <v>1380</v>
      </c>
      <c r="Q4" s="682" t="s">
        <v>1381</v>
      </c>
      <c r="R4" s="683" t="s">
        <v>1382</v>
      </c>
      <c r="S4" s="682" t="s">
        <v>1383</v>
      </c>
      <c r="T4" s="682" t="s">
        <v>1384</v>
      </c>
      <c r="U4" s="684" t="s">
        <v>1385</v>
      </c>
      <c r="V4" s="678"/>
      <c r="W4" s="679"/>
      <c r="X4" s="679"/>
      <c r="Y4" s="679"/>
      <c r="Z4" s="679"/>
      <c r="AA4" s="679"/>
      <c r="AB4" s="679"/>
      <c r="AC4" s="678"/>
      <c r="AD4" s="678"/>
      <c r="AE4" s="680"/>
      <c r="AF4" s="680"/>
      <c r="AG4" s="680"/>
      <c r="AH4" s="680"/>
      <c r="AI4" s="680"/>
      <c r="AJ4" s="676"/>
      <c r="AK4" s="676"/>
      <c r="AL4" s="680"/>
    </row>
    <row r="5">
      <c r="A5" s="685" t="s">
        <v>1388</v>
      </c>
      <c r="B5" s="685" t="s">
        <v>1389</v>
      </c>
      <c r="C5" s="685" t="s">
        <v>1390</v>
      </c>
      <c r="D5" s="685" t="s">
        <v>1391</v>
      </c>
      <c r="E5" s="686">
        <v>1490.0</v>
      </c>
      <c r="F5" s="685" t="s">
        <v>1037</v>
      </c>
      <c r="G5" s="687"/>
      <c r="H5" s="688"/>
      <c r="I5" s="685" t="s">
        <v>1392</v>
      </c>
      <c r="J5" s="689">
        <v>8.0</v>
      </c>
      <c r="K5" s="689">
        <v>0.0</v>
      </c>
      <c r="L5" s="689">
        <v>0.0</v>
      </c>
      <c r="M5" s="689">
        <v>0.0</v>
      </c>
      <c r="N5" s="686">
        <v>1114.0</v>
      </c>
      <c r="O5" s="686">
        <v>8912.0</v>
      </c>
      <c r="P5" s="686">
        <v>5570.0</v>
      </c>
      <c r="Q5" s="686">
        <v>0.0</v>
      </c>
      <c r="R5" s="686">
        <v>3342.0</v>
      </c>
      <c r="S5" s="686">
        <v>0.0</v>
      </c>
      <c r="T5" s="686">
        <v>0.0</v>
      </c>
      <c r="U5" s="690">
        <v>0.0</v>
      </c>
      <c r="V5" s="678"/>
      <c r="W5" s="679"/>
      <c r="X5" s="679"/>
      <c r="Y5" s="679"/>
      <c r="Z5" s="679"/>
      <c r="AA5" s="679"/>
      <c r="AB5" s="679"/>
      <c r="AC5" s="678"/>
      <c r="AD5" s="678"/>
      <c r="AE5" s="680"/>
      <c r="AF5" s="681"/>
      <c r="AG5" s="681"/>
      <c r="AH5" s="681"/>
      <c r="AI5" s="681"/>
      <c r="AJ5" s="676"/>
      <c r="AK5" s="676"/>
      <c r="AL5" s="680"/>
    </row>
    <row r="6">
      <c r="A6" s="685" t="s">
        <v>1388</v>
      </c>
      <c r="B6" s="685" t="s">
        <v>1389</v>
      </c>
      <c r="C6" s="685" t="s">
        <v>1390</v>
      </c>
      <c r="D6" s="685" t="s">
        <v>1391</v>
      </c>
      <c r="E6" s="686">
        <v>1490.0</v>
      </c>
      <c r="F6" s="685" t="s">
        <v>1046</v>
      </c>
      <c r="G6" s="687"/>
      <c r="H6" s="688"/>
      <c r="I6" s="685" t="s">
        <v>1393</v>
      </c>
      <c r="J6" s="689">
        <v>6.0</v>
      </c>
      <c r="K6" s="689">
        <v>0.0</v>
      </c>
      <c r="L6" s="689">
        <v>0.0</v>
      </c>
      <c r="M6" s="689">
        <v>0.0</v>
      </c>
      <c r="N6" s="686">
        <v>1114.0</v>
      </c>
      <c r="O6" s="686">
        <v>6684.0</v>
      </c>
      <c r="P6" s="686">
        <v>1114.0</v>
      </c>
      <c r="Q6" s="686">
        <v>0.0</v>
      </c>
      <c r="R6" s="686">
        <v>4456.0</v>
      </c>
      <c r="S6" s="686">
        <v>1114.0</v>
      </c>
      <c r="T6" s="689">
        <v>0.0</v>
      </c>
      <c r="U6" s="690">
        <v>0.0</v>
      </c>
      <c r="V6" s="678"/>
      <c r="W6" s="679"/>
      <c r="X6" s="679"/>
      <c r="Y6" s="679"/>
      <c r="Z6" s="679"/>
      <c r="AA6" s="679"/>
      <c r="AB6" s="679"/>
      <c r="AC6" s="678"/>
      <c r="AD6" s="678"/>
      <c r="AE6" s="680"/>
      <c r="AF6" s="681"/>
      <c r="AG6" s="681"/>
      <c r="AH6" s="681"/>
      <c r="AI6" s="681"/>
      <c r="AJ6" s="676"/>
      <c r="AK6" s="676"/>
      <c r="AL6" s="681"/>
    </row>
    <row r="7">
      <c r="A7" s="685" t="s">
        <v>1388</v>
      </c>
      <c r="B7" s="685" t="s">
        <v>1389</v>
      </c>
      <c r="C7" s="685" t="s">
        <v>1390</v>
      </c>
      <c r="D7" s="685" t="s">
        <v>1391</v>
      </c>
      <c r="E7" s="686">
        <v>4290.0</v>
      </c>
      <c r="F7" s="685" t="s">
        <v>1054</v>
      </c>
      <c r="G7" s="687"/>
      <c r="H7" s="688"/>
      <c r="I7" s="685" t="s">
        <v>1394</v>
      </c>
      <c r="J7" s="689">
        <v>2.0</v>
      </c>
      <c r="K7" s="689">
        <v>0.0</v>
      </c>
      <c r="L7" s="689">
        <v>0.0</v>
      </c>
      <c r="M7" s="689">
        <v>0.0</v>
      </c>
      <c r="N7" s="686">
        <v>3207.0</v>
      </c>
      <c r="O7" s="686">
        <v>6414.0</v>
      </c>
      <c r="P7" s="686">
        <v>6414.0</v>
      </c>
      <c r="Q7" s="686">
        <v>0.0</v>
      </c>
      <c r="R7" s="686">
        <v>0.0</v>
      </c>
      <c r="S7" s="686">
        <v>0.0</v>
      </c>
      <c r="T7" s="686">
        <v>0.0</v>
      </c>
      <c r="U7" s="690">
        <v>0.0</v>
      </c>
      <c r="V7" s="678"/>
      <c r="W7" s="679"/>
      <c r="X7" s="679"/>
      <c r="Y7" s="679"/>
      <c r="Z7" s="679"/>
      <c r="AA7" s="679"/>
      <c r="AB7" s="679"/>
      <c r="AC7" s="678"/>
      <c r="AD7" s="678"/>
      <c r="AE7" s="680"/>
      <c r="AF7" s="681"/>
      <c r="AG7" s="681"/>
      <c r="AH7" s="681"/>
      <c r="AI7" s="681"/>
      <c r="AJ7" s="676"/>
      <c r="AK7" s="676"/>
      <c r="AL7" s="681"/>
    </row>
    <row r="8">
      <c r="A8" s="685" t="s">
        <v>1388</v>
      </c>
      <c r="B8" s="685" t="s">
        <v>1389</v>
      </c>
      <c r="C8" s="685" t="s">
        <v>1390</v>
      </c>
      <c r="D8" s="685" t="s">
        <v>1391</v>
      </c>
      <c r="E8" s="686">
        <v>5990.0</v>
      </c>
      <c r="F8" s="685" t="s">
        <v>1156</v>
      </c>
      <c r="G8" s="687"/>
      <c r="H8" s="687"/>
      <c r="I8" s="685" t="s">
        <v>1395</v>
      </c>
      <c r="J8" s="689">
        <v>6.0</v>
      </c>
      <c r="K8" s="689">
        <v>0.0</v>
      </c>
      <c r="L8" s="689">
        <v>0.0</v>
      </c>
      <c r="M8" s="689">
        <v>0.0</v>
      </c>
      <c r="N8" s="686">
        <v>4479.0</v>
      </c>
      <c r="O8" s="686">
        <v>26874.0</v>
      </c>
      <c r="P8" s="686">
        <v>8958.0</v>
      </c>
      <c r="Q8" s="686">
        <v>0.0</v>
      </c>
      <c r="R8" s="686">
        <v>0.0</v>
      </c>
      <c r="S8" s="686">
        <v>0.0</v>
      </c>
      <c r="T8" s="686">
        <v>0.0</v>
      </c>
      <c r="U8" s="690">
        <v>17916.0</v>
      </c>
      <c r="V8" s="678"/>
      <c r="W8" s="679"/>
      <c r="X8" s="679"/>
      <c r="Y8" s="679"/>
      <c r="Z8" s="679"/>
      <c r="AA8" s="679"/>
      <c r="AB8" s="679"/>
      <c r="AC8" s="678"/>
      <c r="AD8" s="678"/>
      <c r="AE8" s="680"/>
      <c r="AF8" s="679"/>
      <c r="AG8" s="679"/>
      <c r="AH8" s="679"/>
      <c r="AI8" s="679"/>
      <c r="AJ8" s="676"/>
      <c r="AK8" s="676"/>
      <c r="AL8" s="680"/>
    </row>
    <row r="9">
      <c r="A9" s="685" t="s">
        <v>1388</v>
      </c>
      <c r="B9" s="685" t="s">
        <v>1389</v>
      </c>
      <c r="C9" s="685" t="s">
        <v>1390</v>
      </c>
      <c r="D9" s="685" t="s">
        <v>1391</v>
      </c>
      <c r="E9" s="686">
        <v>5990.0</v>
      </c>
      <c r="F9" s="685" t="s">
        <v>1158</v>
      </c>
      <c r="G9" s="687"/>
      <c r="H9" s="687"/>
      <c r="I9" s="685" t="s">
        <v>1396</v>
      </c>
      <c r="J9" s="689">
        <v>4.0</v>
      </c>
      <c r="K9" s="689">
        <v>0.0</v>
      </c>
      <c r="L9" s="689">
        <v>0.0</v>
      </c>
      <c r="M9" s="689">
        <v>0.0</v>
      </c>
      <c r="N9" s="686">
        <v>4479.0</v>
      </c>
      <c r="O9" s="686">
        <v>17916.0</v>
      </c>
      <c r="P9" s="686">
        <v>8958.0</v>
      </c>
      <c r="Q9" s="686">
        <v>4479.0</v>
      </c>
      <c r="R9" s="686">
        <v>0.0</v>
      </c>
      <c r="S9" s="686">
        <v>0.0</v>
      </c>
      <c r="T9" s="686">
        <v>4479.0</v>
      </c>
      <c r="U9" s="690">
        <v>0.0</v>
      </c>
      <c r="V9" s="678"/>
      <c r="W9" s="679"/>
      <c r="X9" s="679"/>
      <c r="Y9" s="679"/>
      <c r="Z9" s="679"/>
      <c r="AA9" s="679"/>
      <c r="AB9" s="679"/>
      <c r="AC9" s="678"/>
      <c r="AD9" s="678"/>
      <c r="AE9" s="680"/>
      <c r="AF9" s="680"/>
      <c r="AG9" s="680"/>
      <c r="AH9" s="680"/>
      <c r="AI9" s="680"/>
      <c r="AJ9" s="676"/>
      <c r="AK9" s="676"/>
      <c r="AL9" s="680"/>
    </row>
    <row r="10">
      <c r="A10" s="685" t="s">
        <v>1388</v>
      </c>
      <c r="B10" s="685" t="s">
        <v>1389</v>
      </c>
      <c r="C10" s="685" t="s">
        <v>1390</v>
      </c>
      <c r="D10" s="685" t="s">
        <v>1391</v>
      </c>
      <c r="E10" s="686">
        <v>7990.0</v>
      </c>
      <c r="F10" s="691" t="s">
        <v>1168</v>
      </c>
      <c r="G10" s="687"/>
      <c r="H10" s="687"/>
      <c r="I10" s="685" t="s">
        <v>1397</v>
      </c>
      <c r="J10" s="689">
        <v>1.0</v>
      </c>
      <c r="K10" s="689">
        <v>0.0</v>
      </c>
      <c r="L10" s="689">
        <v>0.0</v>
      </c>
      <c r="M10" s="689">
        <v>0.0</v>
      </c>
      <c r="N10" s="686">
        <v>5974.0</v>
      </c>
      <c r="O10" s="686">
        <v>5974.0</v>
      </c>
      <c r="P10" s="686">
        <v>0.0</v>
      </c>
      <c r="Q10" s="686">
        <v>0.0</v>
      </c>
      <c r="R10" s="686">
        <v>0.0</v>
      </c>
      <c r="S10" s="686">
        <v>5974.0</v>
      </c>
      <c r="T10" s="686">
        <v>0.0</v>
      </c>
      <c r="U10" s="690">
        <v>0.0</v>
      </c>
      <c r="V10" s="678"/>
      <c r="W10" s="679"/>
      <c r="X10" s="679"/>
      <c r="Y10" s="679"/>
      <c r="Z10" s="679"/>
      <c r="AA10" s="679"/>
      <c r="AB10" s="679"/>
      <c r="AC10" s="678"/>
      <c r="AD10" s="678"/>
      <c r="AE10" s="680"/>
      <c r="AF10" s="679"/>
      <c r="AG10" s="679"/>
      <c r="AH10" s="679"/>
      <c r="AI10" s="679"/>
      <c r="AJ10" s="676"/>
      <c r="AK10" s="676"/>
      <c r="AL10" s="679"/>
    </row>
    <row r="11">
      <c r="A11" s="685" t="s">
        <v>1388</v>
      </c>
      <c r="B11" s="685" t="s">
        <v>1389</v>
      </c>
      <c r="C11" s="685" t="s">
        <v>1390</v>
      </c>
      <c r="D11" s="685" t="s">
        <v>1391</v>
      </c>
      <c r="E11" s="686">
        <v>7990.0</v>
      </c>
      <c r="F11" s="692" t="s">
        <v>1162</v>
      </c>
      <c r="G11" s="693"/>
      <c r="H11" s="687"/>
      <c r="I11" s="685" t="s">
        <v>1398</v>
      </c>
      <c r="J11" s="689">
        <v>10.0</v>
      </c>
      <c r="K11" s="689">
        <v>0.0</v>
      </c>
      <c r="L11" s="689">
        <v>0.0</v>
      </c>
      <c r="M11" s="689">
        <v>0.0</v>
      </c>
      <c r="N11" s="686">
        <v>5974.0</v>
      </c>
      <c r="O11" s="686">
        <v>59740.0</v>
      </c>
      <c r="P11" s="686">
        <v>17922.0</v>
      </c>
      <c r="Q11" s="686">
        <v>23896.0</v>
      </c>
      <c r="R11" s="686">
        <v>0.0</v>
      </c>
      <c r="S11" s="686">
        <v>0.0</v>
      </c>
      <c r="T11" s="686">
        <v>17922.0</v>
      </c>
      <c r="U11" s="690">
        <v>0.0</v>
      </c>
      <c r="V11" s="678"/>
      <c r="W11" s="679"/>
      <c r="X11" s="679"/>
      <c r="Y11" s="679"/>
      <c r="Z11" s="679"/>
      <c r="AA11" s="679"/>
      <c r="AB11" s="679"/>
      <c r="AC11" s="678"/>
      <c r="AD11" s="678"/>
      <c r="AE11" s="680"/>
      <c r="AF11" s="681"/>
      <c r="AG11" s="681"/>
      <c r="AH11" s="681"/>
      <c r="AI11" s="681"/>
      <c r="AJ11" s="676"/>
      <c r="AK11" s="676"/>
      <c r="AL11" s="681"/>
    </row>
    <row r="12">
      <c r="A12" s="685" t="s">
        <v>1388</v>
      </c>
      <c r="B12" s="685" t="s">
        <v>1389</v>
      </c>
      <c r="C12" s="685" t="s">
        <v>1390</v>
      </c>
      <c r="D12" s="685" t="s">
        <v>1391</v>
      </c>
      <c r="E12" s="686">
        <v>7990.0</v>
      </c>
      <c r="F12" s="685" t="s">
        <v>1165</v>
      </c>
      <c r="G12" s="687"/>
      <c r="H12" s="688"/>
      <c r="I12" s="685" t="s">
        <v>1399</v>
      </c>
      <c r="J12" s="689">
        <v>7.0</v>
      </c>
      <c r="K12" s="689">
        <v>0.0</v>
      </c>
      <c r="L12" s="689">
        <v>0.0</v>
      </c>
      <c r="M12" s="689">
        <v>0.0</v>
      </c>
      <c r="N12" s="686">
        <v>5974.0</v>
      </c>
      <c r="O12" s="686">
        <v>41818.0</v>
      </c>
      <c r="P12" s="686">
        <v>0.0</v>
      </c>
      <c r="Q12" s="686">
        <v>0.0</v>
      </c>
      <c r="R12" s="686">
        <v>0.0</v>
      </c>
      <c r="S12" s="686">
        <v>0.0</v>
      </c>
      <c r="T12" s="686">
        <v>23896.0</v>
      </c>
      <c r="U12" s="690">
        <v>17922.0</v>
      </c>
      <c r="V12" s="678"/>
      <c r="W12" s="679"/>
      <c r="X12" s="679"/>
      <c r="Y12" s="679"/>
      <c r="Z12" s="679"/>
      <c r="AA12" s="679"/>
      <c r="AB12" s="679"/>
      <c r="AC12" s="678"/>
      <c r="AD12" s="678"/>
      <c r="AE12" s="680"/>
      <c r="AF12" s="680"/>
      <c r="AG12" s="680"/>
      <c r="AH12" s="680"/>
      <c r="AI12" s="680"/>
      <c r="AJ12" s="676"/>
      <c r="AK12" s="676"/>
      <c r="AL12" s="679"/>
    </row>
    <row r="13">
      <c r="A13" s="685" t="s">
        <v>1388</v>
      </c>
      <c r="B13" s="685" t="s">
        <v>1400</v>
      </c>
      <c r="C13" s="685" t="s">
        <v>1401</v>
      </c>
      <c r="D13" s="685" t="s">
        <v>1402</v>
      </c>
      <c r="E13" s="686">
        <v>899.0</v>
      </c>
      <c r="F13" s="691">
        <v>1.94644055783E11</v>
      </c>
      <c r="G13" s="685" t="s">
        <v>1403</v>
      </c>
      <c r="H13" s="688"/>
      <c r="I13" s="685" t="s">
        <v>1404</v>
      </c>
      <c r="J13" s="689">
        <v>2.0</v>
      </c>
      <c r="K13" s="689">
        <v>0.0</v>
      </c>
      <c r="L13" s="689">
        <v>0.0</v>
      </c>
      <c r="M13" s="689">
        <v>0.0</v>
      </c>
      <c r="N13" s="686">
        <v>485.98</v>
      </c>
      <c r="O13" s="686">
        <v>971.96</v>
      </c>
      <c r="P13" s="686">
        <v>0.0</v>
      </c>
      <c r="Q13" s="686">
        <v>0.0</v>
      </c>
      <c r="R13" s="686">
        <v>0.0</v>
      </c>
      <c r="S13" s="686">
        <v>0.0</v>
      </c>
      <c r="T13" s="686">
        <v>0.0</v>
      </c>
      <c r="U13" s="690">
        <v>971.96</v>
      </c>
      <c r="V13" s="678"/>
      <c r="W13" s="679"/>
      <c r="X13" s="679"/>
      <c r="Y13" s="679"/>
      <c r="Z13" s="679"/>
      <c r="AA13" s="679"/>
      <c r="AB13" s="679"/>
      <c r="AC13" s="678"/>
      <c r="AD13" s="678"/>
      <c r="AE13" s="680"/>
      <c r="AF13" s="680"/>
      <c r="AG13" s="680"/>
      <c r="AH13" s="680"/>
      <c r="AI13" s="680"/>
      <c r="AJ13" s="676"/>
      <c r="AK13" s="676"/>
      <c r="AL13" s="680"/>
    </row>
    <row r="14">
      <c r="A14" s="685" t="s">
        <v>1388</v>
      </c>
      <c r="B14" s="685" t="s">
        <v>1400</v>
      </c>
      <c r="C14" s="685" t="s">
        <v>1401</v>
      </c>
      <c r="D14" s="685" t="s">
        <v>1402</v>
      </c>
      <c r="E14" s="686">
        <v>899.0</v>
      </c>
      <c r="F14" s="692" t="s">
        <v>1405</v>
      </c>
      <c r="G14" s="691" t="s">
        <v>1406</v>
      </c>
      <c r="H14" s="688"/>
      <c r="I14" s="685" t="s">
        <v>1407</v>
      </c>
      <c r="J14" s="689">
        <v>2.0</v>
      </c>
      <c r="K14" s="689">
        <v>0.0</v>
      </c>
      <c r="L14" s="689">
        <v>0.0</v>
      </c>
      <c r="M14" s="689">
        <v>0.0</v>
      </c>
      <c r="N14" s="686">
        <v>522.71</v>
      </c>
      <c r="O14" s="686">
        <v>1045.42</v>
      </c>
      <c r="P14" s="686">
        <v>0.0</v>
      </c>
      <c r="Q14" s="686">
        <v>0.0</v>
      </c>
      <c r="R14" s="686">
        <v>0.0</v>
      </c>
      <c r="S14" s="686">
        <v>0.0</v>
      </c>
      <c r="T14" s="689">
        <v>0.0</v>
      </c>
      <c r="U14" s="690">
        <v>1045.42</v>
      </c>
      <c r="V14" s="678"/>
      <c r="W14" s="679"/>
      <c r="X14" s="679"/>
      <c r="Y14" s="679"/>
      <c r="Z14" s="679"/>
      <c r="AA14" s="679"/>
      <c r="AB14" s="679"/>
      <c r="AC14" s="678"/>
      <c r="AD14" s="678"/>
      <c r="AE14" s="680"/>
      <c r="AF14" s="680"/>
      <c r="AG14" s="680"/>
      <c r="AH14" s="680"/>
      <c r="AI14" s="680"/>
      <c r="AJ14" s="676"/>
      <c r="AK14" s="676"/>
      <c r="AL14" s="679"/>
    </row>
    <row r="15">
      <c r="A15" s="685" t="s">
        <v>1408</v>
      </c>
      <c r="B15" s="685" t="s">
        <v>1409</v>
      </c>
      <c r="C15" s="685" t="s">
        <v>1410</v>
      </c>
      <c r="D15" s="685" t="s">
        <v>1391</v>
      </c>
      <c r="E15" s="686">
        <v>7490.0</v>
      </c>
      <c r="F15" s="685" t="s">
        <v>1002</v>
      </c>
      <c r="G15" s="687"/>
      <c r="H15" s="688"/>
      <c r="I15" s="685" t="s">
        <v>1411</v>
      </c>
      <c r="J15" s="689">
        <v>8.0</v>
      </c>
      <c r="K15" s="689">
        <v>0.0</v>
      </c>
      <c r="L15" s="689">
        <v>0.0</v>
      </c>
      <c r="M15" s="689">
        <v>0.0</v>
      </c>
      <c r="N15" s="686">
        <v>6090.0</v>
      </c>
      <c r="O15" s="686">
        <v>48720.0</v>
      </c>
      <c r="P15" s="686">
        <v>18270.0</v>
      </c>
      <c r="Q15" s="686">
        <v>30450.0</v>
      </c>
      <c r="R15" s="686">
        <v>0.0</v>
      </c>
      <c r="S15" s="686">
        <v>0.0</v>
      </c>
      <c r="T15" s="689">
        <v>0.0</v>
      </c>
      <c r="U15" s="690">
        <v>0.0</v>
      </c>
      <c r="V15" s="678"/>
      <c r="W15" s="679"/>
      <c r="X15" s="679"/>
      <c r="Y15" s="679"/>
      <c r="Z15" s="679"/>
      <c r="AA15" s="679"/>
      <c r="AB15" s="679"/>
      <c r="AC15" s="678"/>
      <c r="AD15" s="678"/>
      <c r="AE15" s="680"/>
      <c r="AF15" s="680"/>
      <c r="AG15" s="680"/>
      <c r="AH15" s="680"/>
      <c r="AI15" s="680"/>
      <c r="AJ15" s="676"/>
      <c r="AK15" s="676"/>
      <c r="AL15" s="680"/>
    </row>
    <row r="16">
      <c r="A16" s="685" t="s">
        <v>1408</v>
      </c>
      <c r="B16" s="685" t="s">
        <v>1409</v>
      </c>
      <c r="C16" s="685" t="s">
        <v>1410</v>
      </c>
      <c r="D16" s="685" t="s">
        <v>1391</v>
      </c>
      <c r="E16" s="686">
        <v>8490.0</v>
      </c>
      <c r="F16" s="685" t="s">
        <v>1134</v>
      </c>
      <c r="G16" s="687"/>
      <c r="H16" s="688"/>
      <c r="I16" s="685" t="s">
        <v>1412</v>
      </c>
      <c r="J16" s="689">
        <v>3.0</v>
      </c>
      <c r="K16" s="689">
        <v>0.0</v>
      </c>
      <c r="L16" s="689">
        <v>0.0</v>
      </c>
      <c r="M16" s="689">
        <v>0.0</v>
      </c>
      <c r="N16" s="686">
        <v>6903.0</v>
      </c>
      <c r="O16" s="686">
        <v>20709.0</v>
      </c>
      <c r="P16" s="686">
        <v>13806.0</v>
      </c>
      <c r="Q16" s="686">
        <v>0.0</v>
      </c>
      <c r="R16" s="686">
        <v>6903.0</v>
      </c>
      <c r="S16" s="686">
        <v>0.0</v>
      </c>
      <c r="T16" s="686">
        <v>0.0</v>
      </c>
      <c r="U16" s="690">
        <v>0.0</v>
      </c>
      <c r="V16" s="678"/>
      <c r="W16" s="679"/>
      <c r="X16" s="679"/>
      <c r="Y16" s="679"/>
      <c r="Z16" s="679"/>
      <c r="AA16" s="679"/>
      <c r="AB16" s="679"/>
      <c r="AC16" s="678"/>
      <c r="AD16" s="678"/>
      <c r="AE16" s="680"/>
      <c r="AF16" s="680"/>
      <c r="AG16" s="680"/>
      <c r="AH16" s="680"/>
      <c r="AI16" s="680"/>
      <c r="AJ16" s="676"/>
      <c r="AK16" s="676"/>
      <c r="AL16" s="681"/>
    </row>
    <row r="17">
      <c r="A17" s="685" t="s">
        <v>1408</v>
      </c>
      <c r="B17" s="685" t="s">
        <v>1409</v>
      </c>
      <c r="C17" s="685" t="s">
        <v>1410</v>
      </c>
      <c r="D17" s="685" t="s">
        <v>1391</v>
      </c>
      <c r="E17" s="686">
        <v>10490.0</v>
      </c>
      <c r="F17" s="685" t="s">
        <v>1127</v>
      </c>
      <c r="G17" s="687"/>
      <c r="H17" s="688"/>
      <c r="I17" s="685" t="s">
        <v>1413</v>
      </c>
      <c r="J17" s="689">
        <v>6.0</v>
      </c>
      <c r="K17" s="689">
        <v>0.0</v>
      </c>
      <c r="L17" s="689">
        <v>0.0</v>
      </c>
      <c r="M17" s="689">
        <v>0.0</v>
      </c>
      <c r="N17" s="686">
        <v>8529.0</v>
      </c>
      <c r="O17" s="686">
        <v>51174.0</v>
      </c>
      <c r="P17" s="686">
        <v>17058.0</v>
      </c>
      <c r="Q17" s="686">
        <v>0.0</v>
      </c>
      <c r="R17" s="686">
        <v>17058.0</v>
      </c>
      <c r="S17" s="686">
        <v>17058.0</v>
      </c>
      <c r="T17" s="686">
        <v>0.0</v>
      </c>
      <c r="U17" s="690">
        <v>0.0</v>
      </c>
      <c r="V17" s="678"/>
      <c r="W17" s="679"/>
      <c r="X17" s="679"/>
      <c r="Y17" s="679"/>
      <c r="Z17" s="679"/>
      <c r="AA17" s="679"/>
      <c r="AB17" s="679"/>
      <c r="AC17" s="678"/>
      <c r="AD17" s="678"/>
      <c r="AE17" s="680"/>
      <c r="AF17" s="680"/>
      <c r="AG17" s="680"/>
      <c r="AH17" s="680"/>
      <c r="AI17" s="680"/>
      <c r="AJ17" s="676"/>
      <c r="AK17" s="676"/>
      <c r="AL17" s="679"/>
    </row>
    <row r="18">
      <c r="A18" s="685" t="s">
        <v>1408</v>
      </c>
      <c r="B18" s="685" t="s">
        <v>1409</v>
      </c>
      <c r="C18" s="685" t="s">
        <v>1414</v>
      </c>
      <c r="D18" s="685" t="s">
        <v>1391</v>
      </c>
      <c r="E18" s="686">
        <v>12990.0</v>
      </c>
      <c r="F18" s="685" t="s">
        <v>907</v>
      </c>
      <c r="G18" s="687"/>
      <c r="H18" s="688"/>
      <c r="I18" s="685" t="s">
        <v>1415</v>
      </c>
      <c r="J18" s="689">
        <v>8.0</v>
      </c>
      <c r="K18" s="689">
        <v>0.0</v>
      </c>
      <c r="L18" s="689">
        <v>0.0</v>
      </c>
      <c r="M18" s="689">
        <v>0.0</v>
      </c>
      <c r="N18" s="686">
        <v>10562.0</v>
      </c>
      <c r="O18" s="686">
        <v>84496.0</v>
      </c>
      <c r="P18" s="686">
        <v>52810.0</v>
      </c>
      <c r="Q18" s="686">
        <v>31686.0</v>
      </c>
      <c r="R18" s="686">
        <v>0.0</v>
      </c>
      <c r="S18" s="686">
        <v>0.0</v>
      </c>
      <c r="T18" s="689">
        <v>0.0</v>
      </c>
      <c r="U18" s="690">
        <v>0.0</v>
      </c>
      <c r="V18" s="678"/>
      <c r="W18" s="679"/>
      <c r="X18" s="679"/>
      <c r="Y18" s="679"/>
      <c r="Z18" s="679"/>
      <c r="AA18" s="679"/>
      <c r="AB18" s="679"/>
      <c r="AC18" s="678"/>
      <c r="AD18" s="678"/>
      <c r="AE18" s="680"/>
      <c r="AF18" s="680"/>
      <c r="AG18" s="680"/>
      <c r="AH18" s="680"/>
      <c r="AI18" s="680"/>
      <c r="AJ18" s="676"/>
      <c r="AK18" s="676"/>
      <c r="AL18" s="680"/>
    </row>
    <row r="19">
      <c r="A19" s="685" t="s">
        <v>1408</v>
      </c>
      <c r="B19" s="685" t="s">
        <v>1409</v>
      </c>
      <c r="C19" s="685" t="s">
        <v>1414</v>
      </c>
      <c r="D19" s="685" t="s">
        <v>1391</v>
      </c>
      <c r="E19" s="686">
        <v>12990.0</v>
      </c>
      <c r="F19" s="685" t="s">
        <v>922</v>
      </c>
      <c r="G19" s="687"/>
      <c r="H19" s="687"/>
      <c r="I19" s="685" t="s">
        <v>1416</v>
      </c>
      <c r="J19" s="689">
        <v>1.0</v>
      </c>
      <c r="K19" s="689">
        <v>0.0</v>
      </c>
      <c r="L19" s="689">
        <v>0.0</v>
      </c>
      <c r="M19" s="689">
        <v>0.0</v>
      </c>
      <c r="N19" s="686">
        <v>10562.0</v>
      </c>
      <c r="O19" s="686">
        <v>10562.0</v>
      </c>
      <c r="P19" s="686">
        <v>10562.0</v>
      </c>
      <c r="Q19" s="686">
        <v>0.0</v>
      </c>
      <c r="R19" s="686">
        <v>0.0</v>
      </c>
      <c r="S19" s="686">
        <v>0.0</v>
      </c>
      <c r="T19" s="686">
        <v>0.0</v>
      </c>
      <c r="U19" s="690">
        <v>0.0</v>
      </c>
      <c r="V19" s="678"/>
      <c r="W19" s="679"/>
      <c r="X19" s="679"/>
      <c r="Y19" s="679"/>
      <c r="Z19" s="679"/>
      <c r="AA19" s="679"/>
      <c r="AB19" s="679"/>
      <c r="AC19" s="678"/>
      <c r="AD19" s="678"/>
      <c r="AE19" s="680"/>
      <c r="AF19" s="680"/>
      <c r="AG19" s="680"/>
      <c r="AH19" s="680"/>
      <c r="AI19" s="680"/>
      <c r="AJ19" s="676"/>
      <c r="AK19" s="676"/>
      <c r="AL19" s="681"/>
    </row>
    <row r="20">
      <c r="A20" s="685" t="s">
        <v>1408</v>
      </c>
      <c r="B20" s="685" t="s">
        <v>1409</v>
      </c>
      <c r="C20" s="685" t="s">
        <v>1414</v>
      </c>
      <c r="D20" s="685" t="s">
        <v>1391</v>
      </c>
      <c r="E20" s="686">
        <v>16990.0</v>
      </c>
      <c r="F20" s="685" t="s">
        <v>885</v>
      </c>
      <c r="G20" s="687"/>
      <c r="H20" s="687"/>
      <c r="I20" s="685" t="s">
        <v>1417</v>
      </c>
      <c r="J20" s="689">
        <v>1.0</v>
      </c>
      <c r="K20" s="689">
        <v>0.0</v>
      </c>
      <c r="L20" s="689">
        <v>0.0</v>
      </c>
      <c r="M20" s="689">
        <v>0.0</v>
      </c>
      <c r="N20" s="686">
        <v>13814.0</v>
      </c>
      <c r="O20" s="686">
        <v>13814.0</v>
      </c>
      <c r="P20" s="686">
        <v>13814.0</v>
      </c>
      <c r="Q20" s="686">
        <v>0.0</v>
      </c>
      <c r="R20" s="686">
        <v>0.0</v>
      </c>
      <c r="S20" s="686">
        <v>0.0</v>
      </c>
      <c r="T20" s="689">
        <v>0.0</v>
      </c>
      <c r="U20" s="690">
        <v>0.0</v>
      </c>
      <c r="V20" s="678"/>
      <c r="W20" s="679"/>
      <c r="X20" s="679"/>
      <c r="Y20" s="679"/>
      <c r="Z20" s="679"/>
      <c r="AA20" s="679"/>
      <c r="AB20" s="679"/>
      <c r="AC20" s="678"/>
      <c r="AD20" s="678"/>
      <c r="AE20" s="680"/>
      <c r="AF20" s="679"/>
      <c r="AG20" s="679"/>
      <c r="AH20" s="679"/>
      <c r="AI20" s="679"/>
      <c r="AJ20" s="676"/>
      <c r="AK20" s="676"/>
      <c r="AL20" s="679"/>
    </row>
    <row r="21">
      <c r="A21" s="685" t="s">
        <v>1408</v>
      </c>
      <c r="B21" s="685" t="s">
        <v>1409</v>
      </c>
      <c r="C21" s="685" t="s">
        <v>1414</v>
      </c>
      <c r="D21" s="685" t="s">
        <v>1391</v>
      </c>
      <c r="E21" s="686">
        <v>16990.0</v>
      </c>
      <c r="F21" s="691" t="s">
        <v>878</v>
      </c>
      <c r="G21" s="687"/>
      <c r="H21" s="687"/>
      <c r="I21" s="685" t="s">
        <v>1418</v>
      </c>
      <c r="J21" s="689">
        <v>2.0</v>
      </c>
      <c r="K21" s="689">
        <v>0.0</v>
      </c>
      <c r="L21" s="689">
        <v>0.0</v>
      </c>
      <c r="M21" s="689">
        <v>0.0</v>
      </c>
      <c r="N21" s="686">
        <v>13001.0</v>
      </c>
      <c r="O21" s="686">
        <v>26002.0</v>
      </c>
      <c r="P21" s="686">
        <v>0.0</v>
      </c>
      <c r="Q21" s="686">
        <v>0.0</v>
      </c>
      <c r="R21" s="686">
        <v>0.0</v>
      </c>
      <c r="S21" s="686">
        <v>0.0</v>
      </c>
      <c r="T21" s="689">
        <v>0.0</v>
      </c>
      <c r="U21" s="690">
        <v>26002.0</v>
      </c>
      <c r="V21" s="694"/>
      <c r="W21" s="679"/>
      <c r="X21" s="679"/>
      <c r="Y21" s="679"/>
      <c r="Z21" s="679"/>
      <c r="AA21" s="679"/>
      <c r="AB21" s="679"/>
      <c r="AC21" s="678"/>
      <c r="AD21" s="678"/>
      <c r="AE21" s="680"/>
      <c r="AF21" s="681"/>
      <c r="AG21" s="681"/>
      <c r="AH21" s="681"/>
      <c r="AI21" s="681"/>
      <c r="AJ21" s="676"/>
      <c r="AK21" s="676"/>
      <c r="AL21" s="681"/>
    </row>
    <row r="22">
      <c r="A22" s="685" t="s">
        <v>1408</v>
      </c>
      <c r="B22" s="685" t="s">
        <v>1409</v>
      </c>
      <c r="C22" s="685" t="s">
        <v>1414</v>
      </c>
      <c r="D22" s="685" t="s">
        <v>1391</v>
      </c>
      <c r="E22" s="686">
        <v>19900.0</v>
      </c>
      <c r="F22" s="685" t="s">
        <v>1419</v>
      </c>
      <c r="G22" s="687"/>
      <c r="H22" s="687"/>
      <c r="I22" s="685" t="s">
        <v>1420</v>
      </c>
      <c r="J22" s="689">
        <v>1.0</v>
      </c>
      <c r="K22" s="689">
        <v>0.0</v>
      </c>
      <c r="L22" s="689">
        <v>0.0</v>
      </c>
      <c r="M22" s="689">
        <v>0.0</v>
      </c>
      <c r="N22" s="686">
        <v>16180.0</v>
      </c>
      <c r="O22" s="686">
        <v>16180.0</v>
      </c>
      <c r="P22" s="686">
        <v>16180.0</v>
      </c>
      <c r="Q22" s="686">
        <v>0.0</v>
      </c>
      <c r="R22" s="686">
        <v>0.0</v>
      </c>
      <c r="S22" s="686">
        <v>0.0</v>
      </c>
      <c r="T22" s="689">
        <v>0.0</v>
      </c>
      <c r="U22" s="690">
        <v>0.0</v>
      </c>
      <c r="V22" s="694"/>
      <c r="W22" s="679"/>
      <c r="X22" s="679"/>
      <c r="Y22" s="679"/>
      <c r="Z22" s="679"/>
      <c r="AA22" s="679"/>
      <c r="AB22" s="679"/>
      <c r="AC22" s="678"/>
      <c r="AD22" s="678"/>
      <c r="AE22" s="680"/>
      <c r="AF22" s="680"/>
      <c r="AG22" s="680"/>
      <c r="AH22" s="680"/>
      <c r="AI22" s="680"/>
      <c r="AJ22" s="676"/>
      <c r="AK22" s="676"/>
      <c r="AL22" s="681"/>
    </row>
    <row r="23">
      <c r="A23" s="685" t="s">
        <v>1408</v>
      </c>
      <c r="B23" s="685" t="s">
        <v>1409</v>
      </c>
      <c r="C23" s="685" t="s">
        <v>1414</v>
      </c>
      <c r="D23" s="685" t="s">
        <v>1391</v>
      </c>
      <c r="E23" s="686">
        <v>22900.0</v>
      </c>
      <c r="F23" s="685" t="s">
        <v>1421</v>
      </c>
      <c r="G23" s="687"/>
      <c r="H23" s="688"/>
      <c r="I23" s="685" t="s">
        <v>1422</v>
      </c>
      <c r="J23" s="689">
        <v>1.0</v>
      </c>
      <c r="K23" s="689">
        <v>0.0</v>
      </c>
      <c r="L23" s="689">
        <v>0.0</v>
      </c>
      <c r="M23" s="689">
        <v>0.0</v>
      </c>
      <c r="N23" s="686">
        <v>18620.0</v>
      </c>
      <c r="O23" s="686">
        <v>18620.0</v>
      </c>
      <c r="P23" s="686">
        <v>0.0</v>
      </c>
      <c r="Q23" s="686">
        <v>0.0</v>
      </c>
      <c r="R23" s="686">
        <v>18620.0</v>
      </c>
      <c r="S23" s="686">
        <v>0.0</v>
      </c>
      <c r="T23" s="686">
        <v>0.0</v>
      </c>
      <c r="U23" s="690">
        <v>0.0</v>
      </c>
      <c r="V23" s="678"/>
      <c r="W23" s="679"/>
      <c r="X23" s="679"/>
      <c r="Y23" s="679"/>
      <c r="Z23" s="679"/>
      <c r="AA23" s="679"/>
      <c r="AB23" s="679"/>
      <c r="AC23" s="678"/>
      <c r="AD23" s="678"/>
      <c r="AE23" s="680"/>
      <c r="AF23" s="680"/>
      <c r="AG23" s="680"/>
      <c r="AH23" s="680"/>
      <c r="AI23" s="680"/>
      <c r="AJ23" s="676"/>
      <c r="AK23" s="676"/>
      <c r="AL23" s="680"/>
    </row>
    <row r="24">
      <c r="A24" s="685" t="s">
        <v>1408</v>
      </c>
      <c r="B24" s="685" t="s">
        <v>1409</v>
      </c>
      <c r="C24" s="685" t="s">
        <v>1414</v>
      </c>
      <c r="D24" s="685" t="s">
        <v>1391</v>
      </c>
      <c r="E24" s="686">
        <v>27900.0</v>
      </c>
      <c r="F24" s="691" t="s">
        <v>1423</v>
      </c>
      <c r="G24" s="687"/>
      <c r="H24" s="688"/>
      <c r="I24" s="685" t="s">
        <v>1424</v>
      </c>
      <c r="J24" s="689">
        <v>2.0</v>
      </c>
      <c r="K24" s="689">
        <v>0.0</v>
      </c>
      <c r="L24" s="689">
        <v>0.0</v>
      </c>
      <c r="M24" s="689">
        <v>0.0</v>
      </c>
      <c r="N24" s="686">
        <v>22685.0</v>
      </c>
      <c r="O24" s="686">
        <v>45370.0</v>
      </c>
      <c r="P24" s="686">
        <v>0.0</v>
      </c>
      <c r="Q24" s="686">
        <v>0.0</v>
      </c>
      <c r="R24" s="686">
        <v>45370.0</v>
      </c>
      <c r="S24" s="686">
        <v>0.0</v>
      </c>
      <c r="T24" s="686">
        <v>0.0</v>
      </c>
      <c r="U24" s="690">
        <v>0.0</v>
      </c>
      <c r="V24" s="678"/>
      <c r="W24" s="679"/>
      <c r="X24" s="679"/>
      <c r="Y24" s="679"/>
      <c r="Z24" s="679"/>
      <c r="AA24" s="679"/>
      <c r="AB24" s="679"/>
      <c r="AC24" s="678"/>
      <c r="AD24" s="678"/>
      <c r="AE24" s="681"/>
      <c r="AF24" s="680"/>
      <c r="AG24" s="680"/>
      <c r="AH24" s="680"/>
      <c r="AI24" s="680"/>
      <c r="AJ24" s="676"/>
      <c r="AK24" s="676"/>
      <c r="AL24" s="681"/>
    </row>
    <row r="25">
      <c r="A25" s="685" t="s">
        <v>1408</v>
      </c>
      <c r="B25" s="685" t="s">
        <v>1409</v>
      </c>
      <c r="C25" s="685" t="s">
        <v>1414</v>
      </c>
      <c r="D25" s="685" t="s">
        <v>1391</v>
      </c>
      <c r="E25" s="686">
        <v>28900.0</v>
      </c>
      <c r="F25" s="685" t="s">
        <v>790</v>
      </c>
      <c r="G25" s="687"/>
      <c r="H25" s="688"/>
      <c r="I25" s="685" t="s">
        <v>1425</v>
      </c>
      <c r="J25" s="689">
        <v>1.0</v>
      </c>
      <c r="K25" s="689">
        <v>0.0</v>
      </c>
      <c r="L25" s="689">
        <v>0.0</v>
      </c>
      <c r="M25" s="689">
        <v>0.0</v>
      </c>
      <c r="N25" s="686">
        <v>23498.0</v>
      </c>
      <c r="O25" s="686">
        <v>23498.0</v>
      </c>
      <c r="P25" s="686">
        <v>23498.0</v>
      </c>
      <c r="Q25" s="686">
        <v>0.0</v>
      </c>
      <c r="R25" s="686">
        <v>0.0</v>
      </c>
      <c r="S25" s="686">
        <v>0.0</v>
      </c>
      <c r="T25" s="686">
        <v>0.0</v>
      </c>
      <c r="U25" s="690">
        <v>0.0</v>
      </c>
      <c r="V25" s="678"/>
      <c r="W25" s="679"/>
      <c r="X25" s="679"/>
      <c r="Y25" s="679"/>
      <c r="Z25" s="679"/>
      <c r="AA25" s="679"/>
      <c r="AB25" s="679"/>
      <c r="AC25" s="678"/>
      <c r="AD25" s="678"/>
      <c r="AE25" s="679"/>
      <c r="AF25" s="680"/>
      <c r="AG25" s="680"/>
      <c r="AH25" s="680"/>
      <c r="AI25" s="680"/>
      <c r="AJ25" s="676"/>
      <c r="AK25" s="676"/>
      <c r="AL25" s="679"/>
    </row>
    <row r="26">
      <c r="A26" s="685" t="s">
        <v>1408</v>
      </c>
      <c r="B26" s="685" t="s">
        <v>1409</v>
      </c>
      <c r="C26" s="685" t="s">
        <v>1414</v>
      </c>
      <c r="D26" s="685" t="s">
        <v>1391</v>
      </c>
      <c r="E26" s="686">
        <v>48900.0</v>
      </c>
      <c r="F26" s="685" t="s">
        <v>722</v>
      </c>
      <c r="G26" s="687"/>
      <c r="H26" s="688"/>
      <c r="I26" s="685" t="s">
        <v>1426</v>
      </c>
      <c r="J26" s="689">
        <v>3.0</v>
      </c>
      <c r="K26" s="689">
        <v>0.0</v>
      </c>
      <c r="L26" s="689">
        <v>0.0</v>
      </c>
      <c r="M26" s="689">
        <v>0.0</v>
      </c>
      <c r="N26" s="686">
        <v>39760.0</v>
      </c>
      <c r="O26" s="686">
        <v>119280.0</v>
      </c>
      <c r="P26" s="686">
        <v>39760.0</v>
      </c>
      <c r="Q26" s="686">
        <v>79520.0</v>
      </c>
      <c r="R26" s="686">
        <v>0.0</v>
      </c>
      <c r="S26" s="686">
        <v>0.0</v>
      </c>
      <c r="T26" s="686">
        <v>0.0</v>
      </c>
      <c r="U26" s="690">
        <v>0.0</v>
      </c>
      <c r="V26" s="678"/>
      <c r="W26" s="679"/>
      <c r="X26" s="679"/>
      <c r="Y26" s="679"/>
      <c r="Z26" s="679"/>
      <c r="AA26" s="679"/>
      <c r="AB26" s="679"/>
      <c r="AC26" s="678"/>
      <c r="AD26" s="678"/>
      <c r="AE26" s="679"/>
      <c r="AF26" s="680"/>
      <c r="AG26" s="680"/>
      <c r="AH26" s="680"/>
      <c r="AI26" s="680"/>
      <c r="AJ26" s="676"/>
      <c r="AK26" s="676"/>
      <c r="AL26" s="679"/>
    </row>
    <row r="27">
      <c r="A27" s="685" t="s">
        <v>1427</v>
      </c>
      <c r="B27" s="685" t="s">
        <v>1428</v>
      </c>
      <c r="C27" s="685" t="s">
        <v>1429</v>
      </c>
      <c r="D27" s="685" t="s">
        <v>1391</v>
      </c>
      <c r="E27" s="686">
        <v>7990.0</v>
      </c>
      <c r="F27" s="685" t="s">
        <v>1430</v>
      </c>
      <c r="G27" s="687"/>
      <c r="H27" s="687"/>
      <c r="I27" s="685" t="s">
        <v>1431</v>
      </c>
      <c r="J27" s="689">
        <v>1.0</v>
      </c>
      <c r="K27" s="689">
        <v>0.0</v>
      </c>
      <c r="L27" s="689">
        <v>0.0</v>
      </c>
      <c r="M27" s="689">
        <v>0.0</v>
      </c>
      <c r="N27" s="686">
        <v>3105.0</v>
      </c>
      <c r="O27" s="686">
        <v>3105.0</v>
      </c>
      <c r="P27" s="686">
        <v>0.0</v>
      </c>
      <c r="Q27" s="686">
        <v>0.0</v>
      </c>
      <c r="R27" s="686">
        <v>0.0</v>
      </c>
      <c r="S27" s="686">
        <v>3105.0</v>
      </c>
      <c r="T27" s="686">
        <v>0.0</v>
      </c>
      <c r="U27" s="690">
        <v>0.0</v>
      </c>
      <c r="V27" s="694"/>
      <c r="W27" s="679"/>
      <c r="X27" s="679"/>
      <c r="Y27" s="679"/>
      <c r="Z27" s="679"/>
      <c r="AA27" s="679"/>
      <c r="AB27" s="679"/>
      <c r="AC27" s="678"/>
      <c r="AD27" s="678"/>
      <c r="AE27" s="681"/>
      <c r="AF27" s="680"/>
      <c r="AG27" s="680"/>
      <c r="AH27" s="680"/>
      <c r="AI27" s="680"/>
      <c r="AJ27" s="676"/>
      <c r="AK27" s="676"/>
      <c r="AL27" s="681"/>
    </row>
    <row r="28">
      <c r="A28" s="685" t="s">
        <v>1432</v>
      </c>
      <c r="B28" s="685" t="s">
        <v>1433</v>
      </c>
      <c r="C28" s="685" t="s">
        <v>1434</v>
      </c>
      <c r="D28" s="685" t="s">
        <v>1391</v>
      </c>
      <c r="E28" s="686">
        <v>1990.0</v>
      </c>
      <c r="F28" s="685" t="s">
        <v>1435</v>
      </c>
      <c r="G28" s="687"/>
      <c r="H28" s="687"/>
      <c r="I28" s="685" t="s">
        <v>1436</v>
      </c>
      <c r="J28" s="689">
        <v>1.0</v>
      </c>
      <c r="K28" s="689">
        <v>0.0</v>
      </c>
      <c r="L28" s="689">
        <v>0.0</v>
      </c>
      <c r="M28" s="689">
        <v>0.0</v>
      </c>
      <c r="N28" s="686">
        <v>1645.0</v>
      </c>
      <c r="O28" s="686">
        <v>1645.0</v>
      </c>
      <c r="P28" s="689">
        <v>0.0</v>
      </c>
      <c r="Q28" s="686">
        <v>0.0</v>
      </c>
      <c r="R28" s="686">
        <v>0.0</v>
      </c>
      <c r="S28" s="686">
        <v>1645.0</v>
      </c>
      <c r="T28" s="686">
        <v>0.0</v>
      </c>
      <c r="U28" s="690">
        <v>0.0</v>
      </c>
      <c r="V28" s="678"/>
      <c r="W28" s="679"/>
      <c r="X28" s="679"/>
      <c r="Y28" s="679"/>
      <c r="Z28" s="679"/>
      <c r="AA28" s="679"/>
      <c r="AB28" s="679"/>
      <c r="AC28" s="678"/>
      <c r="AD28" s="678"/>
      <c r="AE28" s="681"/>
      <c r="AF28" s="680"/>
      <c r="AG28" s="680"/>
      <c r="AH28" s="680"/>
      <c r="AI28" s="680"/>
      <c r="AJ28" s="676"/>
      <c r="AK28" s="676"/>
      <c r="AL28" s="681"/>
    </row>
    <row r="29">
      <c r="A29" s="685" t="s">
        <v>1432</v>
      </c>
      <c r="B29" s="685" t="s">
        <v>1433</v>
      </c>
      <c r="C29" s="685" t="s">
        <v>1437</v>
      </c>
      <c r="D29" s="685" t="s">
        <v>1438</v>
      </c>
      <c r="E29" s="686">
        <v>999.0</v>
      </c>
      <c r="F29" s="691">
        <v>6.975061531234E12</v>
      </c>
      <c r="G29" s="687"/>
      <c r="H29" s="687"/>
      <c r="I29" s="685" t="s">
        <v>1439</v>
      </c>
      <c r="J29" s="689">
        <v>1.0</v>
      </c>
      <c r="K29" s="689">
        <v>0.0</v>
      </c>
      <c r="L29" s="689">
        <v>0.0</v>
      </c>
      <c r="M29" s="689">
        <v>0.0</v>
      </c>
      <c r="N29" s="686">
        <v>700.0</v>
      </c>
      <c r="O29" s="686">
        <v>700.0</v>
      </c>
      <c r="P29" s="686">
        <v>0.0</v>
      </c>
      <c r="Q29" s="686">
        <v>0.0</v>
      </c>
      <c r="R29" s="686">
        <v>0.0</v>
      </c>
      <c r="S29" s="686">
        <v>0.0</v>
      </c>
      <c r="T29" s="689">
        <v>0.0</v>
      </c>
      <c r="U29" s="690">
        <v>700.0</v>
      </c>
      <c r="V29" s="694"/>
      <c r="W29" s="679"/>
      <c r="X29" s="679"/>
      <c r="Y29" s="679"/>
      <c r="Z29" s="679"/>
      <c r="AA29" s="679"/>
      <c r="AB29" s="679"/>
      <c r="AC29" s="678"/>
      <c r="AD29" s="678"/>
      <c r="AE29" s="679"/>
      <c r="AF29" s="680"/>
      <c r="AG29" s="680"/>
      <c r="AH29" s="680"/>
      <c r="AI29" s="680"/>
      <c r="AJ29" s="676"/>
      <c r="AK29" s="676"/>
      <c r="AL29" s="679"/>
    </row>
    <row r="30">
      <c r="A30" s="685" t="s">
        <v>1432</v>
      </c>
      <c r="B30" s="685" t="s">
        <v>1433</v>
      </c>
      <c r="C30" s="685" t="s">
        <v>1437</v>
      </c>
      <c r="D30" s="685" t="s">
        <v>1438</v>
      </c>
      <c r="E30" s="686">
        <v>999.0</v>
      </c>
      <c r="F30" s="691">
        <v>6.975061531258E12</v>
      </c>
      <c r="G30" s="687"/>
      <c r="H30" s="688"/>
      <c r="I30" s="685" t="s">
        <v>1442</v>
      </c>
      <c r="J30" s="689">
        <v>2.0</v>
      </c>
      <c r="K30" s="689">
        <v>0.0</v>
      </c>
      <c r="L30" s="689">
        <v>0.0</v>
      </c>
      <c r="M30" s="689">
        <v>0.0</v>
      </c>
      <c r="N30" s="686">
        <v>700.0</v>
      </c>
      <c r="O30" s="686">
        <v>1400.0</v>
      </c>
      <c r="P30" s="686">
        <v>0.0</v>
      </c>
      <c r="Q30" s="686">
        <v>0.0</v>
      </c>
      <c r="R30" s="686">
        <v>0.0</v>
      </c>
      <c r="S30" s="686">
        <v>0.0</v>
      </c>
      <c r="T30" s="689">
        <v>700.0</v>
      </c>
      <c r="U30" s="690">
        <v>700.0</v>
      </c>
      <c r="V30" s="694"/>
      <c r="W30" s="679"/>
      <c r="X30" s="679"/>
      <c r="Y30" s="679"/>
      <c r="Z30" s="679"/>
      <c r="AA30" s="679"/>
      <c r="AB30" s="679"/>
      <c r="AC30" s="678"/>
      <c r="AD30" s="678"/>
      <c r="AE30" s="679"/>
      <c r="AF30" s="680"/>
      <c r="AG30" s="680"/>
      <c r="AH30" s="680"/>
      <c r="AI30" s="680"/>
      <c r="AJ30" s="676"/>
      <c r="AK30" s="676"/>
      <c r="AL30" s="679"/>
    </row>
    <row r="31">
      <c r="A31" s="685" t="s">
        <v>1432</v>
      </c>
      <c r="B31" s="685" t="s">
        <v>1433</v>
      </c>
      <c r="C31" s="685" t="s">
        <v>1437</v>
      </c>
      <c r="D31" s="685" t="s">
        <v>1438</v>
      </c>
      <c r="E31" s="686">
        <v>689.0</v>
      </c>
      <c r="F31" s="691">
        <v>6.975061532576E12</v>
      </c>
      <c r="G31" s="687"/>
      <c r="H31" s="688"/>
      <c r="I31" s="685" t="s">
        <v>1443</v>
      </c>
      <c r="J31" s="689">
        <v>2.0</v>
      </c>
      <c r="K31" s="689">
        <v>0.0</v>
      </c>
      <c r="L31" s="689">
        <v>0.0</v>
      </c>
      <c r="M31" s="689">
        <v>0.0</v>
      </c>
      <c r="N31" s="686">
        <v>483.18</v>
      </c>
      <c r="O31" s="686">
        <v>966.36</v>
      </c>
      <c r="P31" s="686">
        <v>0.0</v>
      </c>
      <c r="Q31" s="686">
        <v>0.0</v>
      </c>
      <c r="R31" s="686">
        <v>966.36</v>
      </c>
      <c r="S31" s="686">
        <v>0.0</v>
      </c>
      <c r="T31" s="686">
        <v>0.0</v>
      </c>
      <c r="U31" s="690">
        <v>0.0</v>
      </c>
      <c r="V31" s="694"/>
      <c r="W31" s="679"/>
      <c r="X31" s="679"/>
      <c r="Y31" s="679"/>
      <c r="Z31" s="679"/>
      <c r="AA31" s="679"/>
      <c r="AB31" s="679"/>
      <c r="AC31" s="678"/>
      <c r="AD31" s="678"/>
      <c r="AE31" s="680"/>
      <c r="AF31" s="681"/>
      <c r="AG31" s="681"/>
      <c r="AH31" s="681"/>
      <c r="AI31" s="681"/>
      <c r="AJ31" s="676"/>
      <c r="AK31" s="676"/>
      <c r="AL31" s="681"/>
    </row>
    <row r="32">
      <c r="A32" s="685" t="s">
        <v>1432</v>
      </c>
      <c r="B32" s="685" t="s">
        <v>1433</v>
      </c>
      <c r="C32" s="685" t="s">
        <v>1437</v>
      </c>
      <c r="D32" s="685" t="s">
        <v>1438</v>
      </c>
      <c r="E32" s="686">
        <v>689.0</v>
      </c>
      <c r="F32" s="685">
        <v>6.975061532583E12</v>
      </c>
      <c r="G32" s="687"/>
      <c r="H32" s="688"/>
      <c r="I32" s="685" t="s">
        <v>1444</v>
      </c>
      <c r="J32" s="689">
        <v>2.0</v>
      </c>
      <c r="K32" s="689">
        <v>0.0</v>
      </c>
      <c r="L32" s="689">
        <v>0.0</v>
      </c>
      <c r="M32" s="689">
        <v>0.0</v>
      </c>
      <c r="N32" s="686">
        <v>465.42</v>
      </c>
      <c r="O32" s="686">
        <v>930.84</v>
      </c>
      <c r="P32" s="686">
        <v>0.0</v>
      </c>
      <c r="Q32" s="686">
        <v>0.0</v>
      </c>
      <c r="R32" s="686">
        <v>483.18</v>
      </c>
      <c r="S32" s="686">
        <v>0.0</v>
      </c>
      <c r="T32" s="689">
        <v>0.0</v>
      </c>
      <c r="U32" s="690">
        <v>447.66</v>
      </c>
      <c r="V32" s="678"/>
      <c r="W32" s="679"/>
      <c r="X32" s="679"/>
      <c r="Y32" s="679"/>
      <c r="Z32" s="679"/>
      <c r="AA32" s="679"/>
      <c r="AB32" s="679"/>
      <c r="AC32" s="678"/>
      <c r="AD32" s="678"/>
      <c r="AE32" s="680"/>
      <c r="AF32" s="679"/>
      <c r="AG32" s="679"/>
      <c r="AH32" s="679"/>
      <c r="AI32" s="679"/>
      <c r="AJ32" s="676"/>
      <c r="AK32" s="676"/>
      <c r="AL32" s="679"/>
    </row>
    <row r="33">
      <c r="A33" s="685" t="s">
        <v>1432</v>
      </c>
      <c r="B33" s="685" t="s">
        <v>1433</v>
      </c>
      <c r="C33" s="685" t="s">
        <v>1437</v>
      </c>
      <c r="D33" s="685" t="s">
        <v>1438</v>
      </c>
      <c r="E33" s="686">
        <v>689.0</v>
      </c>
      <c r="F33" s="692" t="s">
        <v>1445</v>
      </c>
      <c r="G33" s="693"/>
      <c r="H33" s="688"/>
      <c r="I33" s="685" t="s">
        <v>1446</v>
      </c>
      <c r="J33" s="689">
        <v>2.0</v>
      </c>
      <c r="K33" s="689">
        <v>0.0</v>
      </c>
      <c r="L33" s="689">
        <v>0.0</v>
      </c>
      <c r="M33" s="689">
        <v>0.0</v>
      </c>
      <c r="N33" s="686">
        <v>483.18</v>
      </c>
      <c r="O33" s="686">
        <v>966.36</v>
      </c>
      <c r="P33" s="686">
        <v>0.0</v>
      </c>
      <c r="Q33" s="686">
        <v>0.0</v>
      </c>
      <c r="R33" s="686">
        <v>966.36</v>
      </c>
      <c r="S33" s="686">
        <v>0.0</v>
      </c>
      <c r="T33" s="686">
        <v>0.0</v>
      </c>
      <c r="U33" s="690">
        <v>0.0</v>
      </c>
      <c r="V33" s="678"/>
      <c r="W33" s="679"/>
      <c r="X33" s="679"/>
      <c r="Y33" s="679"/>
      <c r="Z33" s="679"/>
      <c r="AA33" s="679"/>
      <c r="AB33" s="679"/>
      <c r="AC33" s="678"/>
      <c r="AD33" s="678"/>
      <c r="AE33" s="680"/>
      <c r="AF33" s="681"/>
      <c r="AG33" s="681"/>
      <c r="AH33" s="681"/>
      <c r="AI33" s="681"/>
      <c r="AJ33" s="676"/>
      <c r="AK33" s="676"/>
      <c r="AL33" s="681"/>
    </row>
    <row r="34">
      <c r="A34" s="685" t="s">
        <v>1447</v>
      </c>
      <c r="B34" s="685" t="s">
        <v>1448</v>
      </c>
      <c r="C34" s="685" t="s">
        <v>1449</v>
      </c>
      <c r="D34" s="685" t="s">
        <v>1450</v>
      </c>
      <c r="E34" s="686">
        <v>1090.0</v>
      </c>
      <c r="F34" s="685">
        <v>6.941876222087E12</v>
      </c>
      <c r="G34" s="687"/>
      <c r="H34" s="687"/>
      <c r="I34" s="685" t="s">
        <v>1451</v>
      </c>
      <c r="J34" s="689">
        <v>2.0</v>
      </c>
      <c r="K34" s="689">
        <v>0.0</v>
      </c>
      <c r="L34" s="689">
        <v>0.0</v>
      </c>
      <c r="M34" s="689">
        <v>0.0</v>
      </c>
      <c r="N34" s="689">
        <v>611.22</v>
      </c>
      <c r="O34" s="686">
        <v>1222.44</v>
      </c>
      <c r="P34" s="689">
        <v>0.0</v>
      </c>
      <c r="Q34" s="686">
        <v>0.0</v>
      </c>
      <c r="R34" s="686">
        <v>0.0</v>
      </c>
      <c r="S34" s="686">
        <v>0.0</v>
      </c>
      <c r="T34" s="686">
        <v>0.0</v>
      </c>
      <c r="U34" s="690">
        <v>1222.44</v>
      </c>
      <c r="V34" s="678"/>
      <c r="W34" s="679"/>
      <c r="X34" s="679"/>
      <c r="Y34" s="679"/>
      <c r="Z34" s="679"/>
      <c r="AA34" s="679"/>
      <c r="AB34" s="679"/>
      <c r="AC34" s="678"/>
      <c r="AD34" s="678"/>
      <c r="AE34" s="680"/>
      <c r="AF34" s="681"/>
      <c r="AG34" s="681"/>
      <c r="AH34" s="681"/>
      <c r="AI34" s="681"/>
      <c r="AJ34" s="676"/>
      <c r="AK34" s="676"/>
      <c r="AL34" s="681"/>
    </row>
    <row r="35">
      <c r="A35" s="685" t="s">
        <v>1447</v>
      </c>
      <c r="B35" s="685" t="s">
        <v>1448</v>
      </c>
      <c r="C35" s="685" t="s">
        <v>1449</v>
      </c>
      <c r="D35" s="685" t="s">
        <v>1450</v>
      </c>
      <c r="E35" s="686">
        <v>1090.0</v>
      </c>
      <c r="F35" s="685">
        <v>6.941876258628E12</v>
      </c>
      <c r="G35" s="687"/>
      <c r="H35" s="688"/>
      <c r="I35" s="685" t="s">
        <v>1452</v>
      </c>
      <c r="J35" s="689">
        <v>2.0</v>
      </c>
      <c r="K35" s="689">
        <v>0.0</v>
      </c>
      <c r="L35" s="689">
        <v>0.0</v>
      </c>
      <c r="M35" s="689">
        <v>0.0</v>
      </c>
      <c r="N35" s="686">
        <v>611.22</v>
      </c>
      <c r="O35" s="686">
        <v>1222.44</v>
      </c>
      <c r="P35" s="686">
        <v>0.0</v>
      </c>
      <c r="Q35" s="686">
        <v>0.0</v>
      </c>
      <c r="R35" s="686">
        <v>0.0</v>
      </c>
      <c r="S35" s="686">
        <v>0.0</v>
      </c>
      <c r="T35" s="686">
        <v>0.0</v>
      </c>
      <c r="U35" s="690">
        <v>1222.44</v>
      </c>
      <c r="V35" s="678"/>
      <c r="W35" s="679"/>
      <c r="X35" s="679"/>
      <c r="Y35" s="679"/>
      <c r="Z35" s="679"/>
      <c r="AA35" s="679"/>
      <c r="AB35" s="679"/>
      <c r="AC35" s="678"/>
      <c r="AD35" s="678"/>
      <c r="AE35" s="680"/>
      <c r="AF35" s="679"/>
      <c r="AG35" s="679"/>
      <c r="AH35" s="679"/>
      <c r="AI35" s="679"/>
      <c r="AJ35" s="676"/>
      <c r="AK35" s="676"/>
      <c r="AL35" s="679"/>
    </row>
    <row r="36">
      <c r="A36" s="685" t="s">
        <v>1447</v>
      </c>
      <c r="B36" s="685" t="s">
        <v>1448</v>
      </c>
      <c r="C36" s="685" t="s">
        <v>1449</v>
      </c>
      <c r="D36" s="685" t="s">
        <v>1453</v>
      </c>
      <c r="E36" s="686">
        <v>1190.0</v>
      </c>
      <c r="F36" s="685">
        <v>4.89422207516E12</v>
      </c>
      <c r="G36" s="685" t="s">
        <v>1454</v>
      </c>
      <c r="H36" s="688"/>
      <c r="I36" s="685" t="s">
        <v>1455</v>
      </c>
      <c r="J36" s="689">
        <v>1.0</v>
      </c>
      <c r="K36" s="689">
        <v>0.0</v>
      </c>
      <c r="L36" s="689">
        <v>1.0</v>
      </c>
      <c r="M36" s="689">
        <v>0.0</v>
      </c>
      <c r="N36" s="686">
        <v>778.5</v>
      </c>
      <c r="O36" s="686">
        <v>778.5</v>
      </c>
      <c r="P36" s="686">
        <v>0.0</v>
      </c>
      <c r="Q36" s="686">
        <v>0.0</v>
      </c>
      <c r="R36" s="686">
        <v>0.0</v>
      </c>
      <c r="S36" s="686">
        <v>778.5</v>
      </c>
      <c r="T36" s="686">
        <v>0.0</v>
      </c>
      <c r="U36" s="690">
        <v>0.0</v>
      </c>
      <c r="V36" s="678"/>
      <c r="W36" s="679"/>
      <c r="X36" s="679"/>
      <c r="Y36" s="679"/>
      <c r="Z36" s="679"/>
      <c r="AA36" s="679"/>
      <c r="AB36" s="679"/>
      <c r="AC36" s="678"/>
      <c r="AD36" s="678"/>
      <c r="AE36" s="680"/>
      <c r="AF36" s="679"/>
      <c r="AG36" s="679"/>
      <c r="AH36" s="679"/>
      <c r="AI36" s="679"/>
      <c r="AJ36" s="676"/>
      <c r="AK36" s="676"/>
      <c r="AL36" s="679"/>
    </row>
    <row r="37">
      <c r="A37" s="685" t="s">
        <v>1447</v>
      </c>
      <c r="B37" s="685" t="s">
        <v>1448</v>
      </c>
      <c r="C37" s="685" t="s">
        <v>1449</v>
      </c>
      <c r="D37" s="685" t="s">
        <v>1453</v>
      </c>
      <c r="E37" s="686">
        <v>1190.0</v>
      </c>
      <c r="F37" s="685">
        <v>4.894222075184E12</v>
      </c>
      <c r="G37" s="685" t="s">
        <v>1456</v>
      </c>
      <c r="H37" s="688"/>
      <c r="I37" s="685" t="s">
        <v>1457</v>
      </c>
      <c r="J37" s="689">
        <v>1.0</v>
      </c>
      <c r="K37" s="689">
        <v>0.0</v>
      </c>
      <c r="L37" s="689">
        <v>1.0</v>
      </c>
      <c r="M37" s="689">
        <v>0.0</v>
      </c>
      <c r="N37" s="686">
        <v>778.5</v>
      </c>
      <c r="O37" s="686">
        <v>778.5</v>
      </c>
      <c r="P37" s="686">
        <v>0.0</v>
      </c>
      <c r="Q37" s="686">
        <v>0.0</v>
      </c>
      <c r="R37" s="686">
        <v>0.0</v>
      </c>
      <c r="S37" s="686">
        <v>778.5</v>
      </c>
      <c r="T37" s="686">
        <v>0.0</v>
      </c>
      <c r="U37" s="690">
        <v>0.0</v>
      </c>
      <c r="V37" s="678"/>
      <c r="W37" s="679"/>
      <c r="X37" s="679"/>
      <c r="Y37" s="679"/>
      <c r="Z37" s="679"/>
      <c r="AA37" s="679"/>
      <c r="AB37" s="679"/>
      <c r="AC37" s="678"/>
      <c r="AD37" s="678"/>
      <c r="AE37" s="680"/>
      <c r="AF37" s="681"/>
      <c r="AG37" s="681"/>
      <c r="AH37" s="681"/>
      <c r="AI37" s="681"/>
      <c r="AJ37" s="676"/>
      <c r="AK37" s="676"/>
      <c r="AL37" s="681"/>
    </row>
    <row r="38">
      <c r="A38" s="685" t="s">
        <v>1447</v>
      </c>
      <c r="B38" s="685" t="s">
        <v>1448</v>
      </c>
      <c r="C38" s="685" t="s">
        <v>1449</v>
      </c>
      <c r="D38" s="685" t="s">
        <v>1458</v>
      </c>
      <c r="E38" s="686">
        <v>1990.0</v>
      </c>
      <c r="F38" s="685">
        <v>6.902957323888E12</v>
      </c>
      <c r="G38" s="685" t="s">
        <v>1459</v>
      </c>
      <c r="H38" s="688"/>
      <c r="I38" s="685" t="s">
        <v>1460</v>
      </c>
      <c r="J38" s="689">
        <v>2.0</v>
      </c>
      <c r="K38" s="689">
        <v>0.0</v>
      </c>
      <c r="L38" s="689">
        <v>0.0</v>
      </c>
      <c r="M38" s="689">
        <v>0.0</v>
      </c>
      <c r="N38" s="686">
        <v>1208.88</v>
      </c>
      <c r="O38" s="686">
        <v>2417.76</v>
      </c>
      <c r="P38" s="686">
        <v>0.0</v>
      </c>
      <c r="Q38" s="686">
        <v>1208.88</v>
      </c>
      <c r="R38" s="686">
        <v>0.0</v>
      </c>
      <c r="S38" s="686">
        <v>1208.88</v>
      </c>
      <c r="T38" s="686">
        <v>0.0</v>
      </c>
      <c r="U38" s="690">
        <v>0.0</v>
      </c>
      <c r="V38" s="678"/>
      <c r="W38" s="679"/>
      <c r="X38" s="679"/>
      <c r="Y38" s="679"/>
      <c r="Z38" s="679"/>
      <c r="AA38" s="679"/>
      <c r="AB38" s="679"/>
      <c r="AC38" s="678"/>
      <c r="AD38" s="678"/>
      <c r="AE38" s="681"/>
      <c r="AF38" s="681"/>
      <c r="AG38" s="681"/>
      <c r="AH38" s="681"/>
      <c r="AI38" s="681"/>
      <c r="AJ38" s="676"/>
      <c r="AK38" s="676"/>
      <c r="AL38" s="681"/>
    </row>
    <row r="39">
      <c r="A39" s="685" t="s">
        <v>1447</v>
      </c>
      <c r="B39" s="685" t="s">
        <v>1461</v>
      </c>
      <c r="C39" s="685" t="s">
        <v>1462</v>
      </c>
      <c r="D39" s="685" t="s">
        <v>1463</v>
      </c>
      <c r="E39" s="686">
        <v>1090.0</v>
      </c>
      <c r="F39" s="685">
        <v>4.710343478157E12</v>
      </c>
      <c r="G39" s="685" t="s">
        <v>1464</v>
      </c>
      <c r="H39" s="688"/>
      <c r="I39" s="685" t="s">
        <v>1465</v>
      </c>
      <c r="J39" s="689">
        <v>3.0</v>
      </c>
      <c r="K39" s="689">
        <v>0.0</v>
      </c>
      <c r="L39" s="689">
        <v>0.0</v>
      </c>
      <c r="M39" s="689">
        <v>0.0</v>
      </c>
      <c r="N39" s="686">
        <v>413.55</v>
      </c>
      <c r="O39" s="686">
        <v>1240.65</v>
      </c>
      <c r="P39" s="686">
        <v>0.0</v>
      </c>
      <c r="Q39" s="686">
        <v>1240.65</v>
      </c>
      <c r="R39" s="686">
        <v>0.0</v>
      </c>
      <c r="S39" s="686">
        <v>0.0</v>
      </c>
      <c r="T39" s="686">
        <v>0.0</v>
      </c>
      <c r="U39" s="690">
        <v>0.0</v>
      </c>
      <c r="V39" s="678"/>
      <c r="W39" s="679"/>
      <c r="X39" s="679"/>
      <c r="Y39" s="679"/>
      <c r="Z39" s="679"/>
      <c r="AA39" s="679"/>
      <c r="AB39" s="679"/>
      <c r="AC39" s="678"/>
      <c r="AD39" s="678"/>
      <c r="AE39" s="681"/>
      <c r="AF39" s="681"/>
      <c r="AG39" s="681"/>
      <c r="AH39" s="681"/>
      <c r="AI39" s="681"/>
      <c r="AJ39" s="676"/>
      <c r="AK39" s="676"/>
      <c r="AL39" s="681"/>
    </row>
    <row r="40">
      <c r="A40" s="685" t="s">
        <v>1447</v>
      </c>
      <c r="B40" s="685" t="s">
        <v>1461</v>
      </c>
      <c r="C40" s="685" t="s">
        <v>1462</v>
      </c>
      <c r="D40" s="685" t="s">
        <v>1463</v>
      </c>
      <c r="E40" s="686">
        <v>1090.0</v>
      </c>
      <c r="F40" s="685">
        <v>4.710343478164E12</v>
      </c>
      <c r="G40" s="685" t="s">
        <v>1466</v>
      </c>
      <c r="H40" s="688"/>
      <c r="I40" s="685" t="s">
        <v>1467</v>
      </c>
      <c r="J40" s="689">
        <v>10.0</v>
      </c>
      <c r="K40" s="689">
        <v>0.0</v>
      </c>
      <c r="L40" s="689">
        <v>0.0</v>
      </c>
      <c r="M40" s="689">
        <v>0.0</v>
      </c>
      <c r="N40" s="686">
        <v>413.55</v>
      </c>
      <c r="O40" s="686">
        <v>4135.5</v>
      </c>
      <c r="P40" s="686">
        <v>0.0</v>
      </c>
      <c r="Q40" s="686">
        <v>4135.5</v>
      </c>
      <c r="R40" s="686">
        <v>0.0</v>
      </c>
      <c r="S40" s="686">
        <v>0.0</v>
      </c>
      <c r="T40" s="686">
        <v>0.0</v>
      </c>
      <c r="U40" s="690">
        <v>0.0</v>
      </c>
      <c r="V40" s="678"/>
      <c r="W40" s="679"/>
      <c r="X40" s="679"/>
      <c r="Y40" s="679"/>
      <c r="Z40" s="679"/>
      <c r="AA40" s="679"/>
      <c r="AB40" s="679"/>
      <c r="AC40" s="678"/>
      <c r="AD40" s="678"/>
      <c r="AE40" s="680"/>
      <c r="AF40" s="679"/>
      <c r="AG40" s="679"/>
      <c r="AH40" s="679"/>
      <c r="AI40" s="679"/>
      <c r="AJ40" s="676"/>
      <c r="AK40" s="676"/>
      <c r="AL40" s="679"/>
    </row>
    <row r="41">
      <c r="A41" s="685" t="s">
        <v>1447</v>
      </c>
      <c r="B41" s="685" t="s">
        <v>1461</v>
      </c>
      <c r="C41" s="685" t="s">
        <v>1462</v>
      </c>
      <c r="D41" s="685" t="s">
        <v>1468</v>
      </c>
      <c r="E41" s="686">
        <v>390.0</v>
      </c>
      <c r="F41" s="685">
        <v>7.4588386708E11</v>
      </c>
      <c r="G41" s="685" t="s">
        <v>1469</v>
      </c>
      <c r="H41" s="688"/>
      <c r="I41" s="685" t="s">
        <v>1470</v>
      </c>
      <c r="J41" s="689">
        <v>4.0</v>
      </c>
      <c r="K41" s="689">
        <v>0.0</v>
      </c>
      <c r="L41" s="689">
        <v>0.0</v>
      </c>
      <c r="M41" s="689">
        <v>0.0</v>
      </c>
      <c r="N41" s="686">
        <v>148.78</v>
      </c>
      <c r="O41" s="686">
        <v>595.12</v>
      </c>
      <c r="P41" s="686">
        <v>0.0</v>
      </c>
      <c r="Q41" s="686">
        <v>595.12</v>
      </c>
      <c r="R41" s="686">
        <v>0.0</v>
      </c>
      <c r="S41" s="686">
        <v>0.0</v>
      </c>
      <c r="T41" s="686">
        <v>0.0</v>
      </c>
      <c r="U41" s="690">
        <v>0.0</v>
      </c>
      <c r="V41" s="678"/>
      <c r="W41" s="679"/>
      <c r="X41" s="679"/>
      <c r="Y41" s="679"/>
      <c r="Z41" s="679"/>
      <c r="AA41" s="679"/>
      <c r="AB41" s="679"/>
      <c r="AC41" s="678"/>
      <c r="AD41" s="678"/>
      <c r="AE41" s="681"/>
      <c r="AF41" s="681"/>
      <c r="AG41" s="681"/>
      <c r="AH41" s="681"/>
      <c r="AI41" s="681"/>
      <c r="AJ41" s="676"/>
      <c r="AK41" s="676"/>
      <c r="AL41" s="681"/>
    </row>
    <row r="42">
      <c r="A42" s="685" t="s">
        <v>1447</v>
      </c>
      <c r="B42" s="685" t="s">
        <v>1461</v>
      </c>
      <c r="C42" s="685" t="s">
        <v>1462</v>
      </c>
      <c r="D42" s="685" t="s">
        <v>1391</v>
      </c>
      <c r="E42" s="686">
        <v>490.0</v>
      </c>
      <c r="F42" s="691" t="s">
        <v>1471</v>
      </c>
      <c r="G42" s="687"/>
      <c r="H42" s="688"/>
      <c r="I42" s="685" t="s">
        <v>1472</v>
      </c>
      <c r="J42" s="689">
        <v>11.0</v>
      </c>
      <c r="K42" s="689">
        <v>0.0</v>
      </c>
      <c r="L42" s="689">
        <v>0.0</v>
      </c>
      <c r="M42" s="689">
        <v>0.0</v>
      </c>
      <c r="N42" s="686">
        <v>343.0</v>
      </c>
      <c r="O42" s="686">
        <v>3773.0</v>
      </c>
      <c r="P42" s="686">
        <v>0.0</v>
      </c>
      <c r="Q42" s="686">
        <v>3773.0</v>
      </c>
      <c r="R42" s="686">
        <v>0.0</v>
      </c>
      <c r="S42" s="686">
        <v>0.0</v>
      </c>
      <c r="T42" s="686">
        <v>0.0</v>
      </c>
      <c r="U42" s="690">
        <v>0.0</v>
      </c>
      <c r="V42" s="678"/>
      <c r="W42" s="679"/>
      <c r="X42" s="679"/>
      <c r="Y42" s="679"/>
      <c r="Z42" s="679"/>
      <c r="AA42" s="679"/>
      <c r="AB42" s="679"/>
      <c r="AC42" s="678"/>
      <c r="AD42" s="678"/>
      <c r="AE42" s="681"/>
      <c r="AF42" s="681"/>
      <c r="AG42" s="681"/>
      <c r="AH42" s="681"/>
      <c r="AI42" s="681"/>
      <c r="AJ42" s="676"/>
      <c r="AK42" s="676"/>
      <c r="AL42" s="681"/>
    </row>
    <row r="43">
      <c r="A43" s="685" t="s">
        <v>1447</v>
      </c>
      <c r="B43" s="685" t="s">
        <v>1461</v>
      </c>
      <c r="C43" s="685" t="s">
        <v>1462</v>
      </c>
      <c r="D43" s="685" t="s">
        <v>1391</v>
      </c>
      <c r="E43" s="686">
        <v>490.0</v>
      </c>
      <c r="F43" s="691" t="s">
        <v>1473</v>
      </c>
      <c r="G43" s="687"/>
      <c r="H43" s="688"/>
      <c r="I43" s="685" t="s">
        <v>1474</v>
      </c>
      <c r="J43" s="689">
        <v>15.0</v>
      </c>
      <c r="K43" s="689">
        <v>0.0</v>
      </c>
      <c r="L43" s="689">
        <v>0.0</v>
      </c>
      <c r="M43" s="689">
        <v>0.0</v>
      </c>
      <c r="N43" s="686">
        <v>343.0</v>
      </c>
      <c r="O43" s="686">
        <v>5145.0</v>
      </c>
      <c r="P43" s="686">
        <v>0.0</v>
      </c>
      <c r="Q43" s="686">
        <v>5145.0</v>
      </c>
      <c r="R43" s="686">
        <v>0.0</v>
      </c>
      <c r="S43" s="686">
        <v>0.0</v>
      </c>
      <c r="T43" s="686">
        <v>0.0</v>
      </c>
      <c r="U43" s="690">
        <v>0.0</v>
      </c>
      <c r="V43" s="678"/>
      <c r="W43" s="679"/>
      <c r="X43" s="679"/>
      <c r="Y43" s="679"/>
      <c r="Z43" s="679"/>
      <c r="AA43" s="679"/>
      <c r="AB43" s="679"/>
      <c r="AC43" s="678"/>
      <c r="AD43" s="678"/>
      <c r="AE43" s="680"/>
      <c r="AF43" s="680"/>
      <c r="AG43" s="680"/>
      <c r="AH43" s="680"/>
      <c r="AI43" s="680"/>
      <c r="AJ43" s="676"/>
      <c r="AK43" s="676"/>
      <c r="AL43" s="679"/>
    </row>
    <row r="44">
      <c r="A44" s="685" t="s">
        <v>1447</v>
      </c>
      <c r="B44" s="685" t="s">
        <v>1475</v>
      </c>
      <c r="C44" s="685" t="s">
        <v>1476</v>
      </c>
      <c r="D44" s="685" t="s">
        <v>1477</v>
      </c>
      <c r="E44" s="686">
        <v>190.0</v>
      </c>
      <c r="F44" s="685">
        <v>8.800299712668E12</v>
      </c>
      <c r="G44" s="687"/>
      <c r="H44" s="688"/>
      <c r="I44" s="685" t="s">
        <v>1478</v>
      </c>
      <c r="J44" s="689">
        <v>1.0</v>
      </c>
      <c r="K44" s="689">
        <v>0.0</v>
      </c>
      <c r="L44" s="689">
        <v>0.0</v>
      </c>
      <c r="M44" s="689">
        <v>0.0</v>
      </c>
      <c r="N44" s="686">
        <v>106.54</v>
      </c>
      <c r="O44" s="686">
        <v>106.54</v>
      </c>
      <c r="P44" s="686">
        <v>0.0</v>
      </c>
      <c r="Q44" s="686">
        <v>0.0</v>
      </c>
      <c r="R44" s="686">
        <v>0.0</v>
      </c>
      <c r="S44" s="686">
        <v>0.0</v>
      </c>
      <c r="T44" s="686">
        <v>0.0</v>
      </c>
      <c r="U44" s="690">
        <v>106.54</v>
      </c>
      <c r="V44" s="678"/>
      <c r="W44" s="679"/>
      <c r="X44" s="679"/>
      <c r="Y44" s="679"/>
      <c r="Z44" s="679"/>
      <c r="AA44" s="679"/>
      <c r="AB44" s="679"/>
      <c r="AC44" s="678"/>
      <c r="AD44" s="678"/>
      <c r="AE44" s="680"/>
      <c r="AF44" s="680"/>
      <c r="AG44" s="680"/>
      <c r="AH44" s="680"/>
      <c r="AI44" s="680"/>
      <c r="AJ44" s="676"/>
      <c r="AK44" s="676"/>
      <c r="AL44" s="680"/>
    </row>
    <row r="45">
      <c r="A45" s="685" t="s">
        <v>1447</v>
      </c>
      <c r="B45" s="685" t="s">
        <v>1475</v>
      </c>
      <c r="C45" s="685" t="s">
        <v>1476</v>
      </c>
      <c r="D45" s="685" t="s">
        <v>1391</v>
      </c>
      <c r="E45" s="686">
        <v>690.0</v>
      </c>
      <c r="F45" s="691" t="s">
        <v>1479</v>
      </c>
      <c r="G45" s="687"/>
      <c r="H45" s="688"/>
      <c r="I45" s="685" t="s">
        <v>1480</v>
      </c>
      <c r="J45" s="689">
        <v>1.0</v>
      </c>
      <c r="K45" s="689">
        <v>0.0</v>
      </c>
      <c r="L45" s="689">
        <v>0.0</v>
      </c>
      <c r="M45" s="689">
        <v>0.0</v>
      </c>
      <c r="N45" s="686">
        <v>451.0</v>
      </c>
      <c r="O45" s="686">
        <v>451.0</v>
      </c>
      <c r="P45" s="686">
        <v>0.0</v>
      </c>
      <c r="Q45" s="686">
        <v>0.0</v>
      </c>
      <c r="R45" s="686">
        <v>0.0</v>
      </c>
      <c r="S45" s="686">
        <v>0.0</v>
      </c>
      <c r="T45" s="686">
        <v>0.0</v>
      </c>
      <c r="U45" s="690">
        <v>451.0</v>
      </c>
      <c r="V45" s="678"/>
      <c r="W45" s="679"/>
      <c r="X45" s="679"/>
      <c r="Y45" s="679"/>
      <c r="Z45" s="679"/>
      <c r="AA45" s="679"/>
      <c r="AB45" s="679"/>
      <c r="AC45" s="678"/>
      <c r="AD45" s="678"/>
      <c r="AE45" s="680"/>
      <c r="AF45" s="680"/>
      <c r="AG45" s="680"/>
      <c r="AH45" s="680"/>
      <c r="AI45" s="680"/>
      <c r="AJ45" s="676"/>
      <c r="AK45" s="676"/>
      <c r="AL45" s="679"/>
    </row>
    <row r="46">
      <c r="A46" s="685" t="s">
        <v>1447</v>
      </c>
      <c r="B46" s="685" t="s">
        <v>1475</v>
      </c>
      <c r="C46" s="685" t="s">
        <v>1476</v>
      </c>
      <c r="D46" s="685" t="s">
        <v>1391</v>
      </c>
      <c r="E46" s="686">
        <v>690.0</v>
      </c>
      <c r="F46" s="692" t="s">
        <v>1481</v>
      </c>
      <c r="G46" s="693"/>
      <c r="H46" s="688"/>
      <c r="I46" s="685" t="s">
        <v>1482</v>
      </c>
      <c r="J46" s="689">
        <v>1.0</v>
      </c>
      <c r="K46" s="689">
        <v>0.0</v>
      </c>
      <c r="L46" s="689">
        <v>0.0</v>
      </c>
      <c r="M46" s="689">
        <v>0.0</v>
      </c>
      <c r="N46" s="686">
        <v>451.0</v>
      </c>
      <c r="O46" s="686">
        <v>451.0</v>
      </c>
      <c r="P46" s="686">
        <v>0.0</v>
      </c>
      <c r="Q46" s="686">
        <v>0.0</v>
      </c>
      <c r="R46" s="686">
        <v>0.0</v>
      </c>
      <c r="S46" s="686">
        <v>0.0</v>
      </c>
      <c r="T46" s="686">
        <v>0.0</v>
      </c>
      <c r="U46" s="690">
        <v>451.0</v>
      </c>
      <c r="V46" s="678"/>
      <c r="W46" s="679"/>
      <c r="X46" s="679"/>
      <c r="Y46" s="679"/>
      <c r="Z46" s="679"/>
      <c r="AA46" s="679"/>
      <c r="AB46" s="679"/>
      <c r="AC46" s="678"/>
      <c r="AD46" s="678"/>
      <c r="AE46" s="680"/>
      <c r="AF46" s="680"/>
      <c r="AG46" s="680"/>
      <c r="AH46" s="680"/>
      <c r="AI46" s="680"/>
      <c r="AJ46" s="676"/>
      <c r="AK46" s="676"/>
      <c r="AL46" s="681"/>
    </row>
    <row r="47">
      <c r="A47" s="685" t="s">
        <v>1447</v>
      </c>
      <c r="B47" s="685" t="s">
        <v>1475</v>
      </c>
      <c r="C47" s="685" t="s">
        <v>1476</v>
      </c>
      <c r="D47" s="685" t="s">
        <v>1391</v>
      </c>
      <c r="E47" s="686">
        <v>690.0</v>
      </c>
      <c r="F47" s="685" t="s">
        <v>1483</v>
      </c>
      <c r="G47" s="687"/>
      <c r="H47" s="688"/>
      <c r="I47" s="685" t="s">
        <v>1484</v>
      </c>
      <c r="J47" s="689">
        <v>2.0</v>
      </c>
      <c r="K47" s="689">
        <v>0.0</v>
      </c>
      <c r="L47" s="689">
        <v>0.0</v>
      </c>
      <c r="M47" s="689">
        <v>0.0</v>
      </c>
      <c r="N47" s="686">
        <v>451.0</v>
      </c>
      <c r="O47" s="686">
        <v>902.0</v>
      </c>
      <c r="P47" s="686">
        <v>0.0</v>
      </c>
      <c r="Q47" s="686">
        <v>0.0</v>
      </c>
      <c r="R47" s="686">
        <v>0.0</v>
      </c>
      <c r="S47" s="686">
        <v>0.0</v>
      </c>
      <c r="T47" s="689">
        <v>0.0</v>
      </c>
      <c r="U47" s="690">
        <v>902.0</v>
      </c>
      <c r="V47" s="678"/>
      <c r="W47" s="679"/>
      <c r="X47" s="679"/>
      <c r="Y47" s="679"/>
      <c r="Z47" s="679"/>
      <c r="AA47" s="679"/>
      <c r="AB47" s="679"/>
      <c r="AC47" s="678"/>
      <c r="AD47" s="678"/>
      <c r="AE47" s="680"/>
      <c r="AF47" s="679"/>
      <c r="AG47" s="679"/>
      <c r="AH47" s="679"/>
      <c r="AI47" s="679"/>
      <c r="AJ47" s="676"/>
      <c r="AK47" s="676"/>
      <c r="AL47" s="679"/>
    </row>
    <row r="48">
      <c r="A48" s="685" t="s">
        <v>1447</v>
      </c>
      <c r="B48" s="685" t="s">
        <v>1475</v>
      </c>
      <c r="C48" s="685" t="s">
        <v>1476</v>
      </c>
      <c r="D48" s="685" t="s">
        <v>1391</v>
      </c>
      <c r="E48" s="686">
        <v>490.0</v>
      </c>
      <c r="F48" s="685" t="s">
        <v>1485</v>
      </c>
      <c r="G48" s="687"/>
      <c r="H48" s="688"/>
      <c r="I48" s="685" t="s">
        <v>1486</v>
      </c>
      <c r="J48" s="689">
        <v>1.0</v>
      </c>
      <c r="K48" s="689">
        <v>0.0</v>
      </c>
      <c r="L48" s="689">
        <v>0.0</v>
      </c>
      <c r="M48" s="689">
        <v>0.0</v>
      </c>
      <c r="N48" s="686">
        <v>321.0</v>
      </c>
      <c r="O48" s="686">
        <v>321.0</v>
      </c>
      <c r="P48" s="686">
        <v>0.0</v>
      </c>
      <c r="Q48" s="686">
        <v>0.0</v>
      </c>
      <c r="R48" s="686">
        <v>0.0</v>
      </c>
      <c r="S48" s="686">
        <v>0.0</v>
      </c>
      <c r="T48" s="689">
        <v>0.0</v>
      </c>
      <c r="U48" s="690">
        <v>321.0</v>
      </c>
      <c r="V48" s="678"/>
      <c r="W48" s="679"/>
      <c r="X48" s="679"/>
      <c r="Y48" s="679"/>
      <c r="Z48" s="679"/>
      <c r="AA48" s="679"/>
      <c r="AB48" s="679"/>
      <c r="AC48" s="678"/>
      <c r="AD48" s="678"/>
      <c r="AE48" s="681"/>
      <c r="AF48" s="680"/>
      <c r="AG48" s="680"/>
      <c r="AH48" s="680"/>
      <c r="AI48" s="680"/>
      <c r="AJ48" s="676"/>
      <c r="AK48" s="676"/>
      <c r="AL48" s="681"/>
    </row>
    <row r="49">
      <c r="A49" s="685" t="s">
        <v>1447</v>
      </c>
      <c r="B49" s="685" t="s">
        <v>1475</v>
      </c>
      <c r="C49" s="685" t="s">
        <v>1476</v>
      </c>
      <c r="D49" s="685" t="s">
        <v>1391</v>
      </c>
      <c r="E49" s="686">
        <v>690.0</v>
      </c>
      <c r="F49" s="685" t="s">
        <v>1487</v>
      </c>
      <c r="G49" s="687"/>
      <c r="H49" s="688"/>
      <c r="I49" s="685" t="s">
        <v>1488</v>
      </c>
      <c r="J49" s="689">
        <v>2.0</v>
      </c>
      <c r="K49" s="689">
        <v>0.0</v>
      </c>
      <c r="L49" s="689">
        <v>0.0</v>
      </c>
      <c r="M49" s="689">
        <v>0.0</v>
      </c>
      <c r="N49" s="686">
        <v>451.0</v>
      </c>
      <c r="O49" s="686">
        <v>902.0</v>
      </c>
      <c r="P49" s="686">
        <v>0.0</v>
      </c>
      <c r="Q49" s="686">
        <v>0.0</v>
      </c>
      <c r="R49" s="686">
        <v>0.0</v>
      </c>
      <c r="S49" s="686">
        <v>0.0</v>
      </c>
      <c r="T49" s="689">
        <v>0.0</v>
      </c>
      <c r="U49" s="690">
        <v>902.0</v>
      </c>
      <c r="V49" s="678"/>
      <c r="W49" s="679"/>
      <c r="X49" s="679"/>
      <c r="Y49" s="679"/>
      <c r="Z49" s="679"/>
      <c r="AA49" s="679"/>
      <c r="AB49" s="679"/>
      <c r="AC49" s="678"/>
      <c r="AD49" s="678"/>
      <c r="AE49" s="680"/>
      <c r="AF49" s="679"/>
      <c r="AG49" s="679"/>
      <c r="AH49" s="679"/>
      <c r="AI49" s="679"/>
      <c r="AJ49" s="676"/>
      <c r="AK49" s="676"/>
      <c r="AL49" s="679"/>
    </row>
    <row r="50">
      <c r="A50" s="685" t="s">
        <v>1447</v>
      </c>
      <c r="B50" s="685" t="s">
        <v>1475</v>
      </c>
      <c r="C50" s="685" t="s">
        <v>1489</v>
      </c>
      <c r="D50" s="685" t="s">
        <v>1391</v>
      </c>
      <c r="E50" s="686">
        <v>690.0</v>
      </c>
      <c r="F50" s="685" t="s">
        <v>1490</v>
      </c>
      <c r="G50" s="687"/>
      <c r="H50" s="688"/>
      <c r="I50" s="685" t="s">
        <v>1491</v>
      </c>
      <c r="J50" s="689">
        <v>1.0</v>
      </c>
      <c r="K50" s="689">
        <v>0.0</v>
      </c>
      <c r="L50" s="689">
        <v>0.0</v>
      </c>
      <c r="M50" s="689">
        <v>0.0</v>
      </c>
      <c r="N50" s="686">
        <v>451.0</v>
      </c>
      <c r="O50" s="686">
        <v>451.0</v>
      </c>
      <c r="P50" s="689">
        <v>0.0</v>
      </c>
      <c r="Q50" s="686">
        <v>0.0</v>
      </c>
      <c r="R50" s="686">
        <v>0.0</v>
      </c>
      <c r="S50" s="686">
        <v>0.0</v>
      </c>
      <c r="T50" s="686">
        <v>0.0</v>
      </c>
      <c r="U50" s="690">
        <v>451.0</v>
      </c>
      <c r="V50" s="678"/>
      <c r="W50" s="679"/>
      <c r="X50" s="679"/>
      <c r="Y50" s="679"/>
      <c r="Z50" s="679"/>
      <c r="AA50" s="679"/>
      <c r="AB50" s="679"/>
      <c r="AC50" s="678"/>
      <c r="AD50" s="678"/>
      <c r="AE50" s="680"/>
      <c r="AF50" s="680"/>
      <c r="AG50" s="680"/>
      <c r="AH50" s="680"/>
      <c r="AI50" s="680"/>
      <c r="AJ50" s="676"/>
      <c r="AK50" s="676"/>
      <c r="AL50" s="681"/>
    </row>
    <row r="51">
      <c r="A51" s="685" t="s">
        <v>1447</v>
      </c>
      <c r="B51" s="685" t="s">
        <v>1475</v>
      </c>
      <c r="C51" s="685" t="s">
        <v>1489</v>
      </c>
      <c r="D51" s="685" t="s">
        <v>1391</v>
      </c>
      <c r="E51" s="686">
        <v>490.0</v>
      </c>
      <c r="F51" s="685" t="s">
        <v>1492</v>
      </c>
      <c r="G51" s="687"/>
      <c r="H51" s="688"/>
      <c r="I51" s="685" t="s">
        <v>1493</v>
      </c>
      <c r="J51" s="689">
        <v>1.0</v>
      </c>
      <c r="K51" s="689">
        <v>0.0</v>
      </c>
      <c r="L51" s="689">
        <v>0.0</v>
      </c>
      <c r="M51" s="689">
        <v>0.0</v>
      </c>
      <c r="N51" s="686">
        <v>321.0</v>
      </c>
      <c r="O51" s="686">
        <v>321.0</v>
      </c>
      <c r="P51" s="686">
        <v>0.0</v>
      </c>
      <c r="Q51" s="686">
        <v>0.0</v>
      </c>
      <c r="R51" s="686">
        <v>0.0</v>
      </c>
      <c r="S51" s="686">
        <v>0.0</v>
      </c>
      <c r="T51" s="686">
        <v>0.0</v>
      </c>
      <c r="U51" s="690">
        <v>321.0</v>
      </c>
      <c r="V51" s="678"/>
      <c r="W51" s="679"/>
      <c r="X51" s="679"/>
      <c r="Y51" s="679"/>
      <c r="Z51" s="679"/>
      <c r="AA51" s="679"/>
      <c r="AB51" s="679"/>
      <c r="AC51" s="678"/>
      <c r="AD51" s="678"/>
      <c r="AE51" s="680"/>
      <c r="AF51" s="681"/>
      <c r="AG51" s="681"/>
      <c r="AH51" s="681"/>
      <c r="AI51" s="681"/>
      <c r="AJ51" s="676"/>
      <c r="AK51" s="676"/>
      <c r="AL51" s="681"/>
    </row>
    <row r="52">
      <c r="A52" s="685" t="s">
        <v>1447</v>
      </c>
      <c r="B52" s="685" t="s">
        <v>1475</v>
      </c>
      <c r="C52" s="685" t="s">
        <v>1489</v>
      </c>
      <c r="D52" s="685" t="s">
        <v>1391</v>
      </c>
      <c r="E52" s="686">
        <v>390.0</v>
      </c>
      <c r="F52" s="685" t="s">
        <v>1494</v>
      </c>
      <c r="G52" s="687"/>
      <c r="H52" s="688"/>
      <c r="I52" s="685" t="s">
        <v>1495</v>
      </c>
      <c r="J52" s="689">
        <v>2.0</v>
      </c>
      <c r="K52" s="689">
        <v>0.0</v>
      </c>
      <c r="L52" s="689">
        <v>0.0</v>
      </c>
      <c r="M52" s="689">
        <v>0.0</v>
      </c>
      <c r="N52" s="686">
        <v>255.0</v>
      </c>
      <c r="O52" s="686">
        <v>510.0</v>
      </c>
      <c r="P52" s="686">
        <v>0.0</v>
      </c>
      <c r="Q52" s="686">
        <v>0.0</v>
      </c>
      <c r="R52" s="686">
        <v>0.0</v>
      </c>
      <c r="S52" s="686">
        <v>0.0</v>
      </c>
      <c r="T52" s="686">
        <v>0.0</v>
      </c>
      <c r="U52" s="690">
        <v>510.0</v>
      </c>
      <c r="V52" s="678"/>
      <c r="W52" s="679"/>
      <c r="X52" s="679"/>
      <c r="Y52" s="679"/>
      <c r="Z52" s="679"/>
      <c r="AA52" s="679"/>
      <c r="AB52" s="679"/>
      <c r="AC52" s="678"/>
      <c r="AD52" s="678"/>
      <c r="AE52" s="680"/>
      <c r="AF52" s="681"/>
      <c r="AG52" s="681"/>
      <c r="AH52" s="681"/>
      <c r="AI52" s="681"/>
      <c r="AJ52" s="676"/>
      <c r="AK52" s="676"/>
      <c r="AL52" s="681"/>
    </row>
    <row r="53">
      <c r="A53" s="685" t="s">
        <v>1447</v>
      </c>
      <c r="B53" s="685" t="s">
        <v>1475</v>
      </c>
      <c r="C53" s="685" t="s">
        <v>1496</v>
      </c>
      <c r="D53" s="685" t="s">
        <v>1391</v>
      </c>
      <c r="E53" s="686">
        <v>1290.0</v>
      </c>
      <c r="F53" s="685" t="s">
        <v>1497</v>
      </c>
      <c r="G53" s="687"/>
      <c r="H53" s="688"/>
      <c r="I53" s="685" t="s">
        <v>1498</v>
      </c>
      <c r="J53" s="689">
        <v>3.0</v>
      </c>
      <c r="K53" s="689">
        <v>0.0</v>
      </c>
      <c r="L53" s="689">
        <v>0.0</v>
      </c>
      <c r="M53" s="689">
        <v>0.0</v>
      </c>
      <c r="N53" s="686">
        <v>844.0</v>
      </c>
      <c r="O53" s="686">
        <v>2532.0</v>
      </c>
      <c r="P53" s="686">
        <v>0.0</v>
      </c>
      <c r="Q53" s="686">
        <v>2532.0</v>
      </c>
      <c r="R53" s="686">
        <v>0.0</v>
      </c>
      <c r="S53" s="686">
        <v>0.0</v>
      </c>
      <c r="T53" s="686">
        <v>0.0</v>
      </c>
      <c r="U53" s="690">
        <v>0.0</v>
      </c>
      <c r="V53" s="678"/>
      <c r="W53" s="679"/>
      <c r="X53" s="679"/>
      <c r="Y53" s="679"/>
      <c r="Z53" s="679"/>
      <c r="AA53" s="679"/>
      <c r="AB53" s="679"/>
      <c r="AC53" s="678"/>
      <c r="AD53" s="678"/>
      <c r="AE53" s="680"/>
      <c r="AF53" s="680"/>
      <c r="AG53" s="680"/>
      <c r="AH53" s="680"/>
      <c r="AI53" s="680"/>
      <c r="AJ53" s="676"/>
      <c r="AK53" s="676"/>
      <c r="AL53" s="681"/>
    </row>
    <row r="54">
      <c r="A54" s="685" t="s">
        <v>1447</v>
      </c>
      <c r="B54" s="685" t="s">
        <v>1475</v>
      </c>
      <c r="C54" s="685" t="s">
        <v>1496</v>
      </c>
      <c r="D54" s="685" t="s">
        <v>1391</v>
      </c>
      <c r="E54" s="686">
        <v>1290.0</v>
      </c>
      <c r="F54" s="685" t="s">
        <v>1499</v>
      </c>
      <c r="G54" s="687"/>
      <c r="H54" s="688"/>
      <c r="I54" s="685" t="s">
        <v>1500</v>
      </c>
      <c r="J54" s="689">
        <v>2.0</v>
      </c>
      <c r="K54" s="689">
        <v>0.0</v>
      </c>
      <c r="L54" s="689">
        <v>0.0</v>
      </c>
      <c r="M54" s="689">
        <v>0.0</v>
      </c>
      <c r="N54" s="686">
        <v>844.0</v>
      </c>
      <c r="O54" s="686">
        <v>1688.0</v>
      </c>
      <c r="P54" s="686">
        <v>0.0</v>
      </c>
      <c r="Q54" s="686">
        <v>1688.0</v>
      </c>
      <c r="R54" s="686">
        <v>0.0</v>
      </c>
      <c r="S54" s="686">
        <v>0.0</v>
      </c>
      <c r="T54" s="686">
        <v>0.0</v>
      </c>
      <c r="U54" s="690">
        <v>0.0</v>
      </c>
      <c r="V54" s="678"/>
      <c r="W54" s="679"/>
      <c r="X54" s="679"/>
      <c r="Y54" s="679"/>
      <c r="Z54" s="679"/>
      <c r="AA54" s="679"/>
      <c r="AB54" s="679"/>
      <c r="AC54" s="678"/>
      <c r="AD54" s="678"/>
      <c r="AE54" s="680"/>
      <c r="AF54" s="680"/>
      <c r="AG54" s="680"/>
      <c r="AH54" s="680"/>
      <c r="AI54" s="680"/>
      <c r="AJ54" s="676"/>
      <c r="AK54" s="676"/>
      <c r="AL54" s="681"/>
    </row>
    <row r="55">
      <c r="A55" s="685" t="s">
        <v>1447</v>
      </c>
      <c r="B55" s="685" t="s">
        <v>1475</v>
      </c>
      <c r="C55" s="685" t="s">
        <v>1496</v>
      </c>
      <c r="D55" s="685" t="s">
        <v>1391</v>
      </c>
      <c r="E55" s="686">
        <v>1290.0</v>
      </c>
      <c r="F55" s="691" t="s">
        <v>1501</v>
      </c>
      <c r="G55" s="687"/>
      <c r="H55" s="688"/>
      <c r="I55" s="685" t="s">
        <v>1502</v>
      </c>
      <c r="J55" s="689">
        <v>1.0</v>
      </c>
      <c r="K55" s="689">
        <v>0.0</v>
      </c>
      <c r="L55" s="689">
        <v>0.0</v>
      </c>
      <c r="M55" s="689">
        <v>0.0</v>
      </c>
      <c r="N55" s="686">
        <v>844.0</v>
      </c>
      <c r="O55" s="686">
        <v>844.0</v>
      </c>
      <c r="P55" s="686">
        <v>0.0</v>
      </c>
      <c r="Q55" s="686">
        <v>844.0</v>
      </c>
      <c r="R55" s="686">
        <v>0.0</v>
      </c>
      <c r="S55" s="686">
        <v>0.0</v>
      </c>
      <c r="T55" s="686">
        <v>0.0</v>
      </c>
      <c r="U55" s="690">
        <v>0.0</v>
      </c>
      <c r="V55" s="678"/>
      <c r="W55" s="679"/>
      <c r="X55" s="679"/>
      <c r="Y55" s="679"/>
      <c r="Z55" s="679"/>
      <c r="AA55" s="679"/>
      <c r="AB55" s="679"/>
      <c r="AC55" s="678"/>
      <c r="AD55" s="678"/>
      <c r="AE55" s="680"/>
      <c r="AF55" s="680"/>
      <c r="AG55" s="680"/>
      <c r="AH55" s="680"/>
      <c r="AI55" s="680"/>
      <c r="AJ55" s="676"/>
      <c r="AK55" s="676"/>
      <c r="AL55" s="680"/>
    </row>
    <row r="56">
      <c r="A56" s="685" t="s">
        <v>1447</v>
      </c>
      <c r="B56" s="685" t="s">
        <v>1475</v>
      </c>
      <c r="C56" s="685" t="s">
        <v>1496</v>
      </c>
      <c r="D56" s="685" t="s">
        <v>1391</v>
      </c>
      <c r="E56" s="686">
        <v>1290.0</v>
      </c>
      <c r="F56" s="691" t="s">
        <v>1503</v>
      </c>
      <c r="G56" s="687"/>
      <c r="H56" s="688"/>
      <c r="I56" s="685" t="s">
        <v>1504</v>
      </c>
      <c r="J56" s="689">
        <v>3.0</v>
      </c>
      <c r="K56" s="689">
        <v>0.0</v>
      </c>
      <c r="L56" s="689">
        <v>0.0</v>
      </c>
      <c r="M56" s="689">
        <v>0.0</v>
      </c>
      <c r="N56" s="686">
        <v>844.0</v>
      </c>
      <c r="O56" s="686">
        <v>2532.0</v>
      </c>
      <c r="P56" s="686">
        <v>0.0</v>
      </c>
      <c r="Q56" s="686">
        <v>2532.0</v>
      </c>
      <c r="R56" s="686">
        <v>0.0</v>
      </c>
      <c r="S56" s="686">
        <v>0.0</v>
      </c>
      <c r="T56" s="686">
        <v>0.0</v>
      </c>
      <c r="U56" s="690">
        <v>0.0</v>
      </c>
      <c r="V56" s="678"/>
      <c r="W56" s="679"/>
      <c r="X56" s="679"/>
      <c r="Y56" s="679"/>
      <c r="Z56" s="679"/>
      <c r="AA56" s="679"/>
      <c r="AB56" s="679"/>
      <c r="AC56" s="678"/>
      <c r="AD56" s="678"/>
      <c r="AE56" s="681"/>
      <c r="AF56" s="680"/>
      <c r="AG56" s="680"/>
      <c r="AH56" s="680"/>
      <c r="AI56" s="680"/>
      <c r="AJ56" s="676"/>
      <c r="AK56" s="676"/>
      <c r="AL56" s="681"/>
    </row>
    <row r="57">
      <c r="A57" s="685" t="s">
        <v>1447</v>
      </c>
      <c r="B57" s="685" t="s">
        <v>1475</v>
      </c>
      <c r="C57" s="685" t="s">
        <v>1496</v>
      </c>
      <c r="D57" s="685" t="s">
        <v>1391</v>
      </c>
      <c r="E57" s="686">
        <v>1290.0</v>
      </c>
      <c r="F57" s="692" t="s">
        <v>1505</v>
      </c>
      <c r="G57" s="693"/>
      <c r="H57" s="688"/>
      <c r="I57" s="685" t="s">
        <v>1506</v>
      </c>
      <c r="J57" s="689">
        <v>1.0</v>
      </c>
      <c r="K57" s="689">
        <v>0.0</v>
      </c>
      <c r="L57" s="689">
        <v>0.0</v>
      </c>
      <c r="M57" s="689">
        <v>0.0</v>
      </c>
      <c r="N57" s="686">
        <v>844.0</v>
      </c>
      <c r="O57" s="686">
        <v>844.0</v>
      </c>
      <c r="P57" s="686">
        <v>0.0</v>
      </c>
      <c r="Q57" s="686">
        <v>844.0</v>
      </c>
      <c r="R57" s="686">
        <v>0.0</v>
      </c>
      <c r="S57" s="686">
        <v>0.0</v>
      </c>
      <c r="T57" s="686">
        <v>0.0</v>
      </c>
      <c r="U57" s="690">
        <v>0.0</v>
      </c>
      <c r="V57" s="678"/>
      <c r="W57" s="679"/>
      <c r="X57" s="679"/>
      <c r="Y57" s="679"/>
      <c r="Z57" s="679"/>
      <c r="AA57" s="679"/>
      <c r="AB57" s="679"/>
      <c r="AC57" s="678"/>
      <c r="AD57" s="678"/>
      <c r="AE57" s="681"/>
      <c r="AF57" s="680"/>
      <c r="AG57" s="680"/>
      <c r="AH57" s="680"/>
      <c r="AI57" s="680"/>
      <c r="AJ57" s="676"/>
      <c r="AK57" s="676"/>
      <c r="AL57" s="681"/>
    </row>
    <row r="58">
      <c r="A58" s="685" t="s">
        <v>1447</v>
      </c>
      <c r="B58" s="685" t="s">
        <v>1475</v>
      </c>
      <c r="C58" s="685" t="s">
        <v>1496</v>
      </c>
      <c r="D58" s="685" t="s">
        <v>1391</v>
      </c>
      <c r="E58" s="686">
        <v>1290.0</v>
      </c>
      <c r="F58" s="685" t="s">
        <v>1507</v>
      </c>
      <c r="G58" s="687"/>
      <c r="H58" s="688"/>
      <c r="I58" s="685" t="s">
        <v>1508</v>
      </c>
      <c r="J58" s="689">
        <v>3.0</v>
      </c>
      <c r="K58" s="689">
        <v>0.0</v>
      </c>
      <c r="L58" s="689">
        <v>0.0</v>
      </c>
      <c r="M58" s="689">
        <v>0.0</v>
      </c>
      <c r="N58" s="686">
        <v>844.0</v>
      </c>
      <c r="O58" s="686">
        <v>2532.0</v>
      </c>
      <c r="P58" s="686">
        <v>0.0</v>
      </c>
      <c r="Q58" s="686">
        <v>2532.0</v>
      </c>
      <c r="R58" s="686">
        <v>0.0</v>
      </c>
      <c r="S58" s="686">
        <v>0.0</v>
      </c>
      <c r="T58" s="686">
        <v>0.0</v>
      </c>
      <c r="U58" s="690">
        <v>0.0</v>
      </c>
      <c r="V58" s="678"/>
      <c r="W58" s="679"/>
      <c r="X58" s="679"/>
      <c r="Y58" s="679"/>
      <c r="Z58" s="679"/>
      <c r="AA58" s="679"/>
      <c r="AB58" s="679"/>
      <c r="AC58" s="678"/>
      <c r="AD58" s="678"/>
      <c r="AE58" s="681"/>
      <c r="AF58" s="680"/>
      <c r="AG58" s="680"/>
      <c r="AH58" s="680"/>
      <c r="AI58" s="680"/>
      <c r="AJ58" s="676"/>
      <c r="AK58" s="676"/>
      <c r="AL58" s="681"/>
    </row>
    <row r="59">
      <c r="A59" s="685" t="s">
        <v>1447</v>
      </c>
      <c r="B59" s="685" t="s">
        <v>1475</v>
      </c>
      <c r="C59" s="685" t="s">
        <v>1496</v>
      </c>
      <c r="D59" s="685" t="s">
        <v>1391</v>
      </c>
      <c r="E59" s="686">
        <v>1290.0</v>
      </c>
      <c r="F59" s="685" t="s">
        <v>1509</v>
      </c>
      <c r="G59" s="687"/>
      <c r="H59" s="688"/>
      <c r="I59" s="685" t="s">
        <v>1510</v>
      </c>
      <c r="J59" s="689">
        <v>1.0</v>
      </c>
      <c r="K59" s="689">
        <v>0.0</v>
      </c>
      <c r="L59" s="689">
        <v>0.0</v>
      </c>
      <c r="M59" s="689">
        <v>0.0</v>
      </c>
      <c r="N59" s="686">
        <v>844.0</v>
      </c>
      <c r="O59" s="686">
        <v>844.0</v>
      </c>
      <c r="P59" s="686">
        <v>0.0</v>
      </c>
      <c r="Q59" s="686">
        <v>844.0</v>
      </c>
      <c r="R59" s="686">
        <v>0.0</v>
      </c>
      <c r="S59" s="686">
        <v>0.0</v>
      </c>
      <c r="T59" s="686">
        <v>0.0</v>
      </c>
      <c r="U59" s="690">
        <v>0.0</v>
      </c>
      <c r="V59" s="678"/>
      <c r="W59" s="679"/>
      <c r="X59" s="679"/>
      <c r="Y59" s="679"/>
      <c r="Z59" s="679"/>
      <c r="AA59" s="679"/>
      <c r="AB59" s="679"/>
      <c r="AC59" s="678"/>
      <c r="AD59" s="678"/>
      <c r="AE59" s="681"/>
      <c r="AF59" s="680"/>
      <c r="AG59" s="680"/>
      <c r="AH59" s="680"/>
      <c r="AI59" s="680"/>
      <c r="AJ59" s="676"/>
      <c r="AK59" s="676"/>
      <c r="AL59" s="681"/>
    </row>
    <row r="60">
      <c r="A60" s="685" t="s">
        <v>1447</v>
      </c>
      <c r="B60" s="685" t="s">
        <v>1475</v>
      </c>
      <c r="C60" s="685" t="s">
        <v>1496</v>
      </c>
      <c r="D60" s="685" t="s">
        <v>1391</v>
      </c>
      <c r="E60" s="686">
        <v>590.0</v>
      </c>
      <c r="F60" s="692" t="s">
        <v>1511</v>
      </c>
      <c r="G60" s="693"/>
      <c r="H60" s="688"/>
      <c r="I60" s="685" t="s">
        <v>1512</v>
      </c>
      <c r="J60" s="689">
        <v>2.0</v>
      </c>
      <c r="K60" s="689">
        <v>0.0</v>
      </c>
      <c r="L60" s="689">
        <v>0.0</v>
      </c>
      <c r="M60" s="689">
        <v>0.0</v>
      </c>
      <c r="N60" s="686">
        <v>386.0</v>
      </c>
      <c r="O60" s="686">
        <v>772.0</v>
      </c>
      <c r="P60" s="686">
        <v>0.0</v>
      </c>
      <c r="Q60" s="686">
        <v>772.0</v>
      </c>
      <c r="R60" s="686">
        <v>0.0</v>
      </c>
      <c r="S60" s="686">
        <v>0.0</v>
      </c>
      <c r="T60" s="689">
        <v>0.0</v>
      </c>
      <c r="U60" s="690">
        <v>0.0</v>
      </c>
      <c r="V60" s="678"/>
      <c r="W60" s="679"/>
      <c r="X60" s="679"/>
      <c r="Y60" s="679"/>
      <c r="Z60" s="679"/>
      <c r="AA60" s="679"/>
      <c r="AB60" s="679"/>
      <c r="AC60" s="678"/>
      <c r="AD60" s="678"/>
      <c r="AE60" s="681"/>
      <c r="AF60" s="680"/>
      <c r="AG60" s="680"/>
      <c r="AH60" s="680"/>
      <c r="AI60" s="680"/>
      <c r="AJ60" s="676"/>
      <c r="AK60" s="676"/>
      <c r="AL60" s="681"/>
    </row>
    <row r="61">
      <c r="A61" s="685" t="s">
        <v>1447</v>
      </c>
      <c r="B61" s="685" t="s">
        <v>1475</v>
      </c>
      <c r="C61" s="685" t="s">
        <v>1513</v>
      </c>
      <c r="D61" s="685" t="s">
        <v>1391</v>
      </c>
      <c r="E61" s="686">
        <v>1290.0</v>
      </c>
      <c r="F61" s="685" t="s">
        <v>1514</v>
      </c>
      <c r="G61" s="687"/>
      <c r="H61" s="688"/>
      <c r="I61" s="685" t="s">
        <v>1515</v>
      </c>
      <c r="J61" s="689">
        <v>2.0</v>
      </c>
      <c r="K61" s="689">
        <v>0.0</v>
      </c>
      <c r="L61" s="689">
        <v>0.0</v>
      </c>
      <c r="M61" s="689">
        <v>0.0</v>
      </c>
      <c r="N61" s="686">
        <v>844.0</v>
      </c>
      <c r="O61" s="686">
        <v>1688.0</v>
      </c>
      <c r="P61" s="686">
        <v>0.0</v>
      </c>
      <c r="Q61" s="686">
        <v>1688.0</v>
      </c>
      <c r="R61" s="686">
        <v>0.0</v>
      </c>
      <c r="S61" s="686">
        <v>0.0</v>
      </c>
      <c r="T61" s="689">
        <v>0.0</v>
      </c>
      <c r="U61" s="690">
        <v>0.0</v>
      </c>
      <c r="V61" s="678"/>
      <c r="W61" s="679"/>
      <c r="X61" s="679"/>
      <c r="Y61" s="679"/>
      <c r="Z61" s="679"/>
      <c r="AA61" s="679"/>
      <c r="AB61" s="679"/>
      <c r="AC61" s="678"/>
      <c r="AD61" s="678"/>
      <c r="AE61" s="681"/>
      <c r="AF61" s="680"/>
      <c r="AG61" s="680"/>
      <c r="AH61" s="680"/>
      <c r="AI61" s="680"/>
      <c r="AJ61" s="676"/>
      <c r="AK61" s="676"/>
      <c r="AL61" s="681"/>
    </row>
    <row r="62">
      <c r="A62" s="685" t="s">
        <v>1447</v>
      </c>
      <c r="B62" s="685" t="s">
        <v>1475</v>
      </c>
      <c r="C62" s="685" t="s">
        <v>1513</v>
      </c>
      <c r="D62" s="685" t="s">
        <v>1391</v>
      </c>
      <c r="E62" s="686">
        <v>1790.0</v>
      </c>
      <c r="F62" s="685" t="s">
        <v>1516</v>
      </c>
      <c r="G62" s="687"/>
      <c r="H62" s="688"/>
      <c r="I62" s="685" t="s">
        <v>1517</v>
      </c>
      <c r="J62" s="689">
        <v>3.0</v>
      </c>
      <c r="K62" s="689">
        <v>0.0</v>
      </c>
      <c r="L62" s="689">
        <v>0.0</v>
      </c>
      <c r="M62" s="689">
        <v>0.0</v>
      </c>
      <c r="N62" s="686">
        <v>1171.0</v>
      </c>
      <c r="O62" s="686">
        <v>3513.0</v>
      </c>
      <c r="P62" s="686">
        <v>0.0</v>
      </c>
      <c r="Q62" s="686">
        <v>3513.0</v>
      </c>
      <c r="R62" s="686">
        <v>0.0</v>
      </c>
      <c r="S62" s="686">
        <v>0.0</v>
      </c>
      <c r="T62" s="689">
        <v>0.0</v>
      </c>
      <c r="U62" s="690">
        <v>0.0</v>
      </c>
      <c r="V62" s="678"/>
      <c r="W62" s="679"/>
      <c r="X62" s="679"/>
      <c r="Y62" s="679"/>
      <c r="Z62" s="679"/>
      <c r="AA62" s="679"/>
      <c r="AB62" s="679"/>
      <c r="AC62" s="678"/>
      <c r="AD62" s="678"/>
      <c r="AE62" s="681"/>
      <c r="AF62" s="680"/>
      <c r="AG62" s="680"/>
      <c r="AH62" s="680"/>
      <c r="AI62" s="680"/>
      <c r="AJ62" s="676"/>
      <c r="AK62" s="676"/>
      <c r="AL62" s="681"/>
    </row>
    <row r="63">
      <c r="A63" s="685" t="s">
        <v>1447</v>
      </c>
      <c r="B63" s="685" t="s">
        <v>1475</v>
      </c>
      <c r="C63" s="685" t="s">
        <v>1513</v>
      </c>
      <c r="D63" s="685" t="s">
        <v>1391</v>
      </c>
      <c r="E63" s="686">
        <v>1790.0</v>
      </c>
      <c r="F63" s="692" t="s">
        <v>1518</v>
      </c>
      <c r="G63" s="693"/>
      <c r="H63" s="688"/>
      <c r="I63" s="685" t="s">
        <v>1519</v>
      </c>
      <c r="J63" s="689">
        <v>1.0</v>
      </c>
      <c r="K63" s="689">
        <v>0.0</v>
      </c>
      <c r="L63" s="689">
        <v>0.0</v>
      </c>
      <c r="M63" s="689">
        <v>0.0</v>
      </c>
      <c r="N63" s="686">
        <v>1171.0</v>
      </c>
      <c r="O63" s="686">
        <v>1171.0</v>
      </c>
      <c r="P63" s="686">
        <v>0.0</v>
      </c>
      <c r="Q63" s="686">
        <v>1171.0</v>
      </c>
      <c r="R63" s="686">
        <v>0.0</v>
      </c>
      <c r="S63" s="686">
        <v>0.0</v>
      </c>
      <c r="T63" s="689">
        <v>0.0</v>
      </c>
      <c r="U63" s="690">
        <v>0.0</v>
      </c>
      <c r="V63" s="678"/>
      <c r="W63" s="679"/>
      <c r="X63" s="679"/>
      <c r="Y63" s="679"/>
      <c r="Z63" s="679"/>
      <c r="AA63" s="679"/>
      <c r="AB63" s="679"/>
      <c r="AC63" s="678"/>
      <c r="AD63" s="678"/>
      <c r="AE63" s="681"/>
      <c r="AF63" s="680"/>
      <c r="AG63" s="680"/>
      <c r="AH63" s="680"/>
      <c r="AI63" s="680"/>
      <c r="AJ63" s="676"/>
      <c r="AK63" s="676"/>
      <c r="AL63" s="681"/>
    </row>
    <row r="64">
      <c r="A64" s="685" t="s">
        <v>1447</v>
      </c>
      <c r="B64" s="685" t="s">
        <v>1475</v>
      </c>
      <c r="C64" s="685" t="s">
        <v>1513</v>
      </c>
      <c r="D64" s="685" t="s">
        <v>1391</v>
      </c>
      <c r="E64" s="686">
        <v>1790.0</v>
      </c>
      <c r="F64" s="691" t="s">
        <v>1520</v>
      </c>
      <c r="G64" s="687"/>
      <c r="H64" s="688"/>
      <c r="I64" s="685" t="s">
        <v>1521</v>
      </c>
      <c r="J64" s="689">
        <v>5.0</v>
      </c>
      <c r="K64" s="689">
        <v>0.0</v>
      </c>
      <c r="L64" s="689">
        <v>0.0</v>
      </c>
      <c r="M64" s="689">
        <v>0.0</v>
      </c>
      <c r="N64" s="686">
        <v>1171.0</v>
      </c>
      <c r="O64" s="686">
        <v>5855.0</v>
      </c>
      <c r="P64" s="686">
        <v>0.0</v>
      </c>
      <c r="Q64" s="686">
        <v>5855.0</v>
      </c>
      <c r="R64" s="686">
        <v>0.0</v>
      </c>
      <c r="S64" s="686">
        <v>0.0</v>
      </c>
      <c r="T64" s="689">
        <v>0.0</v>
      </c>
      <c r="U64" s="690">
        <v>0.0</v>
      </c>
      <c r="V64" s="678"/>
      <c r="W64" s="679"/>
      <c r="X64" s="679"/>
      <c r="Y64" s="679"/>
      <c r="Z64" s="679"/>
      <c r="AA64" s="679"/>
      <c r="AB64" s="679"/>
      <c r="AC64" s="678"/>
      <c r="AD64" s="678"/>
      <c r="AE64" s="681"/>
      <c r="AF64" s="680"/>
      <c r="AG64" s="680"/>
      <c r="AH64" s="680"/>
      <c r="AI64" s="680"/>
      <c r="AJ64" s="676"/>
      <c r="AK64" s="676"/>
      <c r="AL64" s="681"/>
    </row>
    <row r="65">
      <c r="A65" s="685" t="s">
        <v>1447</v>
      </c>
      <c r="B65" s="685" t="s">
        <v>1475</v>
      </c>
      <c r="C65" s="685" t="s">
        <v>1513</v>
      </c>
      <c r="D65" s="685" t="s">
        <v>1391</v>
      </c>
      <c r="E65" s="686">
        <v>1790.0</v>
      </c>
      <c r="F65" s="691" t="s">
        <v>1522</v>
      </c>
      <c r="G65" s="687"/>
      <c r="H65" s="688"/>
      <c r="I65" s="685" t="s">
        <v>1523</v>
      </c>
      <c r="J65" s="689">
        <v>1.0</v>
      </c>
      <c r="K65" s="689">
        <v>0.0</v>
      </c>
      <c r="L65" s="689">
        <v>0.0</v>
      </c>
      <c r="M65" s="689">
        <v>0.0</v>
      </c>
      <c r="N65" s="686">
        <v>1171.0</v>
      </c>
      <c r="O65" s="686">
        <v>1171.0</v>
      </c>
      <c r="P65" s="686">
        <v>0.0</v>
      </c>
      <c r="Q65" s="686">
        <v>1171.0</v>
      </c>
      <c r="R65" s="686">
        <v>0.0</v>
      </c>
      <c r="S65" s="686">
        <v>0.0</v>
      </c>
      <c r="T65" s="689">
        <v>0.0</v>
      </c>
      <c r="U65" s="690">
        <v>0.0</v>
      </c>
      <c r="V65" s="678"/>
      <c r="W65" s="679"/>
      <c r="X65" s="679"/>
      <c r="Y65" s="679"/>
      <c r="Z65" s="679"/>
      <c r="AA65" s="679"/>
      <c r="AB65" s="679"/>
      <c r="AC65" s="678"/>
      <c r="AD65" s="678"/>
      <c r="AE65" s="681"/>
      <c r="AF65" s="680"/>
      <c r="AG65" s="680"/>
      <c r="AH65" s="680"/>
      <c r="AI65" s="680"/>
      <c r="AJ65" s="676"/>
      <c r="AK65" s="676"/>
      <c r="AL65" s="681"/>
    </row>
    <row r="66">
      <c r="A66" s="685" t="s">
        <v>1447</v>
      </c>
      <c r="B66" s="685" t="s">
        <v>1475</v>
      </c>
      <c r="C66" s="685" t="s">
        <v>1513</v>
      </c>
      <c r="D66" s="685" t="s">
        <v>1391</v>
      </c>
      <c r="E66" s="686">
        <v>2390.0</v>
      </c>
      <c r="F66" s="692" t="s">
        <v>1524</v>
      </c>
      <c r="G66" s="693"/>
      <c r="H66" s="688"/>
      <c r="I66" s="685" t="s">
        <v>1525</v>
      </c>
      <c r="J66" s="689">
        <v>2.0</v>
      </c>
      <c r="K66" s="689">
        <v>0.0</v>
      </c>
      <c r="L66" s="689">
        <v>0.0</v>
      </c>
      <c r="M66" s="689">
        <v>0.0</v>
      </c>
      <c r="N66" s="686">
        <v>1564.0</v>
      </c>
      <c r="O66" s="686">
        <v>3128.0</v>
      </c>
      <c r="P66" s="686">
        <v>0.0</v>
      </c>
      <c r="Q66" s="686">
        <v>3128.0</v>
      </c>
      <c r="R66" s="686">
        <v>0.0</v>
      </c>
      <c r="S66" s="686">
        <v>0.0</v>
      </c>
      <c r="T66" s="689">
        <v>0.0</v>
      </c>
      <c r="U66" s="690">
        <v>0.0</v>
      </c>
      <c r="V66" s="678"/>
      <c r="W66" s="679"/>
      <c r="X66" s="679"/>
      <c r="Y66" s="679"/>
      <c r="Z66" s="679"/>
      <c r="AA66" s="679"/>
      <c r="AB66" s="679"/>
      <c r="AC66" s="678"/>
      <c r="AD66" s="678"/>
      <c r="AE66" s="679"/>
      <c r="AF66" s="680"/>
      <c r="AG66" s="680"/>
      <c r="AH66" s="680"/>
      <c r="AI66" s="680"/>
      <c r="AJ66" s="676"/>
      <c r="AK66" s="676"/>
      <c r="AL66" s="679"/>
    </row>
    <row r="67">
      <c r="A67" s="685" t="s">
        <v>1447</v>
      </c>
      <c r="B67" s="685" t="s">
        <v>1475</v>
      </c>
      <c r="C67" s="685" t="s">
        <v>1513</v>
      </c>
      <c r="D67" s="685" t="s">
        <v>1391</v>
      </c>
      <c r="E67" s="686">
        <v>2390.0</v>
      </c>
      <c r="F67" s="685" t="s">
        <v>1526</v>
      </c>
      <c r="G67" s="687"/>
      <c r="H67" s="688"/>
      <c r="I67" s="685" t="s">
        <v>1527</v>
      </c>
      <c r="J67" s="689">
        <v>1.0</v>
      </c>
      <c r="K67" s="689">
        <v>0.0</v>
      </c>
      <c r="L67" s="689">
        <v>0.0</v>
      </c>
      <c r="M67" s="689">
        <v>0.0</v>
      </c>
      <c r="N67" s="686">
        <v>1564.0</v>
      </c>
      <c r="O67" s="686">
        <v>1564.0</v>
      </c>
      <c r="P67" s="686">
        <v>0.0</v>
      </c>
      <c r="Q67" s="686">
        <v>1564.0</v>
      </c>
      <c r="R67" s="686">
        <v>0.0</v>
      </c>
      <c r="S67" s="686">
        <v>0.0</v>
      </c>
      <c r="T67" s="689">
        <v>0.0</v>
      </c>
      <c r="U67" s="690">
        <v>0.0</v>
      </c>
      <c r="V67" s="678"/>
      <c r="W67" s="679"/>
      <c r="X67" s="679"/>
      <c r="Y67" s="679"/>
      <c r="Z67" s="679"/>
      <c r="AA67" s="679"/>
      <c r="AB67" s="679"/>
      <c r="AC67" s="678"/>
      <c r="AD67" s="678"/>
      <c r="AE67" s="681"/>
      <c r="AF67" s="680"/>
      <c r="AG67" s="680"/>
      <c r="AH67" s="680"/>
      <c r="AI67" s="680"/>
      <c r="AJ67" s="676"/>
      <c r="AK67" s="676"/>
      <c r="AL67" s="681"/>
    </row>
    <row r="68">
      <c r="A68" s="685" t="s">
        <v>1447</v>
      </c>
      <c r="B68" s="685" t="s">
        <v>1475</v>
      </c>
      <c r="C68" s="685" t="s">
        <v>1513</v>
      </c>
      <c r="D68" s="685" t="s">
        <v>1391</v>
      </c>
      <c r="E68" s="686">
        <v>2390.0</v>
      </c>
      <c r="F68" s="685" t="s">
        <v>1528</v>
      </c>
      <c r="G68" s="687"/>
      <c r="H68" s="688"/>
      <c r="I68" s="685" t="s">
        <v>1529</v>
      </c>
      <c r="J68" s="689">
        <v>2.0</v>
      </c>
      <c r="K68" s="689">
        <v>0.0</v>
      </c>
      <c r="L68" s="689">
        <v>0.0</v>
      </c>
      <c r="M68" s="689">
        <v>0.0</v>
      </c>
      <c r="N68" s="686">
        <v>1564.0</v>
      </c>
      <c r="O68" s="686">
        <v>3128.0</v>
      </c>
      <c r="P68" s="686">
        <v>0.0</v>
      </c>
      <c r="Q68" s="686">
        <v>3128.0</v>
      </c>
      <c r="R68" s="686">
        <v>0.0</v>
      </c>
      <c r="S68" s="686">
        <v>0.0</v>
      </c>
      <c r="T68" s="689">
        <v>0.0</v>
      </c>
      <c r="U68" s="690">
        <v>0.0</v>
      </c>
      <c r="V68" s="678"/>
      <c r="W68" s="679"/>
      <c r="X68" s="679"/>
      <c r="Y68" s="679"/>
      <c r="Z68" s="679"/>
      <c r="AA68" s="679"/>
      <c r="AB68" s="679"/>
      <c r="AC68" s="678"/>
      <c r="AD68" s="678"/>
      <c r="AE68" s="681"/>
      <c r="AF68" s="680"/>
      <c r="AG68" s="680"/>
      <c r="AH68" s="680"/>
      <c r="AI68" s="680"/>
      <c r="AJ68" s="676"/>
      <c r="AK68" s="676"/>
      <c r="AL68" s="681"/>
    </row>
    <row r="69">
      <c r="A69" s="685" t="s">
        <v>1447</v>
      </c>
      <c r="B69" s="685" t="s">
        <v>1475</v>
      </c>
      <c r="C69" s="685" t="s">
        <v>1513</v>
      </c>
      <c r="D69" s="685" t="s">
        <v>1391</v>
      </c>
      <c r="E69" s="686">
        <v>890.0</v>
      </c>
      <c r="F69" s="685" t="s">
        <v>1530</v>
      </c>
      <c r="G69" s="687"/>
      <c r="H69" s="688"/>
      <c r="I69" s="685" t="s">
        <v>1531</v>
      </c>
      <c r="J69" s="689">
        <v>2.0</v>
      </c>
      <c r="K69" s="689">
        <v>0.0</v>
      </c>
      <c r="L69" s="689">
        <v>0.0</v>
      </c>
      <c r="M69" s="689">
        <v>0.0</v>
      </c>
      <c r="N69" s="686">
        <v>582.0</v>
      </c>
      <c r="O69" s="686">
        <v>1164.0</v>
      </c>
      <c r="P69" s="686">
        <v>0.0</v>
      </c>
      <c r="Q69" s="686">
        <v>1164.0</v>
      </c>
      <c r="R69" s="686">
        <v>0.0</v>
      </c>
      <c r="S69" s="686">
        <v>0.0</v>
      </c>
      <c r="T69" s="689">
        <v>0.0</v>
      </c>
      <c r="U69" s="690">
        <v>0.0</v>
      </c>
      <c r="V69" s="678"/>
      <c r="W69" s="679"/>
      <c r="X69" s="679"/>
      <c r="Y69" s="679"/>
      <c r="Z69" s="679"/>
      <c r="AA69" s="679"/>
      <c r="AB69" s="679"/>
      <c r="AC69" s="678"/>
      <c r="AD69" s="678"/>
      <c r="AE69" s="681"/>
      <c r="AF69" s="680"/>
      <c r="AG69" s="680"/>
      <c r="AH69" s="680"/>
      <c r="AI69" s="680"/>
      <c r="AJ69" s="676"/>
      <c r="AK69" s="676"/>
      <c r="AL69" s="681"/>
    </row>
    <row r="70">
      <c r="A70" s="685" t="s">
        <v>1447</v>
      </c>
      <c r="B70" s="685" t="s">
        <v>1475</v>
      </c>
      <c r="C70" s="685" t="s">
        <v>1513</v>
      </c>
      <c r="D70" s="685" t="s">
        <v>1391</v>
      </c>
      <c r="E70" s="686">
        <v>2390.0</v>
      </c>
      <c r="F70" s="691" t="s">
        <v>1532</v>
      </c>
      <c r="G70" s="687"/>
      <c r="H70" s="688"/>
      <c r="I70" s="685" t="s">
        <v>1533</v>
      </c>
      <c r="J70" s="689">
        <v>1.0</v>
      </c>
      <c r="K70" s="689">
        <v>0.0</v>
      </c>
      <c r="L70" s="689">
        <v>0.0</v>
      </c>
      <c r="M70" s="689">
        <v>0.0</v>
      </c>
      <c r="N70" s="686">
        <v>1564.0</v>
      </c>
      <c r="O70" s="686">
        <v>1564.0</v>
      </c>
      <c r="P70" s="686">
        <v>0.0</v>
      </c>
      <c r="Q70" s="686">
        <v>1564.0</v>
      </c>
      <c r="R70" s="686">
        <v>0.0</v>
      </c>
      <c r="S70" s="686">
        <v>0.0</v>
      </c>
      <c r="T70" s="689">
        <v>0.0</v>
      </c>
      <c r="U70" s="690">
        <v>0.0</v>
      </c>
      <c r="V70" s="678"/>
      <c r="W70" s="679"/>
      <c r="X70" s="679"/>
      <c r="Y70" s="679"/>
      <c r="Z70" s="679"/>
      <c r="AA70" s="679"/>
      <c r="AB70" s="679"/>
      <c r="AC70" s="678"/>
      <c r="AD70" s="678"/>
      <c r="AE70" s="679"/>
      <c r="AF70" s="680"/>
      <c r="AG70" s="680"/>
      <c r="AH70" s="680"/>
      <c r="AI70" s="680"/>
      <c r="AJ70" s="676"/>
      <c r="AK70" s="676"/>
      <c r="AL70" s="679"/>
    </row>
    <row r="71">
      <c r="A71" s="685" t="s">
        <v>1447</v>
      </c>
      <c r="B71" s="685" t="s">
        <v>1475</v>
      </c>
      <c r="C71" s="685" t="s">
        <v>1513</v>
      </c>
      <c r="D71" s="685" t="s">
        <v>1391</v>
      </c>
      <c r="E71" s="686">
        <v>1490.0</v>
      </c>
      <c r="F71" s="685" t="s">
        <v>1534</v>
      </c>
      <c r="G71" s="687"/>
      <c r="H71" s="688"/>
      <c r="I71" s="685" t="s">
        <v>1535</v>
      </c>
      <c r="J71" s="689">
        <v>1.0</v>
      </c>
      <c r="K71" s="689">
        <v>0.0</v>
      </c>
      <c r="L71" s="689">
        <v>0.0</v>
      </c>
      <c r="M71" s="689">
        <v>0.0</v>
      </c>
      <c r="N71" s="686">
        <v>975.0</v>
      </c>
      <c r="O71" s="686">
        <v>975.0</v>
      </c>
      <c r="P71" s="686">
        <v>0.0</v>
      </c>
      <c r="Q71" s="686">
        <v>975.0</v>
      </c>
      <c r="R71" s="686">
        <v>0.0</v>
      </c>
      <c r="S71" s="686">
        <v>0.0</v>
      </c>
      <c r="T71" s="689">
        <v>0.0</v>
      </c>
      <c r="U71" s="690">
        <v>0.0</v>
      </c>
      <c r="V71" s="678"/>
      <c r="W71" s="679"/>
      <c r="X71" s="679"/>
      <c r="Y71" s="679"/>
      <c r="Z71" s="679"/>
      <c r="AA71" s="679"/>
      <c r="AB71" s="679"/>
      <c r="AC71" s="678"/>
      <c r="AD71" s="678"/>
      <c r="AE71" s="681"/>
      <c r="AF71" s="680"/>
      <c r="AG71" s="680"/>
      <c r="AH71" s="680"/>
      <c r="AI71" s="680"/>
      <c r="AJ71" s="676"/>
      <c r="AK71" s="676"/>
      <c r="AL71" s="681"/>
    </row>
    <row r="72">
      <c r="A72" s="685" t="s">
        <v>1447</v>
      </c>
      <c r="B72" s="685" t="s">
        <v>1475</v>
      </c>
      <c r="C72" s="685" t="s">
        <v>1536</v>
      </c>
      <c r="D72" s="685" t="s">
        <v>1391</v>
      </c>
      <c r="E72" s="686">
        <v>1290.0</v>
      </c>
      <c r="F72" s="691" t="s">
        <v>1537</v>
      </c>
      <c r="G72" s="687"/>
      <c r="H72" s="688"/>
      <c r="I72" s="685" t="s">
        <v>1538</v>
      </c>
      <c r="J72" s="689">
        <v>2.0</v>
      </c>
      <c r="K72" s="689">
        <v>0.0</v>
      </c>
      <c r="L72" s="689">
        <v>0.0</v>
      </c>
      <c r="M72" s="689">
        <v>0.0</v>
      </c>
      <c r="N72" s="686">
        <v>844.0</v>
      </c>
      <c r="O72" s="686">
        <v>1688.0</v>
      </c>
      <c r="P72" s="686">
        <v>0.0</v>
      </c>
      <c r="Q72" s="686">
        <v>1688.0</v>
      </c>
      <c r="R72" s="686">
        <v>0.0</v>
      </c>
      <c r="S72" s="686">
        <v>0.0</v>
      </c>
      <c r="T72" s="689">
        <v>0.0</v>
      </c>
      <c r="U72" s="690">
        <v>0.0</v>
      </c>
      <c r="V72" s="678"/>
      <c r="W72" s="679"/>
      <c r="X72" s="679"/>
      <c r="Y72" s="679"/>
      <c r="Z72" s="679"/>
      <c r="AA72" s="679"/>
      <c r="AB72" s="679"/>
      <c r="AC72" s="678"/>
      <c r="AD72" s="678"/>
      <c r="AE72" s="679"/>
      <c r="AF72" s="680"/>
      <c r="AG72" s="680"/>
      <c r="AH72" s="680"/>
      <c r="AI72" s="680"/>
      <c r="AJ72" s="676"/>
      <c r="AK72" s="676"/>
      <c r="AL72" s="679"/>
    </row>
    <row r="73">
      <c r="A73" s="685" t="s">
        <v>1447</v>
      </c>
      <c r="B73" s="685" t="s">
        <v>1475</v>
      </c>
      <c r="C73" s="685" t="s">
        <v>1536</v>
      </c>
      <c r="D73" s="685" t="s">
        <v>1391</v>
      </c>
      <c r="E73" s="686">
        <v>1790.0</v>
      </c>
      <c r="F73" s="692" t="s">
        <v>1539</v>
      </c>
      <c r="G73" s="693"/>
      <c r="H73" s="688"/>
      <c r="I73" s="685" t="s">
        <v>1540</v>
      </c>
      <c r="J73" s="689">
        <v>3.0</v>
      </c>
      <c r="K73" s="689">
        <v>0.0</v>
      </c>
      <c r="L73" s="689">
        <v>0.0</v>
      </c>
      <c r="M73" s="689">
        <v>0.0</v>
      </c>
      <c r="N73" s="686">
        <v>1171.0</v>
      </c>
      <c r="O73" s="686">
        <v>3513.0</v>
      </c>
      <c r="P73" s="686">
        <v>0.0</v>
      </c>
      <c r="Q73" s="686">
        <v>3513.0</v>
      </c>
      <c r="R73" s="686">
        <v>0.0</v>
      </c>
      <c r="S73" s="686">
        <v>0.0</v>
      </c>
      <c r="T73" s="689">
        <v>0.0</v>
      </c>
      <c r="U73" s="690">
        <v>0.0</v>
      </c>
      <c r="V73" s="678"/>
      <c r="W73" s="679"/>
      <c r="X73" s="679"/>
      <c r="Y73" s="679"/>
      <c r="Z73" s="679"/>
      <c r="AA73" s="679"/>
      <c r="AB73" s="679"/>
      <c r="AC73" s="678"/>
      <c r="AD73" s="678"/>
      <c r="AE73" s="681"/>
      <c r="AF73" s="680"/>
      <c r="AG73" s="680"/>
      <c r="AH73" s="680"/>
      <c r="AI73" s="680"/>
      <c r="AJ73" s="676"/>
      <c r="AK73" s="676"/>
      <c r="AL73" s="681"/>
    </row>
    <row r="74">
      <c r="A74" s="685" t="s">
        <v>1447</v>
      </c>
      <c r="B74" s="685" t="s">
        <v>1475</v>
      </c>
      <c r="C74" s="685" t="s">
        <v>1536</v>
      </c>
      <c r="D74" s="685" t="s">
        <v>1391</v>
      </c>
      <c r="E74" s="686">
        <v>1790.0</v>
      </c>
      <c r="F74" s="692" t="s">
        <v>1541</v>
      </c>
      <c r="G74" s="693"/>
      <c r="H74" s="688"/>
      <c r="I74" s="685" t="s">
        <v>1542</v>
      </c>
      <c r="J74" s="689">
        <v>2.0</v>
      </c>
      <c r="K74" s="689">
        <v>0.0</v>
      </c>
      <c r="L74" s="689">
        <v>0.0</v>
      </c>
      <c r="M74" s="689">
        <v>0.0</v>
      </c>
      <c r="N74" s="686">
        <v>1171.0</v>
      </c>
      <c r="O74" s="686">
        <v>2342.0</v>
      </c>
      <c r="P74" s="686">
        <v>0.0</v>
      </c>
      <c r="Q74" s="686">
        <v>2342.0</v>
      </c>
      <c r="R74" s="686">
        <v>0.0</v>
      </c>
      <c r="S74" s="686">
        <v>0.0</v>
      </c>
      <c r="T74" s="689">
        <v>0.0</v>
      </c>
      <c r="U74" s="690">
        <v>0.0</v>
      </c>
      <c r="V74" s="678"/>
      <c r="W74" s="679"/>
      <c r="X74" s="679"/>
      <c r="Y74" s="679"/>
      <c r="Z74" s="679"/>
      <c r="AA74" s="679"/>
      <c r="AB74" s="679"/>
      <c r="AC74" s="678"/>
      <c r="AD74" s="678"/>
      <c r="AE74" s="679"/>
      <c r="AF74" s="680"/>
      <c r="AG74" s="680"/>
      <c r="AH74" s="680"/>
      <c r="AI74" s="680"/>
      <c r="AJ74" s="676"/>
      <c r="AK74" s="676"/>
      <c r="AL74" s="679"/>
    </row>
    <row r="75">
      <c r="A75" s="685" t="s">
        <v>1447</v>
      </c>
      <c r="B75" s="685" t="s">
        <v>1475</v>
      </c>
      <c r="C75" s="685" t="s">
        <v>1536</v>
      </c>
      <c r="D75" s="685" t="s">
        <v>1391</v>
      </c>
      <c r="E75" s="686">
        <v>2390.0</v>
      </c>
      <c r="F75" s="685" t="s">
        <v>1543</v>
      </c>
      <c r="G75" s="687"/>
      <c r="H75" s="688"/>
      <c r="I75" s="685" t="s">
        <v>1544</v>
      </c>
      <c r="J75" s="689">
        <v>2.0</v>
      </c>
      <c r="K75" s="689">
        <v>0.0</v>
      </c>
      <c r="L75" s="689">
        <v>0.0</v>
      </c>
      <c r="M75" s="689">
        <v>0.0</v>
      </c>
      <c r="N75" s="686">
        <v>1564.0</v>
      </c>
      <c r="O75" s="686">
        <v>3128.0</v>
      </c>
      <c r="P75" s="686">
        <v>0.0</v>
      </c>
      <c r="Q75" s="686">
        <v>3128.0</v>
      </c>
      <c r="R75" s="686">
        <v>0.0</v>
      </c>
      <c r="S75" s="686">
        <v>0.0</v>
      </c>
      <c r="T75" s="686">
        <v>0.0</v>
      </c>
      <c r="U75" s="690">
        <v>0.0</v>
      </c>
      <c r="V75" s="678"/>
      <c r="W75" s="679"/>
      <c r="X75" s="679"/>
      <c r="Y75" s="679"/>
      <c r="Z75" s="679"/>
      <c r="AA75" s="679"/>
      <c r="AB75" s="679"/>
      <c r="AC75" s="678"/>
      <c r="AD75" s="678"/>
      <c r="AE75" s="681"/>
      <c r="AF75" s="680"/>
      <c r="AG75" s="680"/>
      <c r="AH75" s="680"/>
      <c r="AI75" s="680"/>
      <c r="AJ75" s="676"/>
      <c r="AK75" s="676"/>
      <c r="AL75" s="681"/>
    </row>
    <row r="76">
      <c r="A76" s="685" t="s">
        <v>1447</v>
      </c>
      <c r="B76" s="685" t="s">
        <v>1475</v>
      </c>
      <c r="C76" s="685" t="s">
        <v>1536</v>
      </c>
      <c r="D76" s="685" t="s">
        <v>1391</v>
      </c>
      <c r="E76" s="686">
        <v>2390.0</v>
      </c>
      <c r="F76" s="685" t="s">
        <v>1545</v>
      </c>
      <c r="G76" s="687"/>
      <c r="H76" s="688"/>
      <c r="I76" s="685" t="s">
        <v>1546</v>
      </c>
      <c r="J76" s="689">
        <v>2.0</v>
      </c>
      <c r="K76" s="689">
        <v>0.0</v>
      </c>
      <c r="L76" s="689">
        <v>0.0</v>
      </c>
      <c r="M76" s="689">
        <v>0.0</v>
      </c>
      <c r="N76" s="686">
        <v>1564.0</v>
      </c>
      <c r="O76" s="686">
        <v>3128.0</v>
      </c>
      <c r="P76" s="686">
        <v>0.0</v>
      </c>
      <c r="Q76" s="686">
        <v>3128.0</v>
      </c>
      <c r="R76" s="686">
        <v>0.0</v>
      </c>
      <c r="S76" s="686">
        <v>0.0</v>
      </c>
      <c r="T76" s="686">
        <v>0.0</v>
      </c>
      <c r="U76" s="690">
        <v>0.0</v>
      </c>
      <c r="V76" s="678"/>
      <c r="W76" s="679"/>
      <c r="X76" s="679"/>
      <c r="Y76" s="679"/>
      <c r="Z76" s="679"/>
      <c r="AA76" s="679"/>
      <c r="AB76" s="679"/>
      <c r="AC76" s="678"/>
      <c r="AD76" s="678"/>
      <c r="AE76" s="679"/>
      <c r="AF76" s="680"/>
      <c r="AG76" s="680"/>
      <c r="AH76" s="680"/>
      <c r="AI76" s="680"/>
      <c r="AJ76" s="676"/>
      <c r="AK76" s="676"/>
      <c r="AL76" s="679"/>
    </row>
    <row r="77">
      <c r="A77" s="685" t="s">
        <v>1447</v>
      </c>
      <c r="B77" s="685" t="s">
        <v>1475</v>
      </c>
      <c r="C77" s="685" t="s">
        <v>1536</v>
      </c>
      <c r="D77" s="685" t="s">
        <v>1391</v>
      </c>
      <c r="E77" s="686">
        <v>2390.0</v>
      </c>
      <c r="F77" s="691" t="s">
        <v>1547</v>
      </c>
      <c r="G77" s="687"/>
      <c r="H77" s="688"/>
      <c r="I77" s="685" t="s">
        <v>1548</v>
      </c>
      <c r="J77" s="689">
        <v>1.0</v>
      </c>
      <c r="K77" s="689">
        <v>0.0</v>
      </c>
      <c r="L77" s="689">
        <v>0.0</v>
      </c>
      <c r="M77" s="689">
        <v>0.0</v>
      </c>
      <c r="N77" s="686">
        <v>1564.0</v>
      </c>
      <c r="O77" s="686">
        <v>1564.0</v>
      </c>
      <c r="P77" s="686">
        <v>0.0</v>
      </c>
      <c r="Q77" s="686">
        <v>1564.0</v>
      </c>
      <c r="R77" s="686">
        <v>0.0</v>
      </c>
      <c r="S77" s="686">
        <v>0.0</v>
      </c>
      <c r="T77" s="686">
        <v>0.0</v>
      </c>
      <c r="U77" s="690">
        <v>0.0</v>
      </c>
      <c r="V77" s="678"/>
      <c r="W77" s="679"/>
      <c r="X77" s="679"/>
      <c r="Y77" s="679"/>
      <c r="Z77" s="679"/>
      <c r="AA77" s="679"/>
      <c r="AB77" s="679"/>
      <c r="AC77" s="678"/>
      <c r="AD77" s="678"/>
      <c r="AE77" s="680"/>
      <c r="AF77" s="680"/>
      <c r="AG77" s="680"/>
      <c r="AH77" s="680"/>
      <c r="AI77" s="680"/>
      <c r="AJ77" s="676"/>
      <c r="AK77" s="676"/>
      <c r="AL77" s="681"/>
    </row>
    <row r="78">
      <c r="A78" s="685" t="s">
        <v>1447</v>
      </c>
      <c r="B78" s="685" t="s">
        <v>1475</v>
      </c>
      <c r="C78" s="685" t="s">
        <v>1536</v>
      </c>
      <c r="D78" s="685" t="s">
        <v>1391</v>
      </c>
      <c r="E78" s="686">
        <v>890.0</v>
      </c>
      <c r="F78" s="685" t="s">
        <v>1549</v>
      </c>
      <c r="G78" s="687"/>
      <c r="H78" s="688"/>
      <c r="I78" s="685" t="s">
        <v>1550</v>
      </c>
      <c r="J78" s="689">
        <v>1.0</v>
      </c>
      <c r="K78" s="689">
        <v>0.0</v>
      </c>
      <c r="L78" s="689">
        <v>0.0</v>
      </c>
      <c r="M78" s="689">
        <v>0.0</v>
      </c>
      <c r="N78" s="686">
        <v>582.0</v>
      </c>
      <c r="O78" s="686">
        <v>582.0</v>
      </c>
      <c r="P78" s="686">
        <v>0.0</v>
      </c>
      <c r="Q78" s="686">
        <v>582.0</v>
      </c>
      <c r="R78" s="686">
        <v>0.0</v>
      </c>
      <c r="S78" s="686">
        <v>0.0</v>
      </c>
      <c r="T78" s="686">
        <v>0.0</v>
      </c>
      <c r="U78" s="690">
        <v>0.0</v>
      </c>
      <c r="V78" s="678"/>
      <c r="W78" s="679"/>
      <c r="X78" s="679"/>
      <c r="Y78" s="679"/>
      <c r="Z78" s="679"/>
      <c r="AA78" s="679"/>
      <c r="AB78" s="679"/>
      <c r="AC78" s="678"/>
      <c r="AD78" s="678"/>
      <c r="AE78" s="680"/>
      <c r="AF78" s="681"/>
      <c r="AG78" s="681"/>
      <c r="AH78" s="681"/>
      <c r="AI78" s="681"/>
      <c r="AJ78" s="676"/>
      <c r="AK78" s="676"/>
      <c r="AL78" s="681"/>
    </row>
    <row r="79">
      <c r="A79" s="685" t="s">
        <v>1447</v>
      </c>
      <c r="B79" s="685" t="s">
        <v>1475</v>
      </c>
      <c r="C79" s="685" t="s">
        <v>1536</v>
      </c>
      <c r="D79" s="685" t="s">
        <v>1391</v>
      </c>
      <c r="E79" s="686">
        <v>590.0</v>
      </c>
      <c r="F79" s="685" t="s">
        <v>1551</v>
      </c>
      <c r="G79" s="687"/>
      <c r="H79" s="688"/>
      <c r="I79" s="685" t="s">
        <v>1552</v>
      </c>
      <c r="J79" s="689">
        <v>1.0</v>
      </c>
      <c r="K79" s="689">
        <v>0.0</v>
      </c>
      <c r="L79" s="689">
        <v>0.0</v>
      </c>
      <c r="M79" s="689">
        <v>0.0</v>
      </c>
      <c r="N79" s="686">
        <v>386.0</v>
      </c>
      <c r="O79" s="686">
        <v>386.0</v>
      </c>
      <c r="P79" s="686">
        <v>0.0</v>
      </c>
      <c r="Q79" s="686">
        <v>386.0</v>
      </c>
      <c r="R79" s="686">
        <v>0.0</v>
      </c>
      <c r="S79" s="686">
        <v>0.0</v>
      </c>
      <c r="T79" s="686">
        <v>0.0</v>
      </c>
      <c r="U79" s="690">
        <v>0.0</v>
      </c>
      <c r="V79" s="678"/>
      <c r="W79" s="679"/>
      <c r="X79" s="679"/>
      <c r="Y79" s="679"/>
      <c r="Z79" s="679"/>
      <c r="AA79" s="679"/>
      <c r="AB79" s="679"/>
      <c r="AC79" s="678"/>
      <c r="AD79" s="678"/>
      <c r="AE79" s="680"/>
      <c r="AF79" s="681"/>
      <c r="AG79" s="681"/>
      <c r="AH79" s="681"/>
      <c r="AI79" s="681"/>
      <c r="AJ79" s="676"/>
      <c r="AK79" s="676"/>
      <c r="AL79" s="681"/>
    </row>
    <row r="80">
      <c r="A80" s="685" t="s">
        <v>1447</v>
      </c>
      <c r="B80" s="685" t="s">
        <v>1475</v>
      </c>
      <c r="C80" s="685" t="s">
        <v>1536</v>
      </c>
      <c r="D80" s="685" t="s">
        <v>1391</v>
      </c>
      <c r="E80" s="686">
        <v>2390.0</v>
      </c>
      <c r="F80" s="692" t="s">
        <v>1553</v>
      </c>
      <c r="G80" s="693"/>
      <c r="H80" s="688"/>
      <c r="I80" s="685" t="s">
        <v>1554</v>
      </c>
      <c r="J80" s="689">
        <v>1.0</v>
      </c>
      <c r="K80" s="689">
        <v>0.0</v>
      </c>
      <c r="L80" s="689">
        <v>0.0</v>
      </c>
      <c r="M80" s="689">
        <v>0.0</v>
      </c>
      <c r="N80" s="686">
        <v>1564.0</v>
      </c>
      <c r="O80" s="686">
        <v>1564.0</v>
      </c>
      <c r="P80" s="686">
        <v>0.0</v>
      </c>
      <c r="Q80" s="686">
        <v>1564.0</v>
      </c>
      <c r="R80" s="686">
        <v>0.0</v>
      </c>
      <c r="S80" s="686">
        <v>0.0</v>
      </c>
      <c r="T80" s="686">
        <v>0.0</v>
      </c>
      <c r="U80" s="690">
        <v>0.0</v>
      </c>
      <c r="V80" s="678"/>
      <c r="W80" s="679"/>
      <c r="X80" s="679"/>
      <c r="Y80" s="679"/>
      <c r="Z80" s="679"/>
      <c r="AA80" s="679"/>
      <c r="AB80" s="679"/>
      <c r="AC80" s="678"/>
      <c r="AD80" s="678"/>
      <c r="AE80" s="680"/>
      <c r="AF80" s="680"/>
      <c r="AG80" s="680"/>
      <c r="AH80" s="680"/>
      <c r="AI80" s="680"/>
      <c r="AJ80" s="676"/>
      <c r="AK80" s="676"/>
      <c r="AL80" s="679"/>
    </row>
    <row r="81">
      <c r="A81" s="685" t="s">
        <v>1447</v>
      </c>
      <c r="B81" s="685" t="s">
        <v>1475</v>
      </c>
      <c r="C81" s="685" t="s">
        <v>1536</v>
      </c>
      <c r="D81" s="685" t="s">
        <v>1391</v>
      </c>
      <c r="E81" s="686">
        <v>1490.0</v>
      </c>
      <c r="F81" s="692" t="s">
        <v>1555</v>
      </c>
      <c r="G81" s="693"/>
      <c r="H81" s="688"/>
      <c r="I81" s="685" t="s">
        <v>1556</v>
      </c>
      <c r="J81" s="689">
        <v>1.0</v>
      </c>
      <c r="K81" s="689">
        <v>0.0</v>
      </c>
      <c r="L81" s="689">
        <v>0.0</v>
      </c>
      <c r="M81" s="689">
        <v>0.0</v>
      </c>
      <c r="N81" s="686">
        <v>975.0</v>
      </c>
      <c r="O81" s="686">
        <v>975.0</v>
      </c>
      <c r="P81" s="686">
        <v>0.0</v>
      </c>
      <c r="Q81" s="686">
        <v>975.0</v>
      </c>
      <c r="R81" s="686">
        <v>0.0</v>
      </c>
      <c r="S81" s="686">
        <v>0.0</v>
      </c>
      <c r="T81" s="686">
        <v>0.0</v>
      </c>
      <c r="U81" s="690">
        <v>0.0</v>
      </c>
      <c r="V81" s="678"/>
      <c r="W81" s="679"/>
      <c r="X81" s="679"/>
      <c r="Y81" s="679"/>
      <c r="Z81" s="679"/>
      <c r="AA81" s="679"/>
      <c r="AB81" s="679"/>
      <c r="AC81" s="678"/>
      <c r="AD81" s="678"/>
      <c r="AE81" s="680"/>
      <c r="AF81" s="680"/>
      <c r="AG81" s="680"/>
      <c r="AH81" s="680"/>
      <c r="AI81" s="680"/>
      <c r="AJ81" s="676"/>
      <c r="AK81" s="676"/>
      <c r="AL81" s="681"/>
    </row>
    <row r="82">
      <c r="A82" s="685" t="s">
        <v>1447</v>
      </c>
      <c r="B82" s="685" t="s">
        <v>1475</v>
      </c>
      <c r="C82" s="685" t="s">
        <v>1557</v>
      </c>
      <c r="D82" s="685" t="s">
        <v>1391</v>
      </c>
      <c r="E82" s="686">
        <v>890.0</v>
      </c>
      <c r="F82" s="685" t="s">
        <v>1558</v>
      </c>
      <c r="G82" s="687"/>
      <c r="H82" s="688"/>
      <c r="I82" s="685" t="s">
        <v>1559</v>
      </c>
      <c r="J82" s="689">
        <v>3.0</v>
      </c>
      <c r="K82" s="689">
        <v>0.0</v>
      </c>
      <c r="L82" s="689">
        <v>0.0</v>
      </c>
      <c r="M82" s="689">
        <v>0.0</v>
      </c>
      <c r="N82" s="686">
        <v>582.0</v>
      </c>
      <c r="O82" s="686">
        <v>1746.0</v>
      </c>
      <c r="P82" s="686">
        <v>1746.0</v>
      </c>
      <c r="Q82" s="686">
        <v>0.0</v>
      </c>
      <c r="R82" s="686">
        <v>0.0</v>
      </c>
      <c r="S82" s="686">
        <v>0.0</v>
      </c>
      <c r="T82" s="686">
        <v>0.0</v>
      </c>
      <c r="U82" s="690">
        <v>0.0</v>
      </c>
      <c r="V82" s="678"/>
      <c r="W82" s="679"/>
      <c r="X82" s="679"/>
      <c r="Y82" s="679"/>
      <c r="Z82" s="679"/>
      <c r="AA82" s="679"/>
      <c r="AB82" s="679"/>
      <c r="AC82" s="678"/>
      <c r="AD82" s="678"/>
      <c r="AE82" s="680"/>
      <c r="AF82" s="681"/>
      <c r="AG82" s="681"/>
      <c r="AH82" s="681"/>
      <c r="AI82" s="681"/>
      <c r="AJ82" s="676"/>
      <c r="AK82" s="676"/>
      <c r="AL82" s="681"/>
    </row>
    <row r="83">
      <c r="A83" s="685" t="s">
        <v>1447</v>
      </c>
      <c r="B83" s="685" t="s">
        <v>1475</v>
      </c>
      <c r="C83" s="685" t="s">
        <v>1557</v>
      </c>
      <c r="D83" s="685" t="s">
        <v>1391</v>
      </c>
      <c r="E83" s="686">
        <v>1090.0</v>
      </c>
      <c r="F83" s="685" t="s">
        <v>1560</v>
      </c>
      <c r="G83" s="687"/>
      <c r="H83" s="688"/>
      <c r="I83" s="685" t="s">
        <v>1561</v>
      </c>
      <c r="J83" s="689">
        <v>3.0</v>
      </c>
      <c r="K83" s="689">
        <v>0.0</v>
      </c>
      <c r="L83" s="689">
        <v>0.0</v>
      </c>
      <c r="M83" s="689">
        <v>0.0</v>
      </c>
      <c r="N83" s="686">
        <v>713.0</v>
      </c>
      <c r="O83" s="686">
        <v>2139.0</v>
      </c>
      <c r="P83" s="686">
        <v>2139.0</v>
      </c>
      <c r="Q83" s="686">
        <v>0.0</v>
      </c>
      <c r="R83" s="686">
        <v>0.0</v>
      </c>
      <c r="S83" s="686">
        <v>0.0</v>
      </c>
      <c r="T83" s="686">
        <v>0.0</v>
      </c>
      <c r="U83" s="690">
        <v>0.0</v>
      </c>
      <c r="V83" s="678"/>
      <c r="W83" s="679"/>
      <c r="X83" s="679"/>
      <c r="Y83" s="679"/>
      <c r="Z83" s="679"/>
      <c r="AA83" s="679"/>
      <c r="AB83" s="679"/>
      <c r="AC83" s="678"/>
      <c r="AD83" s="678"/>
      <c r="AE83" s="680"/>
      <c r="AF83" s="679"/>
      <c r="AG83" s="679"/>
      <c r="AH83" s="679"/>
      <c r="AI83" s="679"/>
      <c r="AJ83" s="676"/>
      <c r="AK83" s="676"/>
      <c r="AL83" s="679"/>
    </row>
    <row r="84">
      <c r="A84" s="685" t="s">
        <v>1447</v>
      </c>
      <c r="B84" s="685" t="s">
        <v>1475</v>
      </c>
      <c r="C84" s="685" t="s">
        <v>1557</v>
      </c>
      <c r="D84" s="685" t="s">
        <v>1391</v>
      </c>
      <c r="E84" s="686">
        <v>1090.0</v>
      </c>
      <c r="F84" s="685" t="s">
        <v>1562</v>
      </c>
      <c r="G84" s="687"/>
      <c r="H84" s="688"/>
      <c r="I84" s="685" t="s">
        <v>1563</v>
      </c>
      <c r="J84" s="689">
        <v>3.0</v>
      </c>
      <c r="K84" s="689">
        <v>0.0</v>
      </c>
      <c r="L84" s="689">
        <v>0.0</v>
      </c>
      <c r="M84" s="689">
        <v>0.0</v>
      </c>
      <c r="N84" s="686">
        <v>713.0</v>
      </c>
      <c r="O84" s="686">
        <v>2139.0</v>
      </c>
      <c r="P84" s="686">
        <v>2139.0</v>
      </c>
      <c r="Q84" s="686">
        <v>0.0</v>
      </c>
      <c r="R84" s="686">
        <v>0.0</v>
      </c>
      <c r="S84" s="686">
        <v>0.0</v>
      </c>
      <c r="T84" s="686">
        <v>0.0</v>
      </c>
      <c r="U84" s="690">
        <v>0.0</v>
      </c>
      <c r="V84" s="678"/>
      <c r="W84" s="679"/>
      <c r="X84" s="679"/>
      <c r="Y84" s="679"/>
      <c r="Z84" s="679"/>
      <c r="AA84" s="679"/>
      <c r="AB84" s="679"/>
      <c r="AC84" s="678"/>
      <c r="AD84" s="678"/>
      <c r="AE84" s="680"/>
      <c r="AF84" s="681"/>
      <c r="AG84" s="681"/>
      <c r="AH84" s="681"/>
      <c r="AI84" s="681"/>
      <c r="AJ84" s="676"/>
      <c r="AK84" s="676"/>
      <c r="AL84" s="681"/>
    </row>
    <row r="85">
      <c r="A85" s="685" t="s">
        <v>1447</v>
      </c>
      <c r="B85" s="685" t="s">
        <v>1475</v>
      </c>
      <c r="C85" s="685" t="s">
        <v>1557</v>
      </c>
      <c r="D85" s="685" t="s">
        <v>1391</v>
      </c>
      <c r="E85" s="686">
        <v>1090.0</v>
      </c>
      <c r="F85" s="685" t="s">
        <v>1564</v>
      </c>
      <c r="G85" s="687"/>
      <c r="H85" s="688"/>
      <c r="I85" s="685" t="s">
        <v>1565</v>
      </c>
      <c r="J85" s="689">
        <v>1.0</v>
      </c>
      <c r="K85" s="689">
        <v>0.0</v>
      </c>
      <c r="L85" s="689">
        <v>0.0</v>
      </c>
      <c r="M85" s="689">
        <v>0.0</v>
      </c>
      <c r="N85" s="686">
        <v>713.0</v>
      </c>
      <c r="O85" s="686">
        <v>713.0</v>
      </c>
      <c r="P85" s="686">
        <v>713.0</v>
      </c>
      <c r="Q85" s="686">
        <v>0.0</v>
      </c>
      <c r="R85" s="686">
        <v>0.0</v>
      </c>
      <c r="S85" s="686">
        <v>0.0</v>
      </c>
      <c r="T85" s="686">
        <v>0.0</v>
      </c>
      <c r="U85" s="690">
        <v>0.0</v>
      </c>
      <c r="V85" s="678"/>
      <c r="W85" s="679"/>
      <c r="X85" s="679"/>
      <c r="Y85" s="679"/>
      <c r="Z85" s="679"/>
      <c r="AA85" s="679"/>
      <c r="AB85" s="679"/>
      <c r="AC85" s="678"/>
      <c r="AD85" s="678"/>
      <c r="AE85" s="680"/>
      <c r="AF85" s="679"/>
      <c r="AG85" s="679"/>
      <c r="AH85" s="679"/>
      <c r="AI85" s="679"/>
      <c r="AJ85" s="676"/>
      <c r="AK85" s="676"/>
      <c r="AL85" s="679"/>
    </row>
    <row r="86">
      <c r="A86" s="685" t="s">
        <v>1447</v>
      </c>
      <c r="B86" s="685" t="s">
        <v>1475</v>
      </c>
      <c r="C86" s="685" t="s">
        <v>1557</v>
      </c>
      <c r="D86" s="685" t="s">
        <v>1391</v>
      </c>
      <c r="E86" s="686">
        <v>1090.0</v>
      </c>
      <c r="F86" s="692" t="s">
        <v>1566</v>
      </c>
      <c r="G86" s="693"/>
      <c r="H86" s="688"/>
      <c r="I86" s="685" t="s">
        <v>1567</v>
      </c>
      <c r="J86" s="689">
        <v>1.0</v>
      </c>
      <c r="K86" s="689">
        <v>0.0</v>
      </c>
      <c r="L86" s="689">
        <v>0.0</v>
      </c>
      <c r="M86" s="689">
        <v>0.0</v>
      </c>
      <c r="N86" s="686">
        <v>713.0</v>
      </c>
      <c r="O86" s="686">
        <v>713.0</v>
      </c>
      <c r="P86" s="686">
        <v>713.0</v>
      </c>
      <c r="Q86" s="686">
        <v>0.0</v>
      </c>
      <c r="R86" s="686">
        <v>0.0</v>
      </c>
      <c r="S86" s="686">
        <v>0.0</v>
      </c>
      <c r="T86" s="689">
        <v>0.0</v>
      </c>
      <c r="U86" s="690">
        <v>0.0</v>
      </c>
      <c r="V86" s="678"/>
      <c r="W86" s="679"/>
      <c r="X86" s="679"/>
      <c r="Y86" s="679"/>
      <c r="Z86" s="679"/>
      <c r="AA86" s="679"/>
      <c r="AB86" s="679"/>
      <c r="AC86" s="678"/>
      <c r="AD86" s="678"/>
      <c r="AE86" s="680"/>
      <c r="AF86" s="681"/>
      <c r="AG86" s="681"/>
      <c r="AH86" s="681"/>
      <c r="AI86" s="681"/>
      <c r="AJ86" s="676"/>
      <c r="AK86" s="676"/>
      <c r="AL86" s="681"/>
    </row>
    <row r="87">
      <c r="A87" s="685" t="s">
        <v>1447</v>
      </c>
      <c r="B87" s="685" t="s">
        <v>1475</v>
      </c>
      <c r="C87" s="685" t="s">
        <v>1557</v>
      </c>
      <c r="D87" s="685" t="s">
        <v>1391</v>
      </c>
      <c r="E87" s="686">
        <v>590.0</v>
      </c>
      <c r="F87" s="685" t="s">
        <v>1568</v>
      </c>
      <c r="G87" s="687"/>
      <c r="H87" s="688"/>
      <c r="I87" s="685" t="s">
        <v>1569</v>
      </c>
      <c r="J87" s="689">
        <v>4.0</v>
      </c>
      <c r="K87" s="689">
        <v>0.0</v>
      </c>
      <c r="L87" s="689">
        <v>0.0</v>
      </c>
      <c r="M87" s="689">
        <v>0.0</v>
      </c>
      <c r="N87" s="686">
        <v>386.0</v>
      </c>
      <c r="O87" s="686">
        <v>1544.0</v>
      </c>
      <c r="P87" s="686">
        <v>1544.0</v>
      </c>
      <c r="Q87" s="686">
        <v>0.0</v>
      </c>
      <c r="R87" s="686">
        <v>0.0</v>
      </c>
      <c r="S87" s="686">
        <v>0.0</v>
      </c>
      <c r="T87" s="686">
        <v>0.0</v>
      </c>
      <c r="U87" s="690">
        <v>0.0</v>
      </c>
      <c r="V87" s="678"/>
      <c r="W87" s="679"/>
      <c r="X87" s="679"/>
      <c r="Y87" s="679"/>
      <c r="Z87" s="679"/>
      <c r="AA87" s="679"/>
      <c r="AB87" s="679"/>
      <c r="AC87" s="678"/>
      <c r="AD87" s="678"/>
      <c r="AE87" s="680"/>
      <c r="AF87" s="681"/>
      <c r="AG87" s="681"/>
      <c r="AH87" s="681"/>
      <c r="AI87" s="681"/>
      <c r="AJ87" s="676"/>
      <c r="AK87" s="676"/>
      <c r="AL87" s="681"/>
    </row>
    <row r="88">
      <c r="A88" s="685" t="s">
        <v>1447</v>
      </c>
      <c r="B88" s="685" t="s">
        <v>1475</v>
      </c>
      <c r="C88" s="685" t="s">
        <v>1557</v>
      </c>
      <c r="D88" s="685" t="s">
        <v>1391</v>
      </c>
      <c r="E88" s="686">
        <v>1390.0</v>
      </c>
      <c r="F88" s="685" t="s">
        <v>1570</v>
      </c>
      <c r="G88" s="687"/>
      <c r="H88" s="688"/>
      <c r="I88" s="685" t="s">
        <v>1571</v>
      </c>
      <c r="J88" s="689">
        <v>2.0</v>
      </c>
      <c r="K88" s="689">
        <v>0.0</v>
      </c>
      <c r="L88" s="689">
        <v>0.0</v>
      </c>
      <c r="M88" s="689">
        <v>0.0</v>
      </c>
      <c r="N88" s="686">
        <v>909.0</v>
      </c>
      <c r="O88" s="686">
        <v>1818.0</v>
      </c>
      <c r="P88" s="686">
        <v>1818.0</v>
      </c>
      <c r="Q88" s="686">
        <v>0.0</v>
      </c>
      <c r="R88" s="686">
        <v>0.0</v>
      </c>
      <c r="S88" s="686">
        <v>0.0</v>
      </c>
      <c r="T88" s="686">
        <v>0.0</v>
      </c>
      <c r="U88" s="690">
        <v>0.0</v>
      </c>
      <c r="V88" s="678"/>
      <c r="W88" s="679"/>
      <c r="X88" s="679"/>
      <c r="Y88" s="679"/>
      <c r="Z88" s="679"/>
      <c r="AA88" s="679"/>
      <c r="AB88" s="679"/>
      <c r="AC88" s="678"/>
      <c r="AD88" s="678"/>
      <c r="AE88" s="680"/>
      <c r="AF88" s="680"/>
      <c r="AG88" s="680"/>
      <c r="AH88" s="680"/>
      <c r="AI88" s="680"/>
      <c r="AJ88" s="676"/>
      <c r="AK88" s="676"/>
      <c r="AL88" s="679"/>
    </row>
    <row r="89">
      <c r="A89" s="685" t="s">
        <v>1447</v>
      </c>
      <c r="B89" s="685" t="s">
        <v>1475</v>
      </c>
      <c r="C89" s="685" t="s">
        <v>1557</v>
      </c>
      <c r="D89" s="685" t="s">
        <v>1391</v>
      </c>
      <c r="E89" s="686">
        <v>1390.0</v>
      </c>
      <c r="F89" s="691" t="s">
        <v>1572</v>
      </c>
      <c r="G89" s="687"/>
      <c r="H89" s="688"/>
      <c r="I89" s="685" t="s">
        <v>1573</v>
      </c>
      <c r="J89" s="689">
        <v>2.0</v>
      </c>
      <c r="K89" s="689">
        <v>0.0</v>
      </c>
      <c r="L89" s="689">
        <v>0.0</v>
      </c>
      <c r="M89" s="689">
        <v>0.0</v>
      </c>
      <c r="N89" s="686">
        <v>909.0</v>
      </c>
      <c r="O89" s="686">
        <v>1818.0</v>
      </c>
      <c r="P89" s="686">
        <v>1818.0</v>
      </c>
      <c r="Q89" s="686">
        <v>0.0</v>
      </c>
      <c r="R89" s="686">
        <v>0.0</v>
      </c>
      <c r="S89" s="686">
        <v>0.0</v>
      </c>
      <c r="T89" s="686">
        <v>0.0</v>
      </c>
      <c r="U89" s="690">
        <v>0.0</v>
      </c>
      <c r="V89" s="678"/>
      <c r="W89" s="679"/>
      <c r="X89" s="679"/>
      <c r="Y89" s="679"/>
      <c r="Z89" s="679"/>
      <c r="AA89" s="679"/>
      <c r="AB89" s="679"/>
      <c r="AC89" s="678"/>
      <c r="AD89" s="678"/>
      <c r="AE89" s="680"/>
      <c r="AF89" s="681"/>
      <c r="AG89" s="681"/>
      <c r="AH89" s="681"/>
      <c r="AI89" s="681"/>
      <c r="AJ89" s="676"/>
      <c r="AK89" s="676"/>
      <c r="AL89" s="681"/>
    </row>
    <row r="90">
      <c r="A90" s="685" t="s">
        <v>1447</v>
      </c>
      <c r="B90" s="685" t="s">
        <v>1475</v>
      </c>
      <c r="C90" s="685" t="s">
        <v>1557</v>
      </c>
      <c r="D90" s="685" t="s">
        <v>1391</v>
      </c>
      <c r="E90" s="686">
        <v>1390.0</v>
      </c>
      <c r="F90" s="692" t="s">
        <v>1574</v>
      </c>
      <c r="G90" s="693"/>
      <c r="H90" s="688"/>
      <c r="I90" s="685" t="s">
        <v>1575</v>
      </c>
      <c r="J90" s="689">
        <v>1.0</v>
      </c>
      <c r="K90" s="689">
        <v>0.0</v>
      </c>
      <c r="L90" s="689">
        <v>0.0</v>
      </c>
      <c r="M90" s="689">
        <v>0.0</v>
      </c>
      <c r="N90" s="686">
        <v>909.0</v>
      </c>
      <c r="O90" s="686">
        <v>909.0</v>
      </c>
      <c r="P90" s="686">
        <v>909.0</v>
      </c>
      <c r="Q90" s="686">
        <v>0.0</v>
      </c>
      <c r="R90" s="686">
        <v>0.0</v>
      </c>
      <c r="S90" s="686">
        <v>0.0</v>
      </c>
      <c r="T90" s="686">
        <v>0.0</v>
      </c>
      <c r="U90" s="690">
        <v>0.0</v>
      </c>
      <c r="V90" s="678"/>
      <c r="W90" s="679"/>
      <c r="X90" s="679"/>
      <c r="Y90" s="679"/>
      <c r="Z90" s="679"/>
      <c r="AA90" s="679"/>
      <c r="AB90" s="679"/>
      <c r="AC90" s="678"/>
      <c r="AD90" s="678"/>
      <c r="AE90" s="680"/>
      <c r="AF90" s="681"/>
      <c r="AG90" s="681"/>
      <c r="AH90" s="681"/>
      <c r="AI90" s="681"/>
      <c r="AJ90" s="676"/>
      <c r="AK90" s="676"/>
      <c r="AL90" s="681"/>
    </row>
    <row r="91">
      <c r="A91" s="685" t="s">
        <v>1447</v>
      </c>
      <c r="B91" s="685" t="s">
        <v>1475</v>
      </c>
      <c r="C91" s="685" t="s">
        <v>1576</v>
      </c>
      <c r="D91" s="685" t="s">
        <v>1391</v>
      </c>
      <c r="E91" s="686">
        <v>490.0</v>
      </c>
      <c r="F91" s="692" t="s">
        <v>1577</v>
      </c>
      <c r="G91" s="693"/>
      <c r="H91" s="688"/>
      <c r="I91" s="685" t="s">
        <v>1578</v>
      </c>
      <c r="J91" s="689">
        <v>2.0</v>
      </c>
      <c r="K91" s="689">
        <v>0.0</v>
      </c>
      <c r="L91" s="689">
        <v>0.0</v>
      </c>
      <c r="M91" s="689">
        <v>0.0</v>
      </c>
      <c r="N91" s="686">
        <v>321.0</v>
      </c>
      <c r="O91" s="686">
        <v>642.0</v>
      </c>
      <c r="P91" s="686">
        <v>0.0</v>
      </c>
      <c r="Q91" s="686">
        <v>0.0</v>
      </c>
      <c r="R91" s="686">
        <v>0.0</v>
      </c>
      <c r="S91" s="686">
        <v>0.0</v>
      </c>
      <c r="T91" s="686">
        <v>0.0</v>
      </c>
      <c r="U91" s="690">
        <v>642.0</v>
      </c>
      <c r="V91" s="678"/>
      <c r="W91" s="679"/>
      <c r="X91" s="679"/>
      <c r="Y91" s="679"/>
      <c r="Z91" s="679"/>
      <c r="AA91" s="679"/>
      <c r="AB91" s="679"/>
      <c r="AC91" s="678"/>
      <c r="AD91" s="678"/>
      <c r="AE91" s="680"/>
      <c r="AF91" s="681"/>
      <c r="AG91" s="681"/>
      <c r="AH91" s="681"/>
      <c r="AI91" s="681"/>
      <c r="AJ91" s="676"/>
      <c r="AK91" s="676"/>
      <c r="AL91" s="681"/>
    </row>
    <row r="92">
      <c r="A92" s="685" t="s">
        <v>1447</v>
      </c>
      <c r="B92" s="685" t="s">
        <v>1475</v>
      </c>
      <c r="C92" s="685" t="s">
        <v>1579</v>
      </c>
      <c r="D92" s="685" t="s">
        <v>1477</v>
      </c>
      <c r="E92" s="686">
        <v>190.0</v>
      </c>
      <c r="F92" s="685">
        <v>8.8002996699E12</v>
      </c>
      <c r="G92" s="687"/>
      <c r="H92" s="688"/>
      <c r="I92" s="685" t="s">
        <v>1580</v>
      </c>
      <c r="J92" s="689">
        <v>5.0</v>
      </c>
      <c r="K92" s="689">
        <v>0.0</v>
      </c>
      <c r="L92" s="689">
        <v>0.0</v>
      </c>
      <c r="M92" s="689">
        <v>0.0</v>
      </c>
      <c r="N92" s="686">
        <v>106.54</v>
      </c>
      <c r="O92" s="686">
        <v>532.7</v>
      </c>
      <c r="P92" s="686">
        <v>0.0</v>
      </c>
      <c r="Q92" s="686">
        <v>0.0</v>
      </c>
      <c r="R92" s="686">
        <v>0.0</v>
      </c>
      <c r="S92" s="686">
        <v>0.0</v>
      </c>
      <c r="T92" s="686">
        <v>0.0</v>
      </c>
      <c r="U92" s="690">
        <v>532.7</v>
      </c>
      <c r="V92" s="678"/>
      <c r="W92" s="679"/>
      <c r="X92" s="679"/>
      <c r="Y92" s="679"/>
      <c r="Z92" s="679"/>
      <c r="AA92" s="679"/>
      <c r="AB92" s="679"/>
      <c r="AC92" s="678"/>
      <c r="AD92" s="678"/>
      <c r="AE92" s="680"/>
      <c r="AF92" s="681"/>
      <c r="AG92" s="681"/>
      <c r="AH92" s="681"/>
      <c r="AI92" s="681"/>
      <c r="AJ92" s="676"/>
      <c r="AK92" s="676"/>
      <c r="AL92" s="681"/>
    </row>
    <row r="93">
      <c r="A93" s="685" t="s">
        <v>1447</v>
      </c>
      <c r="B93" s="685" t="s">
        <v>1475</v>
      </c>
      <c r="C93" s="685" t="s">
        <v>1579</v>
      </c>
      <c r="D93" s="685" t="s">
        <v>1391</v>
      </c>
      <c r="E93" s="686">
        <v>1190.0</v>
      </c>
      <c r="F93" s="685" t="s">
        <v>1581</v>
      </c>
      <c r="G93" s="687"/>
      <c r="H93" s="688"/>
      <c r="I93" s="685" t="s">
        <v>1582</v>
      </c>
      <c r="J93" s="689">
        <v>4.0</v>
      </c>
      <c r="K93" s="689">
        <v>0.0</v>
      </c>
      <c r="L93" s="689">
        <v>0.0</v>
      </c>
      <c r="M93" s="689">
        <v>0.0</v>
      </c>
      <c r="N93" s="686">
        <v>779.0</v>
      </c>
      <c r="O93" s="686">
        <v>3116.0</v>
      </c>
      <c r="P93" s="686">
        <v>0.0</v>
      </c>
      <c r="Q93" s="686">
        <v>0.0</v>
      </c>
      <c r="R93" s="686">
        <v>0.0</v>
      </c>
      <c r="S93" s="686">
        <v>0.0</v>
      </c>
      <c r="T93" s="686">
        <v>0.0</v>
      </c>
      <c r="U93" s="690">
        <v>3116.0</v>
      </c>
      <c r="V93" s="678"/>
      <c r="W93" s="679"/>
      <c r="X93" s="679"/>
      <c r="Y93" s="679"/>
      <c r="Z93" s="679"/>
      <c r="AA93" s="679"/>
      <c r="AB93" s="679"/>
      <c r="AC93" s="678"/>
      <c r="AD93" s="678"/>
      <c r="AE93" s="680"/>
      <c r="AF93" s="681"/>
      <c r="AG93" s="681"/>
      <c r="AH93" s="681"/>
      <c r="AI93" s="681"/>
      <c r="AJ93" s="676"/>
      <c r="AK93" s="676"/>
      <c r="AL93" s="681"/>
    </row>
    <row r="94">
      <c r="A94" s="685" t="s">
        <v>1447</v>
      </c>
      <c r="B94" s="685" t="s">
        <v>1475</v>
      </c>
      <c r="C94" s="685" t="s">
        <v>1579</v>
      </c>
      <c r="D94" s="685" t="s">
        <v>1391</v>
      </c>
      <c r="E94" s="686">
        <v>1190.0</v>
      </c>
      <c r="F94" s="685" t="s">
        <v>1583</v>
      </c>
      <c r="G94" s="687"/>
      <c r="H94" s="688"/>
      <c r="I94" s="685" t="s">
        <v>1584</v>
      </c>
      <c r="J94" s="689">
        <v>6.0</v>
      </c>
      <c r="K94" s="689">
        <v>0.0</v>
      </c>
      <c r="L94" s="689">
        <v>0.0</v>
      </c>
      <c r="M94" s="689">
        <v>0.0</v>
      </c>
      <c r="N94" s="686">
        <v>779.0</v>
      </c>
      <c r="O94" s="686">
        <v>4674.0</v>
      </c>
      <c r="P94" s="686">
        <v>0.0</v>
      </c>
      <c r="Q94" s="686">
        <v>0.0</v>
      </c>
      <c r="R94" s="686">
        <v>0.0</v>
      </c>
      <c r="S94" s="686">
        <v>0.0</v>
      </c>
      <c r="T94" s="686">
        <v>0.0</v>
      </c>
      <c r="U94" s="690">
        <v>4674.0</v>
      </c>
      <c r="V94" s="678"/>
      <c r="W94" s="679"/>
      <c r="X94" s="679"/>
      <c r="Y94" s="679"/>
      <c r="Z94" s="679"/>
      <c r="AA94" s="679"/>
      <c r="AB94" s="679"/>
      <c r="AC94" s="678"/>
      <c r="AD94" s="678"/>
      <c r="AE94" s="680"/>
      <c r="AF94" s="681"/>
      <c r="AG94" s="681"/>
      <c r="AH94" s="681"/>
      <c r="AI94" s="681"/>
      <c r="AJ94" s="676"/>
      <c r="AK94" s="676"/>
      <c r="AL94" s="681"/>
    </row>
    <row r="95">
      <c r="A95" s="685" t="s">
        <v>1447</v>
      </c>
      <c r="B95" s="685" t="s">
        <v>1475</v>
      </c>
      <c r="C95" s="685" t="s">
        <v>1579</v>
      </c>
      <c r="D95" s="685" t="s">
        <v>1391</v>
      </c>
      <c r="E95" s="686">
        <v>2190.0</v>
      </c>
      <c r="F95" s="692" t="s">
        <v>1585</v>
      </c>
      <c r="G95" s="693"/>
      <c r="H95" s="688"/>
      <c r="I95" s="685" t="s">
        <v>1586</v>
      </c>
      <c r="J95" s="689">
        <v>1.0</v>
      </c>
      <c r="K95" s="689">
        <v>0.0</v>
      </c>
      <c r="L95" s="689">
        <v>0.0</v>
      </c>
      <c r="M95" s="689">
        <v>0.0</v>
      </c>
      <c r="N95" s="686">
        <v>1433.0</v>
      </c>
      <c r="O95" s="686">
        <v>1433.0</v>
      </c>
      <c r="P95" s="686">
        <v>0.0</v>
      </c>
      <c r="Q95" s="686">
        <v>0.0</v>
      </c>
      <c r="R95" s="686">
        <v>0.0</v>
      </c>
      <c r="S95" s="686">
        <v>0.0</v>
      </c>
      <c r="T95" s="686">
        <v>0.0</v>
      </c>
      <c r="U95" s="690">
        <v>1433.0</v>
      </c>
      <c r="V95" s="678"/>
      <c r="W95" s="679"/>
      <c r="X95" s="679"/>
      <c r="Y95" s="679"/>
      <c r="Z95" s="679"/>
      <c r="AA95" s="679"/>
      <c r="AB95" s="679"/>
      <c r="AC95" s="678"/>
      <c r="AD95" s="678"/>
      <c r="AE95" s="681"/>
      <c r="AF95" s="681"/>
      <c r="AG95" s="681"/>
      <c r="AH95" s="681"/>
      <c r="AI95" s="681"/>
      <c r="AJ95" s="676"/>
      <c r="AK95" s="676"/>
      <c r="AL95" s="681"/>
    </row>
    <row r="96">
      <c r="A96" s="685" t="s">
        <v>1447</v>
      </c>
      <c r="B96" s="685" t="s">
        <v>1475</v>
      </c>
      <c r="C96" s="685" t="s">
        <v>1587</v>
      </c>
      <c r="D96" s="685" t="s">
        <v>1477</v>
      </c>
      <c r="E96" s="686">
        <v>390.0</v>
      </c>
      <c r="F96" s="691">
        <v>8.800299669979E12</v>
      </c>
      <c r="G96" s="687"/>
      <c r="H96" s="688"/>
      <c r="I96" s="685" t="s">
        <v>1588</v>
      </c>
      <c r="J96" s="689">
        <v>9.0</v>
      </c>
      <c r="K96" s="689">
        <v>0.0</v>
      </c>
      <c r="L96" s="689">
        <v>0.0</v>
      </c>
      <c r="M96" s="689">
        <v>0.0</v>
      </c>
      <c r="N96" s="686">
        <v>218.69</v>
      </c>
      <c r="O96" s="686">
        <v>1968.21</v>
      </c>
      <c r="P96" s="686">
        <v>0.0</v>
      </c>
      <c r="Q96" s="686">
        <v>0.0</v>
      </c>
      <c r="R96" s="686">
        <v>0.0</v>
      </c>
      <c r="S96" s="686">
        <v>0.0</v>
      </c>
      <c r="T96" s="686">
        <v>0.0</v>
      </c>
      <c r="U96" s="690">
        <v>1968.21</v>
      </c>
      <c r="V96" s="678"/>
      <c r="W96" s="679"/>
      <c r="X96" s="679"/>
      <c r="Y96" s="679"/>
      <c r="Z96" s="679"/>
      <c r="AA96" s="679"/>
      <c r="AB96" s="679"/>
      <c r="AC96" s="678"/>
      <c r="AD96" s="678"/>
      <c r="AE96" s="679"/>
      <c r="AF96" s="679"/>
      <c r="AG96" s="679"/>
      <c r="AH96" s="679"/>
      <c r="AI96" s="679"/>
      <c r="AJ96" s="676"/>
      <c r="AK96" s="676"/>
      <c r="AL96" s="679"/>
    </row>
    <row r="97">
      <c r="A97" s="685" t="s">
        <v>1447</v>
      </c>
      <c r="B97" s="685" t="s">
        <v>1475</v>
      </c>
      <c r="C97" s="685" t="s">
        <v>1587</v>
      </c>
      <c r="D97" s="685" t="s">
        <v>1391</v>
      </c>
      <c r="E97" s="686">
        <v>1790.0</v>
      </c>
      <c r="F97" s="692" t="s">
        <v>1589</v>
      </c>
      <c r="G97" s="693"/>
      <c r="H97" s="688"/>
      <c r="I97" s="685" t="s">
        <v>1590</v>
      </c>
      <c r="J97" s="689">
        <v>1.0</v>
      </c>
      <c r="K97" s="689">
        <v>0.0</v>
      </c>
      <c r="L97" s="689">
        <v>0.0</v>
      </c>
      <c r="M97" s="689">
        <v>0.0</v>
      </c>
      <c r="N97" s="686">
        <v>1171.0</v>
      </c>
      <c r="O97" s="686">
        <v>1171.0</v>
      </c>
      <c r="P97" s="686">
        <v>0.0</v>
      </c>
      <c r="Q97" s="686">
        <v>0.0</v>
      </c>
      <c r="R97" s="686">
        <v>0.0</v>
      </c>
      <c r="S97" s="686">
        <v>0.0</v>
      </c>
      <c r="T97" s="686">
        <v>0.0</v>
      </c>
      <c r="U97" s="690">
        <v>1171.0</v>
      </c>
      <c r="V97" s="678"/>
      <c r="W97" s="679"/>
      <c r="X97" s="679"/>
      <c r="Y97" s="679"/>
      <c r="Z97" s="679"/>
      <c r="AA97" s="679"/>
      <c r="AB97" s="679"/>
      <c r="AC97" s="678"/>
      <c r="AD97" s="678"/>
      <c r="AE97" s="681"/>
      <c r="AF97" s="681"/>
      <c r="AG97" s="681"/>
      <c r="AH97" s="681"/>
      <c r="AI97" s="681"/>
      <c r="AJ97" s="676"/>
      <c r="AK97" s="676"/>
      <c r="AL97" s="681"/>
    </row>
    <row r="98">
      <c r="A98" s="685" t="s">
        <v>1447</v>
      </c>
      <c r="B98" s="685" t="s">
        <v>1475</v>
      </c>
      <c r="C98" s="685" t="s">
        <v>1587</v>
      </c>
      <c r="D98" s="685" t="s">
        <v>1391</v>
      </c>
      <c r="E98" s="686">
        <v>2190.0</v>
      </c>
      <c r="F98" s="692" t="s">
        <v>1591</v>
      </c>
      <c r="G98" s="693"/>
      <c r="H98" s="688"/>
      <c r="I98" s="685" t="s">
        <v>1592</v>
      </c>
      <c r="J98" s="689">
        <v>11.0</v>
      </c>
      <c r="K98" s="689">
        <v>0.0</v>
      </c>
      <c r="L98" s="689">
        <v>0.0</v>
      </c>
      <c r="M98" s="689">
        <v>0.0</v>
      </c>
      <c r="N98" s="686">
        <v>1433.0</v>
      </c>
      <c r="O98" s="686">
        <v>15763.0</v>
      </c>
      <c r="P98" s="686">
        <v>0.0</v>
      </c>
      <c r="Q98" s="686">
        <v>0.0</v>
      </c>
      <c r="R98" s="686">
        <v>0.0</v>
      </c>
      <c r="S98" s="686">
        <v>0.0</v>
      </c>
      <c r="T98" s="686">
        <v>0.0</v>
      </c>
      <c r="U98" s="690">
        <v>15763.0</v>
      </c>
      <c r="V98" s="678"/>
      <c r="W98" s="679"/>
      <c r="X98" s="679"/>
      <c r="Y98" s="679"/>
      <c r="Z98" s="679"/>
      <c r="AA98" s="679"/>
      <c r="AB98" s="679"/>
      <c r="AC98" s="678"/>
      <c r="AD98" s="678"/>
      <c r="AE98" s="679"/>
      <c r="AF98" s="679"/>
      <c r="AG98" s="679"/>
      <c r="AH98" s="679"/>
      <c r="AI98" s="679"/>
      <c r="AJ98" s="676"/>
      <c r="AK98" s="676"/>
      <c r="AL98" s="679"/>
    </row>
    <row r="99">
      <c r="A99" s="685" t="s">
        <v>1447</v>
      </c>
      <c r="B99" s="685" t="s">
        <v>1475</v>
      </c>
      <c r="C99" s="685" t="s">
        <v>1593</v>
      </c>
      <c r="D99" s="685" t="s">
        <v>1594</v>
      </c>
      <c r="E99" s="686">
        <v>1590.0</v>
      </c>
      <c r="F99" s="685">
        <v>8.859703437659E12</v>
      </c>
      <c r="G99" s="687"/>
      <c r="H99" s="688"/>
      <c r="I99" s="685" t="s">
        <v>1595</v>
      </c>
      <c r="J99" s="689">
        <v>7.0</v>
      </c>
      <c r="K99" s="689">
        <v>0.0</v>
      </c>
      <c r="L99" s="689">
        <v>0.0</v>
      </c>
      <c r="M99" s="689">
        <v>0.0</v>
      </c>
      <c r="N99" s="686">
        <v>1040.19</v>
      </c>
      <c r="O99" s="686">
        <v>7281.33</v>
      </c>
      <c r="P99" s="689">
        <v>0.0</v>
      </c>
      <c r="Q99" s="686">
        <v>0.0</v>
      </c>
      <c r="R99" s="686">
        <v>0.0</v>
      </c>
      <c r="S99" s="686">
        <v>0.0</v>
      </c>
      <c r="T99" s="686">
        <v>7281.33</v>
      </c>
      <c r="U99" s="690">
        <v>0.0</v>
      </c>
      <c r="V99" s="678"/>
      <c r="W99" s="679"/>
      <c r="X99" s="679"/>
      <c r="Y99" s="679"/>
      <c r="Z99" s="679"/>
      <c r="AA99" s="679"/>
      <c r="AB99" s="679"/>
      <c r="AC99" s="678"/>
      <c r="AD99" s="678"/>
      <c r="AE99" s="681"/>
      <c r="AF99" s="681"/>
      <c r="AG99" s="681"/>
      <c r="AH99" s="681"/>
      <c r="AI99" s="681"/>
      <c r="AJ99" s="676"/>
      <c r="AK99" s="676"/>
      <c r="AL99" s="681"/>
    </row>
    <row r="100">
      <c r="A100" s="685" t="s">
        <v>1447</v>
      </c>
      <c r="B100" s="685" t="s">
        <v>1475</v>
      </c>
      <c r="C100" s="685" t="s">
        <v>1593</v>
      </c>
      <c r="D100" s="685" t="s">
        <v>723</v>
      </c>
      <c r="E100" s="686">
        <v>790.0</v>
      </c>
      <c r="F100" s="692" t="s">
        <v>1596</v>
      </c>
      <c r="G100" s="693"/>
      <c r="H100" s="688"/>
      <c r="I100" s="685" t="s">
        <v>1597</v>
      </c>
      <c r="J100" s="689">
        <v>10.0</v>
      </c>
      <c r="K100" s="689">
        <v>0.0</v>
      </c>
      <c r="L100" s="689">
        <v>0.0</v>
      </c>
      <c r="M100" s="689">
        <v>0.0</v>
      </c>
      <c r="N100" s="686">
        <v>479.91</v>
      </c>
      <c r="O100" s="686">
        <v>4799.1</v>
      </c>
      <c r="P100" s="686">
        <v>0.0</v>
      </c>
      <c r="Q100" s="686">
        <v>0.0</v>
      </c>
      <c r="R100" s="686">
        <v>0.0</v>
      </c>
      <c r="S100" s="686">
        <v>4799.1</v>
      </c>
      <c r="T100" s="686">
        <v>0.0</v>
      </c>
      <c r="U100" s="690">
        <v>0.0</v>
      </c>
      <c r="V100" s="678"/>
      <c r="W100" s="679"/>
      <c r="X100" s="679"/>
      <c r="Y100" s="679"/>
      <c r="Z100" s="679"/>
      <c r="AA100" s="679"/>
      <c r="AB100" s="679"/>
      <c r="AC100" s="678"/>
      <c r="AD100" s="678"/>
      <c r="AE100" s="679"/>
      <c r="AF100" s="679"/>
      <c r="AG100" s="679"/>
      <c r="AH100" s="679"/>
      <c r="AI100" s="679"/>
      <c r="AJ100" s="676"/>
      <c r="AK100" s="676"/>
      <c r="AL100" s="679"/>
    </row>
    <row r="101">
      <c r="A101" s="685" t="s">
        <v>1447</v>
      </c>
      <c r="B101" s="685" t="s">
        <v>1475</v>
      </c>
      <c r="C101" s="685" t="s">
        <v>1593</v>
      </c>
      <c r="D101" s="685" t="s">
        <v>723</v>
      </c>
      <c r="E101" s="686">
        <v>790.0</v>
      </c>
      <c r="F101" s="692" t="s">
        <v>1599</v>
      </c>
      <c r="G101" s="693"/>
      <c r="H101" s="688"/>
      <c r="I101" s="685" t="s">
        <v>1600</v>
      </c>
      <c r="J101" s="689">
        <v>9.0</v>
      </c>
      <c r="K101" s="689">
        <v>0.0</v>
      </c>
      <c r="L101" s="689">
        <v>0.0</v>
      </c>
      <c r="M101" s="689">
        <v>0.0</v>
      </c>
      <c r="N101" s="686">
        <v>479.91</v>
      </c>
      <c r="O101" s="686">
        <v>4319.19</v>
      </c>
      <c r="P101" s="686">
        <v>0.0</v>
      </c>
      <c r="Q101" s="686">
        <v>0.0</v>
      </c>
      <c r="R101" s="686">
        <v>0.0</v>
      </c>
      <c r="S101" s="686">
        <v>4319.19</v>
      </c>
      <c r="T101" s="686">
        <v>0.0</v>
      </c>
      <c r="U101" s="690">
        <v>0.0</v>
      </c>
      <c r="V101" s="678"/>
      <c r="W101" s="679"/>
      <c r="X101" s="679"/>
      <c r="Y101" s="679"/>
      <c r="Z101" s="679"/>
      <c r="AA101" s="679"/>
      <c r="AB101" s="679"/>
      <c r="AC101" s="678"/>
      <c r="AD101" s="678"/>
      <c r="AE101" s="681"/>
      <c r="AF101" s="681"/>
      <c r="AG101" s="681"/>
      <c r="AH101" s="681"/>
      <c r="AI101" s="681"/>
      <c r="AJ101" s="676"/>
      <c r="AK101" s="676"/>
      <c r="AL101" s="681"/>
    </row>
    <row r="102">
      <c r="A102" s="685" t="s">
        <v>1447</v>
      </c>
      <c r="B102" s="685" t="s">
        <v>1475</v>
      </c>
      <c r="C102" s="685" t="s">
        <v>1593</v>
      </c>
      <c r="D102" s="685" t="s">
        <v>723</v>
      </c>
      <c r="E102" s="686">
        <v>890.0</v>
      </c>
      <c r="F102" s="692" t="s">
        <v>1601</v>
      </c>
      <c r="G102" s="693"/>
      <c r="H102" s="688"/>
      <c r="I102" s="685" t="s">
        <v>1602</v>
      </c>
      <c r="J102" s="689">
        <v>5.0</v>
      </c>
      <c r="K102" s="689">
        <v>0.0</v>
      </c>
      <c r="L102" s="689">
        <v>0.0</v>
      </c>
      <c r="M102" s="689">
        <v>0.0</v>
      </c>
      <c r="N102" s="686">
        <v>540.65</v>
      </c>
      <c r="O102" s="686">
        <v>2703.25</v>
      </c>
      <c r="P102" s="686">
        <v>0.0</v>
      </c>
      <c r="Q102" s="686">
        <v>0.0</v>
      </c>
      <c r="R102" s="686">
        <v>0.0</v>
      </c>
      <c r="S102" s="686">
        <v>2703.25</v>
      </c>
      <c r="T102" s="686">
        <v>0.0</v>
      </c>
      <c r="U102" s="690">
        <v>0.0</v>
      </c>
      <c r="V102" s="678"/>
      <c r="W102" s="679"/>
      <c r="X102" s="679"/>
      <c r="Y102" s="679"/>
      <c r="Z102" s="679"/>
      <c r="AA102" s="679"/>
      <c r="AB102" s="679"/>
      <c r="AC102" s="678"/>
      <c r="AD102" s="678"/>
      <c r="AE102" s="679"/>
      <c r="AF102" s="679"/>
      <c r="AG102" s="679"/>
      <c r="AH102" s="679"/>
      <c r="AI102" s="679"/>
      <c r="AJ102" s="676"/>
      <c r="AK102" s="676"/>
      <c r="AL102" s="679"/>
    </row>
    <row r="103">
      <c r="A103" s="685" t="s">
        <v>1447</v>
      </c>
      <c r="B103" s="685" t="s">
        <v>1475</v>
      </c>
      <c r="C103" s="685" t="s">
        <v>1593</v>
      </c>
      <c r="D103" s="685" t="s">
        <v>723</v>
      </c>
      <c r="E103" s="686">
        <v>1690.0</v>
      </c>
      <c r="F103" s="692" t="s">
        <v>1603</v>
      </c>
      <c r="G103" s="693"/>
      <c r="H103" s="688"/>
      <c r="I103" s="685" t="s">
        <v>1604</v>
      </c>
      <c r="J103" s="689">
        <v>2.0</v>
      </c>
      <c r="K103" s="689">
        <v>0.0</v>
      </c>
      <c r="L103" s="689">
        <v>0.0</v>
      </c>
      <c r="M103" s="689">
        <v>0.0</v>
      </c>
      <c r="N103" s="686">
        <v>1105.61</v>
      </c>
      <c r="O103" s="686">
        <v>2211.22</v>
      </c>
      <c r="P103" s="686">
        <v>0.0</v>
      </c>
      <c r="Q103" s="686">
        <v>0.0</v>
      </c>
      <c r="R103" s="686">
        <v>0.0</v>
      </c>
      <c r="S103" s="686">
        <v>2211.22</v>
      </c>
      <c r="T103" s="686">
        <v>0.0</v>
      </c>
      <c r="U103" s="690">
        <v>0.0</v>
      </c>
      <c r="V103" s="678"/>
      <c r="W103" s="679"/>
      <c r="X103" s="679"/>
      <c r="Y103" s="679"/>
      <c r="Z103" s="679"/>
      <c r="AA103" s="679"/>
      <c r="AB103" s="679"/>
      <c r="AC103" s="678"/>
      <c r="AD103" s="678"/>
      <c r="AE103" s="681"/>
      <c r="AF103" s="681"/>
      <c r="AG103" s="681"/>
      <c r="AH103" s="681"/>
      <c r="AI103" s="681"/>
      <c r="AJ103" s="676"/>
      <c r="AK103" s="676"/>
      <c r="AL103" s="681"/>
    </row>
    <row r="104">
      <c r="A104" s="685" t="s">
        <v>1447</v>
      </c>
      <c r="B104" s="685" t="s">
        <v>1475</v>
      </c>
      <c r="C104" s="685" t="s">
        <v>1593</v>
      </c>
      <c r="D104" s="685" t="s">
        <v>1477</v>
      </c>
      <c r="E104" s="686">
        <v>290.0</v>
      </c>
      <c r="F104" s="692" t="s">
        <v>1605</v>
      </c>
      <c r="G104" s="693"/>
      <c r="H104" s="688"/>
      <c r="I104" s="685" t="s">
        <v>1606</v>
      </c>
      <c r="J104" s="689">
        <v>5.0</v>
      </c>
      <c r="K104" s="689">
        <v>0.0</v>
      </c>
      <c r="L104" s="689">
        <v>0.0</v>
      </c>
      <c r="M104" s="689">
        <v>0.0</v>
      </c>
      <c r="N104" s="686">
        <v>162.62</v>
      </c>
      <c r="O104" s="686">
        <v>813.1</v>
      </c>
      <c r="P104" s="686">
        <v>0.0</v>
      </c>
      <c r="Q104" s="686">
        <v>0.0</v>
      </c>
      <c r="R104" s="686">
        <v>0.0</v>
      </c>
      <c r="S104" s="686">
        <v>0.0</v>
      </c>
      <c r="T104" s="686">
        <v>0.0</v>
      </c>
      <c r="U104" s="690">
        <v>813.1</v>
      </c>
      <c r="V104" s="678"/>
      <c r="W104" s="679"/>
      <c r="X104" s="679"/>
      <c r="Y104" s="679"/>
      <c r="Z104" s="679"/>
      <c r="AA104" s="679"/>
      <c r="AB104" s="679"/>
      <c r="AC104" s="678"/>
      <c r="AD104" s="678"/>
      <c r="AE104" s="679"/>
      <c r="AF104" s="679"/>
      <c r="AG104" s="679"/>
      <c r="AH104" s="679"/>
      <c r="AI104" s="679"/>
      <c r="AJ104" s="676"/>
      <c r="AK104" s="676"/>
      <c r="AL104" s="679"/>
    </row>
    <row r="105">
      <c r="A105" s="685" t="s">
        <v>1447</v>
      </c>
      <c r="B105" s="685" t="s">
        <v>1475</v>
      </c>
      <c r="C105" s="685" t="s">
        <v>1593</v>
      </c>
      <c r="D105" s="685" t="s">
        <v>1477</v>
      </c>
      <c r="E105" s="686">
        <v>290.0</v>
      </c>
      <c r="F105" s="692" t="s">
        <v>1607</v>
      </c>
      <c r="G105" s="693"/>
      <c r="H105" s="688"/>
      <c r="I105" s="685" t="s">
        <v>1608</v>
      </c>
      <c r="J105" s="689">
        <v>2.0</v>
      </c>
      <c r="K105" s="689">
        <v>0.0</v>
      </c>
      <c r="L105" s="689">
        <v>0.0</v>
      </c>
      <c r="M105" s="689">
        <v>0.0</v>
      </c>
      <c r="N105" s="686">
        <v>162.62</v>
      </c>
      <c r="O105" s="686">
        <v>325.24</v>
      </c>
      <c r="P105" s="686">
        <v>0.0</v>
      </c>
      <c r="Q105" s="686">
        <v>0.0</v>
      </c>
      <c r="R105" s="686">
        <v>0.0</v>
      </c>
      <c r="S105" s="686">
        <v>0.0</v>
      </c>
      <c r="T105" s="686">
        <v>0.0</v>
      </c>
      <c r="U105" s="690">
        <v>325.24</v>
      </c>
      <c r="V105" s="678"/>
      <c r="W105" s="679"/>
      <c r="X105" s="679"/>
      <c r="Y105" s="679"/>
      <c r="Z105" s="679"/>
      <c r="AA105" s="679"/>
      <c r="AB105" s="679"/>
      <c r="AC105" s="678"/>
      <c r="AD105" s="678"/>
      <c r="AE105" s="679"/>
      <c r="AF105" s="679"/>
      <c r="AG105" s="679"/>
      <c r="AH105" s="679"/>
      <c r="AI105" s="679"/>
      <c r="AJ105" s="676"/>
      <c r="AK105" s="676"/>
      <c r="AL105" s="679"/>
    </row>
    <row r="106">
      <c r="A106" s="685" t="s">
        <v>1447</v>
      </c>
      <c r="B106" s="685" t="s">
        <v>1475</v>
      </c>
      <c r="C106" s="685" t="s">
        <v>1593</v>
      </c>
      <c r="D106" s="685" t="s">
        <v>1477</v>
      </c>
      <c r="E106" s="686">
        <v>290.0</v>
      </c>
      <c r="F106" s="692" t="s">
        <v>1609</v>
      </c>
      <c r="G106" s="693"/>
      <c r="H106" s="688"/>
      <c r="I106" s="685" t="s">
        <v>1610</v>
      </c>
      <c r="J106" s="689">
        <v>5.0</v>
      </c>
      <c r="K106" s="689">
        <v>0.0</v>
      </c>
      <c r="L106" s="689">
        <v>0.0</v>
      </c>
      <c r="M106" s="689">
        <v>0.0</v>
      </c>
      <c r="N106" s="686">
        <v>162.62</v>
      </c>
      <c r="O106" s="686">
        <v>813.1</v>
      </c>
      <c r="P106" s="686">
        <v>0.0</v>
      </c>
      <c r="Q106" s="686">
        <v>0.0</v>
      </c>
      <c r="R106" s="686">
        <v>0.0</v>
      </c>
      <c r="S106" s="686">
        <v>0.0</v>
      </c>
      <c r="T106" s="686">
        <v>0.0</v>
      </c>
      <c r="U106" s="690">
        <v>813.1</v>
      </c>
      <c r="V106" s="678"/>
      <c r="W106" s="679"/>
      <c r="X106" s="679"/>
      <c r="Y106" s="679"/>
      <c r="Z106" s="679"/>
      <c r="AA106" s="679"/>
      <c r="AB106" s="679"/>
      <c r="AC106" s="678"/>
      <c r="AD106" s="678"/>
      <c r="AE106" s="681"/>
      <c r="AF106" s="681"/>
      <c r="AG106" s="681"/>
      <c r="AH106" s="681"/>
      <c r="AI106" s="681"/>
      <c r="AJ106" s="676"/>
      <c r="AK106" s="676"/>
      <c r="AL106" s="681"/>
    </row>
    <row r="107">
      <c r="A107" s="685" t="s">
        <v>1447</v>
      </c>
      <c r="B107" s="685" t="s">
        <v>1475</v>
      </c>
      <c r="C107" s="685" t="s">
        <v>1593</v>
      </c>
      <c r="D107" s="685" t="s">
        <v>1391</v>
      </c>
      <c r="E107" s="686">
        <v>1090.0</v>
      </c>
      <c r="F107" s="692" t="s">
        <v>1611</v>
      </c>
      <c r="G107" s="693"/>
      <c r="H107" s="688"/>
      <c r="I107" s="685" t="s">
        <v>1612</v>
      </c>
      <c r="J107" s="689">
        <v>1.0</v>
      </c>
      <c r="K107" s="689">
        <v>0.0</v>
      </c>
      <c r="L107" s="689">
        <v>0.0</v>
      </c>
      <c r="M107" s="689">
        <v>0.0</v>
      </c>
      <c r="N107" s="686">
        <v>713.0</v>
      </c>
      <c r="O107" s="686">
        <v>713.0</v>
      </c>
      <c r="P107" s="686">
        <v>0.0</v>
      </c>
      <c r="Q107" s="686">
        <v>0.0</v>
      </c>
      <c r="R107" s="686">
        <v>0.0</v>
      </c>
      <c r="S107" s="686">
        <v>0.0</v>
      </c>
      <c r="T107" s="686">
        <v>0.0</v>
      </c>
      <c r="U107" s="690">
        <v>713.0</v>
      </c>
      <c r="V107" s="678"/>
      <c r="W107" s="679"/>
      <c r="X107" s="679"/>
      <c r="Y107" s="679"/>
      <c r="Z107" s="679"/>
      <c r="AA107" s="679"/>
      <c r="AB107" s="679"/>
      <c r="AC107" s="678"/>
      <c r="AD107" s="678"/>
      <c r="AE107" s="681"/>
      <c r="AF107" s="681"/>
      <c r="AG107" s="681"/>
      <c r="AH107" s="681"/>
      <c r="AI107" s="681"/>
      <c r="AJ107" s="676"/>
      <c r="AK107" s="676"/>
      <c r="AL107" s="681"/>
    </row>
    <row r="108">
      <c r="A108" s="685" t="s">
        <v>1447</v>
      </c>
      <c r="B108" s="685" t="s">
        <v>1475</v>
      </c>
      <c r="C108" s="685" t="s">
        <v>1593</v>
      </c>
      <c r="D108" s="685" t="s">
        <v>1391</v>
      </c>
      <c r="E108" s="686">
        <v>1290.0</v>
      </c>
      <c r="F108" s="692" t="s">
        <v>1613</v>
      </c>
      <c r="G108" s="693"/>
      <c r="H108" s="688"/>
      <c r="I108" s="685" t="s">
        <v>1614</v>
      </c>
      <c r="J108" s="689">
        <v>1.0</v>
      </c>
      <c r="K108" s="689">
        <v>0.0</v>
      </c>
      <c r="L108" s="689">
        <v>0.0</v>
      </c>
      <c r="M108" s="689">
        <v>0.0</v>
      </c>
      <c r="N108" s="686">
        <v>844.0</v>
      </c>
      <c r="O108" s="686">
        <v>844.0</v>
      </c>
      <c r="P108" s="686">
        <v>0.0</v>
      </c>
      <c r="Q108" s="686">
        <v>0.0</v>
      </c>
      <c r="R108" s="686">
        <v>0.0</v>
      </c>
      <c r="S108" s="686">
        <v>0.0</v>
      </c>
      <c r="T108" s="686">
        <v>0.0</v>
      </c>
      <c r="U108" s="690">
        <v>844.0</v>
      </c>
      <c r="V108" s="678"/>
      <c r="W108" s="679"/>
      <c r="X108" s="679"/>
      <c r="Y108" s="679"/>
      <c r="Z108" s="679"/>
      <c r="AA108" s="679"/>
      <c r="AB108" s="679"/>
      <c r="AC108" s="678"/>
      <c r="AD108" s="678"/>
      <c r="AE108" s="679"/>
      <c r="AF108" s="679"/>
      <c r="AG108" s="679"/>
      <c r="AH108" s="679"/>
      <c r="AI108" s="679"/>
      <c r="AJ108" s="676"/>
      <c r="AK108" s="676"/>
      <c r="AL108" s="679"/>
    </row>
    <row r="109">
      <c r="A109" s="685" t="s">
        <v>1447</v>
      </c>
      <c r="B109" s="685" t="s">
        <v>1475</v>
      </c>
      <c r="C109" s="685" t="s">
        <v>1593</v>
      </c>
      <c r="D109" s="685" t="s">
        <v>1391</v>
      </c>
      <c r="E109" s="686">
        <v>1290.0</v>
      </c>
      <c r="F109" s="692" t="s">
        <v>1615</v>
      </c>
      <c r="G109" s="693"/>
      <c r="H109" s="688"/>
      <c r="I109" s="685" t="s">
        <v>1616</v>
      </c>
      <c r="J109" s="689">
        <v>1.0</v>
      </c>
      <c r="K109" s="689">
        <v>0.0</v>
      </c>
      <c r="L109" s="689">
        <v>0.0</v>
      </c>
      <c r="M109" s="689">
        <v>0.0</v>
      </c>
      <c r="N109" s="686">
        <v>844.0</v>
      </c>
      <c r="O109" s="686">
        <v>844.0</v>
      </c>
      <c r="P109" s="686">
        <v>0.0</v>
      </c>
      <c r="Q109" s="686">
        <v>0.0</v>
      </c>
      <c r="R109" s="686">
        <v>0.0</v>
      </c>
      <c r="S109" s="686">
        <v>0.0</v>
      </c>
      <c r="T109" s="686">
        <v>0.0</v>
      </c>
      <c r="U109" s="690">
        <v>844.0</v>
      </c>
      <c r="V109" s="678"/>
      <c r="W109" s="679"/>
      <c r="X109" s="679"/>
      <c r="Y109" s="679"/>
      <c r="Z109" s="679"/>
      <c r="AA109" s="679"/>
      <c r="AB109" s="679"/>
      <c r="AC109" s="678"/>
      <c r="AD109" s="678"/>
      <c r="AE109" s="681"/>
      <c r="AF109" s="681"/>
      <c r="AG109" s="681"/>
      <c r="AH109" s="681"/>
      <c r="AI109" s="681"/>
      <c r="AJ109" s="676"/>
      <c r="AK109" s="676"/>
      <c r="AL109" s="681"/>
    </row>
    <row r="110">
      <c r="A110" s="685" t="s">
        <v>1447</v>
      </c>
      <c r="B110" s="685" t="s">
        <v>1475</v>
      </c>
      <c r="C110" s="685" t="s">
        <v>1593</v>
      </c>
      <c r="D110" s="685" t="s">
        <v>1391</v>
      </c>
      <c r="E110" s="686">
        <v>1290.0</v>
      </c>
      <c r="F110" s="692" t="s">
        <v>1617</v>
      </c>
      <c r="G110" s="693"/>
      <c r="H110" s="688"/>
      <c r="I110" s="685" t="s">
        <v>1618</v>
      </c>
      <c r="J110" s="689">
        <v>1.0</v>
      </c>
      <c r="K110" s="689">
        <v>0.0</v>
      </c>
      <c r="L110" s="689">
        <v>0.0</v>
      </c>
      <c r="M110" s="689">
        <v>0.0</v>
      </c>
      <c r="N110" s="686">
        <v>844.0</v>
      </c>
      <c r="O110" s="686">
        <v>844.0</v>
      </c>
      <c r="P110" s="686">
        <v>0.0</v>
      </c>
      <c r="Q110" s="686">
        <v>0.0</v>
      </c>
      <c r="R110" s="686">
        <v>0.0</v>
      </c>
      <c r="S110" s="686">
        <v>0.0</v>
      </c>
      <c r="T110" s="686">
        <v>0.0</v>
      </c>
      <c r="U110" s="690">
        <v>844.0</v>
      </c>
      <c r="V110" s="694"/>
      <c r="W110" s="679"/>
      <c r="X110" s="679"/>
      <c r="Y110" s="679"/>
      <c r="Z110" s="679"/>
      <c r="AA110" s="679"/>
      <c r="AB110" s="679"/>
      <c r="AC110" s="678"/>
      <c r="AD110" s="678"/>
      <c r="AE110" s="679"/>
      <c r="AF110" s="679"/>
      <c r="AG110" s="679"/>
      <c r="AH110" s="679"/>
      <c r="AI110" s="679"/>
      <c r="AJ110" s="676"/>
      <c r="AK110" s="676"/>
      <c r="AL110" s="679"/>
    </row>
    <row r="111">
      <c r="A111" s="685" t="s">
        <v>1447</v>
      </c>
      <c r="B111" s="685" t="s">
        <v>1475</v>
      </c>
      <c r="C111" s="685" t="s">
        <v>1593</v>
      </c>
      <c r="D111" s="685" t="s">
        <v>1391</v>
      </c>
      <c r="E111" s="686">
        <v>1290.0</v>
      </c>
      <c r="F111" s="692" t="s">
        <v>1619</v>
      </c>
      <c r="G111" s="693"/>
      <c r="H111" s="688"/>
      <c r="I111" s="685" t="s">
        <v>1620</v>
      </c>
      <c r="J111" s="689">
        <v>2.0</v>
      </c>
      <c r="K111" s="689">
        <v>0.0</v>
      </c>
      <c r="L111" s="689">
        <v>0.0</v>
      </c>
      <c r="M111" s="689">
        <v>0.0</v>
      </c>
      <c r="N111" s="686">
        <v>844.0</v>
      </c>
      <c r="O111" s="686">
        <v>1688.0</v>
      </c>
      <c r="P111" s="686">
        <v>0.0</v>
      </c>
      <c r="Q111" s="686">
        <v>0.0</v>
      </c>
      <c r="R111" s="686">
        <v>0.0</v>
      </c>
      <c r="S111" s="686">
        <v>0.0</v>
      </c>
      <c r="T111" s="686">
        <v>0.0</v>
      </c>
      <c r="U111" s="690">
        <v>1688.0</v>
      </c>
      <c r="V111" s="678"/>
      <c r="W111" s="679"/>
      <c r="X111" s="679"/>
      <c r="Y111" s="679"/>
      <c r="Z111" s="679"/>
      <c r="AA111" s="679"/>
      <c r="AB111" s="679"/>
      <c r="AC111" s="678"/>
      <c r="AD111" s="678"/>
      <c r="AE111" s="681"/>
      <c r="AF111" s="681"/>
      <c r="AG111" s="681"/>
      <c r="AH111" s="681"/>
      <c r="AI111" s="681"/>
      <c r="AJ111" s="676"/>
      <c r="AK111" s="676"/>
      <c r="AL111" s="681"/>
    </row>
    <row r="112">
      <c r="A112" s="685" t="s">
        <v>1447</v>
      </c>
      <c r="B112" s="685" t="s">
        <v>1475</v>
      </c>
      <c r="C112" s="685" t="s">
        <v>1593</v>
      </c>
      <c r="D112" s="685" t="s">
        <v>1391</v>
      </c>
      <c r="E112" s="686">
        <v>1290.0</v>
      </c>
      <c r="F112" s="692" t="s">
        <v>1621</v>
      </c>
      <c r="G112" s="693"/>
      <c r="H112" s="688"/>
      <c r="I112" s="685" t="s">
        <v>1622</v>
      </c>
      <c r="J112" s="689">
        <v>2.0</v>
      </c>
      <c r="K112" s="689">
        <v>0.0</v>
      </c>
      <c r="L112" s="689">
        <v>0.0</v>
      </c>
      <c r="M112" s="689">
        <v>0.0</v>
      </c>
      <c r="N112" s="686">
        <v>844.0</v>
      </c>
      <c r="O112" s="686">
        <v>1688.0</v>
      </c>
      <c r="P112" s="686">
        <v>0.0</v>
      </c>
      <c r="Q112" s="686">
        <v>0.0</v>
      </c>
      <c r="R112" s="686">
        <v>0.0</v>
      </c>
      <c r="S112" s="686">
        <v>0.0</v>
      </c>
      <c r="T112" s="686">
        <v>0.0</v>
      </c>
      <c r="U112" s="690">
        <v>1688.0</v>
      </c>
      <c r="V112" s="678"/>
      <c r="W112" s="679"/>
      <c r="X112" s="679"/>
      <c r="Y112" s="679"/>
      <c r="Z112" s="679"/>
      <c r="AA112" s="679"/>
      <c r="AB112" s="679"/>
      <c r="AC112" s="678"/>
      <c r="AD112" s="678"/>
      <c r="AE112" s="679"/>
      <c r="AF112" s="679"/>
      <c r="AG112" s="679"/>
      <c r="AH112" s="679"/>
      <c r="AI112" s="679"/>
      <c r="AJ112" s="676"/>
      <c r="AK112" s="676"/>
      <c r="AL112" s="679"/>
    </row>
    <row r="113">
      <c r="A113" s="685" t="s">
        <v>1447</v>
      </c>
      <c r="B113" s="685" t="s">
        <v>1475</v>
      </c>
      <c r="C113" s="685" t="s">
        <v>1593</v>
      </c>
      <c r="D113" s="685" t="s">
        <v>1391</v>
      </c>
      <c r="E113" s="686">
        <v>1290.0</v>
      </c>
      <c r="F113" s="692" t="s">
        <v>1623</v>
      </c>
      <c r="G113" s="693"/>
      <c r="H113" s="688"/>
      <c r="I113" s="685" t="s">
        <v>1624</v>
      </c>
      <c r="J113" s="689">
        <v>3.0</v>
      </c>
      <c r="K113" s="689">
        <v>0.0</v>
      </c>
      <c r="L113" s="689">
        <v>0.0</v>
      </c>
      <c r="M113" s="689">
        <v>0.0</v>
      </c>
      <c r="N113" s="686">
        <v>844.0</v>
      </c>
      <c r="O113" s="686">
        <v>2532.0</v>
      </c>
      <c r="P113" s="686">
        <v>0.0</v>
      </c>
      <c r="Q113" s="686">
        <v>0.0</v>
      </c>
      <c r="R113" s="686">
        <v>0.0</v>
      </c>
      <c r="S113" s="686">
        <v>0.0</v>
      </c>
      <c r="T113" s="686">
        <v>0.0</v>
      </c>
      <c r="U113" s="690">
        <v>2532.0</v>
      </c>
      <c r="V113" s="694"/>
      <c r="W113" s="679"/>
      <c r="X113" s="679"/>
      <c r="Y113" s="679"/>
      <c r="Z113" s="679"/>
      <c r="AA113" s="679"/>
      <c r="AB113" s="679"/>
      <c r="AC113" s="678"/>
      <c r="AD113" s="678"/>
      <c r="AE113" s="679"/>
      <c r="AF113" s="679"/>
      <c r="AG113" s="679"/>
      <c r="AH113" s="679"/>
      <c r="AI113" s="679"/>
      <c r="AJ113" s="676"/>
      <c r="AK113" s="676"/>
      <c r="AL113" s="679"/>
    </row>
    <row r="114">
      <c r="A114" s="685" t="s">
        <v>1447</v>
      </c>
      <c r="B114" s="685" t="s">
        <v>1475</v>
      </c>
      <c r="C114" s="685" t="s">
        <v>1593</v>
      </c>
      <c r="D114" s="685" t="s">
        <v>1391</v>
      </c>
      <c r="E114" s="686">
        <v>1290.0</v>
      </c>
      <c r="F114" s="692" t="s">
        <v>1625</v>
      </c>
      <c r="G114" s="693"/>
      <c r="H114" s="688"/>
      <c r="I114" s="685" t="s">
        <v>1626</v>
      </c>
      <c r="J114" s="689">
        <v>1.0</v>
      </c>
      <c r="K114" s="689">
        <v>0.0</v>
      </c>
      <c r="L114" s="689">
        <v>0.0</v>
      </c>
      <c r="M114" s="689">
        <v>0.0</v>
      </c>
      <c r="N114" s="686">
        <v>844.0</v>
      </c>
      <c r="O114" s="686">
        <v>844.0</v>
      </c>
      <c r="P114" s="686">
        <v>0.0</v>
      </c>
      <c r="Q114" s="686">
        <v>0.0</v>
      </c>
      <c r="R114" s="686">
        <v>0.0</v>
      </c>
      <c r="S114" s="686">
        <v>0.0</v>
      </c>
      <c r="T114" s="686">
        <v>0.0</v>
      </c>
      <c r="U114" s="690">
        <v>844.0</v>
      </c>
      <c r="V114" s="678"/>
      <c r="W114" s="679"/>
      <c r="X114" s="679"/>
      <c r="Y114" s="679"/>
      <c r="Z114" s="679"/>
      <c r="AA114" s="679"/>
      <c r="AB114" s="679"/>
      <c r="AC114" s="678"/>
      <c r="AD114" s="678"/>
      <c r="AE114" s="681"/>
      <c r="AF114" s="681"/>
      <c r="AG114" s="681"/>
      <c r="AH114" s="681"/>
      <c r="AI114" s="681"/>
      <c r="AJ114" s="676"/>
      <c r="AK114" s="676"/>
      <c r="AL114" s="681"/>
    </row>
    <row r="115">
      <c r="A115" s="685" t="s">
        <v>1447</v>
      </c>
      <c r="B115" s="685" t="s">
        <v>1475</v>
      </c>
      <c r="C115" s="685" t="s">
        <v>1593</v>
      </c>
      <c r="D115" s="685" t="s">
        <v>1391</v>
      </c>
      <c r="E115" s="686">
        <v>2190.0</v>
      </c>
      <c r="F115" s="692" t="s">
        <v>1627</v>
      </c>
      <c r="G115" s="693"/>
      <c r="H115" s="688"/>
      <c r="I115" s="685" t="s">
        <v>1628</v>
      </c>
      <c r="J115" s="689">
        <v>1.0</v>
      </c>
      <c r="K115" s="689">
        <v>0.0</v>
      </c>
      <c r="L115" s="689">
        <v>0.0</v>
      </c>
      <c r="M115" s="689">
        <v>0.0</v>
      </c>
      <c r="N115" s="686">
        <v>1433.0</v>
      </c>
      <c r="O115" s="686">
        <v>1433.0</v>
      </c>
      <c r="P115" s="686">
        <v>0.0</v>
      </c>
      <c r="Q115" s="686">
        <v>0.0</v>
      </c>
      <c r="R115" s="686">
        <v>0.0</v>
      </c>
      <c r="S115" s="686">
        <v>0.0</v>
      </c>
      <c r="T115" s="686">
        <v>1433.0</v>
      </c>
      <c r="U115" s="690">
        <v>0.0</v>
      </c>
      <c r="V115" s="694"/>
      <c r="W115" s="679"/>
      <c r="X115" s="679"/>
      <c r="Y115" s="679"/>
      <c r="Z115" s="679"/>
      <c r="AA115" s="679"/>
      <c r="AB115" s="679"/>
      <c r="AC115" s="678"/>
      <c r="AD115" s="678"/>
      <c r="AE115" s="681"/>
      <c r="AF115" s="681"/>
      <c r="AG115" s="681"/>
      <c r="AH115" s="681"/>
      <c r="AI115" s="681"/>
      <c r="AJ115" s="676"/>
      <c r="AK115" s="676"/>
      <c r="AL115" s="681"/>
    </row>
    <row r="116">
      <c r="A116" s="685" t="s">
        <v>1447</v>
      </c>
      <c r="B116" s="685" t="s">
        <v>1475</v>
      </c>
      <c r="C116" s="685" t="s">
        <v>1593</v>
      </c>
      <c r="D116" s="685" t="s">
        <v>1391</v>
      </c>
      <c r="E116" s="686">
        <v>2190.0</v>
      </c>
      <c r="F116" s="692" t="s">
        <v>1629</v>
      </c>
      <c r="G116" s="693"/>
      <c r="H116" s="688"/>
      <c r="I116" s="685" t="s">
        <v>1630</v>
      </c>
      <c r="J116" s="689">
        <v>1.0</v>
      </c>
      <c r="K116" s="689">
        <v>0.0</v>
      </c>
      <c r="L116" s="689">
        <v>0.0</v>
      </c>
      <c r="M116" s="689">
        <v>0.0</v>
      </c>
      <c r="N116" s="686">
        <v>1433.0</v>
      </c>
      <c r="O116" s="686">
        <v>1433.0</v>
      </c>
      <c r="P116" s="686">
        <v>0.0</v>
      </c>
      <c r="Q116" s="686">
        <v>0.0</v>
      </c>
      <c r="R116" s="686">
        <v>0.0</v>
      </c>
      <c r="S116" s="686">
        <v>0.0</v>
      </c>
      <c r="T116" s="686">
        <v>1433.0</v>
      </c>
      <c r="U116" s="690">
        <v>0.0</v>
      </c>
      <c r="V116" s="694"/>
      <c r="W116" s="679"/>
      <c r="X116" s="679"/>
      <c r="Y116" s="679"/>
      <c r="Z116" s="679"/>
      <c r="AA116" s="679"/>
      <c r="AB116" s="679"/>
      <c r="AC116" s="678"/>
      <c r="AD116" s="678"/>
      <c r="AE116" s="681"/>
      <c r="AF116" s="681"/>
      <c r="AG116" s="681"/>
      <c r="AH116" s="681"/>
      <c r="AI116" s="681"/>
      <c r="AJ116" s="676"/>
      <c r="AK116" s="676"/>
      <c r="AL116" s="681"/>
    </row>
    <row r="117">
      <c r="A117" s="685" t="s">
        <v>1447</v>
      </c>
      <c r="B117" s="685" t="s">
        <v>1475</v>
      </c>
      <c r="C117" s="685" t="s">
        <v>1593</v>
      </c>
      <c r="D117" s="685" t="s">
        <v>1391</v>
      </c>
      <c r="E117" s="686">
        <v>2190.0</v>
      </c>
      <c r="F117" s="692" t="s">
        <v>1631</v>
      </c>
      <c r="G117" s="693"/>
      <c r="H117" s="688"/>
      <c r="I117" s="685" t="s">
        <v>1632</v>
      </c>
      <c r="J117" s="689">
        <v>1.0</v>
      </c>
      <c r="K117" s="689">
        <v>0.0</v>
      </c>
      <c r="L117" s="689">
        <v>0.0</v>
      </c>
      <c r="M117" s="689">
        <v>0.0</v>
      </c>
      <c r="N117" s="686">
        <v>1433.0</v>
      </c>
      <c r="O117" s="686">
        <v>1433.0</v>
      </c>
      <c r="P117" s="686">
        <v>0.0</v>
      </c>
      <c r="Q117" s="686">
        <v>0.0</v>
      </c>
      <c r="R117" s="686">
        <v>0.0</v>
      </c>
      <c r="S117" s="686">
        <v>0.0</v>
      </c>
      <c r="T117" s="686">
        <v>1433.0</v>
      </c>
      <c r="U117" s="690">
        <v>0.0</v>
      </c>
      <c r="V117" s="694"/>
      <c r="W117" s="679"/>
      <c r="X117" s="679"/>
      <c r="Y117" s="679"/>
      <c r="Z117" s="679"/>
      <c r="AA117" s="679"/>
      <c r="AB117" s="679"/>
      <c r="AC117" s="678"/>
      <c r="AD117" s="678"/>
      <c r="AE117" s="681"/>
      <c r="AF117" s="681"/>
      <c r="AG117" s="681"/>
      <c r="AH117" s="681"/>
      <c r="AI117" s="681"/>
      <c r="AJ117" s="676"/>
      <c r="AK117" s="676"/>
      <c r="AL117" s="681"/>
    </row>
    <row r="118">
      <c r="A118" s="685" t="s">
        <v>1447</v>
      </c>
      <c r="B118" s="685" t="s">
        <v>1475</v>
      </c>
      <c r="C118" s="685" t="s">
        <v>1593</v>
      </c>
      <c r="D118" s="685" t="s">
        <v>1391</v>
      </c>
      <c r="E118" s="686">
        <v>2190.0</v>
      </c>
      <c r="F118" s="692" t="s">
        <v>1633</v>
      </c>
      <c r="G118" s="693"/>
      <c r="H118" s="688"/>
      <c r="I118" s="685" t="s">
        <v>1634</v>
      </c>
      <c r="J118" s="689">
        <v>1.0</v>
      </c>
      <c r="K118" s="689">
        <v>0.0</v>
      </c>
      <c r="L118" s="689">
        <v>0.0</v>
      </c>
      <c r="M118" s="689">
        <v>0.0</v>
      </c>
      <c r="N118" s="686">
        <v>1433.0</v>
      </c>
      <c r="O118" s="686">
        <v>1433.0</v>
      </c>
      <c r="P118" s="686">
        <v>0.0</v>
      </c>
      <c r="Q118" s="686">
        <v>0.0</v>
      </c>
      <c r="R118" s="686">
        <v>0.0</v>
      </c>
      <c r="S118" s="686">
        <v>0.0</v>
      </c>
      <c r="T118" s="686">
        <v>1433.0</v>
      </c>
      <c r="U118" s="690">
        <v>0.0</v>
      </c>
      <c r="V118" s="694"/>
      <c r="W118" s="679"/>
      <c r="X118" s="679"/>
      <c r="Y118" s="679"/>
      <c r="Z118" s="679"/>
      <c r="AA118" s="679"/>
      <c r="AB118" s="679"/>
      <c r="AC118" s="678"/>
      <c r="AD118" s="678"/>
      <c r="AE118" s="681"/>
      <c r="AF118" s="681"/>
      <c r="AG118" s="681"/>
      <c r="AH118" s="681"/>
      <c r="AI118" s="681"/>
      <c r="AJ118" s="676"/>
      <c r="AK118" s="676"/>
      <c r="AL118" s="681"/>
    </row>
    <row r="119">
      <c r="A119" s="685" t="s">
        <v>1447</v>
      </c>
      <c r="B119" s="685" t="s">
        <v>1475</v>
      </c>
      <c r="C119" s="685" t="s">
        <v>1593</v>
      </c>
      <c r="D119" s="685" t="s">
        <v>1391</v>
      </c>
      <c r="E119" s="686">
        <v>590.0</v>
      </c>
      <c r="F119" s="692" t="s">
        <v>1635</v>
      </c>
      <c r="G119" s="693"/>
      <c r="H119" s="688"/>
      <c r="I119" s="685" t="s">
        <v>1636</v>
      </c>
      <c r="J119" s="689">
        <v>1.0</v>
      </c>
      <c r="K119" s="689">
        <v>0.0</v>
      </c>
      <c r="L119" s="689">
        <v>0.0</v>
      </c>
      <c r="M119" s="689">
        <v>0.0</v>
      </c>
      <c r="N119" s="686">
        <v>386.0</v>
      </c>
      <c r="O119" s="686">
        <v>386.0</v>
      </c>
      <c r="P119" s="686">
        <v>0.0</v>
      </c>
      <c r="Q119" s="686">
        <v>0.0</v>
      </c>
      <c r="R119" s="686">
        <v>0.0</v>
      </c>
      <c r="S119" s="686">
        <v>0.0</v>
      </c>
      <c r="T119" s="686">
        <v>0.0</v>
      </c>
      <c r="U119" s="690">
        <v>386.0</v>
      </c>
      <c r="V119" s="678"/>
      <c r="W119" s="679"/>
      <c r="X119" s="679"/>
      <c r="Y119" s="679"/>
      <c r="Z119" s="679"/>
      <c r="AA119" s="679"/>
      <c r="AB119" s="679"/>
      <c r="AC119" s="678"/>
      <c r="AD119" s="678"/>
      <c r="AE119" s="679"/>
      <c r="AF119" s="679"/>
      <c r="AG119" s="679"/>
      <c r="AH119" s="679"/>
      <c r="AI119" s="679"/>
      <c r="AJ119" s="676"/>
      <c r="AK119" s="676"/>
      <c r="AL119" s="679"/>
    </row>
    <row r="120">
      <c r="A120" s="685" t="s">
        <v>1447</v>
      </c>
      <c r="B120" s="685" t="s">
        <v>1475</v>
      </c>
      <c r="C120" s="685" t="s">
        <v>1593</v>
      </c>
      <c r="D120" s="685" t="s">
        <v>1391</v>
      </c>
      <c r="E120" s="686">
        <v>590.0</v>
      </c>
      <c r="F120" s="692" t="s">
        <v>1637</v>
      </c>
      <c r="G120" s="693"/>
      <c r="H120" s="688"/>
      <c r="I120" s="685" t="s">
        <v>1638</v>
      </c>
      <c r="J120" s="689">
        <v>4.0</v>
      </c>
      <c r="K120" s="689">
        <v>0.0</v>
      </c>
      <c r="L120" s="689">
        <v>0.0</v>
      </c>
      <c r="M120" s="689">
        <v>0.0</v>
      </c>
      <c r="N120" s="686">
        <v>386.0</v>
      </c>
      <c r="O120" s="686">
        <v>1544.0</v>
      </c>
      <c r="P120" s="686">
        <v>0.0</v>
      </c>
      <c r="Q120" s="686">
        <v>0.0</v>
      </c>
      <c r="R120" s="686">
        <v>0.0</v>
      </c>
      <c r="S120" s="686">
        <v>0.0</v>
      </c>
      <c r="T120" s="686">
        <v>0.0</v>
      </c>
      <c r="U120" s="690">
        <v>1544.0</v>
      </c>
      <c r="V120" s="678"/>
      <c r="W120" s="679"/>
      <c r="X120" s="679"/>
      <c r="Y120" s="679"/>
      <c r="Z120" s="679"/>
      <c r="AA120" s="679"/>
      <c r="AB120" s="679"/>
      <c r="AC120" s="678"/>
      <c r="AD120" s="678"/>
      <c r="AE120" s="681"/>
      <c r="AF120" s="681"/>
      <c r="AG120" s="681"/>
      <c r="AH120" s="681"/>
      <c r="AI120" s="681"/>
      <c r="AJ120" s="676"/>
      <c r="AK120" s="676"/>
      <c r="AL120" s="681"/>
    </row>
    <row r="121">
      <c r="A121" s="685" t="s">
        <v>1447</v>
      </c>
      <c r="B121" s="685" t="s">
        <v>1475</v>
      </c>
      <c r="C121" s="685" t="s">
        <v>1593</v>
      </c>
      <c r="D121" s="685" t="s">
        <v>1391</v>
      </c>
      <c r="E121" s="686">
        <v>590.0</v>
      </c>
      <c r="F121" s="692" t="s">
        <v>1639</v>
      </c>
      <c r="G121" s="693"/>
      <c r="H121" s="688"/>
      <c r="I121" s="685" t="s">
        <v>1640</v>
      </c>
      <c r="J121" s="689">
        <v>9.0</v>
      </c>
      <c r="K121" s="689">
        <v>0.0</v>
      </c>
      <c r="L121" s="689">
        <v>0.0</v>
      </c>
      <c r="M121" s="689">
        <v>0.0</v>
      </c>
      <c r="N121" s="686">
        <v>386.0</v>
      </c>
      <c r="O121" s="686">
        <v>3474.0</v>
      </c>
      <c r="P121" s="686">
        <v>0.0</v>
      </c>
      <c r="Q121" s="686">
        <v>0.0</v>
      </c>
      <c r="R121" s="686">
        <v>0.0</v>
      </c>
      <c r="S121" s="686">
        <v>0.0</v>
      </c>
      <c r="T121" s="686">
        <v>0.0</v>
      </c>
      <c r="U121" s="690">
        <v>3474.0</v>
      </c>
      <c r="V121" s="678"/>
      <c r="W121" s="679"/>
      <c r="X121" s="679"/>
      <c r="Y121" s="679"/>
      <c r="Z121" s="679"/>
      <c r="AA121" s="679"/>
      <c r="AB121" s="679"/>
      <c r="AC121" s="678"/>
      <c r="AD121" s="678"/>
      <c r="AE121" s="679"/>
      <c r="AF121" s="679"/>
      <c r="AG121" s="679"/>
      <c r="AH121" s="679"/>
      <c r="AI121" s="679"/>
      <c r="AJ121" s="676"/>
      <c r="AK121" s="676"/>
      <c r="AL121" s="679"/>
    </row>
    <row r="122">
      <c r="A122" s="685" t="s">
        <v>1447</v>
      </c>
      <c r="B122" s="685" t="s">
        <v>1475</v>
      </c>
      <c r="C122" s="685" t="s">
        <v>1593</v>
      </c>
      <c r="D122" s="685" t="s">
        <v>1391</v>
      </c>
      <c r="E122" s="686">
        <v>1790.0</v>
      </c>
      <c r="F122" s="692" t="s">
        <v>1641</v>
      </c>
      <c r="G122" s="693"/>
      <c r="H122" s="688"/>
      <c r="I122" s="685" t="s">
        <v>1642</v>
      </c>
      <c r="J122" s="689">
        <v>1.0</v>
      </c>
      <c r="K122" s="689">
        <v>0.0</v>
      </c>
      <c r="L122" s="689">
        <v>0.0</v>
      </c>
      <c r="M122" s="689">
        <v>0.0</v>
      </c>
      <c r="N122" s="686">
        <v>1171.0</v>
      </c>
      <c r="O122" s="686">
        <v>1171.0</v>
      </c>
      <c r="P122" s="686">
        <v>0.0</v>
      </c>
      <c r="Q122" s="686">
        <v>0.0</v>
      </c>
      <c r="R122" s="686">
        <v>0.0</v>
      </c>
      <c r="S122" s="686">
        <v>0.0</v>
      </c>
      <c r="T122" s="686">
        <v>0.0</v>
      </c>
      <c r="U122" s="690">
        <v>1171.0</v>
      </c>
      <c r="V122" s="694"/>
      <c r="W122" s="679"/>
      <c r="X122" s="679"/>
      <c r="Y122" s="679"/>
      <c r="Z122" s="679"/>
      <c r="AA122" s="679"/>
      <c r="AB122" s="679"/>
      <c r="AC122" s="678"/>
      <c r="AD122" s="678"/>
      <c r="AE122" s="681"/>
      <c r="AF122" s="681"/>
      <c r="AG122" s="681"/>
      <c r="AH122" s="681"/>
      <c r="AI122" s="681"/>
      <c r="AJ122" s="676"/>
      <c r="AK122" s="676"/>
      <c r="AL122" s="681"/>
    </row>
    <row r="123">
      <c r="A123" s="685" t="s">
        <v>1447</v>
      </c>
      <c r="B123" s="685" t="s">
        <v>1475</v>
      </c>
      <c r="C123" s="685" t="s">
        <v>1593</v>
      </c>
      <c r="D123" s="685" t="s">
        <v>1391</v>
      </c>
      <c r="E123" s="686">
        <v>1590.0</v>
      </c>
      <c r="F123" s="692" t="s">
        <v>1643</v>
      </c>
      <c r="G123" s="693"/>
      <c r="H123" s="688"/>
      <c r="I123" s="685" t="s">
        <v>1644</v>
      </c>
      <c r="J123" s="689">
        <v>2.0</v>
      </c>
      <c r="K123" s="689">
        <v>0.0</v>
      </c>
      <c r="L123" s="689">
        <v>0.0</v>
      </c>
      <c r="M123" s="689">
        <v>0.0</v>
      </c>
      <c r="N123" s="686">
        <v>1040.0</v>
      </c>
      <c r="O123" s="686">
        <v>2080.0</v>
      </c>
      <c r="P123" s="686">
        <v>0.0</v>
      </c>
      <c r="Q123" s="686">
        <v>0.0</v>
      </c>
      <c r="R123" s="686">
        <v>0.0</v>
      </c>
      <c r="S123" s="686">
        <v>0.0</v>
      </c>
      <c r="T123" s="686">
        <v>0.0</v>
      </c>
      <c r="U123" s="690">
        <v>2080.0</v>
      </c>
      <c r="V123" s="694"/>
      <c r="W123" s="679"/>
      <c r="X123" s="679"/>
      <c r="Y123" s="679"/>
      <c r="Z123" s="679"/>
      <c r="AA123" s="679"/>
      <c r="AB123" s="679"/>
      <c r="AC123" s="678"/>
      <c r="AD123" s="678"/>
      <c r="AE123" s="679"/>
      <c r="AF123" s="679"/>
      <c r="AG123" s="679"/>
      <c r="AH123" s="679"/>
      <c r="AI123" s="679"/>
      <c r="AJ123" s="676"/>
      <c r="AK123" s="676"/>
      <c r="AL123" s="679"/>
    </row>
    <row r="124">
      <c r="A124" s="685" t="s">
        <v>1447</v>
      </c>
      <c r="B124" s="685" t="s">
        <v>1475</v>
      </c>
      <c r="C124" s="685" t="s">
        <v>1593</v>
      </c>
      <c r="D124" s="685" t="s">
        <v>1391</v>
      </c>
      <c r="E124" s="686">
        <v>1590.0</v>
      </c>
      <c r="F124" s="692" t="s">
        <v>1645</v>
      </c>
      <c r="G124" s="693"/>
      <c r="H124" s="688"/>
      <c r="I124" s="685" t="s">
        <v>1646</v>
      </c>
      <c r="J124" s="689">
        <v>1.0</v>
      </c>
      <c r="K124" s="689">
        <v>0.0</v>
      </c>
      <c r="L124" s="689">
        <v>0.0</v>
      </c>
      <c r="M124" s="689">
        <v>0.0</v>
      </c>
      <c r="N124" s="686">
        <v>1040.0</v>
      </c>
      <c r="O124" s="686">
        <v>1040.0</v>
      </c>
      <c r="P124" s="686">
        <v>0.0</v>
      </c>
      <c r="Q124" s="686">
        <v>0.0</v>
      </c>
      <c r="R124" s="686">
        <v>0.0</v>
      </c>
      <c r="S124" s="686">
        <v>0.0</v>
      </c>
      <c r="T124" s="686">
        <v>0.0</v>
      </c>
      <c r="U124" s="690">
        <v>1040.0</v>
      </c>
      <c r="V124" s="694"/>
      <c r="W124" s="679"/>
      <c r="X124" s="679"/>
      <c r="Y124" s="679"/>
      <c r="Z124" s="679"/>
      <c r="AA124" s="679"/>
      <c r="AB124" s="679"/>
      <c r="AC124" s="678"/>
      <c r="AD124" s="678"/>
      <c r="AE124" s="681"/>
      <c r="AF124" s="681"/>
      <c r="AG124" s="681"/>
      <c r="AH124" s="681"/>
      <c r="AI124" s="681"/>
      <c r="AJ124" s="676"/>
      <c r="AK124" s="676"/>
      <c r="AL124" s="681"/>
    </row>
    <row r="125">
      <c r="A125" s="685" t="s">
        <v>1447</v>
      </c>
      <c r="B125" s="685" t="s">
        <v>1475</v>
      </c>
      <c r="C125" s="685" t="s">
        <v>1593</v>
      </c>
      <c r="D125" s="685" t="s">
        <v>1391</v>
      </c>
      <c r="E125" s="686">
        <v>1590.0</v>
      </c>
      <c r="F125" s="692" t="s">
        <v>1647</v>
      </c>
      <c r="G125" s="693"/>
      <c r="H125" s="688"/>
      <c r="I125" s="685" t="s">
        <v>1648</v>
      </c>
      <c r="J125" s="689">
        <v>1.0</v>
      </c>
      <c r="K125" s="689">
        <v>0.0</v>
      </c>
      <c r="L125" s="689">
        <v>0.0</v>
      </c>
      <c r="M125" s="689">
        <v>0.0</v>
      </c>
      <c r="N125" s="686">
        <v>1040.0</v>
      </c>
      <c r="O125" s="686">
        <v>1040.0</v>
      </c>
      <c r="P125" s="686">
        <v>0.0</v>
      </c>
      <c r="Q125" s="686">
        <v>0.0</v>
      </c>
      <c r="R125" s="686">
        <v>0.0</v>
      </c>
      <c r="S125" s="686">
        <v>0.0</v>
      </c>
      <c r="T125" s="686">
        <v>0.0</v>
      </c>
      <c r="U125" s="690">
        <v>1040.0</v>
      </c>
      <c r="V125" s="694"/>
      <c r="W125" s="679"/>
      <c r="X125" s="679"/>
      <c r="Y125" s="679"/>
      <c r="Z125" s="679"/>
      <c r="AA125" s="679"/>
      <c r="AB125" s="679"/>
      <c r="AC125" s="678"/>
      <c r="AD125" s="678"/>
      <c r="AE125" s="681"/>
      <c r="AF125" s="681"/>
      <c r="AG125" s="681"/>
      <c r="AH125" s="681"/>
      <c r="AI125" s="681"/>
      <c r="AJ125" s="676"/>
      <c r="AK125" s="676"/>
      <c r="AL125" s="681"/>
    </row>
    <row r="126">
      <c r="A126" s="685" t="s">
        <v>1447</v>
      </c>
      <c r="B126" s="685" t="s">
        <v>1475</v>
      </c>
      <c r="C126" s="685" t="s">
        <v>1593</v>
      </c>
      <c r="D126" s="685" t="s">
        <v>1391</v>
      </c>
      <c r="E126" s="686">
        <v>1590.0</v>
      </c>
      <c r="F126" s="692" t="s">
        <v>1650</v>
      </c>
      <c r="G126" s="693"/>
      <c r="H126" s="688"/>
      <c r="I126" s="685" t="s">
        <v>1651</v>
      </c>
      <c r="J126" s="689">
        <v>2.0</v>
      </c>
      <c r="K126" s="689">
        <v>0.0</v>
      </c>
      <c r="L126" s="689">
        <v>0.0</v>
      </c>
      <c r="M126" s="689">
        <v>0.0</v>
      </c>
      <c r="N126" s="686">
        <v>1040.0</v>
      </c>
      <c r="O126" s="686">
        <v>2080.0</v>
      </c>
      <c r="P126" s="686">
        <v>0.0</v>
      </c>
      <c r="Q126" s="686">
        <v>0.0</v>
      </c>
      <c r="R126" s="686">
        <v>0.0</v>
      </c>
      <c r="S126" s="686">
        <v>0.0</v>
      </c>
      <c r="T126" s="686">
        <v>0.0</v>
      </c>
      <c r="U126" s="690">
        <v>2080.0</v>
      </c>
      <c r="V126" s="694"/>
      <c r="W126" s="679"/>
      <c r="X126" s="679"/>
      <c r="Y126" s="679"/>
      <c r="Z126" s="679"/>
      <c r="AA126" s="679"/>
      <c r="AB126" s="679"/>
      <c r="AC126" s="678"/>
      <c r="AD126" s="678"/>
      <c r="AE126" s="679"/>
      <c r="AF126" s="679"/>
      <c r="AG126" s="679"/>
      <c r="AH126" s="679"/>
      <c r="AI126" s="679"/>
      <c r="AJ126" s="676"/>
      <c r="AK126" s="676"/>
      <c r="AL126" s="679"/>
    </row>
    <row r="127">
      <c r="A127" s="685" t="s">
        <v>1447</v>
      </c>
      <c r="B127" s="685" t="s">
        <v>1475</v>
      </c>
      <c r="C127" s="685" t="s">
        <v>1593</v>
      </c>
      <c r="D127" s="685" t="s">
        <v>1391</v>
      </c>
      <c r="E127" s="686">
        <v>1590.0</v>
      </c>
      <c r="F127" s="692" t="s">
        <v>1652</v>
      </c>
      <c r="G127" s="693"/>
      <c r="H127" s="688"/>
      <c r="I127" s="685" t="s">
        <v>1653</v>
      </c>
      <c r="J127" s="689">
        <v>2.0</v>
      </c>
      <c r="K127" s="689">
        <v>0.0</v>
      </c>
      <c r="L127" s="689">
        <v>0.0</v>
      </c>
      <c r="M127" s="689">
        <v>0.0</v>
      </c>
      <c r="N127" s="686">
        <v>1040.0</v>
      </c>
      <c r="O127" s="686">
        <v>2080.0</v>
      </c>
      <c r="P127" s="686">
        <v>0.0</v>
      </c>
      <c r="Q127" s="686">
        <v>0.0</v>
      </c>
      <c r="R127" s="686">
        <v>0.0</v>
      </c>
      <c r="S127" s="686">
        <v>0.0</v>
      </c>
      <c r="T127" s="686">
        <v>0.0</v>
      </c>
      <c r="U127" s="690">
        <v>2080.0</v>
      </c>
      <c r="V127" s="678"/>
      <c r="W127" s="679"/>
      <c r="X127" s="679"/>
      <c r="Y127" s="679"/>
      <c r="Z127" s="679"/>
      <c r="AA127" s="679"/>
      <c r="AB127" s="679"/>
      <c r="AC127" s="678"/>
      <c r="AD127" s="678"/>
      <c r="AE127" s="681"/>
      <c r="AF127" s="681"/>
      <c r="AG127" s="681"/>
      <c r="AH127" s="681"/>
      <c r="AI127" s="681"/>
      <c r="AJ127" s="676"/>
      <c r="AK127" s="676"/>
      <c r="AL127" s="681"/>
    </row>
    <row r="128">
      <c r="A128" s="685" t="s">
        <v>1447</v>
      </c>
      <c r="B128" s="685" t="s">
        <v>1475</v>
      </c>
      <c r="C128" s="685" t="s">
        <v>1593</v>
      </c>
      <c r="D128" s="685" t="s">
        <v>1391</v>
      </c>
      <c r="E128" s="686">
        <v>1590.0</v>
      </c>
      <c r="F128" s="692" t="s">
        <v>1654</v>
      </c>
      <c r="G128" s="693"/>
      <c r="H128" s="688"/>
      <c r="I128" s="685" t="s">
        <v>1655</v>
      </c>
      <c r="J128" s="689">
        <v>1.0</v>
      </c>
      <c r="K128" s="689">
        <v>0.0</v>
      </c>
      <c r="L128" s="689">
        <v>0.0</v>
      </c>
      <c r="M128" s="689">
        <v>0.0</v>
      </c>
      <c r="N128" s="686">
        <v>1040.0</v>
      </c>
      <c r="O128" s="686">
        <v>1040.0</v>
      </c>
      <c r="P128" s="686">
        <v>0.0</v>
      </c>
      <c r="Q128" s="686">
        <v>0.0</v>
      </c>
      <c r="R128" s="686">
        <v>0.0</v>
      </c>
      <c r="S128" s="686">
        <v>0.0</v>
      </c>
      <c r="T128" s="686">
        <v>0.0</v>
      </c>
      <c r="U128" s="690">
        <v>1040.0</v>
      </c>
      <c r="V128" s="678"/>
      <c r="W128" s="679"/>
      <c r="X128" s="679"/>
      <c r="Y128" s="679"/>
      <c r="Z128" s="679"/>
      <c r="AA128" s="679"/>
      <c r="AB128" s="679"/>
      <c r="AC128" s="678"/>
      <c r="AD128" s="678"/>
      <c r="AE128" s="681"/>
      <c r="AF128" s="681"/>
      <c r="AG128" s="681"/>
      <c r="AH128" s="681"/>
      <c r="AI128" s="681"/>
      <c r="AJ128" s="676"/>
      <c r="AK128" s="676"/>
      <c r="AL128" s="681"/>
    </row>
    <row r="129">
      <c r="A129" s="685" t="s">
        <v>1447</v>
      </c>
      <c r="B129" s="685" t="s">
        <v>1475</v>
      </c>
      <c r="C129" s="685" t="s">
        <v>1593</v>
      </c>
      <c r="D129" s="685" t="s">
        <v>1391</v>
      </c>
      <c r="E129" s="686">
        <v>1590.0</v>
      </c>
      <c r="F129" s="692" t="s">
        <v>1656</v>
      </c>
      <c r="G129" s="693"/>
      <c r="H129" s="688"/>
      <c r="I129" s="685" t="s">
        <v>1657</v>
      </c>
      <c r="J129" s="689">
        <v>2.0</v>
      </c>
      <c r="K129" s="689">
        <v>0.0</v>
      </c>
      <c r="L129" s="689">
        <v>0.0</v>
      </c>
      <c r="M129" s="689">
        <v>0.0</v>
      </c>
      <c r="N129" s="686">
        <v>1040.0</v>
      </c>
      <c r="O129" s="686">
        <v>2080.0</v>
      </c>
      <c r="P129" s="686">
        <v>0.0</v>
      </c>
      <c r="Q129" s="686">
        <v>0.0</v>
      </c>
      <c r="R129" s="686">
        <v>0.0</v>
      </c>
      <c r="S129" s="686">
        <v>0.0</v>
      </c>
      <c r="T129" s="686">
        <v>0.0</v>
      </c>
      <c r="U129" s="690">
        <v>2080.0</v>
      </c>
      <c r="V129" s="694"/>
      <c r="W129" s="679"/>
      <c r="X129" s="679"/>
      <c r="Y129" s="679"/>
      <c r="Z129" s="679"/>
      <c r="AA129" s="679"/>
      <c r="AB129" s="679"/>
      <c r="AC129" s="678"/>
      <c r="AD129" s="678"/>
      <c r="AE129" s="681"/>
      <c r="AF129" s="681"/>
      <c r="AG129" s="681"/>
      <c r="AH129" s="681"/>
      <c r="AI129" s="681"/>
      <c r="AJ129" s="676"/>
      <c r="AK129" s="676"/>
      <c r="AL129" s="681"/>
    </row>
    <row r="130">
      <c r="A130" s="685" t="s">
        <v>1447</v>
      </c>
      <c r="B130" s="685" t="s">
        <v>1475</v>
      </c>
      <c r="C130" s="685" t="s">
        <v>1593</v>
      </c>
      <c r="D130" s="685" t="s">
        <v>1391</v>
      </c>
      <c r="E130" s="686">
        <v>1590.0</v>
      </c>
      <c r="F130" s="692" t="s">
        <v>1658</v>
      </c>
      <c r="G130" s="693"/>
      <c r="H130" s="688"/>
      <c r="I130" s="685" t="s">
        <v>1659</v>
      </c>
      <c r="J130" s="689">
        <v>2.0</v>
      </c>
      <c r="K130" s="689">
        <v>0.0</v>
      </c>
      <c r="L130" s="689">
        <v>0.0</v>
      </c>
      <c r="M130" s="689">
        <v>0.0</v>
      </c>
      <c r="N130" s="686">
        <v>1040.0</v>
      </c>
      <c r="O130" s="686">
        <v>2080.0</v>
      </c>
      <c r="P130" s="686">
        <v>0.0</v>
      </c>
      <c r="Q130" s="686">
        <v>0.0</v>
      </c>
      <c r="R130" s="686">
        <v>0.0</v>
      </c>
      <c r="S130" s="686">
        <v>0.0</v>
      </c>
      <c r="T130" s="686">
        <v>0.0</v>
      </c>
      <c r="U130" s="690">
        <v>2080.0</v>
      </c>
      <c r="V130" s="694"/>
      <c r="W130" s="679"/>
      <c r="X130" s="679"/>
      <c r="Y130" s="679"/>
      <c r="Z130" s="679"/>
      <c r="AA130" s="679"/>
      <c r="AB130" s="679"/>
      <c r="AC130" s="678"/>
      <c r="AD130" s="678"/>
      <c r="AE130" s="681"/>
      <c r="AF130" s="681"/>
      <c r="AG130" s="681"/>
      <c r="AH130" s="681"/>
      <c r="AI130" s="681"/>
      <c r="AJ130" s="676"/>
      <c r="AK130" s="676"/>
      <c r="AL130" s="681"/>
    </row>
    <row r="131">
      <c r="A131" s="685" t="s">
        <v>1447</v>
      </c>
      <c r="B131" s="685" t="s">
        <v>1475</v>
      </c>
      <c r="C131" s="685" t="s">
        <v>1593</v>
      </c>
      <c r="D131" s="685" t="s">
        <v>1391</v>
      </c>
      <c r="E131" s="686">
        <v>1590.0</v>
      </c>
      <c r="F131" s="692" t="s">
        <v>1660</v>
      </c>
      <c r="G131" s="693"/>
      <c r="H131" s="688"/>
      <c r="I131" s="685" t="s">
        <v>1661</v>
      </c>
      <c r="J131" s="689">
        <v>2.0</v>
      </c>
      <c r="K131" s="689">
        <v>0.0</v>
      </c>
      <c r="L131" s="689">
        <v>0.0</v>
      </c>
      <c r="M131" s="689">
        <v>0.0</v>
      </c>
      <c r="N131" s="686">
        <v>1040.0</v>
      </c>
      <c r="O131" s="686">
        <v>2080.0</v>
      </c>
      <c r="P131" s="686">
        <v>0.0</v>
      </c>
      <c r="Q131" s="686">
        <v>0.0</v>
      </c>
      <c r="R131" s="686">
        <v>0.0</v>
      </c>
      <c r="S131" s="686">
        <v>0.0</v>
      </c>
      <c r="T131" s="686">
        <v>0.0</v>
      </c>
      <c r="U131" s="690">
        <v>2080.0</v>
      </c>
      <c r="V131" s="694"/>
      <c r="W131" s="679"/>
      <c r="X131" s="679"/>
      <c r="Y131" s="679"/>
      <c r="Z131" s="679"/>
      <c r="AA131" s="679"/>
      <c r="AB131" s="679"/>
      <c r="AC131" s="678"/>
      <c r="AD131" s="678"/>
      <c r="AE131" s="679"/>
      <c r="AF131" s="679"/>
      <c r="AG131" s="679"/>
      <c r="AH131" s="679"/>
      <c r="AI131" s="679"/>
      <c r="AJ131" s="676"/>
      <c r="AK131" s="676"/>
      <c r="AL131" s="679"/>
    </row>
    <row r="132">
      <c r="A132" s="685" t="s">
        <v>1447</v>
      </c>
      <c r="B132" s="685" t="s">
        <v>1475</v>
      </c>
      <c r="C132" s="685" t="s">
        <v>1593</v>
      </c>
      <c r="D132" s="685" t="s">
        <v>1391</v>
      </c>
      <c r="E132" s="686">
        <v>1590.0</v>
      </c>
      <c r="F132" s="692" t="s">
        <v>1662</v>
      </c>
      <c r="G132" s="693"/>
      <c r="H132" s="688"/>
      <c r="I132" s="685" t="s">
        <v>1663</v>
      </c>
      <c r="J132" s="689">
        <v>2.0</v>
      </c>
      <c r="K132" s="689">
        <v>0.0</v>
      </c>
      <c r="L132" s="689">
        <v>0.0</v>
      </c>
      <c r="M132" s="689">
        <v>0.0</v>
      </c>
      <c r="N132" s="686">
        <v>1040.0</v>
      </c>
      <c r="O132" s="686">
        <v>2080.0</v>
      </c>
      <c r="P132" s="686">
        <v>0.0</v>
      </c>
      <c r="Q132" s="686">
        <v>0.0</v>
      </c>
      <c r="R132" s="686">
        <v>0.0</v>
      </c>
      <c r="S132" s="686">
        <v>0.0</v>
      </c>
      <c r="T132" s="686">
        <v>0.0</v>
      </c>
      <c r="U132" s="690">
        <v>2080.0</v>
      </c>
      <c r="V132" s="694"/>
      <c r="W132" s="679"/>
      <c r="X132" s="679"/>
      <c r="Y132" s="679"/>
      <c r="Z132" s="679"/>
      <c r="AA132" s="679"/>
      <c r="AB132" s="679"/>
      <c r="AC132" s="678"/>
      <c r="AD132" s="678"/>
      <c r="AE132" s="681"/>
      <c r="AF132" s="681"/>
      <c r="AG132" s="681"/>
      <c r="AH132" s="681"/>
      <c r="AI132" s="681"/>
      <c r="AJ132" s="676"/>
      <c r="AK132" s="676"/>
      <c r="AL132" s="681"/>
    </row>
    <row r="133">
      <c r="A133" s="685" t="s">
        <v>1447</v>
      </c>
      <c r="B133" s="685" t="s">
        <v>1475</v>
      </c>
      <c r="C133" s="685" t="s">
        <v>1593</v>
      </c>
      <c r="D133" s="685" t="s">
        <v>1391</v>
      </c>
      <c r="E133" s="686">
        <v>1190.0</v>
      </c>
      <c r="F133" s="692" t="s">
        <v>1664</v>
      </c>
      <c r="G133" s="693"/>
      <c r="H133" s="688"/>
      <c r="I133" s="685" t="s">
        <v>1665</v>
      </c>
      <c r="J133" s="689">
        <v>1.0</v>
      </c>
      <c r="K133" s="689">
        <v>0.0</v>
      </c>
      <c r="L133" s="689">
        <v>0.0</v>
      </c>
      <c r="M133" s="689">
        <v>0.0</v>
      </c>
      <c r="N133" s="686">
        <v>779.0</v>
      </c>
      <c r="O133" s="686">
        <v>779.0</v>
      </c>
      <c r="P133" s="686">
        <v>0.0</v>
      </c>
      <c r="Q133" s="686">
        <v>0.0</v>
      </c>
      <c r="R133" s="686">
        <v>0.0</v>
      </c>
      <c r="S133" s="686">
        <v>0.0</v>
      </c>
      <c r="T133" s="686">
        <v>0.0</v>
      </c>
      <c r="U133" s="690">
        <v>779.0</v>
      </c>
      <c r="V133" s="694"/>
      <c r="W133" s="679"/>
      <c r="X133" s="679"/>
      <c r="Y133" s="679"/>
      <c r="Z133" s="679"/>
      <c r="AA133" s="679"/>
      <c r="AB133" s="679"/>
      <c r="AC133" s="678"/>
      <c r="AD133" s="678"/>
      <c r="AE133" s="679"/>
      <c r="AF133" s="679"/>
      <c r="AG133" s="679"/>
      <c r="AH133" s="679"/>
      <c r="AI133" s="679"/>
      <c r="AJ133" s="676"/>
      <c r="AK133" s="676"/>
      <c r="AL133" s="679"/>
    </row>
    <row r="134">
      <c r="A134" s="685" t="s">
        <v>1447</v>
      </c>
      <c r="B134" s="685" t="s">
        <v>1475</v>
      </c>
      <c r="C134" s="685" t="s">
        <v>1593</v>
      </c>
      <c r="D134" s="685" t="s">
        <v>1391</v>
      </c>
      <c r="E134" s="686">
        <v>1190.0</v>
      </c>
      <c r="F134" s="692" t="s">
        <v>1666</v>
      </c>
      <c r="G134" s="693"/>
      <c r="H134" s="688"/>
      <c r="I134" s="685" t="s">
        <v>1667</v>
      </c>
      <c r="J134" s="689">
        <v>5.0</v>
      </c>
      <c r="K134" s="689">
        <v>0.0</v>
      </c>
      <c r="L134" s="689">
        <v>0.0</v>
      </c>
      <c r="M134" s="689">
        <v>0.0</v>
      </c>
      <c r="N134" s="686">
        <v>779.0</v>
      </c>
      <c r="O134" s="686">
        <v>3895.0</v>
      </c>
      <c r="P134" s="686">
        <v>0.0</v>
      </c>
      <c r="Q134" s="686">
        <v>0.0</v>
      </c>
      <c r="R134" s="686">
        <v>0.0</v>
      </c>
      <c r="S134" s="686">
        <v>0.0</v>
      </c>
      <c r="T134" s="686">
        <v>0.0</v>
      </c>
      <c r="U134" s="690">
        <v>3895.0</v>
      </c>
      <c r="V134" s="694"/>
      <c r="W134" s="679"/>
      <c r="X134" s="679"/>
      <c r="Y134" s="679"/>
      <c r="Z134" s="679"/>
      <c r="AA134" s="679"/>
      <c r="AB134" s="679"/>
      <c r="AC134" s="678"/>
      <c r="AD134" s="678"/>
      <c r="AE134" s="681"/>
      <c r="AF134" s="681"/>
      <c r="AG134" s="681"/>
      <c r="AH134" s="681"/>
      <c r="AI134" s="681"/>
      <c r="AJ134" s="676"/>
      <c r="AK134" s="676"/>
      <c r="AL134" s="681"/>
    </row>
    <row r="135">
      <c r="A135" s="685" t="s">
        <v>1447</v>
      </c>
      <c r="B135" s="685" t="s">
        <v>1668</v>
      </c>
      <c r="C135" s="685" t="s">
        <v>1669</v>
      </c>
      <c r="D135" s="685" t="s">
        <v>1391</v>
      </c>
      <c r="E135" s="686">
        <v>1990.0</v>
      </c>
      <c r="F135" s="692" t="s">
        <v>1670</v>
      </c>
      <c r="G135" s="693"/>
      <c r="H135" s="688"/>
      <c r="I135" s="685" t="s">
        <v>1671</v>
      </c>
      <c r="J135" s="689">
        <v>1.0</v>
      </c>
      <c r="K135" s="689">
        <v>0.0</v>
      </c>
      <c r="L135" s="689">
        <v>0.0</v>
      </c>
      <c r="M135" s="689">
        <v>0.0</v>
      </c>
      <c r="N135" s="686">
        <v>1302.0</v>
      </c>
      <c r="O135" s="686">
        <v>1302.0</v>
      </c>
      <c r="P135" s="686">
        <v>0.0</v>
      </c>
      <c r="Q135" s="686">
        <v>0.0</v>
      </c>
      <c r="R135" s="686">
        <v>0.0</v>
      </c>
      <c r="S135" s="686">
        <v>0.0</v>
      </c>
      <c r="T135" s="686">
        <v>0.0</v>
      </c>
      <c r="U135" s="690">
        <v>1302.0</v>
      </c>
      <c r="V135" s="694"/>
      <c r="W135" s="679"/>
      <c r="X135" s="679"/>
      <c r="Y135" s="679"/>
      <c r="Z135" s="679"/>
      <c r="AA135" s="679"/>
      <c r="AB135" s="679"/>
      <c r="AC135" s="678"/>
      <c r="AD135" s="678"/>
      <c r="AE135" s="681"/>
      <c r="AF135" s="681"/>
      <c r="AG135" s="681"/>
      <c r="AH135" s="681"/>
      <c r="AI135" s="681"/>
      <c r="AJ135" s="676"/>
      <c r="AK135" s="676"/>
      <c r="AL135" s="681"/>
    </row>
    <row r="136">
      <c r="A136" s="685" t="s">
        <v>1447</v>
      </c>
      <c r="B136" s="685" t="s">
        <v>1668</v>
      </c>
      <c r="C136" s="685" t="s">
        <v>1672</v>
      </c>
      <c r="D136" s="685" t="s">
        <v>1391</v>
      </c>
      <c r="E136" s="686">
        <v>2990.0</v>
      </c>
      <c r="F136" s="692" t="s">
        <v>1140</v>
      </c>
      <c r="G136" s="693"/>
      <c r="H136" s="688"/>
      <c r="I136" s="685" t="s">
        <v>1673</v>
      </c>
      <c r="J136" s="689">
        <v>1.0</v>
      </c>
      <c r="K136" s="689">
        <v>0.0</v>
      </c>
      <c r="L136" s="689">
        <v>0.0</v>
      </c>
      <c r="M136" s="689">
        <v>0.0</v>
      </c>
      <c r="N136" s="686">
        <v>1956.0</v>
      </c>
      <c r="O136" s="686">
        <v>1956.0</v>
      </c>
      <c r="P136" s="686">
        <v>0.0</v>
      </c>
      <c r="Q136" s="686">
        <v>0.0</v>
      </c>
      <c r="R136" s="686">
        <v>0.0</v>
      </c>
      <c r="S136" s="686">
        <v>0.0</v>
      </c>
      <c r="T136" s="686">
        <v>0.0</v>
      </c>
      <c r="U136" s="690">
        <v>1956.0</v>
      </c>
      <c r="V136" s="694"/>
      <c r="W136" s="679"/>
      <c r="X136" s="679"/>
      <c r="Y136" s="679"/>
      <c r="Z136" s="679"/>
      <c r="AA136" s="679"/>
      <c r="AB136" s="679"/>
      <c r="AC136" s="678"/>
      <c r="AD136" s="678"/>
      <c r="AE136" s="681"/>
      <c r="AF136" s="681"/>
      <c r="AG136" s="681"/>
      <c r="AH136" s="681"/>
      <c r="AI136" s="681"/>
      <c r="AJ136" s="676"/>
      <c r="AK136" s="676"/>
      <c r="AL136" s="681"/>
    </row>
    <row r="137">
      <c r="A137" s="685" t="s">
        <v>1447</v>
      </c>
      <c r="B137" s="685" t="s">
        <v>1668</v>
      </c>
      <c r="C137" s="685" t="s">
        <v>1674</v>
      </c>
      <c r="D137" s="685" t="s">
        <v>1391</v>
      </c>
      <c r="E137" s="686">
        <v>2490.0</v>
      </c>
      <c r="F137" s="692" t="s">
        <v>1675</v>
      </c>
      <c r="G137" s="693"/>
      <c r="H137" s="688"/>
      <c r="I137" s="685" t="s">
        <v>1676</v>
      </c>
      <c r="J137" s="689">
        <v>1.0</v>
      </c>
      <c r="K137" s="689">
        <v>0.0</v>
      </c>
      <c r="L137" s="689">
        <v>0.0</v>
      </c>
      <c r="M137" s="689">
        <v>0.0</v>
      </c>
      <c r="N137" s="686">
        <v>1629.0</v>
      </c>
      <c r="O137" s="686">
        <v>1629.0</v>
      </c>
      <c r="P137" s="686">
        <v>0.0</v>
      </c>
      <c r="Q137" s="686">
        <v>0.0</v>
      </c>
      <c r="R137" s="686">
        <v>0.0</v>
      </c>
      <c r="S137" s="686">
        <v>1629.0</v>
      </c>
      <c r="T137" s="686">
        <v>0.0</v>
      </c>
      <c r="U137" s="690">
        <v>0.0</v>
      </c>
      <c r="V137" s="694"/>
      <c r="W137" s="679"/>
      <c r="X137" s="679"/>
      <c r="Y137" s="679"/>
      <c r="Z137" s="679"/>
      <c r="AA137" s="679"/>
      <c r="AB137" s="679"/>
      <c r="AC137" s="678"/>
      <c r="AD137" s="678"/>
      <c r="AE137" s="679"/>
      <c r="AF137" s="679"/>
      <c r="AG137" s="679"/>
      <c r="AH137" s="679"/>
      <c r="AI137" s="679"/>
      <c r="AJ137" s="676"/>
      <c r="AK137" s="676"/>
      <c r="AL137" s="679"/>
    </row>
    <row r="138">
      <c r="A138" s="685" t="s">
        <v>1447</v>
      </c>
      <c r="B138" s="685" t="s">
        <v>1668</v>
      </c>
      <c r="C138" s="685" t="s">
        <v>1674</v>
      </c>
      <c r="D138" s="685" t="s">
        <v>1391</v>
      </c>
      <c r="E138" s="686">
        <v>4990.0</v>
      </c>
      <c r="F138" s="692" t="s">
        <v>1677</v>
      </c>
      <c r="G138" s="693"/>
      <c r="H138" s="688"/>
      <c r="I138" s="685" t="s">
        <v>1678</v>
      </c>
      <c r="J138" s="689">
        <v>2.0</v>
      </c>
      <c r="K138" s="689">
        <v>0.0</v>
      </c>
      <c r="L138" s="689">
        <v>0.0</v>
      </c>
      <c r="M138" s="689">
        <v>0.0</v>
      </c>
      <c r="N138" s="686">
        <v>3264.0</v>
      </c>
      <c r="O138" s="686">
        <v>6528.0</v>
      </c>
      <c r="P138" s="686">
        <v>3264.0</v>
      </c>
      <c r="Q138" s="686">
        <v>3264.0</v>
      </c>
      <c r="R138" s="686">
        <v>0.0</v>
      </c>
      <c r="S138" s="686">
        <v>0.0</v>
      </c>
      <c r="T138" s="686">
        <v>0.0</v>
      </c>
      <c r="U138" s="690">
        <v>0.0</v>
      </c>
      <c r="V138" s="678"/>
      <c r="W138" s="679"/>
      <c r="X138" s="679"/>
      <c r="Y138" s="679"/>
      <c r="Z138" s="679"/>
      <c r="AA138" s="679"/>
      <c r="AB138" s="679"/>
      <c r="AC138" s="678"/>
      <c r="AD138" s="678"/>
      <c r="AE138" s="681"/>
      <c r="AF138" s="681"/>
      <c r="AG138" s="681"/>
      <c r="AH138" s="681"/>
      <c r="AI138" s="681"/>
      <c r="AJ138" s="676"/>
      <c r="AK138" s="676"/>
      <c r="AL138" s="681"/>
    </row>
    <row r="139">
      <c r="A139" s="685" t="s">
        <v>1447</v>
      </c>
      <c r="B139" s="685" t="s">
        <v>1668</v>
      </c>
      <c r="C139" s="685" t="s">
        <v>1679</v>
      </c>
      <c r="D139" s="685" t="s">
        <v>1594</v>
      </c>
      <c r="E139" s="686">
        <v>690.0</v>
      </c>
      <c r="F139" s="692" t="s">
        <v>629</v>
      </c>
      <c r="G139" s="693"/>
      <c r="H139" s="688"/>
      <c r="I139" s="685" t="s">
        <v>1680</v>
      </c>
      <c r="J139" s="689">
        <v>9.0</v>
      </c>
      <c r="K139" s="689">
        <v>0.0</v>
      </c>
      <c r="L139" s="689">
        <v>0.0</v>
      </c>
      <c r="M139" s="689">
        <v>0.0</v>
      </c>
      <c r="N139" s="686">
        <v>386.92</v>
      </c>
      <c r="O139" s="686">
        <v>3482.28</v>
      </c>
      <c r="P139" s="686">
        <v>0.0</v>
      </c>
      <c r="Q139" s="686">
        <v>3482.28</v>
      </c>
      <c r="R139" s="686">
        <v>0.0</v>
      </c>
      <c r="S139" s="686">
        <v>0.0</v>
      </c>
      <c r="T139" s="686">
        <v>0.0</v>
      </c>
      <c r="U139" s="690">
        <v>0.0</v>
      </c>
      <c r="V139" s="678"/>
      <c r="W139" s="679"/>
      <c r="X139" s="679"/>
      <c r="Y139" s="679"/>
      <c r="Z139" s="679"/>
      <c r="AA139" s="679"/>
      <c r="AB139" s="679"/>
      <c r="AC139" s="678"/>
      <c r="AD139" s="678"/>
      <c r="AE139" s="681"/>
      <c r="AF139" s="681"/>
      <c r="AG139" s="681"/>
      <c r="AH139" s="681"/>
      <c r="AI139" s="681"/>
      <c r="AJ139" s="676"/>
      <c r="AK139" s="676"/>
      <c r="AL139" s="681"/>
    </row>
    <row r="140">
      <c r="A140" s="685" t="s">
        <v>1447</v>
      </c>
      <c r="B140" s="685" t="s">
        <v>1681</v>
      </c>
      <c r="C140" s="685" t="s">
        <v>1682</v>
      </c>
      <c r="D140" s="685" t="s">
        <v>1450</v>
      </c>
      <c r="E140" s="686">
        <v>999.0</v>
      </c>
      <c r="F140" s="692" t="s">
        <v>1330</v>
      </c>
      <c r="G140" s="693"/>
      <c r="H140" s="688"/>
      <c r="I140" s="685" t="s">
        <v>1329</v>
      </c>
      <c r="J140" s="689">
        <v>8.0</v>
      </c>
      <c r="K140" s="689">
        <v>0.0</v>
      </c>
      <c r="L140" s="689">
        <v>0.0</v>
      </c>
      <c r="M140" s="689">
        <v>0.0</v>
      </c>
      <c r="N140" s="686">
        <v>560.75</v>
      </c>
      <c r="O140" s="686">
        <v>4486.0</v>
      </c>
      <c r="P140" s="686">
        <v>0.0</v>
      </c>
      <c r="Q140" s="686">
        <v>0.0</v>
      </c>
      <c r="R140" s="686">
        <v>0.0</v>
      </c>
      <c r="S140" s="686">
        <v>0.0</v>
      </c>
      <c r="T140" s="686">
        <v>0.0</v>
      </c>
      <c r="U140" s="690">
        <v>4486.0</v>
      </c>
      <c r="V140" s="678"/>
      <c r="W140" s="679"/>
      <c r="X140" s="679"/>
      <c r="Y140" s="679"/>
      <c r="Z140" s="679"/>
      <c r="AA140" s="679"/>
      <c r="AB140" s="679"/>
      <c r="AC140" s="678"/>
      <c r="AD140" s="678"/>
      <c r="AE140" s="679"/>
      <c r="AF140" s="679"/>
      <c r="AG140" s="679"/>
      <c r="AH140" s="679"/>
      <c r="AI140" s="679"/>
      <c r="AJ140" s="676"/>
      <c r="AK140" s="676"/>
      <c r="AL140" s="679"/>
    </row>
    <row r="141">
      <c r="A141" s="685" t="s">
        <v>1447</v>
      </c>
      <c r="B141" s="685" t="s">
        <v>1681</v>
      </c>
      <c r="C141" s="685" t="s">
        <v>1682</v>
      </c>
      <c r="D141" s="685" t="s">
        <v>1450</v>
      </c>
      <c r="E141" s="686">
        <v>399.0</v>
      </c>
      <c r="F141" s="692" t="s">
        <v>1334</v>
      </c>
      <c r="G141" s="693"/>
      <c r="H141" s="688"/>
      <c r="I141" s="685" t="s">
        <v>1333</v>
      </c>
      <c r="J141" s="689">
        <v>48.0</v>
      </c>
      <c r="K141" s="689">
        <v>0.0</v>
      </c>
      <c r="L141" s="689">
        <v>0.0</v>
      </c>
      <c r="M141" s="689">
        <v>0.0</v>
      </c>
      <c r="N141" s="686">
        <v>205.61</v>
      </c>
      <c r="O141" s="686">
        <v>9869.28</v>
      </c>
      <c r="P141" s="686">
        <v>1439.27</v>
      </c>
      <c r="Q141" s="686">
        <v>6990.74</v>
      </c>
      <c r="R141" s="686">
        <v>1439.27</v>
      </c>
      <c r="S141" s="686">
        <v>0.0</v>
      </c>
      <c r="T141" s="686">
        <v>0.0</v>
      </c>
      <c r="U141" s="690">
        <v>0.0</v>
      </c>
      <c r="V141" s="678"/>
      <c r="W141" s="679"/>
      <c r="X141" s="679"/>
      <c r="Y141" s="679"/>
      <c r="Z141" s="679"/>
      <c r="AA141" s="679"/>
      <c r="AB141" s="679"/>
      <c r="AC141" s="678"/>
      <c r="AD141" s="678"/>
      <c r="AE141" s="679"/>
      <c r="AF141" s="679"/>
      <c r="AG141" s="679"/>
      <c r="AH141" s="679"/>
      <c r="AI141" s="679"/>
      <c r="AJ141" s="676"/>
      <c r="AK141" s="676"/>
      <c r="AL141" s="679"/>
    </row>
    <row r="142">
      <c r="A142" s="685" t="s">
        <v>1447</v>
      </c>
      <c r="B142" s="685" t="s">
        <v>1681</v>
      </c>
      <c r="C142" s="685" t="s">
        <v>1682</v>
      </c>
      <c r="D142" s="685" t="s">
        <v>1450</v>
      </c>
      <c r="E142" s="686">
        <v>599.0</v>
      </c>
      <c r="F142" s="692" t="s">
        <v>1338</v>
      </c>
      <c r="G142" s="693"/>
      <c r="H142" s="688"/>
      <c r="I142" s="685" t="s">
        <v>1337</v>
      </c>
      <c r="J142" s="689">
        <v>9.0</v>
      </c>
      <c r="K142" s="689">
        <v>0.0</v>
      </c>
      <c r="L142" s="689">
        <v>0.0</v>
      </c>
      <c r="M142" s="689">
        <v>0.0</v>
      </c>
      <c r="N142" s="686">
        <v>308.41</v>
      </c>
      <c r="O142" s="686">
        <v>2775.69</v>
      </c>
      <c r="P142" s="686">
        <v>0.0</v>
      </c>
      <c r="Q142" s="686">
        <v>1850.46</v>
      </c>
      <c r="R142" s="686">
        <v>925.23</v>
      </c>
      <c r="S142" s="686">
        <v>0.0</v>
      </c>
      <c r="T142" s="686">
        <v>0.0</v>
      </c>
      <c r="U142" s="690">
        <v>0.0</v>
      </c>
      <c r="V142" s="678"/>
      <c r="W142" s="679"/>
      <c r="X142" s="679"/>
      <c r="Y142" s="679"/>
      <c r="Z142" s="679"/>
      <c r="AA142" s="679"/>
      <c r="AB142" s="679"/>
      <c r="AC142" s="678"/>
      <c r="AD142" s="678"/>
      <c r="AE142" s="681"/>
      <c r="AF142" s="681"/>
      <c r="AG142" s="681"/>
      <c r="AH142" s="681"/>
      <c r="AI142" s="681"/>
      <c r="AJ142" s="676"/>
      <c r="AK142" s="676"/>
      <c r="AL142" s="681"/>
    </row>
    <row r="143">
      <c r="A143" s="685" t="s">
        <v>1447</v>
      </c>
      <c r="B143" s="685" t="s">
        <v>1681</v>
      </c>
      <c r="C143" s="685" t="s">
        <v>1682</v>
      </c>
      <c r="D143" s="685" t="s">
        <v>1391</v>
      </c>
      <c r="E143" s="686">
        <v>690.0</v>
      </c>
      <c r="F143" s="692" t="s">
        <v>1342</v>
      </c>
      <c r="G143" s="693"/>
      <c r="H143" s="688"/>
      <c r="I143" s="685" t="s">
        <v>1341</v>
      </c>
      <c r="J143" s="689">
        <v>52.0</v>
      </c>
      <c r="K143" s="689">
        <v>0.0</v>
      </c>
      <c r="L143" s="689">
        <v>0.0</v>
      </c>
      <c r="M143" s="689">
        <v>0.0</v>
      </c>
      <c r="N143" s="686">
        <v>451.0</v>
      </c>
      <c r="O143" s="686">
        <v>23452.0</v>
      </c>
      <c r="P143" s="686">
        <v>0.0</v>
      </c>
      <c r="Q143" s="686">
        <v>0.0</v>
      </c>
      <c r="R143" s="686">
        <v>9020.0</v>
      </c>
      <c r="S143" s="686">
        <v>4510.0</v>
      </c>
      <c r="T143" s="686">
        <v>0.0</v>
      </c>
      <c r="U143" s="690">
        <v>9922.0</v>
      </c>
      <c r="V143" s="678"/>
      <c r="W143" s="679"/>
      <c r="X143" s="679"/>
      <c r="Y143" s="679"/>
      <c r="Z143" s="679"/>
      <c r="AA143" s="679"/>
      <c r="AB143" s="679"/>
      <c r="AC143" s="678"/>
      <c r="AD143" s="678"/>
      <c r="AE143" s="679"/>
      <c r="AF143" s="679"/>
      <c r="AG143" s="679"/>
      <c r="AH143" s="679"/>
      <c r="AI143" s="679"/>
      <c r="AJ143" s="676"/>
      <c r="AK143" s="676"/>
      <c r="AL143" s="679"/>
    </row>
    <row r="144">
      <c r="A144" s="685" t="s">
        <v>1447</v>
      </c>
      <c r="B144" s="685" t="s">
        <v>1681</v>
      </c>
      <c r="C144" s="685" t="s">
        <v>1682</v>
      </c>
      <c r="D144" s="685" t="s">
        <v>1391</v>
      </c>
      <c r="E144" s="686">
        <v>690.0</v>
      </c>
      <c r="F144" s="692" t="s">
        <v>1345</v>
      </c>
      <c r="G144" s="693"/>
      <c r="H144" s="688"/>
      <c r="I144" s="685" t="s">
        <v>1344</v>
      </c>
      <c r="J144" s="689">
        <v>42.0</v>
      </c>
      <c r="K144" s="689">
        <v>0.0</v>
      </c>
      <c r="L144" s="689">
        <v>0.0</v>
      </c>
      <c r="M144" s="689">
        <v>0.0</v>
      </c>
      <c r="N144" s="686">
        <v>451.0</v>
      </c>
      <c r="O144" s="686">
        <v>18942.0</v>
      </c>
      <c r="P144" s="686">
        <v>0.0</v>
      </c>
      <c r="Q144" s="686">
        <v>0.0</v>
      </c>
      <c r="R144" s="686">
        <v>18040.0</v>
      </c>
      <c r="S144" s="686">
        <v>902.0</v>
      </c>
      <c r="T144" s="686">
        <v>0.0</v>
      </c>
      <c r="U144" s="690">
        <v>0.0</v>
      </c>
      <c r="V144" s="678"/>
      <c r="W144" s="679"/>
      <c r="X144" s="679"/>
      <c r="Y144" s="679"/>
      <c r="Z144" s="679"/>
      <c r="AA144" s="679"/>
      <c r="AB144" s="679"/>
      <c r="AC144" s="678"/>
      <c r="AD144" s="678"/>
      <c r="AE144" s="681"/>
      <c r="AF144" s="681"/>
      <c r="AG144" s="681"/>
      <c r="AH144" s="681"/>
      <c r="AI144" s="681"/>
      <c r="AJ144" s="676"/>
      <c r="AK144" s="676"/>
      <c r="AL144" s="681"/>
    </row>
    <row r="145">
      <c r="A145" s="685" t="s">
        <v>1447</v>
      </c>
      <c r="B145" s="685" t="s">
        <v>1681</v>
      </c>
      <c r="C145" s="685" t="s">
        <v>1682</v>
      </c>
      <c r="D145" s="685" t="s">
        <v>1391</v>
      </c>
      <c r="E145" s="686">
        <v>1290.0</v>
      </c>
      <c r="F145" s="692" t="s">
        <v>1164</v>
      </c>
      <c r="G145" s="693"/>
      <c r="H145" s="688"/>
      <c r="I145" s="685" t="s">
        <v>1348</v>
      </c>
      <c r="J145" s="689">
        <v>7.0</v>
      </c>
      <c r="K145" s="689">
        <v>0.0</v>
      </c>
      <c r="L145" s="689">
        <v>0.0</v>
      </c>
      <c r="M145" s="689">
        <v>0.0</v>
      </c>
      <c r="N145" s="686">
        <v>844.0</v>
      </c>
      <c r="O145" s="686">
        <v>5908.0</v>
      </c>
      <c r="P145" s="686">
        <v>0.0</v>
      </c>
      <c r="Q145" s="686">
        <v>5908.0</v>
      </c>
      <c r="R145" s="686">
        <v>0.0</v>
      </c>
      <c r="S145" s="686">
        <v>0.0</v>
      </c>
      <c r="T145" s="686">
        <v>0.0</v>
      </c>
      <c r="U145" s="690">
        <v>0.0</v>
      </c>
      <c r="V145" s="694"/>
      <c r="W145" s="679"/>
      <c r="X145" s="679"/>
      <c r="Y145" s="679"/>
      <c r="Z145" s="679"/>
      <c r="AA145" s="679"/>
      <c r="AB145" s="679"/>
      <c r="AC145" s="678"/>
      <c r="AD145" s="678"/>
      <c r="AE145" s="679"/>
      <c r="AF145" s="679"/>
      <c r="AG145" s="679"/>
      <c r="AH145" s="679"/>
      <c r="AI145" s="679"/>
      <c r="AJ145" s="676"/>
      <c r="AK145" s="676"/>
      <c r="AL145" s="679"/>
    </row>
    <row r="146">
      <c r="A146" s="685" t="s">
        <v>1447</v>
      </c>
      <c r="B146" s="685" t="s">
        <v>1681</v>
      </c>
      <c r="C146" s="685" t="s">
        <v>1682</v>
      </c>
      <c r="D146" s="685" t="s">
        <v>1391</v>
      </c>
      <c r="E146" s="686">
        <v>1290.0</v>
      </c>
      <c r="F146" s="692" t="s">
        <v>1167</v>
      </c>
      <c r="G146" s="693"/>
      <c r="H146" s="688"/>
      <c r="I146" s="685" t="s">
        <v>1351</v>
      </c>
      <c r="J146" s="689">
        <v>43.0</v>
      </c>
      <c r="K146" s="689">
        <v>0.0</v>
      </c>
      <c r="L146" s="689">
        <v>0.0</v>
      </c>
      <c r="M146" s="689">
        <v>0.0</v>
      </c>
      <c r="N146" s="686">
        <v>904.0</v>
      </c>
      <c r="O146" s="686">
        <v>38872.0</v>
      </c>
      <c r="P146" s="686">
        <v>36160.0</v>
      </c>
      <c r="Q146" s="686">
        <v>0.0</v>
      </c>
      <c r="R146" s="686">
        <v>2712.0</v>
      </c>
      <c r="S146" s="686">
        <v>0.0</v>
      </c>
      <c r="T146" s="686">
        <v>0.0</v>
      </c>
      <c r="U146" s="690">
        <v>0.0</v>
      </c>
      <c r="V146" s="678"/>
      <c r="W146" s="679"/>
      <c r="X146" s="679"/>
      <c r="Y146" s="679"/>
      <c r="Z146" s="679"/>
      <c r="AA146" s="679"/>
      <c r="AB146" s="679"/>
      <c r="AC146" s="678"/>
      <c r="AD146" s="678"/>
      <c r="AE146" s="681"/>
      <c r="AF146" s="681"/>
      <c r="AG146" s="681"/>
      <c r="AH146" s="681"/>
      <c r="AI146" s="681"/>
      <c r="AJ146" s="676"/>
      <c r="AK146" s="676"/>
      <c r="AL146" s="681"/>
    </row>
    <row r="147">
      <c r="A147" s="685" t="s">
        <v>1447</v>
      </c>
      <c r="B147" s="685" t="s">
        <v>1681</v>
      </c>
      <c r="C147" s="685" t="s">
        <v>1684</v>
      </c>
      <c r="D147" s="685" t="s">
        <v>1391</v>
      </c>
      <c r="E147" s="686">
        <v>1090.0</v>
      </c>
      <c r="F147" s="692" t="s">
        <v>1355</v>
      </c>
      <c r="G147" s="693"/>
      <c r="H147" s="688"/>
      <c r="I147" s="685" t="s">
        <v>1354</v>
      </c>
      <c r="J147" s="689">
        <v>19.0</v>
      </c>
      <c r="K147" s="689">
        <v>0.0</v>
      </c>
      <c r="L147" s="689">
        <v>0.0</v>
      </c>
      <c r="M147" s="689">
        <v>0.0</v>
      </c>
      <c r="N147" s="686">
        <v>713.0</v>
      </c>
      <c r="O147" s="686">
        <v>13547.0</v>
      </c>
      <c r="P147" s="686">
        <v>713.0</v>
      </c>
      <c r="Q147" s="686">
        <v>0.0</v>
      </c>
      <c r="R147" s="686">
        <v>0.0</v>
      </c>
      <c r="S147" s="686">
        <v>0.0</v>
      </c>
      <c r="T147" s="686">
        <v>12834.0</v>
      </c>
      <c r="U147" s="690">
        <v>0.0</v>
      </c>
      <c r="V147" s="678"/>
      <c r="W147" s="679"/>
      <c r="X147" s="679"/>
      <c r="Y147" s="679"/>
      <c r="Z147" s="679"/>
      <c r="AA147" s="679"/>
      <c r="AB147" s="679"/>
      <c r="AC147" s="678"/>
      <c r="AD147" s="678"/>
      <c r="AE147" s="679"/>
      <c r="AF147" s="679"/>
      <c r="AG147" s="679"/>
      <c r="AH147" s="679"/>
      <c r="AI147" s="679"/>
      <c r="AJ147" s="676"/>
      <c r="AK147" s="676"/>
      <c r="AL147" s="679"/>
    </row>
    <row r="148">
      <c r="A148" s="685" t="s">
        <v>1447</v>
      </c>
      <c r="B148" s="685" t="s">
        <v>1681</v>
      </c>
      <c r="C148" s="685" t="s">
        <v>1684</v>
      </c>
      <c r="D148" s="685" t="s">
        <v>1391</v>
      </c>
      <c r="E148" s="686">
        <v>1490.0</v>
      </c>
      <c r="F148" s="692" t="s">
        <v>1358</v>
      </c>
      <c r="G148" s="693"/>
      <c r="H148" s="688"/>
      <c r="I148" s="685" t="s">
        <v>1357</v>
      </c>
      <c r="J148" s="689">
        <v>26.0</v>
      </c>
      <c r="K148" s="689">
        <v>0.0</v>
      </c>
      <c r="L148" s="689">
        <v>0.0</v>
      </c>
      <c r="M148" s="689">
        <v>0.0</v>
      </c>
      <c r="N148" s="686">
        <v>975.0</v>
      </c>
      <c r="O148" s="686">
        <v>25350.0</v>
      </c>
      <c r="P148" s="686">
        <v>0.0</v>
      </c>
      <c r="Q148" s="686">
        <v>0.0</v>
      </c>
      <c r="R148" s="686">
        <v>0.0</v>
      </c>
      <c r="S148" s="686">
        <v>19500.0</v>
      </c>
      <c r="T148" s="686">
        <v>4875.0</v>
      </c>
      <c r="U148" s="690">
        <v>975.0</v>
      </c>
      <c r="V148" s="678"/>
      <c r="W148" s="679"/>
      <c r="X148" s="679"/>
      <c r="Y148" s="679"/>
      <c r="Z148" s="679"/>
      <c r="AA148" s="679"/>
      <c r="AB148" s="679"/>
      <c r="AC148" s="678"/>
      <c r="AD148" s="678"/>
      <c r="AE148" s="681"/>
      <c r="AF148" s="681"/>
      <c r="AG148" s="681"/>
      <c r="AH148" s="681"/>
      <c r="AI148" s="681"/>
      <c r="AJ148" s="676"/>
      <c r="AK148" s="676"/>
      <c r="AL148" s="681"/>
    </row>
    <row r="149">
      <c r="A149" s="685" t="s">
        <v>1447</v>
      </c>
      <c r="B149" s="685" t="s">
        <v>1685</v>
      </c>
      <c r="C149" s="685" t="s">
        <v>1593</v>
      </c>
      <c r="D149" s="685" t="s">
        <v>1594</v>
      </c>
      <c r="E149" s="686">
        <v>590.0</v>
      </c>
      <c r="F149" s="692" t="s">
        <v>1686</v>
      </c>
      <c r="G149" s="693"/>
      <c r="H149" s="688"/>
      <c r="I149" s="685" t="s">
        <v>1687</v>
      </c>
      <c r="J149" s="689">
        <v>2.0</v>
      </c>
      <c r="K149" s="689">
        <v>0.0</v>
      </c>
      <c r="L149" s="689">
        <v>0.0</v>
      </c>
      <c r="M149" s="689">
        <v>0.0</v>
      </c>
      <c r="N149" s="686">
        <v>352.9</v>
      </c>
      <c r="O149" s="686">
        <v>705.8</v>
      </c>
      <c r="P149" s="686">
        <v>0.0</v>
      </c>
      <c r="Q149" s="686">
        <v>0.0</v>
      </c>
      <c r="R149" s="686">
        <v>0.0</v>
      </c>
      <c r="S149" s="686">
        <v>0.0</v>
      </c>
      <c r="T149" s="686">
        <v>0.0</v>
      </c>
      <c r="U149" s="690">
        <v>705.8</v>
      </c>
      <c r="V149" s="678"/>
      <c r="W149" s="679"/>
      <c r="X149" s="679"/>
      <c r="Y149" s="679"/>
      <c r="Z149" s="679"/>
      <c r="AA149" s="679"/>
      <c r="AB149" s="679"/>
      <c r="AC149" s="678"/>
      <c r="AD149" s="678"/>
      <c r="AE149" s="679"/>
      <c r="AF149" s="679"/>
      <c r="AG149" s="679"/>
      <c r="AH149" s="679"/>
      <c r="AI149" s="679"/>
      <c r="AJ149" s="676"/>
      <c r="AK149" s="676"/>
      <c r="AL149" s="679"/>
    </row>
    <row r="150">
      <c r="A150" s="685" t="s">
        <v>1447</v>
      </c>
      <c r="B150" s="685" t="s">
        <v>1685</v>
      </c>
      <c r="C150" s="685" t="s">
        <v>1593</v>
      </c>
      <c r="D150" s="685" t="s">
        <v>1594</v>
      </c>
      <c r="E150" s="686">
        <v>590.0</v>
      </c>
      <c r="F150" s="692" t="s">
        <v>1688</v>
      </c>
      <c r="G150" s="693"/>
      <c r="H150" s="688"/>
      <c r="I150" s="685" t="s">
        <v>1689</v>
      </c>
      <c r="J150" s="689">
        <v>1.0</v>
      </c>
      <c r="K150" s="689">
        <v>0.0</v>
      </c>
      <c r="L150" s="689">
        <v>0.0</v>
      </c>
      <c r="M150" s="689">
        <v>0.0</v>
      </c>
      <c r="N150" s="686">
        <v>352.9</v>
      </c>
      <c r="O150" s="686">
        <v>352.9</v>
      </c>
      <c r="P150" s="686">
        <v>0.0</v>
      </c>
      <c r="Q150" s="686">
        <v>0.0</v>
      </c>
      <c r="R150" s="686">
        <v>0.0</v>
      </c>
      <c r="S150" s="686">
        <v>0.0</v>
      </c>
      <c r="T150" s="686">
        <v>0.0</v>
      </c>
      <c r="U150" s="690">
        <v>352.9</v>
      </c>
      <c r="V150" s="694"/>
      <c r="W150" s="679"/>
      <c r="X150" s="679"/>
      <c r="Y150" s="679"/>
      <c r="Z150" s="679"/>
      <c r="AA150" s="679"/>
      <c r="AB150" s="679"/>
      <c r="AC150" s="678"/>
      <c r="AD150" s="678"/>
      <c r="AE150" s="679"/>
      <c r="AF150" s="679"/>
      <c r="AG150" s="679"/>
      <c r="AH150" s="679"/>
      <c r="AI150" s="679"/>
      <c r="AJ150" s="676"/>
      <c r="AK150" s="676"/>
      <c r="AL150" s="679"/>
    </row>
    <row r="151">
      <c r="A151" s="685" t="s">
        <v>1447</v>
      </c>
      <c r="B151" s="685" t="s">
        <v>1685</v>
      </c>
      <c r="C151" s="685" t="s">
        <v>1593</v>
      </c>
      <c r="D151" s="685" t="s">
        <v>723</v>
      </c>
      <c r="E151" s="686">
        <v>690.0</v>
      </c>
      <c r="F151" s="692" t="s">
        <v>1690</v>
      </c>
      <c r="G151" s="693"/>
      <c r="H151" s="688"/>
      <c r="I151" s="685" t="s">
        <v>1691</v>
      </c>
      <c r="J151" s="689">
        <v>5.0</v>
      </c>
      <c r="K151" s="689">
        <v>0.0</v>
      </c>
      <c r="L151" s="689">
        <v>0.0</v>
      </c>
      <c r="M151" s="689">
        <v>0.0</v>
      </c>
      <c r="N151" s="686">
        <v>386.92</v>
      </c>
      <c r="O151" s="686">
        <v>1934.6</v>
      </c>
      <c r="P151" s="686">
        <v>0.0</v>
      </c>
      <c r="Q151" s="686">
        <v>0.0</v>
      </c>
      <c r="R151" s="686">
        <v>0.0</v>
      </c>
      <c r="S151" s="686">
        <v>1934.6</v>
      </c>
      <c r="T151" s="686">
        <v>0.0</v>
      </c>
      <c r="U151" s="690">
        <v>0.0</v>
      </c>
      <c r="V151" s="678"/>
      <c r="W151" s="679"/>
      <c r="X151" s="679"/>
      <c r="Y151" s="679"/>
      <c r="Z151" s="679"/>
      <c r="AA151" s="679"/>
      <c r="AB151" s="679"/>
      <c r="AC151" s="678"/>
      <c r="AD151" s="678"/>
      <c r="AE151" s="679"/>
      <c r="AF151" s="679"/>
      <c r="AG151" s="679"/>
      <c r="AH151" s="679"/>
      <c r="AI151" s="679"/>
      <c r="AJ151" s="676"/>
      <c r="AK151" s="676"/>
      <c r="AL151" s="679"/>
    </row>
    <row r="152">
      <c r="A152" s="685" t="s">
        <v>1447</v>
      </c>
      <c r="B152" s="685" t="s">
        <v>1685</v>
      </c>
      <c r="C152" s="685" t="s">
        <v>1593</v>
      </c>
      <c r="D152" s="685" t="s">
        <v>723</v>
      </c>
      <c r="E152" s="686">
        <v>690.0</v>
      </c>
      <c r="F152" s="692" t="s">
        <v>1692</v>
      </c>
      <c r="G152" s="693"/>
      <c r="H152" s="688"/>
      <c r="I152" s="685" t="s">
        <v>1693</v>
      </c>
      <c r="J152" s="689">
        <v>4.0</v>
      </c>
      <c r="K152" s="689">
        <v>0.0</v>
      </c>
      <c r="L152" s="689">
        <v>0.0</v>
      </c>
      <c r="M152" s="689">
        <v>0.0</v>
      </c>
      <c r="N152" s="686">
        <v>386.92</v>
      </c>
      <c r="O152" s="686">
        <v>1547.68</v>
      </c>
      <c r="P152" s="686">
        <v>0.0</v>
      </c>
      <c r="Q152" s="686">
        <v>0.0</v>
      </c>
      <c r="R152" s="686">
        <v>0.0</v>
      </c>
      <c r="S152" s="686">
        <v>1547.68</v>
      </c>
      <c r="T152" s="686">
        <v>0.0</v>
      </c>
      <c r="U152" s="690">
        <v>0.0</v>
      </c>
      <c r="V152" s="678"/>
      <c r="W152" s="679"/>
      <c r="X152" s="679"/>
      <c r="Y152" s="679"/>
      <c r="Z152" s="679"/>
      <c r="AA152" s="679"/>
      <c r="AB152" s="679"/>
      <c r="AC152" s="678"/>
      <c r="AD152" s="678"/>
      <c r="AE152" s="681"/>
      <c r="AF152" s="681"/>
      <c r="AG152" s="681"/>
      <c r="AH152" s="681"/>
      <c r="AI152" s="681"/>
      <c r="AJ152" s="676"/>
      <c r="AK152" s="676"/>
      <c r="AL152" s="681"/>
    </row>
    <row r="153">
      <c r="A153" s="685" t="s">
        <v>1447</v>
      </c>
      <c r="B153" s="685" t="s">
        <v>1685</v>
      </c>
      <c r="C153" s="685" t="s">
        <v>1694</v>
      </c>
      <c r="D153" s="685" t="s">
        <v>1594</v>
      </c>
      <c r="E153" s="686">
        <v>350.0</v>
      </c>
      <c r="F153" s="692" t="s">
        <v>1695</v>
      </c>
      <c r="G153" s="693"/>
      <c r="H153" s="688"/>
      <c r="I153" s="685" t="s">
        <v>1696</v>
      </c>
      <c r="J153" s="689">
        <v>3.0</v>
      </c>
      <c r="K153" s="689">
        <v>0.0</v>
      </c>
      <c r="L153" s="689">
        <v>0.0</v>
      </c>
      <c r="M153" s="689">
        <v>0.0</v>
      </c>
      <c r="N153" s="686">
        <v>196.26</v>
      </c>
      <c r="O153" s="686">
        <v>588.78</v>
      </c>
      <c r="P153" s="686">
        <v>0.0</v>
      </c>
      <c r="Q153" s="686">
        <v>588.78</v>
      </c>
      <c r="R153" s="686">
        <v>0.0</v>
      </c>
      <c r="S153" s="686">
        <v>0.0</v>
      </c>
      <c r="T153" s="689">
        <v>0.0</v>
      </c>
      <c r="U153" s="690">
        <v>0.0</v>
      </c>
      <c r="V153" s="678"/>
      <c r="W153" s="679"/>
      <c r="X153" s="679"/>
      <c r="Y153" s="679"/>
      <c r="Z153" s="679"/>
      <c r="AA153" s="679"/>
      <c r="AB153" s="679"/>
      <c r="AC153" s="678"/>
      <c r="AD153" s="678"/>
      <c r="AE153" s="679"/>
      <c r="AF153" s="679"/>
      <c r="AG153" s="679"/>
      <c r="AH153" s="679"/>
      <c r="AI153" s="679"/>
      <c r="AJ153" s="676"/>
      <c r="AK153" s="676"/>
      <c r="AL153" s="679"/>
    </row>
    <row r="154">
      <c r="A154" s="685" t="s">
        <v>1447</v>
      </c>
      <c r="B154" s="685" t="s">
        <v>1685</v>
      </c>
      <c r="C154" s="685" t="s">
        <v>1697</v>
      </c>
      <c r="D154" s="685" t="s">
        <v>1594</v>
      </c>
      <c r="E154" s="686">
        <v>490.0</v>
      </c>
      <c r="F154" s="692" t="s">
        <v>1698</v>
      </c>
      <c r="G154" s="693"/>
      <c r="H154" s="688"/>
      <c r="I154" s="685" t="s">
        <v>1699</v>
      </c>
      <c r="J154" s="689">
        <v>2.0</v>
      </c>
      <c r="K154" s="689">
        <v>0.0</v>
      </c>
      <c r="L154" s="689">
        <v>0.0</v>
      </c>
      <c r="M154" s="689">
        <v>0.0</v>
      </c>
      <c r="N154" s="686">
        <v>274.77</v>
      </c>
      <c r="O154" s="686">
        <v>549.54</v>
      </c>
      <c r="P154" s="686">
        <v>549.54</v>
      </c>
      <c r="Q154" s="686">
        <v>0.0</v>
      </c>
      <c r="R154" s="686">
        <v>0.0</v>
      </c>
      <c r="S154" s="686">
        <v>0.0</v>
      </c>
      <c r="T154" s="686">
        <v>0.0</v>
      </c>
      <c r="U154" s="690">
        <v>0.0</v>
      </c>
      <c r="V154" s="678"/>
      <c r="W154" s="679"/>
      <c r="X154" s="679"/>
      <c r="Y154" s="679"/>
      <c r="Z154" s="679"/>
      <c r="AA154" s="679"/>
      <c r="AB154" s="679"/>
      <c r="AC154" s="678"/>
      <c r="AD154" s="678"/>
      <c r="AE154" s="681"/>
      <c r="AF154" s="681"/>
      <c r="AG154" s="681"/>
      <c r="AH154" s="681"/>
      <c r="AI154" s="681"/>
      <c r="AJ154" s="676"/>
      <c r="AK154" s="676"/>
      <c r="AL154" s="681"/>
    </row>
    <row r="155">
      <c r="A155" s="685" t="s">
        <v>1447</v>
      </c>
      <c r="B155" s="685" t="s">
        <v>1700</v>
      </c>
      <c r="C155" s="685" t="s">
        <v>1701</v>
      </c>
      <c r="D155" s="685" t="s">
        <v>1594</v>
      </c>
      <c r="E155" s="686">
        <v>249.0</v>
      </c>
      <c r="F155" s="692" t="s">
        <v>1332</v>
      </c>
      <c r="G155" s="693"/>
      <c r="H155" s="688"/>
      <c r="I155" s="685" t="s">
        <v>1331</v>
      </c>
      <c r="J155" s="689">
        <v>10.0</v>
      </c>
      <c r="K155" s="689">
        <v>0.0</v>
      </c>
      <c r="L155" s="689">
        <v>0.0</v>
      </c>
      <c r="M155" s="689">
        <v>0.0</v>
      </c>
      <c r="N155" s="686">
        <v>139.63</v>
      </c>
      <c r="O155" s="686">
        <v>1396.3</v>
      </c>
      <c r="P155" s="686">
        <v>698.15</v>
      </c>
      <c r="Q155" s="686">
        <v>698.15</v>
      </c>
      <c r="R155" s="686">
        <v>0.0</v>
      </c>
      <c r="S155" s="686">
        <v>0.0</v>
      </c>
      <c r="T155" s="686">
        <v>0.0</v>
      </c>
      <c r="U155" s="690">
        <v>0.0</v>
      </c>
      <c r="V155" s="678"/>
      <c r="W155" s="679"/>
      <c r="X155" s="679"/>
      <c r="Y155" s="679"/>
      <c r="Z155" s="679"/>
      <c r="AA155" s="679"/>
      <c r="AB155" s="679"/>
      <c r="AC155" s="678"/>
      <c r="AD155" s="678"/>
      <c r="AE155" s="681"/>
      <c r="AF155" s="681"/>
      <c r="AG155" s="681"/>
      <c r="AH155" s="681"/>
      <c r="AI155" s="681"/>
      <c r="AJ155" s="676"/>
      <c r="AK155" s="676"/>
      <c r="AL155" s="681"/>
    </row>
    <row r="156">
      <c r="A156" s="685" t="s">
        <v>1447</v>
      </c>
      <c r="B156" s="685" t="s">
        <v>1700</v>
      </c>
      <c r="C156" s="685" t="s">
        <v>1701</v>
      </c>
      <c r="D156" s="685" t="s">
        <v>723</v>
      </c>
      <c r="E156" s="686">
        <v>299.0</v>
      </c>
      <c r="F156" s="692" t="s">
        <v>1336</v>
      </c>
      <c r="G156" s="693"/>
      <c r="H156" s="688"/>
      <c r="I156" s="685" t="s">
        <v>1335</v>
      </c>
      <c r="J156" s="689">
        <v>7.0</v>
      </c>
      <c r="K156" s="689">
        <v>0.0</v>
      </c>
      <c r="L156" s="689">
        <v>0.0</v>
      </c>
      <c r="M156" s="689">
        <v>0.0</v>
      </c>
      <c r="N156" s="686">
        <v>167.66</v>
      </c>
      <c r="O156" s="686">
        <v>1173.62</v>
      </c>
      <c r="P156" s="686">
        <v>1173.62</v>
      </c>
      <c r="Q156" s="686">
        <v>0.0</v>
      </c>
      <c r="R156" s="686">
        <v>0.0</v>
      </c>
      <c r="S156" s="686">
        <v>0.0</v>
      </c>
      <c r="T156" s="686">
        <v>0.0</v>
      </c>
      <c r="U156" s="690">
        <v>0.0</v>
      </c>
      <c r="V156" s="678"/>
      <c r="W156" s="679"/>
      <c r="X156" s="679"/>
      <c r="Y156" s="679"/>
      <c r="Z156" s="679"/>
      <c r="AA156" s="679"/>
      <c r="AB156" s="679"/>
      <c r="AC156" s="678"/>
      <c r="AD156" s="678"/>
      <c r="AE156" s="679"/>
      <c r="AF156" s="679"/>
      <c r="AG156" s="679"/>
      <c r="AH156" s="679"/>
      <c r="AI156" s="679"/>
      <c r="AJ156" s="676"/>
      <c r="AK156" s="676"/>
      <c r="AL156" s="679"/>
    </row>
    <row r="157">
      <c r="A157" s="685" t="s">
        <v>1447</v>
      </c>
      <c r="B157" s="685" t="s">
        <v>1700</v>
      </c>
      <c r="C157" s="685" t="s">
        <v>1702</v>
      </c>
      <c r="D157" s="685" t="s">
        <v>723</v>
      </c>
      <c r="E157" s="686">
        <v>299.0</v>
      </c>
      <c r="F157" s="692" t="s">
        <v>1340</v>
      </c>
      <c r="G157" s="693"/>
      <c r="H157" s="688"/>
      <c r="I157" s="685" t="s">
        <v>1339</v>
      </c>
      <c r="J157" s="689">
        <v>17.0</v>
      </c>
      <c r="K157" s="689">
        <v>0.0</v>
      </c>
      <c r="L157" s="689">
        <v>0.0</v>
      </c>
      <c r="M157" s="689">
        <v>0.0</v>
      </c>
      <c r="N157" s="686">
        <v>167.66</v>
      </c>
      <c r="O157" s="686">
        <v>2850.22</v>
      </c>
      <c r="P157" s="686">
        <v>2850.22</v>
      </c>
      <c r="Q157" s="686">
        <v>0.0</v>
      </c>
      <c r="R157" s="686">
        <v>0.0</v>
      </c>
      <c r="S157" s="686">
        <v>0.0</v>
      </c>
      <c r="T157" s="689">
        <v>0.0</v>
      </c>
      <c r="U157" s="690">
        <v>0.0</v>
      </c>
      <c r="V157" s="678"/>
      <c r="W157" s="679"/>
      <c r="X157" s="679"/>
      <c r="Y157" s="679"/>
      <c r="Z157" s="679"/>
      <c r="AA157" s="679"/>
      <c r="AB157" s="679"/>
      <c r="AC157" s="678"/>
      <c r="AD157" s="678"/>
      <c r="AE157" s="681"/>
      <c r="AF157" s="681"/>
      <c r="AG157" s="681"/>
      <c r="AH157" s="681"/>
      <c r="AI157" s="681"/>
      <c r="AJ157" s="676"/>
      <c r="AK157" s="676"/>
      <c r="AL157" s="681"/>
    </row>
    <row r="158">
      <c r="A158" s="685" t="s">
        <v>1447</v>
      </c>
      <c r="B158" s="685" t="s">
        <v>1700</v>
      </c>
      <c r="C158" s="685" t="s">
        <v>1703</v>
      </c>
      <c r="D158" s="685" t="s">
        <v>1594</v>
      </c>
      <c r="E158" s="686">
        <v>249.0</v>
      </c>
      <c r="F158" s="692" t="s">
        <v>616</v>
      </c>
      <c r="G158" s="693"/>
      <c r="H158" s="688"/>
      <c r="I158" s="685" t="s">
        <v>1343</v>
      </c>
      <c r="J158" s="689">
        <v>4.0</v>
      </c>
      <c r="K158" s="689">
        <v>0.0</v>
      </c>
      <c r="L158" s="689">
        <v>0.0</v>
      </c>
      <c r="M158" s="689">
        <v>0.0</v>
      </c>
      <c r="N158" s="686">
        <v>139.63</v>
      </c>
      <c r="O158" s="686">
        <v>558.52</v>
      </c>
      <c r="P158" s="686">
        <v>0.0</v>
      </c>
      <c r="Q158" s="686">
        <v>558.52</v>
      </c>
      <c r="R158" s="686">
        <v>0.0</v>
      </c>
      <c r="S158" s="686">
        <v>0.0</v>
      </c>
      <c r="T158" s="689">
        <v>0.0</v>
      </c>
      <c r="U158" s="690">
        <v>0.0</v>
      </c>
      <c r="V158" s="678"/>
      <c r="W158" s="679"/>
      <c r="X158" s="679"/>
      <c r="Y158" s="679"/>
      <c r="Z158" s="679"/>
      <c r="AA158" s="679"/>
      <c r="AB158" s="679"/>
      <c r="AC158" s="678"/>
      <c r="AD158" s="678"/>
      <c r="AE158" s="680"/>
      <c r="AF158" s="680"/>
      <c r="AG158" s="680"/>
      <c r="AH158" s="680"/>
      <c r="AI158" s="680"/>
      <c r="AJ158" s="676"/>
      <c r="AK158" s="676"/>
      <c r="AL158" s="679"/>
    </row>
    <row r="159">
      <c r="A159" s="685" t="s">
        <v>1447</v>
      </c>
      <c r="B159" s="685" t="s">
        <v>1700</v>
      </c>
      <c r="C159" s="685" t="s">
        <v>1704</v>
      </c>
      <c r="D159" s="685" t="s">
        <v>1594</v>
      </c>
      <c r="E159" s="686">
        <v>249.0</v>
      </c>
      <c r="F159" s="692" t="s">
        <v>1347</v>
      </c>
      <c r="G159" s="693"/>
      <c r="H159" s="688"/>
      <c r="I159" s="685" t="s">
        <v>1346</v>
      </c>
      <c r="J159" s="689">
        <v>12.0</v>
      </c>
      <c r="K159" s="689">
        <v>0.0</v>
      </c>
      <c r="L159" s="689">
        <v>0.0</v>
      </c>
      <c r="M159" s="689">
        <v>0.0</v>
      </c>
      <c r="N159" s="686">
        <v>139.63</v>
      </c>
      <c r="O159" s="686">
        <v>1675.56</v>
      </c>
      <c r="P159" s="686">
        <v>0.0</v>
      </c>
      <c r="Q159" s="686">
        <v>1675.56</v>
      </c>
      <c r="R159" s="686">
        <v>0.0</v>
      </c>
      <c r="S159" s="686">
        <v>0.0</v>
      </c>
      <c r="T159" s="686">
        <v>0.0</v>
      </c>
      <c r="U159" s="690">
        <v>0.0</v>
      </c>
      <c r="V159" s="678"/>
      <c r="W159" s="679"/>
      <c r="X159" s="679"/>
      <c r="Y159" s="679"/>
      <c r="Z159" s="679"/>
      <c r="AA159" s="679"/>
      <c r="AB159" s="679"/>
      <c r="AC159" s="678"/>
      <c r="AD159" s="678"/>
      <c r="AE159" s="681"/>
      <c r="AF159" s="681"/>
      <c r="AG159" s="681"/>
      <c r="AH159" s="681"/>
      <c r="AI159" s="681"/>
      <c r="AJ159" s="676"/>
      <c r="AK159" s="676"/>
      <c r="AL159" s="681"/>
    </row>
    <row r="160">
      <c r="A160" s="685" t="s">
        <v>1447</v>
      </c>
      <c r="B160" s="685" t="s">
        <v>1700</v>
      </c>
      <c r="C160" s="685" t="s">
        <v>1476</v>
      </c>
      <c r="D160" s="685" t="s">
        <v>723</v>
      </c>
      <c r="E160" s="686">
        <v>299.0</v>
      </c>
      <c r="F160" s="692" t="s">
        <v>1350</v>
      </c>
      <c r="G160" s="693"/>
      <c r="H160" s="688"/>
      <c r="I160" s="685" t="s">
        <v>1349</v>
      </c>
      <c r="J160" s="689">
        <v>35.0</v>
      </c>
      <c r="K160" s="689">
        <v>0.0</v>
      </c>
      <c r="L160" s="689">
        <v>0.0</v>
      </c>
      <c r="M160" s="689">
        <v>0.0</v>
      </c>
      <c r="N160" s="686">
        <v>153.69</v>
      </c>
      <c r="O160" s="686">
        <v>5379.15</v>
      </c>
      <c r="P160" s="686">
        <v>5379.15</v>
      </c>
      <c r="Q160" s="686">
        <v>0.0</v>
      </c>
      <c r="R160" s="686">
        <v>0.0</v>
      </c>
      <c r="S160" s="686">
        <v>0.0</v>
      </c>
      <c r="T160" s="686">
        <v>0.0</v>
      </c>
      <c r="U160" s="690">
        <v>0.0</v>
      </c>
      <c r="V160" s="694"/>
      <c r="W160" s="679"/>
      <c r="X160" s="679"/>
      <c r="Y160" s="679"/>
      <c r="Z160" s="679"/>
      <c r="AA160" s="679"/>
      <c r="AB160" s="679"/>
      <c r="AC160" s="678"/>
      <c r="AD160" s="678"/>
      <c r="AE160" s="681"/>
      <c r="AF160" s="681"/>
      <c r="AG160" s="681"/>
      <c r="AH160" s="681"/>
      <c r="AI160" s="681"/>
      <c r="AJ160" s="676"/>
      <c r="AK160" s="676"/>
      <c r="AL160" s="681"/>
    </row>
    <row r="161">
      <c r="A161" s="685" t="s">
        <v>1447</v>
      </c>
      <c r="B161" s="685" t="s">
        <v>1700</v>
      </c>
      <c r="C161" s="685" t="s">
        <v>1476</v>
      </c>
      <c r="D161" s="685" t="s">
        <v>723</v>
      </c>
      <c r="E161" s="686">
        <v>299.0</v>
      </c>
      <c r="F161" s="692" t="s">
        <v>1353</v>
      </c>
      <c r="G161" s="693"/>
      <c r="H161" s="688"/>
      <c r="I161" s="685" t="s">
        <v>1352</v>
      </c>
      <c r="J161" s="689">
        <v>10.0</v>
      </c>
      <c r="K161" s="689">
        <v>0.0</v>
      </c>
      <c r="L161" s="689">
        <v>0.0</v>
      </c>
      <c r="M161" s="689">
        <v>0.0</v>
      </c>
      <c r="N161" s="686">
        <v>153.69</v>
      </c>
      <c r="O161" s="686">
        <v>1536.9</v>
      </c>
      <c r="P161" s="686">
        <v>1536.9</v>
      </c>
      <c r="Q161" s="686">
        <v>0.0</v>
      </c>
      <c r="R161" s="686">
        <v>0.0</v>
      </c>
      <c r="S161" s="686">
        <v>0.0</v>
      </c>
      <c r="T161" s="686">
        <v>0.0</v>
      </c>
      <c r="U161" s="690">
        <v>0.0</v>
      </c>
      <c r="V161" s="694"/>
      <c r="W161" s="679"/>
      <c r="X161" s="679"/>
      <c r="Y161" s="679"/>
      <c r="Z161" s="679"/>
      <c r="AA161" s="679"/>
      <c r="AB161" s="679"/>
      <c r="AC161" s="678"/>
      <c r="AD161" s="678"/>
      <c r="AE161" s="681"/>
      <c r="AF161" s="681"/>
      <c r="AG161" s="681"/>
      <c r="AH161" s="681"/>
      <c r="AI161" s="681"/>
      <c r="AJ161" s="676"/>
      <c r="AK161" s="676"/>
      <c r="AL161" s="680"/>
    </row>
    <row r="162">
      <c r="A162" s="685" t="s">
        <v>1447</v>
      </c>
      <c r="B162" s="685" t="s">
        <v>1700</v>
      </c>
      <c r="C162" s="685" t="s">
        <v>1705</v>
      </c>
      <c r="D162" s="685" t="s">
        <v>1594</v>
      </c>
      <c r="E162" s="686">
        <v>249.0</v>
      </c>
      <c r="F162" s="692" t="s">
        <v>620</v>
      </c>
      <c r="G162" s="693"/>
      <c r="H162" s="688"/>
      <c r="I162" s="685" t="s">
        <v>1356</v>
      </c>
      <c r="J162" s="689">
        <v>9.0</v>
      </c>
      <c r="K162" s="689">
        <v>0.0</v>
      </c>
      <c r="L162" s="689">
        <v>0.0</v>
      </c>
      <c r="M162" s="689">
        <v>0.0</v>
      </c>
      <c r="N162" s="686">
        <v>139.63</v>
      </c>
      <c r="O162" s="686">
        <v>1256.67</v>
      </c>
      <c r="P162" s="686">
        <v>0.0</v>
      </c>
      <c r="Q162" s="686">
        <v>1256.67</v>
      </c>
      <c r="R162" s="686">
        <v>0.0</v>
      </c>
      <c r="S162" s="686">
        <v>0.0</v>
      </c>
      <c r="T162" s="686">
        <v>0.0</v>
      </c>
      <c r="U162" s="690">
        <v>0.0</v>
      </c>
      <c r="V162" s="694"/>
      <c r="W162" s="679"/>
      <c r="X162" s="679"/>
      <c r="Y162" s="679"/>
      <c r="Z162" s="679"/>
      <c r="AA162" s="679"/>
      <c r="AB162" s="679"/>
      <c r="AC162" s="678"/>
      <c r="AD162" s="678"/>
      <c r="AE162" s="681"/>
      <c r="AF162" s="681"/>
      <c r="AG162" s="681"/>
      <c r="AH162" s="681"/>
      <c r="AI162" s="681"/>
      <c r="AJ162" s="676"/>
      <c r="AK162" s="676"/>
      <c r="AL162" s="680"/>
    </row>
    <row r="163">
      <c r="A163" s="685" t="s">
        <v>1447</v>
      </c>
      <c r="B163" s="685" t="s">
        <v>1700</v>
      </c>
      <c r="C163" s="685" t="s">
        <v>1489</v>
      </c>
      <c r="D163" s="685" t="s">
        <v>1594</v>
      </c>
      <c r="E163" s="686">
        <v>249.0</v>
      </c>
      <c r="F163" s="692" t="s">
        <v>1360</v>
      </c>
      <c r="G163" s="693"/>
      <c r="H163" s="688"/>
      <c r="I163" s="685" t="s">
        <v>1359</v>
      </c>
      <c r="J163" s="689">
        <v>36.0</v>
      </c>
      <c r="K163" s="689">
        <v>0.0</v>
      </c>
      <c r="L163" s="689">
        <v>0.0</v>
      </c>
      <c r="M163" s="689">
        <v>0.0</v>
      </c>
      <c r="N163" s="686">
        <v>139.63</v>
      </c>
      <c r="O163" s="686">
        <v>5026.68</v>
      </c>
      <c r="P163" s="686">
        <v>0.0</v>
      </c>
      <c r="Q163" s="686">
        <v>5026.68</v>
      </c>
      <c r="R163" s="686">
        <v>0.0</v>
      </c>
      <c r="S163" s="686">
        <v>0.0</v>
      </c>
      <c r="T163" s="686">
        <v>0.0</v>
      </c>
      <c r="U163" s="690">
        <v>0.0</v>
      </c>
      <c r="V163" s="694"/>
      <c r="W163" s="679"/>
      <c r="X163" s="679"/>
      <c r="Y163" s="679"/>
      <c r="Z163" s="679"/>
      <c r="AA163" s="679"/>
      <c r="AB163" s="679"/>
      <c r="AC163" s="678"/>
      <c r="AD163" s="678"/>
      <c r="AE163" s="681"/>
      <c r="AF163" s="681"/>
      <c r="AG163" s="681"/>
      <c r="AH163" s="681"/>
      <c r="AI163" s="681"/>
      <c r="AJ163" s="676"/>
      <c r="AK163" s="676"/>
      <c r="AL163" s="681"/>
    </row>
    <row r="164">
      <c r="A164" s="685" t="s">
        <v>1447</v>
      </c>
      <c r="B164" s="685" t="s">
        <v>1700</v>
      </c>
      <c r="C164" s="685" t="s">
        <v>1513</v>
      </c>
      <c r="D164" s="685" t="s">
        <v>1391</v>
      </c>
      <c r="E164" s="686">
        <v>590.0</v>
      </c>
      <c r="F164" s="692" t="s">
        <v>1362</v>
      </c>
      <c r="G164" s="693"/>
      <c r="H164" s="688"/>
      <c r="I164" s="685" t="s">
        <v>1361</v>
      </c>
      <c r="J164" s="689">
        <v>1.0</v>
      </c>
      <c r="K164" s="689">
        <v>0.0</v>
      </c>
      <c r="L164" s="689">
        <v>0.0</v>
      </c>
      <c r="M164" s="689">
        <v>0.0</v>
      </c>
      <c r="N164" s="686">
        <v>386.0</v>
      </c>
      <c r="O164" s="686">
        <v>386.0</v>
      </c>
      <c r="P164" s="686">
        <v>0.0</v>
      </c>
      <c r="Q164" s="686">
        <v>386.0</v>
      </c>
      <c r="R164" s="686">
        <v>0.0</v>
      </c>
      <c r="S164" s="686">
        <v>0.0</v>
      </c>
      <c r="T164" s="686">
        <v>0.0</v>
      </c>
      <c r="U164" s="690">
        <v>0.0</v>
      </c>
      <c r="V164" s="678"/>
      <c r="W164" s="679"/>
      <c r="X164" s="679"/>
      <c r="Y164" s="679"/>
      <c r="Z164" s="679"/>
      <c r="AA164" s="679"/>
      <c r="AB164" s="679"/>
      <c r="AC164" s="678"/>
      <c r="AD164" s="678"/>
      <c r="AE164" s="679"/>
      <c r="AF164" s="679"/>
      <c r="AG164" s="679"/>
      <c r="AH164" s="679"/>
      <c r="AI164" s="679"/>
      <c r="AJ164" s="676"/>
      <c r="AK164" s="676"/>
      <c r="AL164" s="679"/>
    </row>
    <row r="165">
      <c r="A165" s="685" t="s">
        <v>1447</v>
      </c>
      <c r="B165" s="685" t="s">
        <v>1700</v>
      </c>
      <c r="C165" s="685" t="s">
        <v>1706</v>
      </c>
      <c r="D165" s="685" t="s">
        <v>1594</v>
      </c>
      <c r="E165" s="686">
        <v>249.0</v>
      </c>
      <c r="F165" s="692" t="s">
        <v>1364</v>
      </c>
      <c r="G165" s="693"/>
      <c r="H165" s="688"/>
      <c r="I165" s="685" t="s">
        <v>1363</v>
      </c>
      <c r="J165" s="689">
        <v>19.0</v>
      </c>
      <c r="K165" s="689">
        <v>0.0</v>
      </c>
      <c r="L165" s="689">
        <v>0.0</v>
      </c>
      <c r="M165" s="689">
        <v>0.0</v>
      </c>
      <c r="N165" s="686">
        <v>139.63</v>
      </c>
      <c r="O165" s="686">
        <v>2652.97</v>
      </c>
      <c r="P165" s="686">
        <v>0.0</v>
      </c>
      <c r="Q165" s="686">
        <v>2652.97</v>
      </c>
      <c r="R165" s="686">
        <v>0.0</v>
      </c>
      <c r="S165" s="686">
        <v>0.0</v>
      </c>
      <c r="T165" s="686">
        <v>0.0</v>
      </c>
      <c r="U165" s="690">
        <v>0.0</v>
      </c>
      <c r="V165" s="678"/>
      <c r="W165" s="679"/>
      <c r="X165" s="679"/>
      <c r="Y165" s="679"/>
      <c r="Z165" s="679"/>
      <c r="AA165" s="679"/>
      <c r="AB165" s="679"/>
      <c r="AC165" s="678"/>
      <c r="AD165" s="678"/>
      <c r="AE165" s="681"/>
      <c r="AF165" s="681"/>
      <c r="AG165" s="681"/>
      <c r="AH165" s="681"/>
      <c r="AI165" s="681"/>
      <c r="AJ165" s="676"/>
      <c r="AK165" s="676"/>
      <c r="AL165" s="681"/>
    </row>
    <row r="166">
      <c r="A166" s="685" t="s">
        <v>1447</v>
      </c>
      <c r="B166" s="685" t="s">
        <v>1700</v>
      </c>
      <c r="C166" s="685" t="s">
        <v>1706</v>
      </c>
      <c r="D166" s="685" t="s">
        <v>723</v>
      </c>
      <c r="E166" s="686">
        <v>299.0</v>
      </c>
      <c r="F166" s="692" t="s">
        <v>1387</v>
      </c>
      <c r="G166" s="693"/>
      <c r="H166" s="688"/>
      <c r="I166" s="685" t="s">
        <v>1386</v>
      </c>
      <c r="J166" s="689">
        <v>11.0</v>
      </c>
      <c r="K166" s="689">
        <v>0.0</v>
      </c>
      <c r="L166" s="689">
        <v>0.0</v>
      </c>
      <c r="M166" s="689">
        <v>0.0</v>
      </c>
      <c r="N166" s="686">
        <v>167.66</v>
      </c>
      <c r="O166" s="686">
        <v>1844.26</v>
      </c>
      <c r="P166" s="686">
        <v>1844.26</v>
      </c>
      <c r="Q166" s="686">
        <v>0.0</v>
      </c>
      <c r="R166" s="686">
        <v>0.0</v>
      </c>
      <c r="S166" s="686">
        <v>0.0</v>
      </c>
      <c r="T166" s="686">
        <v>0.0</v>
      </c>
      <c r="U166" s="690">
        <v>0.0</v>
      </c>
      <c r="V166" s="678"/>
      <c r="W166" s="679"/>
      <c r="X166" s="679"/>
      <c r="Y166" s="679"/>
      <c r="Z166" s="679"/>
      <c r="AA166" s="679"/>
      <c r="AB166" s="679"/>
      <c r="AC166" s="678"/>
      <c r="AD166" s="678"/>
      <c r="AE166" s="681"/>
      <c r="AF166" s="681"/>
      <c r="AG166" s="681"/>
      <c r="AH166" s="681"/>
      <c r="AI166" s="681"/>
      <c r="AJ166" s="676"/>
      <c r="AK166" s="676"/>
      <c r="AL166" s="681"/>
    </row>
    <row r="167">
      <c r="A167" s="685" t="s">
        <v>1447</v>
      </c>
      <c r="B167" s="685" t="s">
        <v>1700</v>
      </c>
      <c r="C167" s="685" t="s">
        <v>1557</v>
      </c>
      <c r="D167" s="685" t="s">
        <v>1391</v>
      </c>
      <c r="E167" s="686">
        <v>590.0</v>
      </c>
      <c r="F167" s="692" t="s">
        <v>1441</v>
      </c>
      <c r="G167" s="693"/>
      <c r="H167" s="688"/>
      <c r="I167" s="685" t="s">
        <v>1440</v>
      </c>
      <c r="J167" s="689">
        <v>2.0</v>
      </c>
      <c r="K167" s="689">
        <v>0.0</v>
      </c>
      <c r="L167" s="689">
        <v>0.0</v>
      </c>
      <c r="M167" s="689">
        <v>0.0</v>
      </c>
      <c r="N167" s="686">
        <v>386.0</v>
      </c>
      <c r="O167" s="686">
        <v>772.0</v>
      </c>
      <c r="P167" s="686">
        <v>772.0</v>
      </c>
      <c r="Q167" s="686">
        <v>0.0</v>
      </c>
      <c r="R167" s="686">
        <v>0.0</v>
      </c>
      <c r="S167" s="686">
        <v>0.0</v>
      </c>
      <c r="T167" s="686">
        <v>0.0</v>
      </c>
      <c r="U167" s="690">
        <v>0.0</v>
      </c>
      <c r="V167" s="678"/>
      <c r="W167" s="679"/>
      <c r="X167" s="679"/>
      <c r="Y167" s="679"/>
      <c r="Z167" s="679"/>
      <c r="AA167" s="679"/>
      <c r="AB167" s="679"/>
      <c r="AC167" s="678"/>
      <c r="AD167" s="678"/>
      <c r="AE167" s="679"/>
      <c r="AF167" s="679"/>
      <c r="AG167" s="679"/>
      <c r="AH167" s="679"/>
      <c r="AI167" s="679"/>
      <c r="AJ167" s="676"/>
      <c r="AK167" s="676"/>
      <c r="AL167" s="679"/>
    </row>
    <row r="168">
      <c r="A168" s="685" t="s">
        <v>1447</v>
      </c>
      <c r="B168" s="685" t="s">
        <v>1700</v>
      </c>
      <c r="C168" s="685" t="s">
        <v>1707</v>
      </c>
      <c r="D168" s="685" t="s">
        <v>723</v>
      </c>
      <c r="E168" s="686">
        <v>290.0</v>
      </c>
      <c r="F168" s="692" t="s">
        <v>888</v>
      </c>
      <c r="G168" s="693"/>
      <c r="H168" s="688"/>
      <c r="I168" s="685" t="s">
        <v>889</v>
      </c>
      <c r="J168" s="689">
        <v>32.0</v>
      </c>
      <c r="K168" s="689">
        <v>0.0</v>
      </c>
      <c r="L168" s="689">
        <v>0.0</v>
      </c>
      <c r="M168" s="689">
        <v>0.0</v>
      </c>
      <c r="N168" s="686">
        <v>183.79</v>
      </c>
      <c r="O168" s="686">
        <v>5881.32</v>
      </c>
      <c r="P168" s="686">
        <v>0.0</v>
      </c>
      <c r="Q168" s="686">
        <v>0.0</v>
      </c>
      <c r="R168" s="686">
        <v>0.0</v>
      </c>
      <c r="S168" s="686">
        <v>0.0</v>
      </c>
      <c r="T168" s="686">
        <v>0.0</v>
      </c>
      <c r="U168" s="690">
        <v>5881.32</v>
      </c>
      <c r="V168" s="678"/>
      <c r="W168" s="679"/>
      <c r="X168" s="679"/>
      <c r="Y168" s="679"/>
      <c r="Z168" s="679"/>
      <c r="AA168" s="679"/>
      <c r="AB168" s="679"/>
      <c r="AC168" s="678"/>
      <c r="AD168" s="678"/>
      <c r="AE168" s="681"/>
      <c r="AF168" s="681"/>
      <c r="AG168" s="681"/>
      <c r="AH168" s="681"/>
      <c r="AI168" s="681"/>
      <c r="AJ168" s="676"/>
      <c r="AK168" s="676"/>
      <c r="AL168" s="681"/>
    </row>
    <row r="169">
      <c r="A169" s="685" t="s">
        <v>1447</v>
      </c>
      <c r="B169" s="685" t="s">
        <v>1700</v>
      </c>
      <c r="C169" s="685" t="s">
        <v>1707</v>
      </c>
      <c r="D169" s="685" t="s">
        <v>723</v>
      </c>
      <c r="E169" s="686">
        <v>290.0</v>
      </c>
      <c r="F169" s="692" t="s">
        <v>884</v>
      </c>
      <c r="G169" s="693"/>
      <c r="H169" s="688"/>
      <c r="I169" s="685" t="s">
        <v>886</v>
      </c>
      <c r="J169" s="689">
        <v>32.0</v>
      </c>
      <c r="K169" s="689">
        <v>0.0</v>
      </c>
      <c r="L169" s="689">
        <v>0.0</v>
      </c>
      <c r="M169" s="689">
        <v>0.0</v>
      </c>
      <c r="N169" s="686">
        <v>189.72</v>
      </c>
      <c r="O169" s="686">
        <v>6071.04</v>
      </c>
      <c r="P169" s="686">
        <v>0.0</v>
      </c>
      <c r="Q169" s="686">
        <v>0.0</v>
      </c>
      <c r="R169" s="686">
        <v>0.0</v>
      </c>
      <c r="S169" s="686">
        <v>0.0</v>
      </c>
      <c r="T169" s="686">
        <v>0.0</v>
      </c>
      <c r="U169" s="690">
        <v>6071.04</v>
      </c>
      <c r="V169" s="678"/>
      <c r="W169" s="679"/>
      <c r="X169" s="679"/>
      <c r="Y169" s="679"/>
      <c r="Z169" s="679"/>
      <c r="AA169" s="679"/>
      <c r="AB169" s="679"/>
      <c r="AC169" s="678"/>
      <c r="AD169" s="678"/>
      <c r="AE169" s="681"/>
      <c r="AF169" s="681"/>
      <c r="AG169" s="681"/>
      <c r="AH169" s="681"/>
      <c r="AI169" s="681"/>
      <c r="AJ169" s="676"/>
      <c r="AK169" s="676"/>
      <c r="AL169" s="681"/>
    </row>
    <row r="170">
      <c r="A170" s="685" t="s">
        <v>1447</v>
      </c>
      <c r="B170" s="685" t="s">
        <v>1700</v>
      </c>
      <c r="C170" s="685" t="s">
        <v>1708</v>
      </c>
      <c r="D170" s="685" t="s">
        <v>1594</v>
      </c>
      <c r="E170" s="686">
        <v>490.0</v>
      </c>
      <c r="F170" s="692" t="s">
        <v>546</v>
      </c>
      <c r="G170" s="693"/>
      <c r="H170" s="688"/>
      <c r="I170" s="685" t="s">
        <v>1598</v>
      </c>
      <c r="J170" s="689">
        <v>1.0</v>
      </c>
      <c r="K170" s="689">
        <v>0.0</v>
      </c>
      <c r="L170" s="689">
        <v>0.0</v>
      </c>
      <c r="M170" s="689">
        <v>0.0</v>
      </c>
      <c r="N170" s="686">
        <v>293.08</v>
      </c>
      <c r="O170" s="686">
        <v>293.08</v>
      </c>
      <c r="P170" s="686">
        <v>0.0</v>
      </c>
      <c r="Q170" s="686">
        <v>0.0</v>
      </c>
      <c r="R170" s="686">
        <v>0.0</v>
      </c>
      <c r="S170" s="686">
        <v>0.0</v>
      </c>
      <c r="T170" s="686">
        <v>0.0</v>
      </c>
      <c r="U170" s="690">
        <v>293.08</v>
      </c>
      <c r="V170" s="678"/>
      <c r="W170" s="679"/>
      <c r="X170" s="679"/>
      <c r="Y170" s="679"/>
      <c r="Z170" s="679"/>
      <c r="AA170" s="679"/>
      <c r="AB170" s="679"/>
      <c r="AC170" s="678"/>
      <c r="AD170" s="678"/>
      <c r="AE170" s="679"/>
      <c r="AF170" s="679"/>
      <c r="AG170" s="679"/>
      <c r="AH170" s="679"/>
      <c r="AI170" s="679"/>
      <c r="AJ170" s="676"/>
      <c r="AK170" s="676"/>
      <c r="AL170" s="679"/>
    </row>
    <row r="171">
      <c r="A171" s="685" t="s">
        <v>1447</v>
      </c>
      <c r="B171" s="685" t="s">
        <v>1700</v>
      </c>
      <c r="C171" s="685" t="s">
        <v>1708</v>
      </c>
      <c r="D171" s="685" t="s">
        <v>1594</v>
      </c>
      <c r="E171" s="686">
        <v>490.0</v>
      </c>
      <c r="F171" s="692" t="s">
        <v>552</v>
      </c>
      <c r="G171" s="693"/>
      <c r="H171" s="688"/>
      <c r="I171" s="685" t="s">
        <v>1649</v>
      </c>
      <c r="J171" s="689">
        <v>10.0</v>
      </c>
      <c r="K171" s="689">
        <v>0.0</v>
      </c>
      <c r="L171" s="689">
        <v>0.0</v>
      </c>
      <c r="M171" s="689">
        <v>0.0</v>
      </c>
      <c r="N171" s="686">
        <v>293.08</v>
      </c>
      <c r="O171" s="686">
        <v>2930.8</v>
      </c>
      <c r="P171" s="686">
        <v>0.0</v>
      </c>
      <c r="Q171" s="686">
        <v>2930.8</v>
      </c>
      <c r="R171" s="686">
        <v>0.0</v>
      </c>
      <c r="S171" s="686">
        <v>0.0</v>
      </c>
      <c r="T171" s="686">
        <v>0.0</v>
      </c>
      <c r="U171" s="690">
        <v>0.0</v>
      </c>
      <c r="V171" s="678"/>
      <c r="W171" s="679"/>
      <c r="X171" s="679"/>
      <c r="Y171" s="679"/>
      <c r="Z171" s="679"/>
      <c r="AA171" s="679"/>
      <c r="AB171" s="679"/>
      <c r="AC171" s="678"/>
      <c r="AD171" s="678"/>
      <c r="AE171" s="679"/>
      <c r="AF171" s="679"/>
      <c r="AG171" s="679"/>
      <c r="AH171" s="679"/>
      <c r="AI171" s="679"/>
      <c r="AJ171" s="676"/>
      <c r="AK171" s="676"/>
      <c r="AL171" s="679"/>
    </row>
    <row r="172">
      <c r="A172" s="685" t="s">
        <v>1447</v>
      </c>
      <c r="B172" s="685" t="s">
        <v>1700</v>
      </c>
      <c r="C172" s="685" t="s">
        <v>1708</v>
      </c>
      <c r="D172" s="685" t="s">
        <v>1594</v>
      </c>
      <c r="E172" s="686">
        <v>690.0</v>
      </c>
      <c r="F172" s="692" t="s">
        <v>555</v>
      </c>
      <c r="G172" s="693"/>
      <c r="H172" s="688"/>
      <c r="I172" s="685" t="s">
        <v>1683</v>
      </c>
      <c r="J172" s="689">
        <v>3.0</v>
      </c>
      <c r="K172" s="689">
        <v>0.0</v>
      </c>
      <c r="L172" s="689">
        <v>0.0</v>
      </c>
      <c r="M172" s="689">
        <v>0.0</v>
      </c>
      <c r="N172" s="686">
        <v>412.71</v>
      </c>
      <c r="O172" s="686">
        <v>1238.13</v>
      </c>
      <c r="P172" s="686">
        <v>1238.13</v>
      </c>
      <c r="Q172" s="686">
        <v>0.0</v>
      </c>
      <c r="R172" s="686">
        <v>0.0</v>
      </c>
      <c r="S172" s="686">
        <v>0.0</v>
      </c>
      <c r="T172" s="686">
        <v>0.0</v>
      </c>
      <c r="U172" s="690">
        <v>0.0</v>
      </c>
      <c r="V172" s="678"/>
      <c r="W172" s="679"/>
      <c r="X172" s="679"/>
      <c r="Y172" s="679"/>
      <c r="Z172" s="679"/>
      <c r="AA172" s="679"/>
      <c r="AB172" s="679"/>
      <c r="AC172" s="678"/>
      <c r="AD172" s="678"/>
      <c r="AE172" s="679"/>
      <c r="AF172" s="679"/>
      <c r="AG172" s="679"/>
      <c r="AH172" s="679"/>
      <c r="AI172" s="679"/>
      <c r="AJ172" s="676"/>
      <c r="AK172" s="676"/>
      <c r="AL172" s="679"/>
    </row>
    <row r="173">
      <c r="A173" s="685" t="s">
        <v>1447</v>
      </c>
      <c r="B173" s="685" t="s">
        <v>1700</v>
      </c>
      <c r="C173" s="685" t="s">
        <v>1708</v>
      </c>
      <c r="D173" s="685" t="s">
        <v>723</v>
      </c>
      <c r="E173" s="686">
        <v>590.0</v>
      </c>
      <c r="F173" s="692" t="s">
        <v>1016</v>
      </c>
      <c r="G173" s="693"/>
      <c r="H173" s="688"/>
      <c r="I173" s="685" t="s">
        <v>1017</v>
      </c>
      <c r="J173" s="689">
        <v>4.0</v>
      </c>
      <c r="K173" s="689">
        <v>0.0</v>
      </c>
      <c r="L173" s="689">
        <v>0.0</v>
      </c>
      <c r="M173" s="689">
        <v>0.0</v>
      </c>
      <c r="N173" s="686">
        <v>248.13</v>
      </c>
      <c r="O173" s="686">
        <v>992.52</v>
      </c>
      <c r="P173" s="686">
        <v>992.52</v>
      </c>
      <c r="Q173" s="686">
        <v>0.0</v>
      </c>
      <c r="R173" s="686">
        <v>0.0</v>
      </c>
      <c r="S173" s="686">
        <v>0.0</v>
      </c>
      <c r="T173" s="686">
        <v>0.0</v>
      </c>
      <c r="U173" s="690">
        <v>0.0</v>
      </c>
      <c r="V173" s="678"/>
      <c r="W173" s="679"/>
      <c r="X173" s="679"/>
      <c r="Y173" s="679"/>
      <c r="Z173" s="679"/>
      <c r="AA173" s="679"/>
      <c r="AB173" s="679"/>
      <c r="AC173" s="678"/>
      <c r="AD173" s="678"/>
      <c r="AE173" s="681"/>
      <c r="AF173" s="681"/>
      <c r="AG173" s="681"/>
      <c r="AH173" s="681"/>
      <c r="AI173" s="681"/>
      <c r="AJ173" s="676"/>
      <c r="AK173" s="676"/>
      <c r="AL173" s="681"/>
    </row>
    <row r="174">
      <c r="A174" s="685" t="s">
        <v>1447</v>
      </c>
      <c r="B174" s="685" t="s">
        <v>1700</v>
      </c>
      <c r="C174" s="685" t="s">
        <v>1708</v>
      </c>
      <c r="D174" s="685" t="s">
        <v>1391</v>
      </c>
      <c r="E174" s="686">
        <v>590.0</v>
      </c>
      <c r="F174" s="692" t="s">
        <v>1709</v>
      </c>
      <c r="G174" s="693"/>
      <c r="H174" s="688"/>
      <c r="I174" s="685" t="s">
        <v>1710</v>
      </c>
      <c r="J174" s="689">
        <v>1.0</v>
      </c>
      <c r="K174" s="689">
        <v>0.0</v>
      </c>
      <c r="L174" s="689">
        <v>0.0</v>
      </c>
      <c r="M174" s="689">
        <v>0.0</v>
      </c>
      <c r="N174" s="686">
        <v>386.0</v>
      </c>
      <c r="O174" s="686">
        <v>386.0</v>
      </c>
      <c r="P174" s="686">
        <v>0.0</v>
      </c>
      <c r="Q174" s="686">
        <v>0.0</v>
      </c>
      <c r="R174" s="686">
        <v>0.0</v>
      </c>
      <c r="S174" s="686">
        <v>0.0</v>
      </c>
      <c r="T174" s="686">
        <v>0.0</v>
      </c>
      <c r="U174" s="690">
        <v>386.0</v>
      </c>
      <c r="V174" s="678"/>
      <c r="W174" s="679"/>
      <c r="X174" s="679"/>
      <c r="Y174" s="679"/>
      <c r="Z174" s="679"/>
      <c r="AA174" s="679"/>
      <c r="AB174" s="679"/>
      <c r="AC174" s="678"/>
      <c r="AD174" s="678"/>
      <c r="AE174" s="679"/>
      <c r="AF174" s="679"/>
      <c r="AG174" s="679"/>
      <c r="AH174" s="679"/>
      <c r="AI174" s="679"/>
      <c r="AJ174" s="676"/>
      <c r="AK174" s="676"/>
      <c r="AL174" s="679"/>
    </row>
    <row r="175">
      <c r="A175" s="685" t="s">
        <v>1447</v>
      </c>
      <c r="B175" s="685" t="s">
        <v>1700</v>
      </c>
      <c r="C175" s="685" t="s">
        <v>1593</v>
      </c>
      <c r="D175" s="685" t="s">
        <v>1594</v>
      </c>
      <c r="E175" s="686">
        <v>490.0</v>
      </c>
      <c r="F175" s="692" t="s">
        <v>1711</v>
      </c>
      <c r="G175" s="693"/>
      <c r="H175" s="688"/>
      <c r="I175" s="685" t="s">
        <v>1712</v>
      </c>
      <c r="J175" s="689">
        <v>2.0</v>
      </c>
      <c r="K175" s="689">
        <v>0.0</v>
      </c>
      <c r="L175" s="689">
        <v>0.0</v>
      </c>
      <c r="M175" s="689">
        <v>0.0</v>
      </c>
      <c r="N175" s="686">
        <v>293.08</v>
      </c>
      <c r="O175" s="686">
        <v>586.16</v>
      </c>
      <c r="P175" s="686">
        <v>0.0</v>
      </c>
      <c r="Q175" s="686">
        <v>0.0</v>
      </c>
      <c r="R175" s="686">
        <v>0.0</v>
      </c>
      <c r="S175" s="686">
        <v>0.0</v>
      </c>
      <c r="T175" s="686">
        <v>0.0</v>
      </c>
      <c r="U175" s="690">
        <v>586.16</v>
      </c>
      <c r="V175" s="694"/>
      <c r="W175" s="679"/>
      <c r="X175" s="679"/>
      <c r="Y175" s="679"/>
      <c r="Z175" s="679"/>
      <c r="AA175" s="679"/>
      <c r="AB175" s="679"/>
      <c r="AC175" s="678"/>
      <c r="AD175" s="678"/>
      <c r="AE175" s="679"/>
      <c r="AF175" s="679"/>
      <c r="AG175" s="679"/>
      <c r="AH175" s="679"/>
      <c r="AI175" s="679"/>
      <c r="AJ175" s="676"/>
      <c r="AK175" s="676"/>
      <c r="AL175" s="679"/>
    </row>
    <row r="176">
      <c r="A176" s="685" t="s">
        <v>1447</v>
      </c>
      <c r="B176" s="685" t="s">
        <v>1700</v>
      </c>
      <c r="C176" s="685" t="s">
        <v>1593</v>
      </c>
      <c r="D176" s="685" t="s">
        <v>1594</v>
      </c>
      <c r="E176" s="686">
        <v>490.0</v>
      </c>
      <c r="F176" s="692" t="s">
        <v>1713</v>
      </c>
      <c r="G176" s="693"/>
      <c r="H176" s="688"/>
      <c r="I176" s="685" t="s">
        <v>1714</v>
      </c>
      <c r="J176" s="689">
        <v>3.0</v>
      </c>
      <c r="K176" s="689">
        <v>0.0</v>
      </c>
      <c r="L176" s="689">
        <v>0.0</v>
      </c>
      <c r="M176" s="689">
        <v>0.0</v>
      </c>
      <c r="N176" s="686">
        <v>293.08</v>
      </c>
      <c r="O176" s="686">
        <v>879.24</v>
      </c>
      <c r="P176" s="686">
        <v>586.16</v>
      </c>
      <c r="Q176" s="686">
        <v>0.0</v>
      </c>
      <c r="R176" s="686">
        <v>0.0</v>
      </c>
      <c r="S176" s="686">
        <v>0.0</v>
      </c>
      <c r="T176" s="686">
        <v>0.0</v>
      </c>
      <c r="U176" s="690">
        <v>293.08</v>
      </c>
      <c r="V176" s="678"/>
      <c r="W176" s="679"/>
      <c r="X176" s="679"/>
      <c r="Y176" s="679"/>
      <c r="Z176" s="679"/>
      <c r="AA176" s="679"/>
      <c r="AB176" s="679"/>
      <c r="AC176" s="678"/>
      <c r="AD176" s="678"/>
      <c r="AE176" s="679"/>
      <c r="AF176" s="679"/>
      <c r="AG176" s="679"/>
      <c r="AH176" s="679"/>
      <c r="AI176" s="679"/>
      <c r="AJ176" s="676"/>
      <c r="AK176" s="676"/>
      <c r="AL176" s="679"/>
    </row>
    <row r="177">
      <c r="A177" s="685" t="s">
        <v>1447</v>
      </c>
      <c r="B177" s="685" t="s">
        <v>1700</v>
      </c>
      <c r="C177" s="685" t="s">
        <v>1593</v>
      </c>
      <c r="D177" s="685" t="s">
        <v>1594</v>
      </c>
      <c r="E177" s="686">
        <v>490.0</v>
      </c>
      <c r="F177" s="692" t="s">
        <v>1715</v>
      </c>
      <c r="G177" s="693"/>
      <c r="H177" s="688"/>
      <c r="I177" s="685" t="s">
        <v>1716</v>
      </c>
      <c r="J177" s="689">
        <v>15.0</v>
      </c>
      <c r="K177" s="689">
        <v>0.0</v>
      </c>
      <c r="L177" s="689">
        <v>0.0</v>
      </c>
      <c r="M177" s="689">
        <v>0.0</v>
      </c>
      <c r="N177" s="686">
        <v>293.08</v>
      </c>
      <c r="O177" s="686">
        <v>4396.2</v>
      </c>
      <c r="P177" s="686">
        <v>0.0</v>
      </c>
      <c r="Q177" s="686">
        <v>0.0</v>
      </c>
      <c r="R177" s="686">
        <v>0.0</v>
      </c>
      <c r="S177" s="686">
        <v>1465.4</v>
      </c>
      <c r="T177" s="686">
        <v>0.0</v>
      </c>
      <c r="U177" s="690">
        <v>2930.8</v>
      </c>
      <c r="V177" s="678"/>
      <c r="W177" s="679"/>
      <c r="X177" s="679"/>
      <c r="Y177" s="679"/>
      <c r="Z177" s="679"/>
      <c r="AA177" s="679"/>
      <c r="AB177" s="679"/>
      <c r="AC177" s="678"/>
      <c r="AD177" s="678"/>
      <c r="AE177" s="679"/>
      <c r="AF177" s="679"/>
      <c r="AG177" s="679"/>
      <c r="AH177" s="679"/>
      <c r="AI177" s="679"/>
      <c r="AJ177" s="676"/>
      <c r="AK177" s="676"/>
      <c r="AL177" s="679"/>
    </row>
    <row r="178">
      <c r="A178" s="685" t="s">
        <v>1447</v>
      </c>
      <c r="B178" s="685" t="s">
        <v>1700</v>
      </c>
      <c r="C178" s="685" t="s">
        <v>1593</v>
      </c>
      <c r="D178" s="685" t="s">
        <v>1594</v>
      </c>
      <c r="E178" s="686">
        <v>690.0</v>
      </c>
      <c r="F178" s="692" t="s">
        <v>1717</v>
      </c>
      <c r="G178" s="693"/>
      <c r="H178" s="688"/>
      <c r="I178" s="685" t="s">
        <v>1718</v>
      </c>
      <c r="J178" s="689">
        <v>5.0</v>
      </c>
      <c r="K178" s="689">
        <v>0.0</v>
      </c>
      <c r="L178" s="689">
        <v>0.0</v>
      </c>
      <c r="M178" s="689">
        <v>0.0</v>
      </c>
      <c r="N178" s="686">
        <v>412.71</v>
      </c>
      <c r="O178" s="686">
        <v>2063.55</v>
      </c>
      <c r="P178" s="686">
        <v>0.0</v>
      </c>
      <c r="Q178" s="686">
        <v>0.0</v>
      </c>
      <c r="R178" s="686">
        <v>0.0</v>
      </c>
      <c r="S178" s="686">
        <v>0.0</v>
      </c>
      <c r="T178" s="686">
        <v>0.0</v>
      </c>
      <c r="U178" s="690">
        <v>2063.55</v>
      </c>
      <c r="V178" s="678"/>
      <c r="W178" s="679"/>
      <c r="X178" s="679"/>
      <c r="Y178" s="679"/>
      <c r="Z178" s="679"/>
      <c r="AA178" s="679"/>
      <c r="AB178" s="679"/>
      <c r="AC178" s="678"/>
      <c r="AD178" s="678"/>
      <c r="AE178" s="679"/>
      <c r="AF178" s="679"/>
      <c r="AG178" s="679"/>
      <c r="AH178" s="679"/>
      <c r="AI178" s="679"/>
      <c r="AJ178" s="676"/>
      <c r="AK178" s="676"/>
      <c r="AL178" s="679"/>
    </row>
    <row r="179">
      <c r="A179" s="685" t="s">
        <v>1447</v>
      </c>
      <c r="B179" s="685" t="s">
        <v>1700</v>
      </c>
      <c r="C179" s="685" t="s">
        <v>1593</v>
      </c>
      <c r="D179" s="685" t="s">
        <v>1594</v>
      </c>
      <c r="E179" s="686">
        <v>690.0</v>
      </c>
      <c r="F179" s="692" t="s">
        <v>1719</v>
      </c>
      <c r="G179" s="693"/>
      <c r="H179" s="688"/>
      <c r="I179" s="685" t="s">
        <v>1720</v>
      </c>
      <c r="J179" s="689">
        <v>6.0</v>
      </c>
      <c r="K179" s="689">
        <v>0.0</v>
      </c>
      <c r="L179" s="689">
        <v>0.0</v>
      </c>
      <c r="M179" s="689">
        <v>0.0</v>
      </c>
      <c r="N179" s="686">
        <v>412.71</v>
      </c>
      <c r="O179" s="686">
        <v>2476.26</v>
      </c>
      <c r="P179" s="686">
        <v>0.0</v>
      </c>
      <c r="Q179" s="686">
        <v>0.0</v>
      </c>
      <c r="R179" s="686">
        <v>0.0</v>
      </c>
      <c r="S179" s="686">
        <v>0.0</v>
      </c>
      <c r="T179" s="686">
        <v>0.0</v>
      </c>
      <c r="U179" s="690">
        <v>2476.26</v>
      </c>
      <c r="V179" s="678"/>
      <c r="W179" s="679"/>
      <c r="X179" s="679"/>
      <c r="Y179" s="679"/>
      <c r="Z179" s="679"/>
      <c r="AA179" s="679"/>
      <c r="AB179" s="679"/>
      <c r="AC179" s="678"/>
      <c r="AD179" s="678"/>
      <c r="AE179" s="679"/>
      <c r="AF179" s="679"/>
      <c r="AG179" s="679"/>
      <c r="AH179" s="679"/>
      <c r="AI179" s="679"/>
      <c r="AJ179" s="676"/>
      <c r="AK179" s="676"/>
      <c r="AL179" s="679"/>
    </row>
    <row r="180">
      <c r="A180" s="685" t="s">
        <v>1447</v>
      </c>
      <c r="B180" s="685" t="s">
        <v>1700</v>
      </c>
      <c r="C180" s="685" t="s">
        <v>1593</v>
      </c>
      <c r="D180" s="685" t="s">
        <v>1594</v>
      </c>
      <c r="E180" s="686">
        <v>890.0</v>
      </c>
      <c r="F180" s="692" t="s">
        <v>1721</v>
      </c>
      <c r="G180" s="693"/>
      <c r="H180" s="688"/>
      <c r="I180" s="685" t="s">
        <v>1722</v>
      </c>
      <c r="J180" s="689">
        <v>2.0</v>
      </c>
      <c r="K180" s="689">
        <v>0.0</v>
      </c>
      <c r="L180" s="689">
        <v>0.0</v>
      </c>
      <c r="M180" s="689">
        <v>0.0</v>
      </c>
      <c r="N180" s="686">
        <v>532.34</v>
      </c>
      <c r="O180" s="686">
        <v>1064.68</v>
      </c>
      <c r="P180" s="686">
        <v>0.0</v>
      </c>
      <c r="Q180" s="686">
        <v>0.0</v>
      </c>
      <c r="R180" s="686">
        <v>0.0</v>
      </c>
      <c r="S180" s="686">
        <v>0.0</v>
      </c>
      <c r="T180" s="686">
        <v>0.0</v>
      </c>
      <c r="U180" s="690">
        <v>1064.68</v>
      </c>
      <c r="V180" s="678"/>
      <c r="W180" s="679"/>
      <c r="X180" s="679"/>
      <c r="Y180" s="679"/>
      <c r="Z180" s="679"/>
      <c r="AA180" s="679"/>
      <c r="AB180" s="679"/>
      <c r="AC180" s="678"/>
      <c r="AD180" s="678"/>
      <c r="AE180" s="679"/>
      <c r="AF180" s="679"/>
      <c r="AG180" s="679"/>
      <c r="AH180" s="679"/>
      <c r="AI180" s="679"/>
      <c r="AJ180" s="676"/>
      <c r="AK180" s="676"/>
      <c r="AL180" s="679"/>
    </row>
    <row r="181">
      <c r="A181" s="685" t="s">
        <v>1447</v>
      </c>
      <c r="B181" s="685" t="s">
        <v>1700</v>
      </c>
      <c r="C181" s="685" t="s">
        <v>1593</v>
      </c>
      <c r="D181" s="685" t="s">
        <v>1594</v>
      </c>
      <c r="E181" s="686">
        <v>249.0</v>
      </c>
      <c r="F181" s="692" t="s">
        <v>1723</v>
      </c>
      <c r="G181" s="693"/>
      <c r="H181" s="688"/>
      <c r="I181" s="685" t="s">
        <v>1724</v>
      </c>
      <c r="J181" s="689">
        <v>5.0</v>
      </c>
      <c r="K181" s="689">
        <v>0.0</v>
      </c>
      <c r="L181" s="689">
        <v>0.0</v>
      </c>
      <c r="M181" s="689">
        <v>0.0</v>
      </c>
      <c r="N181" s="686">
        <v>139.63</v>
      </c>
      <c r="O181" s="686">
        <v>698.15</v>
      </c>
      <c r="P181" s="686">
        <v>698.15</v>
      </c>
      <c r="Q181" s="686">
        <v>0.0</v>
      </c>
      <c r="R181" s="686">
        <v>0.0</v>
      </c>
      <c r="S181" s="686">
        <v>0.0</v>
      </c>
      <c r="T181" s="686">
        <v>0.0</v>
      </c>
      <c r="U181" s="690">
        <v>0.0</v>
      </c>
      <c r="V181" s="678"/>
      <c r="W181" s="679"/>
      <c r="X181" s="679"/>
      <c r="Y181" s="679"/>
      <c r="Z181" s="679"/>
      <c r="AA181" s="679"/>
      <c r="AB181" s="679"/>
      <c r="AC181" s="678"/>
      <c r="AD181" s="678"/>
      <c r="AE181" s="679"/>
      <c r="AF181" s="679"/>
      <c r="AG181" s="679"/>
      <c r="AH181" s="679"/>
      <c r="AI181" s="679"/>
      <c r="AJ181" s="676"/>
      <c r="AK181" s="676"/>
      <c r="AL181" s="679"/>
    </row>
    <row r="182">
      <c r="A182" s="685" t="s">
        <v>1447</v>
      </c>
      <c r="B182" s="685" t="s">
        <v>1700</v>
      </c>
      <c r="C182" s="685" t="s">
        <v>1593</v>
      </c>
      <c r="D182" s="685" t="s">
        <v>723</v>
      </c>
      <c r="E182" s="686">
        <v>490.0</v>
      </c>
      <c r="F182" s="692" t="s">
        <v>1725</v>
      </c>
      <c r="G182" s="693"/>
      <c r="H182" s="688"/>
      <c r="I182" s="685" t="s">
        <v>1726</v>
      </c>
      <c r="J182" s="689">
        <v>2.0</v>
      </c>
      <c r="K182" s="689">
        <v>0.0</v>
      </c>
      <c r="L182" s="689">
        <v>0.0</v>
      </c>
      <c r="M182" s="689">
        <v>0.0</v>
      </c>
      <c r="N182" s="686">
        <v>251.87</v>
      </c>
      <c r="O182" s="686">
        <v>503.74</v>
      </c>
      <c r="P182" s="686">
        <v>0.0</v>
      </c>
      <c r="Q182" s="686">
        <v>0.0</v>
      </c>
      <c r="R182" s="686">
        <v>0.0</v>
      </c>
      <c r="S182" s="686">
        <v>503.74</v>
      </c>
      <c r="T182" s="686">
        <v>0.0</v>
      </c>
      <c r="U182" s="690">
        <v>0.0</v>
      </c>
      <c r="V182" s="678"/>
      <c r="W182" s="679"/>
      <c r="X182" s="679"/>
      <c r="Y182" s="679"/>
      <c r="Z182" s="679"/>
      <c r="AA182" s="679"/>
      <c r="AB182" s="679"/>
      <c r="AC182" s="678"/>
      <c r="AD182" s="678"/>
      <c r="AE182" s="679"/>
      <c r="AF182" s="679"/>
      <c r="AG182" s="679"/>
      <c r="AH182" s="679"/>
      <c r="AI182" s="679"/>
      <c r="AJ182" s="676"/>
      <c r="AK182" s="676"/>
      <c r="AL182" s="679"/>
    </row>
    <row r="183">
      <c r="A183" s="685" t="s">
        <v>1447</v>
      </c>
      <c r="B183" s="685" t="s">
        <v>1700</v>
      </c>
      <c r="C183" s="685" t="s">
        <v>1593</v>
      </c>
      <c r="D183" s="685" t="s">
        <v>723</v>
      </c>
      <c r="E183" s="686">
        <v>490.0</v>
      </c>
      <c r="F183" s="692" t="s">
        <v>1727</v>
      </c>
      <c r="G183" s="693"/>
      <c r="H183" s="688"/>
      <c r="I183" s="685" t="s">
        <v>1728</v>
      </c>
      <c r="J183" s="689">
        <v>5.0</v>
      </c>
      <c r="K183" s="689">
        <v>0.0</v>
      </c>
      <c r="L183" s="689">
        <v>0.0</v>
      </c>
      <c r="M183" s="689">
        <v>0.0</v>
      </c>
      <c r="N183" s="686">
        <v>251.87</v>
      </c>
      <c r="O183" s="686">
        <v>1259.35</v>
      </c>
      <c r="P183" s="686">
        <v>0.0</v>
      </c>
      <c r="Q183" s="686">
        <v>0.0</v>
      </c>
      <c r="R183" s="686">
        <v>0.0</v>
      </c>
      <c r="S183" s="686">
        <v>1259.35</v>
      </c>
      <c r="T183" s="686">
        <v>0.0</v>
      </c>
      <c r="U183" s="690">
        <v>0.0</v>
      </c>
      <c r="V183" s="678"/>
      <c r="W183" s="679"/>
      <c r="X183" s="679"/>
      <c r="Y183" s="679"/>
      <c r="Z183" s="679"/>
      <c r="AA183" s="679"/>
      <c r="AB183" s="679"/>
      <c r="AC183" s="678"/>
      <c r="AD183" s="678"/>
      <c r="AE183" s="679"/>
      <c r="AF183" s="679"/>
      <c r="AG183" s="679"/>
      <c r="AH183" s="679"/>
      <c r="AI183" s="679"/>
      <c r="AJ183" s="676"/>
      <c r="AK183" s="676"/>
      <c r="AL183" s="679"/>
    </row>
    <row r="184">
      <c r="A184" s="685" t="s">
        <v>1447</v>
      </c>
      <c r="B184" s="685" t="s">
        <v>1700</v>
      </c>
      <c r="C184" s="685" t="s">
        <v>1593</v>
      </c>
      <c r="D184" s="685" t="s">
        <v>723</v>
      </c>
      <c r="E184" s="686">
        <v>590.0</v>
      </c>
      <c r="F184" s="692" t="s">
        <v>1729</v>
      </c>
      <c r="G184" s="693"/>
      <c r="H184" s="688"/>
      <c r="I184" s="685" t="s">
        <v>1730</v>
      </c>
      <c r="J184" s="689">
        <v>21.0</v>
      </c>
      <c r="K184" s="689">
        <v>0.0</v>
      </c>
      <c r="L184" s="689">
        <v>0.0</v>
      </c>
      <c r="M184" s="689">
        <v>0.0</v>
      </c>
      <c r="N184" s="686">
        <v>303.27</v>
      </c>
      <c r="O184" s="686">
        <v>6368.67</v>
      </c>
      <c r="P184" s="686">
        <v>0.0</v>
      </c>
      <c r="Q184" s="686">
        <v>0.0</v>
      </c>
      <c r="R184" s="686">
        <v>0.0</v>
      </c>
      <c r="S184" s="686">
        <v>6368.67</v>
      </c>
      <c r="T184" s="686">
        <v>0.0</v>
      </c>
      <c r="U184" s="690">
        <v>0.0</v>
      </c>
      <c r="V184" s="678"/>
      <c r="W184" s="679"/>
      <c r="X184" s="679"/>
      <c r="Y184" s="679"/>
      <c r="Z184" s="679"/>
      <c r="AA184" s="679"/>
      <c r="AB184" s="679"/>
      <c r="AC184" s="678"/>
      <c r="AD184" s="678"/>
      <c r="AE184" s="679"/>
      <c r="AF184" s="679"/>
      <c r="AG184" s="679"/>
      <c r="AH184" s="679"/>
      <c r="AI184" s="679"/>
      <c r="AJ184" s="676"/>
      <c r="AK184" s="676"/>
      <c r="AL184" s="680"/>
    </row>
    <row r="185">
      <c r="A185" s="685" t="s">
        <v>1447</v>
      </c>
      <c r="B185" s="685" t="s">
        <v>1700</v>
      </c>
      <c r="C185" s="685" t="s">
        <v>1593</v>
      </c>
      <c r="D185" s="685" t="s">
        <v>723</v>
      </c>
      <c r="E185" s="686">
        <v>590.0</v>
      </c>
      <c r="F185" s="692" t="s">
        <v>1731</v>
      </c>
      <c r="G185" s="693"/>
      <c r="H185" s="688"/>
      <c r="I185" s="685" t="s">
        <v>1732</v>
      </c>
      <c r="J185" s="689">
        <v>5.0</v>
      </c>
      <c r="K185" s="689">
        <v>0.0</v>
      </c>
      <c r="L185" s="689">
        <v>0.0</v>
      </c>
      <c r="M185" s="689">
        <v>0.0</v>
      </c>
      <c r="N185" s="686">
        <v>303.27</v>
      </c>
      <c r="O185" s="686">
        <v>1516.35</v>
      </c>
      <c r="P185" s="686">
        <v>0.0</v>
      </c>
      <c r="Q185" s="686">
        <v>0.0</v>
      </c>
      <c r="R185" s="686">
        <v>0.0</v>
      </c>
      <c r="S185" s="686">
        <v>1516.35</v>
      </c>
      <c r="T185" s="686">
        <v>0.0</v>
      </c>
      <c r="U185" s="690">
        <v>0.0</v>
      </c>
      <c r="V185" s="678"/>
      <c r="W185" s="679"/>
      <c r="X185" s="679"/>
      <c r="Y185" s="679"/>
      <c r="Z185" s="679"/>
      <c r="AA185" s="679"/>
      <c r="AB185" s="679"/>
      <c r="AC185" s="678"/>
      <c r="AD185" s="678"/>
      <c r="AE185" s="679"/>
      <c r="AF185" s="679"/>
      <c r="AG185" s="679"/>
      <c r="AH185" s="679"/>
      <c r="AI185" s="679"/>
      <c r="AJ185" s="676"/>
      <c r="AK185" s="676"/>
      <c r="AL185" s="680"/>
    </row>
    <row r="186">
      <c r="A186" s="685" t="s">
        <v>1447</v>
      </c>
      <c r="B186" s="685" t="s">
        <v>1700</v>
      </c>
      <c r="C186" s="685" t="s">
        <v>1593</v>
      </c>
      <c r="D186" s="685" t="s">
        <v>723</v>
      </c>
      <c r="E186" s="686">
        <v>590.0</v>
      </c>
      <c r="F186" s="692" t="s">
        <v>1733</v>
      </c>
      <c r="G186" s="693"/>
      <c r="H186" s="688"/>
      <c r="I186" s="685" t="s">
        <v>1734</v>
      </c>
      <c r="J186" s="689">
        <v>5.0</v>
      </c>
      <c r="K186" s="689">
        <v>0.0</v>
      </c>
      <c r="L186" s="689">
        <v>0.0</v>
      </c>
      <c r="M186" s="689">
        <v>0.0</v>
      </c>
      <c r="N186" s="686">
        <v>303.27</v>
      </c>
      <c r="O186" s="686">
        <v>1516.35</v>
      </c>
      <c r="P186" s="686">
        <v>0.0</v>
      </c>
      <c r="Q186" s="686">
        <v>0.0</v>
      </c>
      <c r="R186" s="686">
        <v>0.0</v>
      </c>
      <c r="S186" s="686">
        <v>1516.35</v>
      </c>
      <c r="T186" s="686">
        <v>0.0</v>
      </c>
      <c r="U186" s="690">
        <v>0.0</v>
      </c>
      <c r="V186" s="678"/>
      <c r="W186" s="679"/>
      <c r="X186" s="679"/>
      <c r="Y186" s="679"/>
      <c r="Z186" s="679"/>
      <c r="AA186" s="679"/>
      <c r="AB186" s="679"/>
      <c r="AC186" s="678"/>
      <c r="AD186" s="678"/>
      <c r="AE186" s="679"/>
      <c r="AF186" s="679"/>
      <c r="AG186" s="679"/>
      <c r="AH186" s="679"/>
      <c r="AI186" s="679"/>
      <c r="AJ186" s="676"/>
      <c r="AK186" s="676"/>
      <c r="AL186" s="680"/>
    </row>
    <row r="187">
      <c r="A187" s="685" t="s">
        <v>1447</v>
      </c>
      <c r="B187" s="685" t="s">
        <v>1700</v>
      </c>
      <c r="C187" s="685" t="s">
        <v>1593</v>
      </c>
      <c r="D187" s="685" t="s">
        <v>723</v>
      </c>
      <c r="E187" s="686">
        <v>590.0</v>
      </c>
      <c r="F187" s="692" t="s">
        <v>1735</v>
      </c>
      <c r="G187" s="693"/>
      <c r="H187" s="688"/>
      <c r="I187" s="685" t="s">
        <v>1736</v>
      </c>
      <c r="J187" s="689">
        <v>6.0</v>
      </c>
      <c r="K187" s="689">
        <v>0.0</v>
      </c>
      <c r="L187" s="689">
        <v>0.0</v>
      </c>
      <c r="M187" s="689">
        <v>0.0</v>
      </c>
      <c r="N187" s="686">
        <v>303.27</v>
      </c>
      <c r="O187" s="686">
        <v>1819.62</v>
      </c>
      <c r="P187" s="686">
        <v>0.0</v>
      </c>
      <c r="Q187" s="686">
        <v>0.0</v>
      </c>
      <c r="R187" s="686">
        <v>0.0</v>
      </c>
      <c r="S187" s="686">
        <v>1819.62</v>
      </c>
      <c r="T187" s="686">
        <v>0.0</v>
      </c>
      <c r="U187" s="690">
        <v>0.0</v>
      </c>
      <c r="V187" s="678"/>
      <c r="W187" s="679"/>
      <c r="X187" s="679"/>
      <c r="Y187" s="679"/>
      <c r="Z187" s="679"/>
      <c r="AA187" s="679"/>
      <c r="AB187" s="679"/>
      <c r="AC187" s="678"/>
      <c r="AD187" s="678"/>
      <c r="AE187" s="679"/>
      <c r="AF187" s="679"/>
      <c r="AG187" s="679"/>
      <c r="AH187" s="679"/>
      <c r="AI187" s="679"/>
      <c r="AJ187" s="676"/>
      <c r="AK187" s="676"/>
      <c r="AL187" s="680"/>
    </row>
    <row r="188">
      <c r="A188" s="685" t="s">
        <v>1447</v>
      </c>
      <c r="B188" s="685" t="s">
        <v>1700</v>
      </c>
      <c r="C188" s="685" t="s">
        <v>1593</v>
      </c>
      <c r="D188" s="685" t="s">
        <v>1391</v>
      </c>
      <c r="E188" s="686">
        <v>590.0</v>
      </c>
      <c r="F188" s="692" t="s">
        <v>1737</v>
      </c>
      <c r="G188" s="693"/>
      <c r="H188" s="688"/>
      <c r="I188" s="685" t="s">
        <v>1738</v>
      </c>
      <c r="J188" s="689">
        <v>1.0</v>
      </c>
      <c r="K188" s="689">
        <v>0.0</v>
      </c>
      <c r="L188" s="689">
        <v>0.0</v>
      </c>
      <c r="M188" s="689">
        <v>0.0</v>
      </c>
      <c r="N188" s="686">
        <v>386.0</v>
      </c>
      <c r="O188" s="686">
        <v>386.0</v>
      </c>
      <c r="P188" s="686">
        <v>0.0</v>
      </c>
      <c r="Q188" s="686">
        <v>0.0</v>
      </c>
      <c r="R188" s="686">
        <v>0.0</v>
      </c>
      <c r="S188" s="686">
        <v>0.0</v>
      </c>
      <c r="T188" s="686">
        <v>0.0</v>
      </c>
      <c r="U188" s="690">
        <v>386.0</v>
      </c>
      <c r="V188" s="678"/>
      <c r="W188" s="679"/>
      <c r="X188" s="679"/>
      <c r="Y188" s="679"/>
      <c r="Z188" s="679"/>
      <c r="AA188" s="679"/>
      <c r="AB188" s="679"/>
      <c r="AC188" s="678"/>
      <c r="AD188" s="678"/>
      <c r="AE188" s="679"/>
      <c r="AF188" s="679"/>
      <c r="AG188" s="679"/>
      <c r="AH188" s="679"/>
      <c r="AI188" s="679"/>
      <c r="AJ188" s="676"/>
      <c r="AK188" s="676"/>
      <c r="AL188" s="680"/>
    </row>
    <row r="189">
      <c r="A189" s="685" t="s">
        <v>1447</v>
      </c>
      <c r="B189" s="685" t="s">
        <v>1700</v>
      </c>
      <c r="C189" s="685" t="s">
        <v>1593</v>
      </c>
      <c r="D189" s="685" t="s">
        <v>1391</v>
      </c>
      <c r="E189" s="686">
        <v>590.0</v>
      </c>
      <c r="F189" s="692" t="s">
        <v>1739</v>
      </c>
      <c r="G189" s="693"/>
      <c r="H189" s="688"/>
      <c r="I189" s="685" t="s">
        <v>1740</v>
      </c>
      <c r="J189" s="689">
        <v>2.0</v>
      </c>
      <c r="K189" s="689">
        <v>0.0</v>
      </c>
      <c r="L189" s="689">
        <v>0.0</v>
      </c>
      <c r="M189" s="689">
        <v>0.0</v>
      </c>
      <c r="N189" s="686">
        <v>386.0</v>
      </c>
      <c r="O189" s="686">
        <v>772.0</v>
      </c>
      <c r="P189" s="686">
        <v>0.0</v>
      </c>
      <c r="Q189" s="686">
        <v>0.0</v>
      </c>
      <c r="R189" s="686">
        <v>0.0</v>
      </c>
      <c r="S189" s="686">
        <v>0.0</v>
      </c>
      <c r="T189" s="686">
        <v>0.0</v>
      </c>
      <c r="U189" s="690">
        <v>772.0</v>
      </c>
      <c r="V189" s="678"/>
      <c r="W189" s="679"/>
      <c r="X189" s="679"/>
      <c r="Y189" s="679"/>
      <c r="Z189" s="679"/>
      <c r="AA189" s="679"/>
      <c r="AB189" s="679"/>
      <c r="AC189" s="678"/>
      <c r="AD189" s="678"/>
      <c r="AE189" s="679"/>
      <c r="AF189" s="679"/>
      <c r="AG189" s="679"/>
      <c r="AH189" s="679"/>
      <c r="AI189" s="679"/>
      <c r="AJ189" s="676"/>
      <c r="AK189" s="676"/>
      <c r="AL189" s="680"/>
    </row>
    <row r="190">
      <c r="A190" s="685" t="s">
        <v>1447</v>
      </c>
      <c r="B190" s="685" t="s">
        <v>1700</v>
      </c>
      <c r="C190" s="685" t="s">
        <v>1741</v>
      </c>
      <c r="D190" s="685" t="s">
        <v>1594</v>
      </c>
      <c r="E190" s="686">
        <v>390.0</v>
      </c>
      <c r="F190" s="692" t="s">
        <v>590</v>
      </c>
      <c r="G190" s="693"/>
      <c r="H190" s="688"/>
      <c r="I190" s="685" t="s">
        <v>1742</v>
      </c>
      <c r="J190" s="689">
        <v>7.0</v>
      </c>
      <c r="K190" s="689">
        <v>0.0</v>
      </c>
      <c r="L190" s="689">
        <v>0.0</v>
      </c>
      <c r="M190" s="689">
        <v>0.0</v>
      </c>
      <c r="N190" s="686">
        <v>218.69</v>
      </c>
      <c r="O190" s="686">
        <v>1530.83</v>
      </c>
      <c r="P190" s="686">
        <v>0.0</v>
      </c>
      <c r="Q190" s="686">
        <v>0.0</v>
      </c>
      <c r="R190" s="686">
        <v>0.0</v>
      </c>
      <c r="S190" s="686">
        <v>0.0</v>
      </c>
      <c r="T190" s="686">
        <v>0.0</v>
      </c>
      <c r="U190" s="690">
        <v>1530.83</v>
      </c>
      <c r="V190" s="678"/>
      <c r="W190" s="679"/>
      <c r="X190" s="679"/>
      <c r="Y190" s="679"/>
      <c r="Z190" s="679"/>
      <c r="AA190" s="679"/>
      <c r="AB190" s="679"/>
      <c r="AC190" s="678"/>
      <c r="AD190" s="678"/>
      <c r="AE190" s="679"/>
      <c r="AF190" s="679"/>
      <c r="AG190" s="679"/>
      <c r="AH190" s="679"/>
      <c r="AI190" s="679"/>
      <c r="AJ190" s="676"/>
      <c r="AK190" s="676"/>
      <c r="AL190" s="680"/>
    </row>
    <row r="191">
      <c r="A191" s="685" t="s">
        <v>1447</v>
      </c>
      <c r="B191" s="685" t="s">
        <v>1700</v>
      </c>
      <c r="C191" s="685" t="s">
        <v>1694</v>
      </c>
      <c r="D191" s="685" t="s">
        <v>1594</v>
      </c>
      <c r="E191" s="686">
        <v>390.0</v>
      </c>
      <c r="F191" s="692" t="s">
        <v>1743</v>
      </c>
      <c r="G191" s="693"/>
      <c r="H191" s="688"/>
      <c r="I191" s="685" t="s">
        <v>1744</v>
      </c>
      <c r="J191" s="689">
        <v>5.0</v>
      </c>
      <c r="K191" s="689">
        <v>0.0</v>
      </c>
      <c r="L191" s="689">
        <v>0.0</v>
      </c>
      <c r="M191" s="689">
        <v>0.0</v>
      </c>
      <c r="N191" s="686">
        <v>218.69</v>
      </c>
      <c r="O191" s="686">
        <v>1093.45</v>
      </c>
      <c r="P191" s="686">
        <v>0.0</v>
      </c>
      <c r="Q191" s="686">
        <v>1093.45</v>
      </c>
      <c r="R191" s="686">
        <v>0.0</v>
      </c>
      <c r="S191" s="686">
        <v>0.0</v>
      </c>
      <c r="T191" s="686">
        <v>0.0</v>
      </c>
      <c r="U191" s="690">
        <v>0.0</v>
      </c>
      <c r="V191" s="678"/>
      <c r="W191" s="679"/>
      <c r="X191" s="679"/>
      <c r="Y191" s="679"/>
      <c r="Z191" s="679"/>
      <c r="AA191" s="679"/>
      <c r="AB191" s="679"/>
      <c r="AC191" s="678"/>
      <c r="AD191" s="678"/>
      <c r="AE191" s="679"/>
      <c r="AF191" s="679"/>
      <c r="AG191" s="679"/>
      <c r="AH191" s="679"/>
      <c r="AI191" s="679"/>
      <c r="AJ191" s="676"/>
      <c r="AK191" s="676"/>
      <c r="AL191" s="680"/>
    </row>
    <row r="192">
      <c r="A192" s="685" t="s">
        <v>1447</v>
      </c>
      <c r="B192" s="685" t="s">
        <v>1700</v>
      </c>
      <c r="C192" s="685" t="s">
        <v>1694</v>
      </c>
      <c r="D192" s="685" t="s">
        <v>723</v>
      </c>
      <c r="E192" s="686">
        <v>490.0</v>
      </c>
      <c r="F192" s="692" t="s">
        <v>1745</v>
      </c>
      <c r="G192" s="693"/>
      <c r="H192" s="688"/>
      <c r="I192" s="685" t="s">
        <v>1746</v>
      </c>
      <c r="J192" s="689">
        <v>28.0</v>
      </c>
      <c r="K192" s="689">
        <v>0.0</v>
      </c>
      <c r="L192" s="689">
        <v>0.0</v>
      </c>
      <c r="M192" s="689">
        <v>0.0</v>
      </c>
      <c r="N192" s="686">
        <v>275.0</v>
      </c>
      <c r="O192" s="686">
        <v>7700.0</v>
      </c>
      <c r="P192" s="686">
        <v>0.0</v>
      </c>
      <c r="Q192" s="686">
        <v>7700.0</v>
      </c>
      <c r="R192" s="686">
        <v>0.0</v>
      </c>
      <c r="S192" s="686">
        <v>0.0</v>
      </c>
      <c r="T192" s="686">
        <v>0.0</v>
      </c>
      <c r="U192" s="690">
        <v>0.0</v>
      </c>
      <c r="V192" s="678"/>
      <c r="W192" s="679"/>
      <c r="X192" s="679"/>
      <c r="Y192" s="679"/>
      <c r="Z192" s="679"/>
      <c r="AA192" s="679"/>
      <c r="AB192" s="679"/>
      <c r="AC192" s="678"/>
      <c r="AD192" s="678"/>
      <c r="AE192" s="679"/>
      <c r="AF192" s="679"/>
      <c r="AG192" s="679"/>
      <c r="AH192" s="679"/>
      <c r="AI192" s="679"/>
      <c r="AJ192" s="676"/>
      <c r="AK192" s="676"/>
      <c r="AL192" s="679"/>
    </row>
    <row r="193">
      <c r="A193" s="685" t="s">
        <v>1447</v>
      </c>
      <c r="B193" s="685" t="s">
        <v>1700</v>
      </c>
      <c r="C193" s="685" t="s">
        <v>1747</v>
      </c>
      <c r="D193" s="685" t="s">
        <v>1594</v>
      </c>
      <c r="E193" s="686">
        <v>390.0</v>
      </c>
      <c r="F193" s="692" t="s">
        <v>1748</v>
      </c>
      <c r="G193" s="693"/>
      <c r="H193" s="688"/>
      <c r="I193" s="685" t="s">
        <v>1749</v>
      </c>
      <c r="J193" s="689">
        <v>3.0</v>
      </c>
      <c r="K193" s="689">
        <v>0.0</v>
      </c>
      <c r="L193" s="689">
        <v>0.0</v>
      </c>
      <c r="M193" s="689">
        <v>0.0</v>
      </c>
      <c r="N193" s="686">
        <v>218.69</v>
      </c>
      <c r="O193" s="686">
        <v>656.07</v>
      </c>
      <c r="P193" s="686">
        <v>0.0</v>
      </c>
      <c r="Q193" s="686">
        <v>656.07</v>
      </c>
      <c r="R193" s="686">
        <v>0.0</v>
      </c>
      <c r="S193" s="686">
        <v>0.0</v>
      </c>
      <c r="T193" s="686">
        <v>0.0</v>
      </c>
      <c r="U193" s="690">
        <v>0.0</v>
      </c>
      <c r="V193" s="678"/>
      <c r="W193" s="679"/>
      <c r="X193" s="679"/>
      <c r="Y193" s="679"/>
      <c r="Z193" s="679"/>
      <c r="AA193" s="679"/>
      <c r="AB193" s="679"/>
      <c r="AC193" s="678"/>
      <c r="AD193" s="678"/>
      <c r="AE193" s="679"/>
      <c r="AF193" s="679"/>
      <c r="AG193" s="679"/>
      <c r="AH193" s="679"/>
      <c r="AI193" s="679"/>
      <c r="AJ193" s="676"/>
      <c r="AK193" s="676"/>
      <c r="AL193" s="679"/>
    </row>
    <row r="194">
      <c r="A194" s="685" t="s">
        <v>1447</v>
      </c>
      <c r="B194" s="685" t="s">
        <v>1700</v>
      </c>
      <c r="C194" s="685" t="s">
        <v>1747</v>
      </c>
      <c r="D194" s="685" t="s">
        <v>723</v>
      </c>
      <c r="E194" s="686">
        <v>590.0</v>
      </c>
      <c r="F194" s="692" t="s">
        <v>1750</v>
      </c>
      <c r="G194" s="693"/>
      <c r="H194" s="688"/>
      <c r="I194" s="685" t="s">
        <v>1751</v>
      </c>
      <c r="J194" s="689">
        <v>7.0</v>
      </c>
      <c r="K194" s="689">
        <v>0.0</v>
      </c>
      <c r="L194" s="689">
        <v>0.0</v>
      </c>
      <c r="M194" s="689">
        <v>0.0</v>
      </c>
      <c r="N194" s="686">
        <v>331.0</v>
      </c>
      <c r="O194" s="686">
        <v>2317.0</v>
      </c>
      <c r="P194" s="686">
        <v>0.0</v>
      </c>
      <c r="Q194" s="686">
        <v>2317.0</v>
      </c>
      <c r="R194" s="686">
        <v>0.0</v>
      </c>
      <c r="S194" s="686">
        <v>0.0</v>
      </c>
      <c r="T194" s="686">
        <v>0.0</v>
      </c>
      <c r="U194" s="690">
        <v>0.0</v>
      </c>
      <c r="V194" s="678"/>
      <c r="W194" s="679"/>
      <c r="X194" s="679"/>
      <c r="Y194" s="679"/>
      <c r="Z194" s="679"/>
      <c r="AA194" s="679"/>
      <c r="AB194" s="679"/>
      <c r="AC194" s="678"/>
      <c r="AD194" s="678"/>
      <c r="AE194" s="679"/>
      <c r="AF194" s="679"/>
      <c r="AG194" s="679"/>
      <c r="AH194" s="679"/>
      <c r="AI194" s="679"/>
      <c r="AJ194" s="676"/>
      <c r="AK194" s="676"/>
      <c r="AL194" s="679"/>
    </row>
    <row r="195">
      <c r="A195" s="685" t="s">
        <v>1447</v>
      </c>
      <c r="B195" s="685" t="s">
        <v>1700</v>
      </c>
      <c r="C195" s="685" t="s">
        <v>1697</v>
      </c>
      <c r="D195" s="685" t="s">
        <v>1594</v>
      </c>
      <c r="E195" s="686">
        <v>390.0</v>
      </c>
      <c r="F195" s="692" t="s">
        <v>1752</v>
      </c>
      <c r="G195" s="693"/>
      <c r="H195" s="688"/>
      <c r="I195" s="685" t="s">
        <v>1753</v>
      </c>
      <c r="J195" s="689">
        <v>3.0</v>
      </c>
      <c r="K195" s="689">
        <v>0.0</v>
      </c>
      <c r="L195" s="689">
        <v>0.0</v>
      </c>
      <c r="M195" s="689">
        <v>0.0</v>
      </c>
      <c r="N195" s="686">
        <v>218.69</v>
      </c>
      <c r="O195" s="686">
        <v>656.07</v>
      </c>
      <c r="P195" s="686">
        <v>0.0</v>
      </c>
      <c r="Q195" s="686">
        <v>656.07</v>
      </c>
      <c r="R195" s="686">
        <v>0.0</v>
      </c>
      <c r="S195" s="686">
        <v>0.0</v>
      </c>
      <c r="T195" s="686">
        <v>0.0</v>
      </c>
      <c r="U195" s="690">
        <v>0.0</v>
      </c>
      <c r="V195" s="678"/>
      <c r="W195" s="679"/>
      <c r="X195" s="679"/>
      <c r="Y195" s="679"/>
      <c r="Z195" s="679"/>
      <c r="AA195" s="679"/>
      <c r="AB195" s="679"/>
      <c r="AC195" s="678"/>
      <c r="AD195" s="678"/>
      <c r="AE195" s="679"/>
      <c r="AF195" s="679"/>
      <c r="AG195" s="679"/>
      <c r="AH195" s="679"/>
      <c r="AI195" s="679"/>
      <c r="AJ195" s="676"/>
      <c r="AK195" s="676"/>
      <c r="AL195" s="679"/>
    </row>
    <row r="196">
      <c r="A196" s="685" t="s">
        <v>1447</v>
      </c>
      <c r="B196" s="685" t="s">
        <v>1700</v>
      </c>
      <c r="C196" s="685" t="s">
        <v>1697</v>
      </c>
      <c r="D196" s="685" t="s">
        <v>723</v>
      </c>
      <c r="E196" s="686">
        <v>590.0</v>
      </c>
      <c r="F196" s="692" t="s">
        <v>1754</v>
      </c>
      <c r="G196" s="693"/>
      <c r="H196" s="688"/>
      <c r="I196" s="685" t="s">
        <v>1755</v>
      </c>
      <c r="J196" s="689">
        <v>29.0</v>
      </c>
      <c r="K196" s="689">
        <v>0.0</v>
      </c>
      <c r="L196" s="689">
        <v>0.0</v>
      </c>
      <c r="M196" s="689">
        <v>0.0</v>
      </c>
      <c r="N196" s="686">
        <v>331.0</v>
      </c>
      <c r="O196" s="686">
        <v>9599.0</v>
      </c>
      <c r="P196" s="686">
        <v>0.0</v>
      </c>
      <c r="Q196" s="686">
        <v>9599.0</v>
      </c>
      <c r="R196" s="686">
        <v>0.0</v>
      </c>
      <c r="S196" s="686">
        <v>0.0</v>
      </c>
      <c r="T196" s="686">
        <v>0.0</v>
      </c>
      <c r="U196" s="690">
        <v>0.0</v>
      </c>
      <c r="V196" s="678"/>
      <c r="W196" s="679"/>
      <c r="X196" s="679"/>
      <c r="Y196" s="679"/>
      <c r="Z196" s="679"/>
      <c r="AA196" s="679"/>
      <c r="AB196" s="679"/>
      <c r="AC196" s="678"/>
      <c r="AD196" s="678"/>
      <c r="AE196" s="679"/>
      <c r="AF196" s="679"/>
      <c r="AG196" s="679"/>
      <c r="AH196" s="679"/>
      <c r="AI196" s="679"/>
      <c r="AJ196" s="676"/>
      <c r="AK196" s="676"/>
      <c r="AL196" s="679"/>
    </row>
    <row r="197">
      <c r="A197" s="685" t="s">
        <v>1447</v>
      </c>
      <c r="B197" s="685" t="s">
        <v>1756</v>
      </c>
      <c r="C197" s="685" t="s">
        <v>1757</v>
      </c>
      <c r="D197" s="685" t="s">
        <v>1594</v>
      </c>
      <c r="E197" s="686">
        <v>590.0</v>
      </c>
      <c r="F197" s="692" t="s">
        <v>631</v>
      </c>
      <c r="G197" s="693"/>
      <c r="H197" s="688"/>
      <c r="I197" s="685" t="s">
        <v>1758</v>
      </c>
      <c r="J197" s="689">
        <v>5.0</v>
      </c>
      <c r="K197" s="689">
        <v>0.0</v>
      </c>
      <c r="L197" s="689">
        <v>0.0</v>
      </c>
      <c r="M197" s="689">
        <v>0.0</v>
      </c>
      <c r="N197" s="686">
        <v>297.76</v>
      </c>
      <c r="O197" s="686">
        <v>1488.8</v>
      </c>
      <c r="P197" s="686">
        <v>0.0</v>
      </c>
      <c r="Q197" s="686">
        <v>1488.8</v>
      </c>
      <c r="R197" s="686">
        <v>0.0</v>
      </c>
      <c r="S197" s="686">
        <v>0.0</v>
      </c>
      <c r="T197" s="686">
        <v>0.0</v>
      </c>
      <c r="U197" s="690">
        <v>0.0</v>
      </c>
      <c r="V197" s="678"/>
      <c r="W197" s="679"/>
      <c r="X197" s="679"/>
      <c r="Y197" s="679"/>
      <c r="Z197" s="679"/>
      <c r="AA197" s="679"/>
      <c r="AB197" s="679"/>
      <c r="AC197" s="678"/>
      <c r="AD197" s="678"/>
      <c r="AE197" s="679"/>
      <c r="AF197" s="679"/>
      <c r="AG197" s="679"/>
      <c r="AH197" s="679"/>
      <c r="AI197" s="679"/>
      <c r="AJ197" s="676"/>
      <c r="AK197" s="676"/>
      <c r="AL197" s="679"/>
    </row>
    <row r="198">
      <c r="A198" s="685" t="s">
        <v>1447</v>
      </c>
      <c r="B198" s="685" t="s">
        <v>1756</v>
      </c>
      <c r="C198" s="685" t="s">
        <v>1757</v>
      </c>
      <c r="D198" s="685" t="s">
        <v>1594</v>
      </c>
      <c r="E198" s="686">
        <v>690.0</v>
      </c>
      <c r="F198" s="692" t="s">
        <v>633</v>
      </c>
      <c r="G198" s="687"/>
      <c r="H198" s="688"/>
      <c r="I198" s="685" t="s">
        <v>1759</v>
      </c>
      <c r="J198" s="689">
        <v>6.0</v>
      </c>
      <c r="K198" s="689">
        <v>0.0</v>
      </c>
      <c r="L198" s="689">
        <v>0.0</v>
      </c>
      <c r="M198" s="689">
        <v>0.0</v>
      </c>
      <c r="N198" s="686">
        <v>348.22</v>
      </c>
      <c r="O198" s="686">
        <v>2089.32</v>
      </c>
      <c r="P198" s="686">
        <v>1044.66</v>
      </c>
      <c r="Q198" s="686">
        <v>1044.66</v>
      </c>
      <c r="R198" s="686">
        <v>0.0</v>
      </c>
      <c r="S198" s="686">
        <v>0.0</v>
      </c>
      <c r="T198" s="686">
        <v>0.0</v>
      </c>
      <c r="U198" s="690">
        <v>0.0</v>
      </c>
      <c r="V198" s="678"/>
      <c r="W198" s="679"/>
      <c r="X198" s="679"/>
      <c r="Y198" s="679"/>
      <c r="Z198" s="679"/>
      <c r="AA198" s="679"/>
      <c r="AB198" s="679"/>
      <c r="AC198" s="678"/>
      <c r="AD198" s="678"/>
      <c r="AE198" s="679"/>
      <c r="AF198" s="679"/>
      <c r="AG198" s="679"/>
      <c r="AH198" s="679"/>
      <c r="AI198" s="679"/>
      <c r="AJ198" s="676"/>
      <c r="AK198" s="676"/>
      <c r="AL198" s="680"/>
    </row>
    <row r="199">
      <c r="A199" s="685" t="s">
        <v>1447</v>
      </c>
      <c r="B199" s="685" t="s">
        <v>1756</v>
      </c>
      <c r="C199" s="685" t="s">
        <v>1760</v>
      </c>
      <c r="D199" s="685" t="s">
        <v>1594</v>
      </c>
      <c r="E199" s="686">
        <v>990.0</v>
      </c>
      <c r="F199" s="692" t="s">
        <v>637</v>
      </c>
      <c r="G199" s="687"/>
      <c r="H199" s="688"/>
      <c r="I199" s="685" t="s">
        <v>1761</v>
      </c>
      <c r="J199" s="689">
        <v>6.0</v>
      </c>
      <c r="K199" s="689">
        <v>0.0</v>
      </c>
      <c r="L199" s="689">
        <v>0.0</v>
      </c>
      <c r="M199" s="689">
        <v>0.0</v>
      </c>
      <c r="N199" s="686">
        <v>555.14</v>
      </c>
      <c r="O199" s="686">
        <v>3330.84</v>
      </c>
      <c r="P199" s="686">
        <v>2775.7</v>
      </c>
      <c r="Q199" s="686">
        <v>0.0</v>
      </c>
      <c r="R199" s="686">
        <v>555.14</v>
      </c>
      <c r="S199" s="686">
        <v>0.0</v>
      </c>
      <c r="T199" s="686">
        <v>0.0</v>
      </c>
      <c r="U199" s="690">
        <v>0.0</v>
      </c>
      <c r="V199" s="678"/>
      <c r="W199" s="679"/>
      <c r="X199" s="679"/>
      <c r="Y199" s="679"/>
      <c r="Z199" s="679"/>
      <c r="AA199" s="679"/>
      <c r="AB199" s="679"/>
      <c r="AC199" s="678"/>
      <c r="AD199" s="678"/>
      <c r="AE199" s="679"/>
      <c r="AF199" s="679"/>
      <c r="AG199" s="679"/>
      <c r="AH199" s="679"/>
      <c r="AI199" s="679"/>
      <c r="AJ199" s="676"/>
      <c r="AK199" s="676"/>
      <c r="AL199" s="680"/>
    </row>
    <row r="200">
      <c r="A200" s="685" t="s">
        <v>1447</v>
      </c>
      <c r="B200" s="685" t="s">
        <v>1756</v>
      </c>
      <c r="C200" s="685" t="s">
        <v>1762</v>
      </c>
      <c r="D200" s="685" t="s">
        <v>723</v>
      </c>
      <c r="E200" s="686">
        <v>690.0</v>
      </c>
      <c r="F200" s="692" t="s">
        <v>1763</v>
      </c>
      <c r="G200" s="687"/>
      <c r="H200" s="688"/>
      <c r="I200" s="685" t="s">
        <v>1764</v>
      </c>
      <c r="J200" s="689">
        <v>6.0</v>
      </c>
      <c r="K200" s="689">
        <v>0.0</v>
      </c>
      <c r="L200" s="689">
        <v>0.0</v>
      </c>
      <c r="M200" s="689">
        <v>0.0</v>
      </c>
      <c r="N200" s="686">
        <v>386.92</v>
      </c>
      <c r="O200" s="686">
        <v>2321.52</v>
      </c>
      <c r="P200" s="686">
        <v>2321.52</v>
      </c>
      <c r="Q200" s="686">
        <v>0.0</v>
      </c>
      <c r="R200" s="686">
        <v>0.0</v>
      </c>
      <c r="S200" s="686">
        <v>0.0</v>
      </c>
      <c r="T200" s="686">
        <v>0.0</v>
      </c>
      <c r="U200" s="690">
        <v>0.0</v>
      </c>
      <c r="V200" s="678"/>
      <c r="W200" s="679"/>
      <c r="X200" s="679"/>
      <c r="Y200" s="679"/>
      <c r="Z200" s="679"/>
      <c r="AA200" s="679"/>
      <c r="AB200" s="679"/>
      <c r="AC200" s="678"/>
      <c r="AD200" s="678"/>
      <c r="AE200" s="679"/>
      <c r="AF200" s="679"/>
      <c r="AG200" s="679"/>
      <c r="AH200" s="679"/>
      <c r="AI200" s="679"/>
      <c r="AJ200" s="676"/>
      <c r="AK200" s="676"/>
      <c r="AL200" s="679"/>
    </row>
    <row r="201">
      <c r="A201" s="685" t="s">
        <v>1447</v>
      </c>
      <c r="B201" s="685" t="s">
        <v>1756</v>
      </c>
      <c r="C201" s="685" t="s">
        <v>1674</v>
      </c>
      <c r="D201" s="685" t="s">
        <v>1594</v>
      </c>
      <c r="E201" s="686">
        <v>690.0</v>
      </c>
      <c r="F201" s="692" t="s">
        <v>1765</v>
      </c>
      <c r="G201" s="693"/>
      <c r="H201" s="688"/>
      <c r="I201" s="685" t="s">
        <v>1766</v>
      </c>
      <c r="J201" s="689">
        <v>10.0</v>
      </c>
      <c r="K201" s="689">
        <v>0.0</v>
      </c>
      <c r="L201" s="689">
        <v>0.0</v>
      </c>
      <c r="M201" s="689">
        <v>0.0</v>
      </c>
      <c r="N201" s="686">
        <v>386.92</v>
      </c>
      <c r="O201" s="686">
        <v>3869.2</v>
      </c>
      <c r="P201" s="686">
        <v>0.0</v>
      </c>
      <c r="Q201" s="686">
        <v>3869.2</v>
      </c>
      <c r="R201" s="686">
        <v>0.0</v>
      </c>
      <c r="S201" s="686">
        <v>0.0</v>
      </c>
      <c r="T201" s="686">
        <v>0.0</v>
      </c>
      <c r="U201" s="690">
        <v>0.0</v>
      </c>
      <c r="V201" s="678"/>
      <c r="W201" s="679"/>
      <c r="X201" s="679"/>
      <c r="Y201" s="679"/>
      <c r="Z201" s="679"/>
      <c r="AA201" s="679"/>
      <c r="AB201" s="679"/>
      <c r="AC201" s="678"/>
      <c r="AD201" s="678"/>
      <c r="AE201" s="679"/>
      <c r="AF201" s="679"/>
      <c r="AG201" s="679"/>
      <c r="AH201" s="679"/>
      <c r="AI201" s="679"/>
      <c r="AJ201" s="676"/>
      <c r="AK201" s="676"/>
      <c r="AL201" s="679"/>
    </row>
    <row r="202">
      <c r="A202" s="685" t="s">
        <v>1447</v>
      </c>
      <c r="B202" s="685" t="s">
        <v>1756</v>
      </c>
      <c r="C202" s="685" t="s">
        <v>1674</v>
      </c>
      <c r="D202" s="685" t="s">
        <v>723</v>
      </c>
      <c r="E202" s="686">
        <v>690.0</v>
      </c>
      <c r="F202" s="692" t="s">
        <v>1767</v>
      </c>
      <c r="G202" s="693"/>
      <c r="H202" s="688"/>
      <c r="I202" s="685" t="s">
        <v>1768</v>
      </c>
      <c r="J202" s="689">
        <v>4.0</v>
      </c>
      <c r="K202" s="689">
        <v>0.0</v>
      </c>
      <c r="L202" s="689">
        <v>0.0</v>
      </c>
      <c r="M202" s="689">
        <v>0.0</v>
      </c>
      <c r="N202" s="686">
        <v>386.92</v>
      </c>
      <c r="O202" s="686">
        <v>1547.68</v>
      </c>
      <c r="P202" s="686">
        <v>1547.68</v>
      </c>
      <c r="Q202" s="686">
        <v>0.0</v>
      </c>
      <c r="R202" s="686">
        <v>0.0</v>
      </c>
      <c r="S202" s="686">
        <v>0.0</v>
      </c>
      <c r="T202" s="686">
        <v>0.0</v>
      </c>
      <c r="U202" s="690">
        <v>0.0</v>
      </c>
      <c r="V202" s="678"/>
      <c r="W202" s="679"/>
      <c r="X202" s="679"/>
      <c r="Y202" s="679"/>
      <c r="Z202" s="679"/>
      <c r="AA202" s="679"/>
      <c r="AB202" s="679"/>
      <c r="AC202" s="678"/>
      <c r="AD202" s="678"/>
      <c r="AE202" s="679"/>
      <c r="AF202" s="679"/>
      <c r="AG202" s="679"/>
      <c r="AH202" s="679"/>
      <c r="AI202" s="679"/>
      <c r="AJ202" s="676"/>
      <c r="AK202" s="676"/>
      <c r="AL202" s="679"/>
    </row>
    <row r="203">
      <c r="A203" s="685" t="s">
        <v>1447</v>
      </c>
      <c r="B203" s="685" t="s">
        <v>1756</v>
      </c>
      <c r="C203" s="685" t="s">
        <v>1769</v>
      </c>
      <c r="D203" s="685" t="s">
        <v>1594</v>
      </c>
      <c r="E203" s="686">
        <v>990.0</v>
      </c>
      <c r="F203" s="692" t="s">
        <v>1770</v>
      </c>
      <c r="G203" s="693"/>
      <c r="H203" s="688"/>
      <c r="I203" s="685" t="s">
        <v>1771</v>
      </c>
      <c r="J203" s="689">
        <v>1.0</v>
      </c>
      <c r="K203" s="689">
        <v>0.0</v>
      </c>
      <c r="L203" s="689">
        <v>0.0</v>
      </c>
      <c r="M203" s="689">
        <v>0.0</v>
      </c>
      <c r="N203" s="686">
        <v>555.14</v>
      </c>
      <c r="O203" s="686">
        <v>555.14</v>
      </c>
      <c r="P203" s="686">
        <v>0.0</v>
      </c>
      <c r="Q203" s="686">
        <v>0.0</v>
      </c>
      <c r="R203" s="686">
        <v>0.0</v>
      </c>
      <c r="S203" s="686">
        <v>0.0</v>
      </c>
      <c r="T203" s="686">
        <v>0.0</v>
      </c>
      <c r="U203" s="690">
        <v>555.14</v>
      </c>
      <c r="V203" s="678"/>
      <c r="W203" s="679"/>
      <c r="X203" s="679"/>
      <c r="Y203" s="679"/>
      <c r="Z203" s="679"/>
      <c r="AA203" s="679"/>
      <c r="AB203" s="679"/>
      <c r="AC203" s="678"/>
      <c r="AD203" s="678"/>
      <c r="AE203" s="679"/>
      <c r="AF203" s="679"/>
      <c r="AG203" s="679"/>
      <c r="AH203" s="679"/>
      <c r="AI203" s="679"/>
      <c r="AJ203" s="676"/>
      <c r="AK203" s="676"/>
      <c r="AL203" s="679"/>
    </row>
    <row r="204">
      <c r="A204" s="685" t="s">
        <v>1447</v>
      </c>
      <c r="B204" s="685" t="s">
        <v>1756</v>
      </c>
      <c r="C204" s="685" t="s">
        <v>1769</v>
      </c>
      <c r="D204" s="685" t="s">
        <v>723</v>
      </c>
      <c r="E204" s="686">
        <v>890.0</v>
      </c>
      <c r="F204" s="692" t="s">
        <v>1772</v>
      </c>
      <c r="G204" s="693"/>
      <c r="H204" s="688"/>
      <c r="I204" s="685" t="s">
        <v>1773</v>
      </c>
      <c r="J204" s="689">
        <v>4.0</v>
      </c>
      <c r="K204" s="689">
        <v>0.0</v>
      </c>
      <c r="L204" s="689">
        <v>0.0</v>
      </c>
      <c r="M204" s="689">
        <v>0.0</v>
      </c>
      <c r="N204" s="686">
        <v>499.07</v>
      </c>
      <c r="O204" s="686">
        <v>1996.28</v>
      </c>
      <c r="P204" s="686">
        <v>1996.28</v>
      </c>
      <c r="Q204" s="686">
        <v>0.0</v>
      </c>
      <c r="R204" s="686">
        <v>0.0</v>
      </c>
      <c r="S204" s="686">
        <v>0.0</v>
      </c>
      <c r="T204" s="686">
        <v>0.0</v>
      </c>
      <c r="U204" s="690">
        <v>0.0</v>
      </c>
      <c r="V204" s="678"/>
      <c r="W204" s="679"/>
      <c r="X204" s="679"/>
      <c r="Y204" s="679"/>
      <c r="Z204" s="679"/>
      <c r="AA204" s="679"/>
      <c r="AB204" s="679"/>
      <c r="AC204" s="678"/>
      <c r="AD204" s="678"/>
      <c r="AE204" s="679"/>
      <c r="AF204" s="679"/>
      <c r="AG204" s="679"/>
      <c r="AH204" s="679"/>
      <c r="AI204" s="679"/>
      <c r="AJ204" s="676"/>
      <c r="AK204" s="676"/>
      <c r="AL204" s="679"/>
    </row>
    <row r="205">
      <c r="A205" s="685" t="s">
        <v>1447</v>
      </c>
      <c r="B205" s="685" t="s">
        <v>1756</v>
      </c>
      <c r="C205" s="685" t="s">
        <v>1774</v>
      </c>
      <c r="D205" s="685" t="s">
        <v>1594</v>
      </c>
      <c r="E205" s="686">
        <v>990.0</v>
      </c>
      <c r="F205" s="692" t="s">
        <v>622</v>
      </c>
      <c r="G205" s="693"/>
      <c r="H205" s="688"/>
      <c r="I205" s="685" t="s">
        <v>1775</v>
      </c>
      <c r="J205" s="689">
        <v>1.0</v>
      </c>
      <c r="K205" s="689">
        <v>0.0</v>
      </c>
      <c r="L205" s="689">
        <v>0.0</v>
      </c>
      <c r="M205" s="689">
        <v>0.0</v>
      </c>
      <c r="N205" s="686">
        <v>499.63</v>
      </c>
      <c r="O205" s="686">
        <v>499.63</v>
      </c>
      <c r="P205" s="686">
        <v>0.0</v>
      </c>
      <c r="Q205" s="686">
        <v>0.0</v>
      </c>
      <c r="R205" s="686">
        <v>0.0</v>
      </c>
      <c r="S205" s="686">
        <v>0.0</v>
      </c>
      <c r="T205" s="686">
        <v>0.0</v>
      </c>
      <c r="U205" s="690">
        <v>499.63</v>
      </c>
      <c r="V205" s="678"/>
      <c r="W205" s="679"/>
      <c r="X205" s="679"/>
      <c r="Y205" s="679"/>
      <c r="Z205" s="679"/>
      <c r="AA205" s="679"/>
      <c r="AB205" s="679"/>
      <c r="AC205" s="678"/>
      <c r="AD205" s="678"/>
      <c r="AE205" s="679"/>
      <c r="AF205" s="679"/>
      <c r="AG205" s="679"/>
      <c r="AH205" s="679"/>
      <c r="AI205" s="679"/>
      <c r="AJ205" s="676"/>
      <c r="AK205" s="676"/>
      <c r="AL205" s="679"/>
    </row>
    <row r="206">
      <c r="A206" s="685" t="s">
        <v>1447</v>
      </c>
      <c r="B206" s="685" t="s">
        <v>1776</v>
      </c>
      <c r="C206" s="685" t="s">
        <v>1777</v>
      </c>
      <c r="D206" s="685" t="s">
        <v>1391</v>
      </c>
      <c r="E206" s="686">
        <v>1590.0</v>
      </c>
      <c r="F206" s="692" t="s">
        <v>1778</v>
      </c>
      <c r="G206" s="693"/>
      <c r="H206" s="688"/>
      <c r="I206" s="685" t="s">
        <v>1779</v>
      </c>
      <c r="J206" s="689">
        <v>1.0</v>
      </c>
      <c r="K206" s="689">
        <v>0.0</v>
      </c>
      <c r="L206" s="689">
        <v>0.0</v>
      </c>
      <c r="M206" s="689">
        <v>0.0</v>
      </c>
      <c r="N206" s="686">
        <v>1040.0</v>
      </c>
      <c r="O206" s="686">
        <v>1040.0</v>
      </c>
      <c r="P206" s="686">
        <v>0.0</v>
      </c>
      <c r="Q206" s="686">
        <v>0.0</v>
      </c>
      <c r="R206" s="686">
        <v>0.0</v>
      </c>
      <c r="S206" s="686">
        <v>0.0</v>
      </c>
      <c r="T206" s="686">
        <v>0.0</v>
      </c>
      <c r="U206" s="690">
        <v>1040.0</v>
      </c>
      <c r="V206" s="678"/>
      <c r="W206" s="679"/>
      <c r="X206" s="679"/>
      <c r="Y206" s="679"/>
      <c r="Z206" s="679"/>
      <c r="AA206" s="679"/>
      <c r="AB206" s="679"/>
      <c r="AC206" s="678"/>
      <c r="AD206" s="678"/>
      <c r="AE206" s="679"/>
      <c r="AF206" s="679"/>
      <c r="AG206" s="679"/>
      <c r="AH206" s="679"/>
      <c r="AI206" s="679"/>
      <c r="AJ206" s="676"/>
      <c r="AK206" s="676"/>
      <c r="AL206" s="679"/>
    </row>
    <row r="207">
      <c r="A207" s="685" t="s">
        <v>1447</v>
      </c>
      <c r="B207" s="685" t="s">
        <v>1780</v>
      </c>
      <c r="C207" s="685" t="s">
        <v>1781</v>
      </c>
      <c r="D207" s="685" t="s">
        <v>1391</v>
      </c>
      <c r="E207" s="686">
        <v>2390.0</v>
      </c>
      <c r="F207" s="692" t="s">
        <v>1782</v>
      </c>
      <c r="G207" s="693"/>
      <c r="H207" s="688"/>
      <c r="I207" s="685" t="s">
        <v>1783</v>
      </c>
      <c r="J207" s="689">
        <v>1.0</v>
      </c>
      <c r="K207" s="689">
        <v>0.0</v>
      </c>
      <c r="L207" s="689">
        <v>0.0</v>
      </c>
      <c r="M207" s="689">
        <v>0.0</v>
      </c>
      <c r="N207" s="686">
        <v>1564.0</v>
      </c>
      <c r="O207" s="686">
        <v>1564.0</v>
      </c>
      <c r="P207" s="686">
        <v>0.0</v>
      </c>
      <c r="Q207" s="686">
        <v>1564.0</v>
      </c>
      <c r="R207" s="686">
        <v>0.0</v>
      </c>
      <c r="S207" s="686">
        <v>0.0</v>
      </c>
      <c r="T207" s="686">
        <v>0.0</v>
      </c>
      <c r="U207" s="690">
        <v>0.0</v>
      </c>
      <c r="V207" s="694"/>
      <c r="W207" s="679"/>
      <c r="X207" s="679"/>
      <c r="Y207" s="679"/>
      <c r="Z207" s="679"/>
      <c r="AA207" s="679"/>
      <c r="AB207" s="679"/>
      <c r="AC207" s="678"/>
      <c r="AD207" s="678"/>
      <c r="AE207" s="679"/>
      <c r="AF207" s="679"/>
      <c r="AG207" s="679"/>
      <c r="AH207" s="679"/>
      <c r="AI207" s="679"/>
      <c r="AJ207" s="676"/>
      <c r="AK207" s="676"/>
      <c r="AL207" s="679"/>
    </row>
    <row r="208">
      <c r="A208" s="685" t="s">
        <v>1447</v>
      </c>
      <c r="B208" s="685" t="s">
        <v>1780</v>
      </c>
      <c r="C208" s="685" t="s">
        <v>1781</v>
      </c>
      <c r="D208" s="685" t="s">
        <v>1391</v>
      </c>
      <c r="E208" s="686">
        <v>2390.0</v>
      </c>
      <c r="F208" s="692" t="s">
        <v>1784</v>
      </c>
      <c r="G208" s="687"/>
      <c r="H208" s="688"/>
      <c r="I208" s="685" t="s">
        <v>1785</v>
      </c>
      <c r="J208" s="689">
        <v>1.0</v>
      </c>
      <c r="K208" s="689">
        <v>0.0</v>
      </c>
      <c r="L208" s="689">
        <v>0.0</v>
      </c>
      <c r="M208" s="689">
        <v>0.0</v>
      </c>
      <c r="N208" s="686">
        <v>1564.0</v>
      </c>
      <c r="O208" s="686">
        <v>1564.0</v>
      </c>
      <c r="P208" s="686">
        <v>0.0</v>
      </c>
      <c r="Q208" s="686">
        <v>1564.0</v>
      </c>
      <c r="R208" s="686">
        <v>0.0</v>
      </c>
      <c r="S208" s="686">
        <v>0.0</v>
      </c>
      <c r="T208" s="686">
        <v>0.0</v>
      </c>
      <c r="U208" s="690">
        <v>0.0</v>
      </c>
      <c r="V208" s="678"/>
      <c r="W208" s="679"/>
      <c r="X208" s="679"/>
      <c r="Y208" s="679"/>
      <c r="Z208" s="679"/>
      <c r="AA208" s="679"/>
      <c r="AB208" s="679"/>
      <c r="AC208" s="678"/>
      <c r="AD208" s="678"/>
      <c r="AE208" s="679"/>
      <c r="AF208" s="679"/>
      <c r="AG208" s="679"/>
      <c r="AH208" s="679"/>
      <c r="AI208" s="679"/>
      <c r="AJ208" s="676"/>
      <c r="AK208" s="676"/>
      <c r="AL208" s="679"/>
    </row>
    <row r="209">
      <c r="A209" s="685" t="s">
        <v>1447</v>
      </c>
      <c r="B209" s="685" t="s">
        <v>1780</v>
      </c>
      <c r="C209" s="685" t="s">
        <v>1781</v>
      </c>
      <c r="D209" s="685" t="s">
        <v>1391</v>
      </c>
      <c r="E209" s="686">
        <v>2390.0</v>
      </c>
      <c r="F209" s="692" t="s">
        <v>1786</v>
      </c>
      <c r="G209" s="693"/>
      <c r="H209" s="688"/>
      <c r="I209" s="685" t="s">
        <v>1787</v>
      </c>
      <c r="J209" s="689">
        <v>1.0</v>
      </c>
      <c r="K209" s="689">
        <v>0.0</v>
      </c>
      <c r="L209" s="689">
        <v>0.0</v>
      </c>
      <c r="M209" s="689">
        <v>0.0</v>
      </c>
      <c r="N209" s="686">
        <v>1564.0</v>
      </c>
      <c r="O209" s="686">
        <v>1564.0</v>
      </c>
      <c r="P209" s="686">
        <v>0.0</v>
      </c>
      <c r="Q209" s="686">
        <v>1564.0</v>
      </c>
      <c r="R209" s="686">
        <v>0.0</v>
      </c>
      <c r="S209" s="686">
        <v>0.0</v>
      </c>
      <c r="T209" s="686">
        <v>0.0</v>
      </c>
      <c r="U209" s="690">
        <v>0.0</v>
      </c>
      <c r="V209" s="678"/>
      <c r="W209" s="679"/>
      <c r="X209" s="679"/>
      <c r="Y209" s="679"/>
      <c r="Z209" s="679"/>
      <c r="AA209" s="679"/>
      <c r="AB209" s="679"/>
      <c r="AC209" s="678"/>
      <c r="AD209" s="678"/>
      <c r="AE209" s="679"/>
      <c r="AF209" s="679"/>
      <c r="AG209" s="679"/>
      <c r="AH209" s="679"/>
      <c r="AI209" s="679"/>
      <c r="AJ209" s="676"/>
      <c r="AK209" s="676"/>
      <c r="AL209" s="679"/>
    </row>
    <row r="210">
      <c r="A210" s="685" t="s">
        <v>1447</v>
      </c>
      <c r="B210" s="685" t="s">
        <v>1780</v>
      </c>
      <c r="C210" s="685" t="s">
        <v>1781</v>
      </c>
      <c r="D210" s="685" t="s">
        <v>1391</v>
      </c>
      <c r="E210" s="686">
        <v>2390.0</v>
      </c>
      <c r="F210" s="692" t="s">
        <v>1788</v>
      </c>
      <c r="G210" s="693"/>
      <c r="H210" s="688"/>
      <c r="I210" s="685" t="s">
        <v>1789</v>
      </c>
      <c r="J210" s="689">
        <v>1.0</v>
      </c>
      <c r="K210" s="689">
        <v>0.0</v>
      </c>
      <c r="L210" s="689">
        <v>0.0</v>
      </c>
      <c r="M210" s="689">
        <v>0.0</v>
      </c>
      <c r="N210" s="686">
        <v>1564.0</v>
      </c>
      <c r="O210" s="686">
        <v>1564.0</v>
      </c>
      <c r="P210" s="686">
        <v>0.0</v>
      </c>
      <c r="Q210" s="686">
        <v>1564.0</v>
      </c>
      <c r="R210" s="686">
        <v>0.0</v>
      </c>
      <c r="S210" s="686">
        <v>0.0</v>
      </c>
      <c r="T210" s="686">
        <v>0.0</v>
      </c>
      <c r="U210" s="690">
        <v>0.0</v>
      </c>
      <c r="V210" s="694"/>
      <c r="W210" s="679"/>
      <c r="X210" s="679"/>
      <c r="Y210" s="679"/>
      <c r="Z210" s="679"/>
      <c r="AA210" s="679"/>
      <c r="AB210" s="679"/>
      <c r="AC210" s="678"/>
      <c r="AD210" s="678"/>
      <c r="AE210" s="679"/>
      <c r="AF210" s="679"/>
      <c r="AG210" s="679"/>
      <c r="AH210" s="679"/>
      <c r="AI210" s="679"/>
      <c r="AJ210" s="676"/>
      <c r="AK210" s="676"/>
      <c r="AL210" s="679"/>
    </row>
    <row r="211">
      <c r="A211" s="685" t="s">
        <v>1447</v>
      </c>
      <c r="B211" s="685" t="s">
        <v>1780</v>
      </c>
      <c r="C211" s="685" t="s">
        <v>1781</v>
      </c>
      <c r="D211" s="685" t="s">
        <v>1391</v>
      </c>
      <c r="E211" s="686">
        <v>2390.0</v>
      </c>
      <c r="F211" s="692" t="s">
        <v>1790</v>
      </c>
      <c r="G211" s="687"/>
      <c r="H211" s="688"/>
      <c r="I211" s="685" t="s">
        <v>1791</v>
      </c>
      <c r="J211" s="689">
        <v>1.0</v>
      </c>
      <c r="K211" s="689">
        <v>0.0</v>
      </c>
      <c r="L211" s="689">
        <v>0.0</v>
      </c>
      <c r="M211" s="689">
        <v>0.0</v>
      </c>
      <c r="N211" s="686">
        <v>1564.0</v>
      </c>
      <c r="O211" s="686">
        <v>1564.0</v>
      </c>
      <c r="P211" s="686">
        <v>0.0</v>
      </c>
      <c r="Q211" s="686">
        <v>1564.0</v>
      </c>
      <c r="R211" s="686">
        <v>0.0</v>
      </c>
      <c r="S211" s="686">
        <v>0.0</v>
      </c>
      <c r="T211" s="686">
        <v>0.0</v>
      </c>
      <c r="U211" s="690">
        <v>0.0</v>
      </c>
      <c r="V211" s="678"/>
      <c r="W211" s="679"/>
      <c r="X211" s="679"/>
      <c r="Y211" s="679"/>
      <c r="Z211" s="679"/>
      <c r="AA211" s="679"/>
      <c r="AB211" s="679"/>
      <c r="AC211" s="678"/>
      <c r="AD211" s="678"/>
      <c r="AE211" s="679"/>
      <c r="AF211" s="679"/>
      <c r="AG211" s="679"/>
      <c r="AH211" s="679"/>
      <c r="AI211" s="679"/>
      <c r="AJ211" s="676"/>
      <c r="AK211" s="676"/>
      <c r="AL211" s="679"/>
    </row>
    <row r="212">
      <c r="A212" s="685" t="s">
        <v>1447</v>
      </c>
      <c r="B212" s="685" t="s">
        <v>1780</v>
      </c>
      <c r="C212" s="685" t="s">
        <v>1781</v>
      </c>
      <c r="D212" s="685" t="s">
        <v>1391</v>
      </c>
      <c r="E212" s="686">
        <v>2390.0</v>
      </c>
      <c r="F212" s="692" t="s">
        <v>1792</v>
      </c>
      <c r="G212" s="687"/>
      <c r="H212" s="688"/>
      <c r="I212" s="685" t="s">
        <v>1793</v>
      </c>
      <c r="J212" s="689">
        <v>1.0</v>
      </c>
      <c r="K212" s="689">
        <v>0.0</v>
      </c>
      <c r="L212" s="689">
        <v>0.0</v>
      </c>
      <c r="M212" s="689">
        <v>0.0</v>
      </c>
      <c r="N212" s="686">
        <v>1564.0</v>
      </c>
      <c r="O212" s="686">
        <v>1564.0</v>
      </c>
      <c r="P212" s="686">
        <v>0.0</v>
      </c>
      <c r="Q212" s="686">
        <v>1564.0</v>
      </c>
      <c r="R212" s="686">
        <v>0.0</v>
      </c>
      <c r="S212" s="686">
        <v>0.0</v>
      </c>
      <c r="T212" s="686">
        <v>0.0</v>
      </c>
      <c r="U212" s="690">
        <v>0.0</v>
      </c>
      <c r="V212" s="678"/>
      <c r="W212" s="679"/>
      <c r="X212" s="679"/>
      <c r="Y212" s="679"/>
      <c r="Z212" s="679"/>
      <c r="AA212" s="679"/>
      <c r="AB212" s="679"/>
      <c r="AC212" s="678"/>
      <c r="AD212" s="678"/>
      <c r="AE212" s="679"/>
      <c r="AF212" s="679"/>
      <c r="AG212" s="679"/>
      <c r="AH212" s="679"/>
      <c r="AI212" s="679"/>
      <c r="AJ212" s="676"/>
      <c r="AK212" s="676"/>
      <c r="AL212" s="679"/>
    </row>
    <row r="213">
      <c r="A213" s="685" t="s">
        <v>1447</v>
      </c>
      <c r="B213" s="685" t="s">
        <v>1780</v>
      </c>
      <c r="C213" s="685" t="s">
        <v>1781</v>
      </c>
      <c r="D213" s="685" t="s">
        <v>1391</v>
      </c>
      <c r="E213" s="686">
        <v>2390.0</v>
      </c>
      <c r="F213" s="692" t="s">
        <v>1794</v>
      </c>
      <c r="G213" s="687"/>
      <c r="H213" s="688"/>
      <c r="I213" s="685" t="s">
        <v>1795</v>
      </c>
      <c r="J213" s="689">
        <v>1.0</v>
      </c>
      <c r="K213" s="689">
        <v>0.0</v>
      </c>
      <c r="L213" s="689">
        <v>0.0</v>
      </c>
      <c r="M213" s="689">
        <v>0.0</v>
      </c>
      <c r="N213" s="686">
        <v>1564.0</v>
      </c>
      <c r="O213" s="686">
        <v>1564.0</v>
      </c>
      <c r="P213" s="686">
        <v>0.0</v>
      </c>
      <c r="Q213" s="686">
        <v>1564.0</v>
      </c>
      <c r="R213" s="686">
        <v>0.0</v>
      </c>
      <c r="S213" s="686">
        <v>0.0</v>
      </c>
      <c r="T213" s="686">
        <v>0.0</v>
      </c>
      <c r="U213" s="690">
        <v>0.0</v>
      </c>
      <c r="V213" s="678"/>
      <c r="W213" s="679"/>
      <c r="X213" s="679"/>
      <c r="Y213" s="679"/>
      <c r="Z213" s="679"/>
      <c r="AA213" s="679"/>
      <c r="AB213" s="679"/>
      <c r="AC213" s="678"/>
      <c r="AD213" s="678"/>
      <c r="AE213" s="679"/>
      <c r="AF213" s="679"/>
      <c r="AG213" s="679"/>
      <c r="AH213" s="679"/>
      <c r="AI213" s="679"/>
      <c r="AJ213" s="676"/>
      <c r="AK213" s="676"/>
      <c r="AL213" s="679"/>
    </row>
    <row r="214">
      <c r="A214" s="685" t="s">
        <v>1447</v>
      </c>
      <c r="B214" s="685" t="s">
        <v>1780</v>
      </c>
      <c r="C214" s="685" t="s">
        <v>1781</v>
      </c>
      <c r="D214" s="685" t="s">
        <v>1391</v>
      </c>
      <c r="E214" s="686">
        <v>2390.0</v>
      </c>
      <c r="F214" s="692" t="s">
        <v>1796</v>
      </c>
      <c r="G214" s="687"/>
      <c r="H214" s="688"/>
      <c r="I214" s="685" t="s">
        <v>1797</v>
      </c>
      <c r="J214" s="689">
        <v>1.0</v>
      </c>
      <c r="K214" s="689">
        <v>0.0</v>
      </c>
      <c r="L214" s="689">
        <v>0.0</v>
      </c>
      <c r="M214" s="689">
        <v>0.0</v>
      </c>
      <c r="N214" s="686">
        <v>1564.0</v>
      </c>
      <c r="O214" s="686">
        <v>1564.0</v>
      </c>
      <c r="P214" s="686">
        <v>0.0</v>
      </c>
      <c r="Q214" s="686">
        <v>1564.0</v>
      </c>
      <c r="R214" s="686">
        <v>0.0</v>
      </c>
      <c r="S214" s="686">
        <v>0.0</v>
      </c>
      <c r="T214" s="686">
        <v>0.0</v>
      </c>
      <c r="U214" s="690">
        <v>0.0</v>
      </c>
      <c r="V214" s="678"/>
      <c r="W214" s="679"/>
      <c r="X214" s="679"/>
      <c r="Y214" s="679"/>
      <c r="Z214" s="679"/>
      <c r="AA214" s="679"/>
      <c r="AB214" s="679"/>
      <c r="AC214" s="678"/>
      <c r="AD214" s="678"/>
      <c r="AE214" s="679"/>
      <c r="AF214" s="679"/>
      <c r="AG214" s="679"/>
      <c r="AH214" s="679"/>
      <c r="AI214" s="679"/>
      <c r="AJ214" s="676"/>
      <c r="AK214" s="676"/>
      <c r="AL214" s="680"/>
    </row>
    <row r="215">
      <c r="A215" s="685" t="s">
        <v>1447</v>
      </c>
      <c r="B215" s="685" t="s">
        <v>1780</v>
      </c>
      <c r="C215" s="685" t="s">
        <v>1781</v>
      </c>
      <c r="D215" s="685" t="s">
        <v>1391</v>
      </c>
      <c r="E215" s="686">
        <v>2390.0</v>
      </c>
      <c r="F215" s="692" t="s">
        <v>1798</v>
      </c>
      <c r="G215" s="693"/>
      <c r="H215" s="688"/>
      <c r="I215" s="685" t="s">
        <v>1799</v>
      </c>
      <c r="J215" s="689">
        <v>1.0</v>
      </c>
      <c r="K215" s="689">
        <v>0.0</v>
      </c>
      <c r="L215" s="689">
        <v>0.0</v>
      </c>
      <c r="M215" s="689">
        <v>0.0</v>
      </c>
      <c r="N215" s="686">
        <v>1564.0</v>
      </c>
      <c r="O215" s="686">
        <v>1564.0</v>
      </c>
      <c r="P215" s="686">
        <v>0.0</v>
      </c>
      <c r="Q215" s="686">
        <v>1564.0</v>
      </c>
      <c r="R215" s="686">
        <v>0.0</v>
      </c>
      <c r="S215" s="686">
        <v>0.0</v>
      </c>
      <c r="T215" s="686">
        <v>0.0</v>
      </c>
      <c r="U215" s="690">
        <v>0.0</v>
      </c>
      <c r="V215" s="678"/>
      <c r="W215" s="679"/>
      <c r="X215" s="679"/>
      <c r="Y215" s="679"/>
      <c r="Z215" s="679"/>
      <c r="AA215" s="679"/>
      <c r="AB215" s="679"/>
      <c r="AC215" s="678"/>
      <c r="AD215" s="678"/>
      <c r="AE215" s="679"/>
      <c r="AF215" s="679"/>
      <c r="AG215" s="679"/>
      <c r="AH215" s="679"/>
      <c r="AI215" s="679"/>
      <c r="AJ215" s="676"/>
      <c r="AK215" s="676"/>
      <c r="AL215" s="680"/>
    </row>
    <row r="216">
      <c r="A216" s="685" t="s">
        <v>1447</v>
      </c>
      <c r="B216" s="685" t="s">
        <v>1780</v>
      </c>
      <c r="C216" s="685" t="s">
        <v>1781</v>
      </c>
      <c r="D216" s="685" t="s">
        <v>1391</v>
      </c>
      <c r="E216" s="686">
        <v>2390.0</v>
      </c>
      <c r="F216" s="692" t="s">
        <v>1800</v>
      </c>
      <c r="G216" s="693"/>
      <c r="H216" s="688"/>
      <c r="I216" s="685" t="s">
        <v>1801</v>
      </c>
      <c r="J216" s="689">
        <v>1.0</v>
      </c>
      <c r="K216" s="689">
        <v>0.0</v>
      </c>
      <c r="L216" s="689">
        <v>0.0</v>
      </c>
      <c r="M216" s="689">
        <v>0.0</v>
      </c>
      <c r="N216" s="686">
        <v>1564.0</v>
      </c>
      <c r="O216" s="686">
        <v>1564.0</v>
      </c>
      <c r="P216" s="686">
        <v>0.0</v>
      </c>
      <c r="Q216" s="686">
        <v>1564.0</v>
      </c>
      <c r="R216" s="686">
        <v>0.0</v>
      </c>
      <c r="S216" s="686">
        <v>0.0</v>
      </c>
      <c r="T216" s="686">
        <v>0.0</v>
      </c>
      <c r="U216" s="690">
        <v>0.0</v>
      </c>
      <c r="V216" s="678"/>
      <c r="W216" s="679"/>
      <c r="X216" s="679"/>
      <c r="Y216" s="679"/>
      <c r="Z216" s="679"/>
      <c r="AA216" s="679"/>
      <c r="AB216" s="679"/>
      <c r="AC216" s="678"/>
      <c r="AD216" s="678"/>
      <c r="AE216" s="679"/>
      <c r="AF216" s="679"/>
      <c r="AG216" s="679"/>
      <c r="AH216" s="679"/>
      <c r="AI216" s="679"/>
      <c r="AJ216" s="676"/>
      <c r="AK216" s="676"/>
      <c r="AL216" s="679"/>
    </row>
    <row r="217">
      <c r="A217" s="685" t="s">
        <v>1447</v>
      </c>
      <c r="B217" s="685" t="s">
        <v>1780</v>
      </c>
      <c r="C217" s="685" t="s">
        <v>1781</v>
      </c>
      <c r="D217" s="685" t="s">
        <v>1391</v>
      </c>
      <c r="E217" s="686">
        <v>2390.0</v>
      </c>
      <c r="F217" s="692" t="s">
        <v>1802</v>
      </c>
      <c r="G217" s="687"/>
      <c r="H217" s="688"/>
      <c r="I217" s="685" t="s">
        <v>1803</v>
      </c>
      <c r="J217" s="689">
        <v>1.0</v>
      </c>
      <c r="K217" s="689">
        <v>0.0</v>
      </c>
      <c r="L217" s="689">
        <v>0.0</v>
      </c>
      <c r="M217" s="689">
        <v>0.0</v>
      </c>
      <c r="N217" s="686">
        <v>1564.0</v>
      </c>
      <c r="O217" s="686">
        <v>1564.0</v>
      </c>
      <c r="P217" s="686">
        <v>0.0</v>
      </c>
      <c r="Q217" s="686">
        <v>1564.0</v>
      </c>
      <c r="R217" s="686">
        <v>0.0</v>
      </c>
      <c r="S217" s="686">
        <v>0.0</v>
      </c>
      <c r="T217" s="686">
        <v>0.0</v>
      </c>
      <c r="U217" s="690">
        <v>0.0</v>
      </c>
      <c r="V217" s="678"/>
      <c r="W217" s="679"/>
      <c r="X217" s="679"/>
      <c r="Y217" s="679"/>
      <c r="Z217" s="679"/>
      <c r="AA217" s="679"/>
      <c r="AB217" s="679"/>
      <c r="AC217" s="678"/>
      <c r="AD217" s="678"/>
      <c r="AE217" s="679"/>
      <c r="AF217" s="679"/>
      <c r="AG217" s="679"/>
      <c r="AH217" s="679"/>
      <c r="AI217" s="679"/>
      <c r="AJ217" s="676"/>
      <c r="AK217" s="676"/>
      <c r="AL217" s="680"/>
    </row>
    <row r="218">
      <c r="A218" s="685" t="s">
        <v>1447</v>
      </c>
      <c r="B218" s="685" t="s">
        <v>1780</v>
      </c>
      <c r="C218" s="685" t="s">
        <v>1781</v>
      </c>
      <c r="D218" s="685" t="s">
        <v>1391</v>
      </c>
      <c r="E218" s="686">
        <v>2390.0</v>
      </c>
      <c r="F218" s="692" t="s">
        <v>1804</v>
      </c>
      <c r="G218" s="687"/>
      <c r="H218" s="688"/>
      <c r="I218" s="685" t="s">
        <v>1805</v>
      </c>
      <c r="J218" s="689">
        <v>1.0</v>
      </c>
      <c r="K218" s="689">
        <v>0.0</v>
      </c>
      <c r="L218" s="689">
        <v>0.0</v>
      </c>
      <c r="M218" s="689">
        <v>0.0</v>
      </c>
      <c r="N218" s="686">
        <v>1564.0</v>
      </c>
      <c r="O218" s="686">
        <v>1564.0</v>
      </c>
      <c r="P218" s="686">
        <v>0.0</v>
      </c>
      <c r="Q218" s="686">
        <v>1564.0</v>
      </c>
      <c r="R218" s="686">
        <v>0.0</v>
      </c>
      <c r="S218" s="686">
        <v>0.0</v>
      </c>
      <c r="T218" s="686">
        <v>0.0</v>
      </c>
      <c r="U218" s="690">
        <v>0.0</v>
      </c>
      <c r="V218" s="694"/>
      <c r="W218" s="679"/>
      <c r="X218" s="679"/>
      <c r="Y218" s="679"/>
      <c r="Z218" s="679"/>
      <c r="AA218" s="679"/>
      <c r="AB218" s="679"/>
      <c r="AC218" s="678"/>
      <c r="AD218" s="678"/>
      <c r="AE218" s="679"/>
      <c r="AF218" s="679"/>
      <c r="AG218" s="679"/>
      <c r="AH218" s="679"/>
      <c r="AI218" s="679"/>
      <c r="AJ218" s="676"/>
      <c r="AK218" s="676"/>
      <c r="AL218" s="680"/>
    </row>
    <row r="219">
      <c r="A219" s="685" t="s">
        <v>1447</v>
      </c>
      <c r="B219" s="685" t="s">
        <v>1780</v>
      </c>
      <c r="C219" s="685" t="s">
        <v>1781</v>
      </c>
      <c r="D219" s="685" t="s">
        <v>1391</v>
      </c>
      <c r="E219" s="686">
        <v>2390.0</v>
      </c>
      <c r="F219" s="692" t="s">
        <v>1806</v>
      </c>
      <c r="G219" s="693"/>
      <c r="H219" s="688"/>
      <c r="I219" s="685" t="s">
        <v>1807</v>
      </c>
      <c r="J219" s="689">
        <v>1.0</v>
      </c>
      <c r="K219" s="689">
        <v>0.0</v>
      </c>
      <c r="L219" s="689">
        <v>0.0</v>
      </c>
      <c r="M219" s="689">
        <v>0.0</v>
      </c>
      <c r="N219" s="686">
        <v>1564.0</v>
      </c>
      <c r="O219" s="686">
        <v>1564.0</v>
      </c>
      <c r="P219" s="686">
        <v>0.0</v>
      </c>
      <c r="Q219" s="686">
        <v>1564.0</v>
      </c>
      <c r="R219" s="686">
        <v>0.0</v>
      </c>
      <c r="S219" s="686">
        <v>0.0</v>
      </c>
      <c r="T219" s="686">
        <v>0.0</v>
      </c>
      <c r="U219" s="690">
        <v>0.0</v>
      </c>
      <c r="V219" s="678"/>
      <c r="W219" s="679"/>
      <c r="X219" s="679"/>
      <c r="Y219" s="679"/>
      <c r="Z219" s="679"/>
      <c r="AA219" s="679"/>
      <c r="AB219" s="679"/>
      <c r="AC219" s="678"/>
      <c r="AD219" s="678"/>
      <c r="AE219" s="679"/>
      <c r="AF219" s="679"/>
      <c r="AG219" s="679"/>
      <c r="AH219" s="679"/>
      <c r="AI219" s="679"/>
      <c r="AJ219" s="676"/>
      <c r="AK219" s="676"/>
      <c r="AL219" s="680"/>
    </row>
    <row r="220">
      <c r="A220" s="685" t="s">
        <v>1447</v>
      </c>
      <c r="B220" s="685" t="s">
        <v>1780</v>
      </c>
      <c r="C220" s="685" t="s">
        <v>1781</v>
      </c>
      <c r="D220" s="685" t="s">
        <v>1391</v>
      </c>
      <c r="E220" s="686">
        <v>2390.0</v>
      </c>
      <c r="F220" s="692" t="s">
        <v>1808</v>
      </c>
      <c r="G220" s="693"/>
      <c r="H220" s="688"/>
      <c r="I220" s="685" t="s">
        <v>1809</v>
      </c>
      <c r="J220" s="689">
        <v>1.0</v>
      </c>
      <c r="K220" s="689">
        <v>0.0</v>
      </c>
      <c r="L220" s="689">
        <v>0.0</v>
      </c>
      <c r="M220" s="689">
        <v>0.0</v>
      </c>
      <c r="N220" s="686">
        <v>1564.0</v>
      </c>
      <c r="O220" s="686">
        <v>1564.0</v>
      </c>
      <c r="P220" s="686">
        <v>0.0</v>
      </c>
      <c r="Q220" s="686">
        <v>1564.0</v>
      </c>
      <c r="R220" s="686">
        <v>0.0</v>
      </c>
      <c r="S220" s="686">
        <v>0.0</v>
      </c>
      <c r="T220" s="686">
        <v>0.0</v>
      </c>
      <c r="U220" s="690">
        <v>0.0</v>
      </c>
      <c r="V220" s="678"/>
      <c r="W220" s="679"/>
      <c r="X220" s="679"/>
      <c r="Y220" s="679"/>
      <c r="Z220" s="679"/>
      <c r="AA220" s="679"/>
      <c r="AB220" s="679"/>
      <c r="AC220" s="678"/>
      <c r="AD220" s="678"/>
      <c r="AE220" s="679"/>
      <c r="AF220" s="679"/>
      <c r="AG220" s="679"/>
      <c r="AH220" s="679"/>
      <c r="AI220" s="679"/>
      <c r="AJ220" s="676"/>
      <c r="AK220" s="676"/>
      <c r="AL220" s="679"/>
    </row>
    <row r="221">
      <c r="A221" s="685" t="s">
        <v>1447</v>
      </c>
      <c r="B221" s="685" t="s">
        <v>1780</v>
      </c>
      <c r="C221" s="685" t="s">
        <v>1810</v>
      </c>
      <c r="D221" s="685" t="s">
        <v>1391</v>
      </c>
      <c r="E221" s="686">
        <v>1490.0</v>
      </c>
      <c r="F221" s="692" t="s">
        <v>1811</v>
      </c>
      <c r="G221" s="693"/>
      <c r="H221" s="688"/>
      <c r="I221" s="685" t="s">
        <v>1812</v>
      </c>
      <c r="J221" s="689">
        <v>2.0</v>
      </c>
      <c r="K221" s="689">
        <v>0.0</v>
      </c>
      <c r="L221" s="689">
        <v>0.0</v>
      </c>
      <c r="M221" s="689">
        <v>0.0</v>
      </c>
      <c r="N221" s="686">
        <v>975.0</v>
      </c>
      <c r="O221" s="686">
        <v>1950.0</v>
      </c>
      <c r="P221" s="686">
        <v>0.0</v>
      </c>
      <c r="Q221" s="686">
        <v>0.0</v>
      </c>
      <c r="R221" s="686">
        <v>0.0</v>
      </c>
      <c r="S221" s="686">
        <v>0.0</v>
      </c>
      <c r="T221" s="686">
        <v>0.0</v>
      </c>
      <c r="U221" s="690">
        <v>1950.0</v>
      </c>
      <c r="V221" s="678"/>
      <c r="W221" s="679"/>
      <c r="X221" s="679"/>
      <c r="Y221" s="679"/>
      <c r="Z221" s="679"/>
      <c r="AA221" s="679"/>
      <c r="AB221" s="679"/>
      <c r="AC221" s="678"/>
      <c r="AD221" s="678"/>
      <c r="AE221" s="679"/>
      <c r="AF221" s="679"/>
      <c r="AG221" s="679"/>
      <c r="AH221" s="679"/>
      <c r="AI221" s="679"/>
      <c r="AJ221" s="676"/>
      <c r="AK221" s="676"/>
      <c r="AL221" s="679"/>
    </row>
    <row r="222">
      <c r="A222" s="685" t="s">
        <v>1447</v>
      </c>
      <c r="B222" s="685" t="s">
        <v>1780</v>
      </c>
      <c r="C222" s="685" t="s">
        <v>1810</v>
      </c>
      <c r="D222" s="685" t="s">
        <v>1391</v>
      </c>
      <c r="E222" s="686">
        <v>1490.0</v>
      </c>
      <c r="F222" s="692" t="s">
        <v>1813</v>
      </c>
      <c r="G222" s="693"/>
      <c r="H222" s="688"/>
      <c r="I222" s="685" t="s">
        <v>1814</v>
      </c>
      <c r="J222" s="689">
        <v>1.0</v>
      </c>
      <c r="K222" s="689">
        <v>0.0</v>
      </c>
      <c r="L222" s="689">
        <v>0.0</v>
      </c>
      <c r="M222" s="689">
        <v>0.0</v>
      </c>
      <c r="N222" s="686">
        <v>975.0</v>
      </c>
      <c r="O222" s="686">
        <v>975.0</v>
      </c>
      <c r="P222" s="686">
        <v>0.0</v>
      </c>
      <c r="Q222" s="686">
        <v>0.0</v>
      </c>
      <c r="R222" s="686">
        <v>0.0</v>
      </c>
      <c r="S222" s="686">
        <v>0.0</v>
      </c>
      <c r="T222" s="686">
        <v>0.0</v>
      </c>
      <c r="U222" s="690">
        <v>975.0</v>
      </c>
      <c r="V222" s="694"/>
      <c r="W222" s="679"/>
      <c r="X222" s="679"/>
      <c r="Y222" s="679"/>
      <c r="Z222" s="679"/>
      <c r="AA222" s="679"/>
      <c r="AB222" s="679"/>
      <c r="AC222" s="678"/>
      <c r="AD222" s="678"/>
      <c r="AE222" s="679"/>
      <c r="AF222" s="679"/>
      <c r="AG222" s="679"/>
      <c r="AH222" s="679"/>
      <c r="AI222" s="679"/>
      <c r="AJ222" s="676"/>
      <c r="AK222" s="676"/>
      <c r="AL222" s="679"/>
    </row>
    <row r="223">
      <c r="A223" s="685" t="s">
        <v>1447</v>
      </c>
      <c r="B223" s="685" t="s">
        <v>1780</v>
      </c>
      <c r="C223" s="685" t="s">
        <v>1810</v>
      </c>
      <c r="D223" s="685" t="s">
        <v>1391</v>
      </c>
      <c r="E223" s="686">
        <v>1490.0</v>
      </c>
      <c r="F223" s="692" t="s">
        <v>1815</v>
      </c>
      <c r="G223" s="693"/>
      <c r="H223" s="688"/>
      <c r="I223" s="685" t="s">
        <v>1816</v>
      </c>
      <c r="J223" s="689">
        <v>1.0</v>
      </c>
      <c r="K223" s="689">
        <v>0.0</v>
      </c>
      <c r="L223" s="689">
        <v>0.0</v>
      </c>
      <c r="M223" s="689">
        <v>0.0</v>
      </c>
      <c r="N223" s="686">
        <v>975.0</v>
      </c>
      <c r="O223" s="686">
        <v>975.0</v>
      </c>
      <c r="P223" s="686">
        <v>0.0</v>
      </c>
      <c r="Q223" s="686">
        <v>0.0</v>
      </c>
      <c r="R223" s="686">
        <v>0.0</v>
      </c>
      <c r="S223" s="686">
        <v>0.0</v>
      </c>
      <c r="T223" s="686">
        <v>0.0</v>
      </c>
      <c r="U223" s="690">
        <v>975.0</v>
      </c>
      <c r="V223" s="678"/>
      <c r="W223" s="679"/>
      <c r="X223" s="679"/>
      <c r="Y223" s="679"/>
      <c r="Z223" s="679"/>
      <c r="AA223" s="679"/>
      <c r="AB223" s="679"/>
      <c r="AC223" s="678"/>
      <c r="AD223" s="678"/>
      <c r="AE223" s="679"/>
      <c r="AF223" s="679"/>
      <c r="AG223" s="679"/>
      <c r="AH223" s="679"/>
      <c r="AI223" s="679"/>
      <c r="AJ223" s="676"/>
      <c r="AK223" s="676"/>
      <c r="AL223" s="679"/>
    </row>
    <row r="224">
      <c r="A224" s="685" t="s">
        <v>1447</v>
      </c>
      <c r="B224" s="685" t="s">
        <v>1780</v>
      </c>
      <c r="C224" s="685" t="s">
        <v>1810</v>
      </c>
      <c r="D224" s="685" t="s">
        <v>1391</v>
      </c>
      <c r="E224" s="686">
        <v>1490.0</v>
      </c>
      <c r="F224" s="692" t="s">
        <v>1817</v>
      </c>
      <c r="G224" s="693"/>
      <c r="H224" s="688"/>
      <c r="I224" s="685" t="s">
        <v>1818</v>
      </c>
      <c r="J224" s="689">
        <v>1.0</v>
      </c>
      <c r="K224" s="689">
        <v>0.0</v>
      </c>
      <c r="L224" s="689">
        <v>0.0</v>
      </c>
      <c r="M224" s="689">
        <v>0.0</v>
      </c>
      <c r="N224" s="686">
        <v>975.0</v>
      </c>
      <c r="O224" s="686">
        <v>975.0</v>
      </c>
      <c r="P224" s="686">
        <v>0.0</v>
      </c>
      <c r="Q224" s="686">
        <v>0.0</v>
      </c>
      <c r="R224" s="686">
        <v>0.0</v>
      </c>
      <c r="S224" s="686">
        <v>0.0</v>
      </c>
      <c r="T224" s="686">
        <v>0.0</v>
      </c>
      <c r="U224" s="690">
        <v>975.0</v>
      </c>
      <c r="V224" s="678"/>
      <c r="W224" s="679"/>
      <c r="X224" s="679"/>
      <c r="Y224" s="679"/>
      <c r="Z224" s="679"/>
      <c r="AA224" s="679"/>
      <c r="AB224" s="679"/>
      <c r="AC224" s="678"/>
      <c r="AD224" s="678"/>
      <c r="AE224" s="679"/>
      <c r="AF224" s="679"/>
      <c r="AG224" s="679"/>
      <c r="AH224" s="679"/>
      <c r="AI224" s="679"/>
      <c r="AJ224" s="676"/>
      <c r="AK224" s="676"/>
      <c r="AL224" s="679"/>
    </row>
    <row r="225">
      <c r="A225" s="685" t="s">
        <v>1447</v>
      </c>
      <c r="B225" s="685" t="s">
        <v>1780</v>
      </c>
      <c r="C225" s="685" t="s">
        <v>1810</v>
      </c>
      <c r="D225" s="685" t="s">
        <v>1391</v>
      </c>
      <c r="E225" s="686">
        <v>1490.0</v>
      </c>
      <c r="F225" s="692" t="s">
        <v>1819</v>
      </c>
      <c r="G225" s="693"/>
      <c r="H225" s="688"/>
      <c r="I225" s="685" t="s">
        <v>1820</v>
      </c>
      <c r="J225" s="689">
        <v>1.0</v>
      </c>
      <c r="K225" s="689">
        <v>0.0</v>
      </c>
      <c r="L225" s="689">
        <v>0.0</v>
      </c>
      <c r="M225" s="689">
        <v>0.0</v>
      </c>
      <c r="N225" s="686">
        <v>975.0</v>
      </c>
      <c r="O225" s="686">
        <v>975.0</v>
      </c>
      <c r="P225" s="686">
        <v>0.0</v>
      </c>
      <c r="Q225" s="686">
        <v>0.0</v>
      </c>
      <c r="R225" s="686">
        <v>0.0</v>
      </c>
      <c r="S225" s="686">
        <v>0.0</v>
      </c>
      <c r="T225" s="686">
        <v>0.0</v>
      </c>
      <c r="U225" s="690">
        <v>975.0</v>
      </c>
      <c r="V225" s="678"/>
      <c r="W225" s="679"/>
      <c r="X225" s="679"/>
      <c r="Y225" s="679"/>
      <c r="Z225" s="679"/>
      <c r="AA225" s="679"/>
      <c r="AB225" s="679"/>
      <c r="AC225" s="678"/>
      <c r="AD225" s="678"/>
      <c r="AE225" s="679"/>
      <c r="AF225" s="679"/>
      <c r="AG225" s="679"/>
      <c r="AH225" s="679"/>
      <c r="AI225" s="679"/>
      <c r="AJ225" s="676"/>
      <c r="AK225" s="676"/>
      <c r="AL225" s="679"/>
    </row>
    <row r="226">
      <c r="A226" s="685" t="s">
        <v>1447</v>
      </c>
      <c r="B226" s="685" t="s">
        <v>1780</v>
      </c>
      <c r="C226" s="685" t="s">
        <v>1821</v>
      </c>
      <c r="D226" s="685" t="s">
        <v>1391</v>
      </c>
      <c r="E226" s="686">
        <v>1490.0</v>
      </c>
      <c r="F226" s="692" t="s">
        <v>1822</v>
      </c>
      <c r="G226" s="693"/>
      <c r="H226" s="688"/>
      <c r="I226" s="685" t="s">
        <v>1823</v>
      </c>
      <c r="J226" s="689">
        <v>1.0</v>
      </c>
      <c r="K226" s="689">
        <v>0.0</v>
      </c>
      <c r="L226" s="689">
        <v>0.0</v>
      </c>
      <c r="M226" s="689">
        <v>0.0</v>
      </c>
      <c r="N226" s="686">
        <v>975.0</v>
      </c>
      <c r="O226" s="686">
        <v>975.0</v>
      </c>
      <c r="P226" s="686">
        <v>0.0</v>
      </c>
      <c r="Q226" s="686">
        <v>975.0</v>
      </c>
      <c r="R226" s="686">
        <v>0.0</v>
      </c>
      <c r="S226" s="686">
        <v>0.0</v>
      </c>
      <c r="T226" s="686">
        <v>0.0</v>
      </c>
      <c r="U226" s="690">
        <v>0.0</v>
      </c>
      <c r="V226" s="678"/>
      <c r="W226" s="679"/>
      <c r="X226" s="679"/>
      <c r="Y226" s="679"/>
      <c r="Z226" s="679"/>
      <c r="AA226" s="679"/>
      <c r="AB226" s="679"/>
      <c r="AC226" s="678"/>
      <c r="AD226" s="678"/>
      <c r="AE226" s="679"/>
      <c r="AF226" s="679"/>
      <c r="AG226" s="679"/>
      <c r="AH226" s="679"/>
      <c r="AI226" s="679"/>
      <c r="AJ226" s="676"/>
      <c r="AK226" s="676"/>
      <c r="AL226" s="679"/>
    </row>
    <row r="227">
      <c r="A227" s="685" t="s">
        <v>1447</v>
      </c>
      <c r="B227" s="685" t="s">
        <v>1780</v>
      </c>
      <c r="C227" s="685" t="s">
        <v>1821</v>
      </c>
      <c r="D227" s="685" t="s">
        <v>1391</v>
      </c>
      <c r="E227" s="686">
        <v>1490.0</v>
      </c>
      <c r="F227" s="692" t="s">
        <v>1824</v>
      </c>
      <c r="G227" s="693"/>
      <c r="H227" s="688"/>
      <c r="I227" s="685" t="s">
        <v>1825</v>
      </c>
      <c r="J227" s="689">
        <v>1.0</v>
      </c>
      <c r="K227" s="689">
        <v>0.0</v>
      </c>
      <c r="L227" s="689">
        <v>0.0</v>
      </c>
      <c r="M227" s="689">
        <v>0.0</v>
      </c>
      <c r="N227" s="686">
        <v>975.0</v>
      </c>
      <c r="O227" s="686">
        <v>975.0</v>
      </c>
      <c r="P227" s="686">
        <v>0.0</v>
      </c>
      <c r="Q227" s="686">
        <v>975.0</v>
      </c>
      <c r="R227" s="686">
        <v>0.0</v>
      </c>
      <c r="S227" s="686">
        <v>0.0</v>
      </c>
      <c r="T227" s="686">
        <v>0.0</v>
      </c>
      <c r="U227" s="690">
        <v>0.0</v>
      </c>
      <c r="V227" s="678"/>
      <c r="W227" s="679"/>
      <c r="X227" s="679"/>
      <c r="Y227" s="679"/>
      <c r="Z227" s="679"/>
      <c r="AA227" s="679"/>
      <c r="AB227" s="679"/>
      <c r="AC227" s="678"/>
      <c r="AD227" s="678"/>
      <c r="AE227" s="679"/>
      <c r="AF227" s="679"/>
      <c r="AG227" s="679"/>
      <c r="AH227" s="679"/>
      <c r="AI227" s="679"/>
      <c r="AJ227" s="676"/>
      <c r="AK227" s="676"/>
      <c r="AL227" s="679"/>
    </row>
    <row r="228">
      <c r="A228" s="685" t="s">
        <v>1447</v>
      </c>
      <c r="B228" s="685" t="s">
        <v>1780</v>
      </c>
      <c r="C228" s="685" t="s">
        <v>1821</v>
      </c>
      <c r="D228" s="685" t="s">
        <v>1391</v>
      </c>
      <c r="E228" s="686">
        <v>1490.0</v>
      </c>
      <c r="F228" s="692" t="s">
        <v>1826</v>
      </c>
      <c r="G228" s="693"/>
      <c r="H228" s="688"/>
      <c r="I228" s="685" t="s">
        <v>1827</v>
      </c>
      <c r="J228" s="689">
        <v>1.0</v>
      </c>
      <c r="K228" s="689">
        <v>0.0</v>
      </c>
      <c r="L228" s="689">
        <v>0.0</v>
      </c>
      <c r="M228" s="689">
        <v>0.0</v>
      </c>
      <c r="N228" s="686">
        <v>975.0</v>
      </c>
      <c r="O228" s="686">
        <v>975.0</v>
      </c>
      <c r="P228" s="686">
        <v>0.0</v>
      </c>
      <c r="Q228" s="686">
        <v>975.0</v>
      </c>
      <c r="R228" s="686">
        <v>0.0</v>
      </c>
      <c r="S228" s="686">
        <v>0.0</v>
      </c>
      <c r="T228" s="686">
        <v>0.0</v>
      </c>
      <c r="U228" s="690">
        <v>0.0</v>
      </c>
      <c r="V228" s="678"/>
      <c r="W228" s="679"/>
      <c r="X228" s="679"/>
      <c r="Y228" s="679"/>
      <c r="Z228" s="679"/>
      <c r="AA228" s="679"/>
      <c r="AB228" s="679"/>
      <c r="AC228" s="678"/>
      <c r="AD228" s="678"/>
      <c r="AE228" s="679"/>
      <c r="AF228" s="679"/>
      <c r="AG228" s="679"/>
      <c r="AH228" s="679"/>
      <c r="AI228" s="679"/>
      <c r="AJ228" s="676"/>
      <c r="AK228" s="676"/>
      <c r="AL228" s="679"/>
    </row>
    <row r="229">
      <c r="A229" s="685" t="s">
        <v>1447</v>
      </c>
      <c r="B229" s="685" t="s">
        <v>1780</v>
      </c>
      <c r="C229" s="685" t="s">
        <v>1821</v>
      </c>
      <c r="D229" s="685" t="s">
        <v>1391</v>
      </c>
      <c r="E229" s="686">
        <v>1490.0</v>
      </c>
      <c r="F229" s="692" t="s">
        <v>1828</v>
      </c>
      <c r="G229" s="693"/>
      <c r="H229" s="688"/>
      <c r="I229" s="685" t="s">
        <v>1829</v>
      </c>
      <c r="J229" s="689">
        <v>1.0</v>
      </c>
      <c r="K229" s="689">
        <v>0.0</v>
      </c>
      <c r="L229" s="689">
        <v>0.0</v>
      </c>
      <c r="M229" s="689">
        <v>0.0</v>
      </c>
      <c r="N229" s="686">
        <v>975.0</v>
      </c>
      <c r="O229" s="686">
        <v>975.0</v>
      </c>
      <c r="P229" s="686">
        <v>0.0</v>
      </c>
      <c r="Q229" s="686">
        <v>975.0</v>
      </c>
      <c r="R229" s="686">
        <v>0.0</v>
      </c>
      <c r="S229" s="686">
        <v>0.0</v>
      </c>
      <c r="T229" s="686">
        <v>0.0</v>
      </c>
      <c r="U229" s="690">
        <v>0.0</v>
      </c>
      <c r="V229" s="678"/>
      <c r="W229" s="679"/>
      <c r="X229" s="679"/>
      <c r="Y229" s="679"/>
      <c r="Z229" s="679"/>
      <c r="AA229" s="679"/>
      <c r="AB229" s="679"/>
      <c r="AC229" s="678"/>
      <c r="AD229" s="678"/>
      <c r="AE229" s="679"/>
      <c r="AF229" s="679"/>
      <c r="AG229" s="679"/>
      <c r="AH229" s="679"/>
      <c r="AI229" s="679"/>
      <c r="AJ229" s="676"/>
      <c r="AK229" s="676"/>
      <c r="AL229" s="679"/>
    </row>
    <row r="230">
      <c r="A230" s="685" t="s">
        <v>1830</v>
      </c>
      <c r="B230" s="685" t="s">
        <v>1198</v>
      </c>
      <c r="C230" s="685" t="s">
        <v>1198</v>
      </c>
      <c r="D230" s="685" t="s">
        <v>1831</v>
      </c>
      <c r="E230" s="686">
        <v>299.0</v>
      </c>
      <c r="F230" s="692" t="s">
        <v>81</v>
      </c>
      <c r="G230" s="693"/>
      <c r="H230" s="688"/>
      <c r="I230" s="685" t="s">
        <v>78</v>
      </c>
      <c r="J230" s="689">
        <v>16.0</v>
      </c>
      <c r="K230" s="689">
        <v>0.0</v>
      </c>
      <c r="L230" s="689">
        <v>0.0</v>
      </c>
      <c r="M230" s="689">
        <v>0.0</v>
      </c>
      <c r="N230" s="686">
        <v>96.38</v>
      </c>
      <c r="O230" s="686">
        <v>1542.0</v>
      </c>
      <c r="P230" s="686">
        <v>0.0</v>
      </c>
      <c r="Q230" s="686">
        <v>1542.0</v>
      </c>
      <c r="R230" s="686">
        <v>0.0</v>
      </c>
      <c r="S230" s="686">
        <v>0.0</v>
      </c>
      <c r="T230" s="686">
        <v>0.0</v>
      </c>
      <c r="U230" s="690">
        <v>0.0</v>
      </c>
      <c r="V230" s="678"/>
      <c r="W230" s="679"/>
      <c r="X230" s="679"/>
      <c r="Y230" s="679"/>
      <c r="Z230" s="679"/>
      <c r="AA230" s="679"/>
      <c r="AB230" s="679"/>
      <c r="AC230" s="678"/>
      <c r="AD230" s="678"/>
      <c r="AE230" s="679"/>
      <c r="AF230" s="679"/>
      <c r="AG230" s="679"/>
      <c r="AH230" s="679"/>
      <c r="AI230" s="679"/>
      <c r="AJ230" s="676"/>
      <c r="AK230" s="676"/>
      <c r="AL230" s="679"/>
    </row>
    <row r="231">
      <c r="A231" s="685" t="s">
        <v>1830</v>
      </c>
      <c r="B231" s="685" t="s">
        <v>1198</v>
      </c>
      <c r="C231" s="685" t="s">
        <v>1198</v>
      </c>
      <c r="D231" s="685" t="s">
        <v>1831</v>
      </c>
      <c r="E231" s="686">
        <v>599.0</v>
      </c>
      <c r="F231" s="692" t="s">
        <v>88</v>
      </c>
      <c r="G231" s="693"/>
      <c r="H231" s="688"/>
      <c r="I231" s="685" t="s">
        <v>87</v>
      </c>
      <c r="J231" s="689">
        <v>19.0</v>
      </c>
      <c r="K231" s="689">
        <v>0.0</v>
      </c>
      <c r="L231" s="689">
        <v>0.0</v>
      </c>
      <c r="M231" s="689">
        <v>0.0</v>
      </c>
      <c r="N231" s="686">
        <v>112.14</v>
      </c>
      <c r="O231" s="686">
        <v>2130.66</v>
      </c>
      <c r="P231" s="686">
        <v>0.0</v>
      </c>
      <c r="Q231" s="686">
        <v>2130.66</v>
      </c>
      <c r="R231" s="686">
        <v>0.0</v>
      </c>
      <c r="S231" s="686">
        <v>0.0</v>
      </c>
      <c r="T231" s="686">
        <v>0.0</v>
      </c>
      <c r="U231" s="690">
        <v>0.0</v>
      </c>
      <c r="V231" s="678"/>
      <c r="W231" s="679"/>
      <c r="X231" s="679"/>
      <c r="Y231" s="679"/>
      <c r="Z231" s="679"/>
      <c r="AA231" s="679"/>
      <c r="AB231" s="679"/>
      <c r="AC231" s="678"/>
      <c r="AD231" s="678"/>
      <c r="AE231" s="679"/>
      <c r="AF231" s="679"/>
      <c r="AG231" s="679"/>
      <c r="AH231" s="679"/>
      <c r="AI231" s="679"/>
      <c r="AJ231" s="676"/>
      <c r="AK231" s="676"/>
      <c r="AL231" s="679"/>
    </row>
    <row r="232">
      <c r="A232" s="685" t="s">
        <v>1830</v>
      </c>
      <c r="B232" s="685" t="s">
        <v>1198</v>
      </c>
      <c r="C232" s="685" t="s">
        <v>1198</v>
      </c>
      <c r="D232" s="685" t="s">
        <v>1831</v>
      </c>
      <c r="E232" s="686">
        <v>399.0</v>
      </c>
      <c r="F232" s="692" t="s">
        <v>95</v>
      </c>
      <c r="G232" s="693"/>
      <c r="H232" s="688"/>
      <c r="I232" s="685" t="s">
        <v>94</v>
      </c>
      <c r="J232" s="689">
        <v>18.0</v>
      </c>
      <c r="K232" s="689">
        <v>0.0</v>
      </c>
      <c r="L232" s="689">
        <v>0.0</v>
      </c>
      <c r="M232" s="689">
        <v>0.0</v>
      </c>
      <c r="N232" s="686">
        <v>51.4</v>
      </c>
      <c r="O232" s="686">
        <v>925.2</v>
      </c>
      <c r="P232" s="686">
        <v>0.0</v>
      </c>
      <c r="Q232" s="686">
        <v>925.2</v>
      </c>
      <c r="R232" s="686">
        <v>0.0</v>
      </c>
      <c r="S232" s="686">
        <v>0.0</v>
      </c>
      <c r="T232" s="686">
        <v>0.0</v>
      </c>
      <c r="U232" s="690">
        <v>0.0</v>
      </c>
      <c r="V232" s="678"/>
      <c r="W232" s="679"/>
      <c r="X232" s="679"/>
      <c r="Y232" s="679"/>
      <c r="Z232" s="679"/>
      <c r="AA232" s="679"/>
      <c r="AB232" s="679"/>
      <c r="AC232" s="678"/>
      <c r="AD232" s="678"/>
      <c r="AE232" s="679"/>
      <c r="AF232" s="679"/>
      <c r="AG232" s="679"/>
      <c r="AH232" s="679"/>
      <c r="AI232" s="679"/>
      <c r="AJ232" s="676"/>
      <c r="AK232" s="676"/>
      <c r="AL232" s="679"/>
    </row>
    <row r="233">
      <c r="A233" s="685" t="s">
        <v>1830</v>
      </c>
      <c r="B233" s="685" t="s">
        <v>1198</v>
      </c>
      <c r="C233" s="685" t="s">
        <v>1198</v>
      </c>
      <c r="D233" s="685" t="s">
        <v>1831</v>
      </c>
      <c r="E233" s="686">
        <v>199.0</v>
      </c>
      <c r="F233" s="692" t="s">
        <v>99</v>
      </c>
      <c r="G233" s="693"/>
      <c r="H233" s="688"/>
      <c r="I233" s="685" t="s">
        <v>98</v>
      </c>
      <c r="J233" s="689">
        <v>20.0</v>
      </c>
      <c r="K233" s="689">
        <v>0.0</v>
      </c>
      <c r="L233" s="689">
        <v>0.0</v>
      </c>
      <c r="M233" s="689">
        <v>0.0</v>
      </c>
      <c r="N233" s="686">
        <v>20.0</v>
      </c>
      <c r="O233" s="686">
        <v>400.0</v>
      </c>
      <c r="P233" s="686">
        <v>0.0</v>
      </c>
      <c r="Q233" s="686">
        <v>0.0</v>
      </c>
      <c r="R233" s="686">
        <v>0.0</v>
      </c>
      <c r="S233" s="686">
        <v>0.0</v>
      </c>
      <c r="T233" s="686">
        <v>0.0</v>
      </c>
      <c r="U233" s="690">
        <v>400.0</v>
      </c>
      <c r="V233" s="678"/>
      <c r="W233" s="679"/>
      <c r="X233" s="679"/>
      <c r="Y233" s="679"/>
      <c r="Z233" s="679"/>
      <c r="AA233" s="679"/>
      <c r="AB233" s="679"/>
      <c r="AC233" s="678"/>
      <c r="AD233" s="678"/>
      <c r="AE233" s="679"/>
      <c r="AF233" s="679"/>
      <c r="AG233" s="679"/>
      <c r="AH233" s="679"/>
      <c r="AI233" s="679"/>
      <c r="AJ233" s="676"/>
      <c r="AK233" s="676"/>
      <c r="AL233" s="679"/>
    </row>
    <row r="234">
      <c r="A234" s="685" t="s">
        <v>1830</v>
      </c>
      <c r="B234" s="685" t="s">
        <v>1198</v>
      </c>
      <c r="C234" s="685" t="s">
        <v>1198</v>
      </c>
      <c r="D234" s="685" t="s">
        <v>1831</v>
      </c>
      <c r="E234" s="686">
        <v>599.0</v>
      </c>
      <c r="F234" s="692" t="s">
        <v>105</v>
      </c>
      <c r="G234" s="693"/>
      <c r="H234" s="688"/>
      <c r="I234" s="685" t="s">
        <v>104</v>
      </c>
      <c r="J234" s="689">
        <v>3.0</v>
      </c>
      <c r="K234" s="689">
        <v>0.0</v>
      </c>
      <c r="L234" s="689">
        <v>0.0</v>
      </c>
      <c r="M234" s="689">
        <v>0.0</v>
      </c>
      <c r="N234" s="686">
        <v>130.84</v>
      </c>
      <c r="O234" s="686">
        <v>392.52</v>
      </c>
      <c r="P234" s="686">
        <v>0.0</v>
      </c>
      <c r="Q234" s="686">
        <v>0.0</v>
      </c>
      <c r="R234" s="686">
        <v>0.0</v>
      </c>
      <c r="S234" s="686">
        <v>0.0</v>
      </c>
      <c r="T234" s="686">
        <v>0.0</v>
      </c>
      <c r="U234" s="690">
        <v>392.52</v>
      </c>
      <c r="V234" s="678"/>
      <c r="W234" s="679"/>
      <c r="X234" s="679"/>
      <c r="Y234" s="679"/>
      <c r="Z234" s="679"/>
      <c r="AA234" s="679"/>
      <c r="AB234" s="679"/>
      <c r="AC234" s="678"/>
      <c r="AD234" s="678"/>
      <c r="AE234" s="679"/>
      <c r="AF234" s="679"/>
      <c r="AG234" s="679"/>
      <c r="AH234" s="679"/>
      <c r="AI234" s="679"/>
      <c r="AJ234" s="676"/>
      <c r="AK234" s="676"/>
      <c r="AL234" s="679"/>
    </row>
    <row r="235">
      <c r="A235" s="685" t="s">
        <v>1830</v>
      </c>
      <c r="B235" s="685" t="s">
        <v>1198</v>
      </c>
      <c r="C235" s="685" t="s">
        <v>1198</v>
      </c>
      <c r="D235" s="685" t="s">
        <v>1831</v>
      </c>
      <c r="E235" s="686">
        <v>999.0</v>
      </c>
      <c r="F235" s="692" t="s">
        <v>109</v>
      </c>
      <c r="G235" s="693"/>
      <c r="H235" s="688"/>
      <c r="I235" s="685" t="s">
        <v>108</v>
      </c>
      <c r="J235" s="689">
        <v>27.0</v>
      </c>
      <c r="K235" s="689">
        <v>0.0</v>
      </c>
      <c r="L235" s="689">
        <v>0.0</v>
      </c>
      <c r="M235" s="689">
        <v>0.0</v>
      </c>
      <c r="N235" s="686">
        <v>584.11</v>
      </c>
      <c r="O235" s="686">
        <v>15770.97</v>
      </c>
      <c r="P235" s="686">
        <v>15770.97</v>
      </c>
      <c r="Q235" s="686">
        <v>0.0</v>
      </c>
      <c r="R235" s="686">
        <v>0.0</v>
      </c>
      <c r="S235" s="686">
        <v>0.0</v>
      </c>
      <c r="T235" s="686">
        <v>0.0</v>
      </c>
      <c r="U235" s="690">
        <v>0.0</v>
      </c>
      <c r="V235" s="678"/>
      <c r="W235" s="679"/>
      <c r="X235" s="679"/>
      <c r="Y235" s="679"/>
      <c r="Z235" s="679"/>
      <c r="AA235" s="679"/>
      <c r="AB235" s="679"/>
      <c r="AC235" s="678"/>
      <c r="AD235" s="678"/>
      <c r="AE235" s="679"/>
      <c r="AF235" s="679"/>
      <c r="AG235" s="679"/>
      <c r="AH235" s="679"/>
      <c r="AI235" s="679"/>
      <c r="AJ235" s="676"/>
      <c r="AK235" s="676"/>
      <c r="AL235" s="679"/>
    </row>
    <row r="236">
      <c r="A236" s="685" t="s">
        <v>1830</v>
      </c>
      <c r="B236" s="685" t="s">
        <v>1198</v>
      </c>
      <c r="C236" s="685" t="s">
        <v>1198</v>
      </c>
      <c r="D236" s="685" t="s">
        <v>1831</v>
      </c>
      <c r="E236" s="686">
        <v>359.0</v>
      </c>
      <c r="F236" s="692" t="s">
        <v>112</v>
      </c>
      <c r="G236" s="693"/>
      <c r="H236" s="688"/>
      <c r="I236" s="685" t="s">
        <v>111</v>
      </c>
      <c r="J236" s="689">
        <v>51.0</v>
      </c>
      <c r="K236" s="689">
        <v>0.0</v>
      </c>
      <c r="L236" s="689">
        <v>0.0</v>
      </c>
      <c r="M236" s="689">
        <v>0.0</v>
      </c>
      <c r="N236" s="686">
        <v>158.88</v>
      </c>
      <c r="O236" s="686">
        <v>8102.88</v>
      </c>
      <c r="P236" s="686">
        <v>0.0</v>
      </c>
      <c r="Q236" s="686">
        <v>0.0</v>
      </c>
      <c r="R236" s="686">
        <v>0.0</v>
      </c>
      <c r="S236" s="686">
        <v>0.0</v>
      </c>
      <c r="T236" s="686">
        <v>0.0</v>
      </c>
      <c r="U236" s="690">
        <v>8102.88</v>
      </c>
      <c r="V236" s="678"/>
      <c r="W236" s="679"/>
      <c r="X236" s="679"/>
      <c r="Y236" s="679"/>
      <c r="Z236" s="679"/>
      <c r="AA236" s="679"/>
      <c r="AB236" s="679"/>
      <c r="AC236" s="678"/>
      <c r="AD236" s="678"/>
      <c r="AE236" s="679"/>
      <c r="AF236" s="679"/>
      <c r="AG236" s="679"/>
      <c r="AH236" s="679"/>
      <c r="AI236" s="679"/>
      <c r="AJ236" s="676"/>
      <c r="AK236" s="676"/>
      <c r="AL236" s="679"/>
    </row>
    <row r="237">
      <c r="A237" s="685" t="s">
        <v>1830</v>
      </c>
      <c r="B237" s="685" t="s">
        <v>1198</v>
      </c>
      <c r="C237" s="685" t="s">
        <v>1198</v>
      </c>
      <c r="D237" s="685" t="s">
        <v>1831</v>
      </c>
      <c r="E237" s="686">
        <v>399.0</v>
      </c>
      <c r="F237" s="692" t="s">
        <v>114</v>
      </c>
      <c r="G237" s="693"/>
      <c r="H237" s="688"/>
      <c r="I237" s="685" t="s">
        <v>113</v>
      </c>
      <c r="J237" s="689">
        <v>6.0</v>
      </c>
      <c r="K237" s="689">
        <v>0.0</v>
      </c>
      <c r="L237" s="689">
        <v>0.0</v>
      </c>
      <c r="M237" s="689">
        <v>0.0</v>
      </c>
      <c r="N237" s="686">
        <v>88.79</v>
      </c>
      <c r="O237" s="686">
        <v>532.74</v>
      </c>
      <c r="P237" s="686">
        <v>0.0</v>
      </c>
      <c r="Q237" s="686">
        <v>0.0</v>
      </c>
      <c r="R237" s="686">
        <v>0.0</v>
      </c>
      <c r="S237" s="686">
        <v>0.0</v>
      </c>
      <c r="T237" s="686">
        <v>532.74</v>
      </c>
      <c r="U237" s="690">
        <v>0.0</v>
      </c>
      <c r="V237" s="678"/>
      <c r="W237" s="679"/>
      <c r="X237" s="679"/>
      <c r="Y237" s="679"/>
      <c r="Z237" s="679"/>
      <c r="AA237" s="679"/>
      <c r="AB237" s="679"/>
      <c r="AC237" s="678"/>
      <c r="AD237" s="678"/>
      <c r="AE237" s="679"/>
      <c r="AF237" s="679"/>
      <c r="AG237" s="679"/>
      <c r="AH237" s="679"/>
      <c r="AI237" s="679"/>
      <c r="AJ237" s="676"/>
      <c r="AK237" s="676"/>
      <c r="AL237" s="680"/>
    </row>
    <row r="238">
      <c r="A238" s="685" t="s">
        <v>1830</v>
      </c>
      <c r="B238" s="685" t="s">
        <v>1198</v>
      </c>
      <c r="C238" s="685" t="s">
        <v>1198</v>
      </c>
      <c r="D238" s="685" t="s">
        <v>1831</v>
      </c>
      <c r="E238" s="686">
        <v>599.0</v>
      </c>
      <c r="F238" s="692" t="s">
        <v>119</v>
      </c>
      <c r="G238" s="693"/>
      <c r="H238" s="688"/>
      <c r="I238" s="685" t="s">
        <v>117</v>
      </c>
      <c r="J238" s="689">
        <v>2.0</v>
      </c>
      <c r="K238" s="689">
        <v>0.0</v>
      </c>
      <c r="L238" s="689">
        <v>0.0</v>
      </c>
      <c r="M238" s="689">
        <v>0.0</v>
      </c>
      <c r="N238" s="686">
        <v>102.8</v>
      </c>
      <c r="O238" s="686">
        <v>205.6</v>
      </c>
      <c r="P238" s="686">
        <v>0.0</v>
      </c>
      <c r="Q238" s="686">
        <v>0.0</v>
      </c>
      <c r="R238" s="686">
        <v>0.0</v>
      </c>
      <c r="S238" s="686">
        <v>0.0</v>
      </c>
      <c r="T238" s="686">
        <v>0.0</v>
      </c>
      <c r="U238" s="690">
        <v>205.6</v>
      </c>
      <c r="V238" s="678"/>
      <c r="W238" s="679"/>
      <c r="X238" s="679"/>
      <c r="Y238" s="679"/>
      <c r="Z238" s="679"/>
      <c r="AA238" s="679"/>
      <c r="AB238" s="679"/>
      <c r="AC238" s="678"/>
      <c r="AD238" s="678"/>
      <c r="AE238" s="679"/>
      <c r="AF238" s="679"/>
      <c r="AG238" s="679"/>
      <c r="AH238" s="679"/>
      <c r="AI238" s="679"/>
      <c r="AJ238" s="676"/>
      <c r="AK238" s="676"/>
      <c r="AL238" s="680"/>
    </row>
    <row r="239">
      <c r="A239" s="685" t="s">
        <v>1830</v>
      </c>
      <c r="B239" s="685" t="s">
        <v>1198</v>
      </c>
      <c r="C239" s="685" t="s">
        <v>1198</v>
      </c>
      <c r="D239" s="685" t="s">
        <v>1831</v>
      </c>
      <c r="E239" s="686">
        <v>199.0</v>
      </c>
      <c r="F239" s="692" t="s">
        <v>126</v>
      </c>
      <c r="G239" s="693"/>
      <c r="H239" s="688"/>
      <c r="I239" s="685" t="s">
        <v>125</v>
      </c>
      <c r="J239" s="689">
        <v>27.0</v>
      </c>
      <c r="K239" s="689">
        <v>0.0</v>
      </c>
      <c r="L239" s="689">
        <v>0.0</v>
      </c>
      <c r="M239" s="689">
        <v>0.0</v>
      </c>
      <c r="N239" s="686">
        <v>26.85</v>
      </c>
      <c r="O239" s="686">
        <v>725.0</v>
      </c>
      <c r="P239" s="686">
        <v>0.0</v>
      </c>
      <c r="Q239" s="686">
        <v>0.0</v>
      </c>
      <c r="R239" s="686">
        <v>0.0</v>
      </c>
      <c r="S239" s="686">
        <v>0.0</v>
      </c>
      <c r="T239" s="686">
        <v>0.0</v>
      </c>
      <c r="U239" s="690">
        <v>725.0</v>
      </c>
      <c r="V239" s="678"/>
      <c r="W239" s="679"/>
      <c r="X239" s="679"/>
      <c r="Y239" s="679"/>
      <c r="Z239" s="679"/>
      <c r="AA239" s="679"/>
      <c r="AB239" s="679"/>
      <c r="AC239" s="678"/>
      <c r="AD239" s="678"/>
      <c r="AE239" s="679"/>
      <c r="AF239" s="679"/>
      <c r="AG239" s="679"/>
      <c r="AH239" s="679"/>
      <c r="AI239" s="679"/>
      <c r="AJ239" s="676"/>
      <c r="AK239" s="676"/>
      <c r="AL239" s="679"/>
    </row>
    <row r="240">
      <c r="A240" s="685" t="s">
        <v>1830</v>
      </c>
      <c r="B240" s="685" t="s">
        <v>1198</v>
      </c>
      <c r="C240" s="685" t="s">
        <v>1198</v>
      </c>
      <c r="D240" s="685" t="s">
        <v>1831</v>
      </c>
      <c r="E240" s="686">
        <v>199.0</v>
      </c>
      <c r="F240" s="692" t="s">
        <v>131</v>
      </c>
      <c r="G240" s="693"/>
      <c r="H240" s="688"/>
      <c r="I240" s="685" t="s">
        <v>130</v>
      </c>
      <c r="J240" s="689">
        <v>20.0</v>
      </c>
      <c r="K240" s="689">
        <v>0.0</v>
      </c>
      <c r="L240" s="689">
        <v>0.0</v>
      </c>
      <c r="M240" s="689">
        <v>0.0</v>
      </c>
      <c r="N240" s="686">
        <v>55.0</v>
      </c>
      <c r="O240" s="686">
        <v>1100.0</v>
      </c>
      <c r="P240" s="686">
        <v>0.0</v>
      </c>
      <c r="Q240" s="686">
        <v>0.0</v>
      </c>
      <c r="R240" s="686">
        <v>0.0</v>
      </c>
      <c r="S240" s="686">
        <v>0.0</v>
      </c>
      <c r="T240" s="686">
        <v>0.0</v>
      </c>
      <c r="U240" s="690">
        <v>1100.0</v>
      </c>
      <c r="V240" s="678"/>
      <c r="W240" s="679"/>
      <c r="X240" s="679"/>
      <c r="Y240" s="679"/>
      <c r="Z240" s="679"/>
      <c r="AA240" s="679"/>
      <c r="AB240" s="679"/>
      <c r="AC240" s="678"/>
      <c r="AD240" s="678"/>
      <c r="AE240" s="679"/>
      <c r="AF240" s="679"/>
      <c r="AG240" s="679"/>
      <c r="AH240" s="679"/>
      <c r="AI240" s="679"/>
      <c r="AJ240" s="676"/>
      <c r="AK240" s="676"/>
      <c r="AL240" s="679"/>
    </row>
    <row r="241">
      <c r="A241" s="685" t="s">
        <v>1830</v>
      </c>
      <c r="B241" s="685" t="s">
        <v>1198</v>
      </c>
      <c r="C241" s="685" t="s">
        <v>1198</v>
      </c>
      <c r="D241" s="685" t="s">
        <v>1831</v>
      </c>
      <c r="E241" s="686">
        <v>199.0</v>
      </c>
      <c r="F241" s="692" t="s">
        <v>136</v>
      </c>
      <c r="G241" s="693"/>
      <c r="H241" s="688"/>
      <c r="I241" s="685" t="s">
        <v>135</v>
      </c>
      <c r="J241" s="689">
        <v>27.0</v>
      </c>
      <c r="K241" s="689">
        <v>0.0</v>
      </c>
      <c r="L241" s="689">
        <v>0.0</v>
      </c>
      <c r="M241" s="689">
        <v>0.0</v>
      </c>
      <c r="N241" s="686">
        <v>55.0</v>
      </c>
      <c r="O241" s="686">
        <v>1485.0</v>
      </c>
      <c r="P241" s="686">
        <v>0.0</v>
      </c>
      <c r="Q241" s="686">
        <v>0.0</v>
      </c>
      <c r="R241" s="686">
        <v>1485.0</v>
      </c>
      <c r="S241" s="686">
        <v>0.0</v>
      </c>
      <c r="T241" s="686">
        <v>0.0</v>
      </c>
      <c r="U241" s="690">
        <v>0.0</v>
      </c>
      <c r="V241" s="678"/>
      <c r="W241" s="679"/>
      <c r="X241" s="679"/>
      <c r="Y241" s="679"/>
      <c r="Z241" s="679"/>
      <c r="AA241" s="679"/>
      <c r="AB241" s="679"/>
      <c r="AC241" s="678"/>
      <c r="AD241" s="678"/>
      <c r="AE241" s="679"/>
      <c r="AF241" s="679"/>
      <c r="AG241" s="679"/>
      <c r="AH241" s="679"/>
      <c r="AI241" s="679"/>
      <c r="AJ241" s="676"/>
      <c r="AK241" s="676"/>
      <c r="AL241" s="679"/>
    </row>
    <row r="242">
      <c r="A242" s="685" t="s">
        <v>1830</v>
      </c>
      <c r="B242" s="685" t="s">
        <v>1198</v>
      </c>
      <c r="C242" s="685" t="s">
        <v>1198</v>
      </c>
      <c r="D242" s="685" t="s">
        <v>1831</v>
      </c>
      <c r="E242" s="686">
        <v>199.0</v>
      </c>
      <c r="F242" s="692" t="s">
        <v>144</v>
      </c>
      <c r="G242" s="693"/>
      <c r="H242" s="688"/>
      <c r="I242" s="685" t="s">
        <v>143</v>
      </c>
      <c r="J242" s="689">
        <v>17.0</v>
      </c>
      <c r="K242" s="689">
        <v>0.0</v>
      </c>
      <c r="L242" s="689">
        <v>0.0</v>
      </c>
      <c r="M242" s="689">
        <v>0.0</v>
      </c>
      <c r="N242" s="686">
        <v>84.11</v>
      </c>
      <c r="O242" s="686">
        <v>1429.87</v>
      </c>
      <c r="P242" s="686">
        <v>0.0</v>
      </c>
      <c r="Q242" s="686">
        <v>0.0</v>
      </c>
      <c r="R242" s="686">
        <v>0.0</v>
      </c>
      <c r="S242" s="686">
        <v>0.0</v>
      </c>
      <c r="T242" s="686">
        <v>0.0</v>
      </c>
      <c r="U242" s="690">
        <v>1429.87</v>
      </c>
      <c r="V242" s="678"/>
      <c r="W242" s="679"/>
      <c r="X242" s="679"/>
      <c r="Y242" s="679"/>
      <c r="Z242" s="679"/>
      <c r="AA242" s="679"/>
      <c r="AB242" s="679"/>
      <c r="AC242" s="678"/>
      <c r="AD242" s="678"/>
      <c r="AE242" s="679"/>
      <c r="AF242" s="679"/>
      <c r="AG242" s="679"/>
      <c r="AH242" s="679"/>
      <c r="AI242" s="679"/>
      <c r="AJ242" s="676"/>
      <c r="AK242" s="676"/>
      <c r="AL242" s="679"/>
    </row>
    <row r="243">
      <c r="A243" s="685" t="s">
        <v>1830</v>
      </c>
      <c r="B243" s="685" t="s">
        <v>1198</v>
      </c>
      <c r="C243" s="685" t="s">
        <v>1198</v>
      </c>
      <c r="D243" s="685" t="s">
        <v>1831</v>
      </c>
      <c r="E243" s="686">
        <v>299.0</v>
      </c>
      <c r="F243" s="692" t="s">
        <v>149</v>
      </c>
      <c r="G243" s="693"/>
      <c r="H243" s="688"/>
      <c r="I243" s="685" t="s">
        <v>148</v>
      </c>
      <c r="J243" s="689">
        <v>15.0</v>
      </c>
      <c r="K243" s="689">
        <v>0.0</v>
      </c>
      <c r="L243" s="689">
        <v>0.0</v>
      </c>
      <c r="M243" s="689">
        <v>0.0</v>
      </c>
      <c r="N243" s="686">
        <v>130.84</v>
      </c>
      <c r="O243" s="686">
        <v>1962.6</v>
      </c>
      <c r="P243" s="686">
        <v>0.0</v>
      </c>
      <c r="Q243" s="686">
        <v>0.0</v>
      </c>
      <c r="R243" s="686">
        <v>0.0</v>
      </c>
      <c r="S243" s="686">
        <v>1962.6</v>
      </c>
      <c r="T243" s="686">
        <v>0.0</v>
      </c>
      <c r="U243" s="690">
        <v>0.0</v>
      </c>
      <c r="V243" s="678"/>
      <c r="W243" s="679"/>
      <c r="X243" s="679"/>
      <c r="Y243" s="679"/>
      <c r="Z243" s="679"/>
      <c r="AA243" s="679"/>
      <c r="AB243" s="679"/>
      <c r="AC243" s="678"/>
      <c r="AD243" s="678"/>
      <c r="AE243" s="679"/>
      <c r="AF243" s="679"/>
      <c r="AG243" s="679"/>
      <c r="AH243" s="679"/>
      <c r="AI243" s="679"/>
      <c r="AJ243" s="676"/>
      <c r="AK243" s="676"/>
      <c r="AL243" s="680"/>
    </row>
    <row r="244">
      <c r="A244" s="685" t="s">
        <v>1830</v>
      </c>
      <c r="B244" s="685" t="s">
        <v>1198</v>
      </c>
      <c r="C244" s="685" t="s">
        <v>1832</v>
      </c>
      <c r="D244" s="685" t="s">
        <v>1833</v>
      </c>
      <c r="E244" s="686">
        <v>1790.0</v>
      </c>
      <c r="F244" s="692" t="s">
        <v>153</v>
      </c>
      <c r="G244" s="691" t="s">
        <v>1834</v>
      </c>
      <c r="H244" s="688"/>
      <c r="I244" s="685" t="s">
        <v>152</v>
      </c>
      <c r="J244" s="689">
        <v>5.0</v>
      </c>
      <c r="K244" s="689">
        <v>0.0</v>
      </c>
      <c r="L244" s="689">
        <v>0.0</v>
      </c>
      <c r="M244" s="689">
        <v>0.0</v>
      </c>
      <c r="N244" s="686">
        <v>1044.39</v>
      </c>
      <c r="O244" s="686">
        <v>5221.95</v>
      </c>
      <c r="P244" s="686">
        <v>0.0</v>
      </c>
      <c r="Q244" s="686">
        <v>0.0</v>
      </c>
      <c r="R244" s="686">
        <v>0.0</v>
      </c>
      <c r="S244" s="686">
        <v>0.0</v>
      </c>
      <c r="T244" s="686">
        <v>0.0</v>
      </c>
      <c r="U244" s="690">
        <v>5221.95</v>
      </c>
      <c r="V244" s="678"/>
      <c r="W244" s="679"/>
      <c r="X244" s="679"/>
      <c r="Y244" s="679"/>
      <c r="Z244" s="679"/>
      <c r="AA244" s="679"/>
      <c r="AB244" s="679"/>
      <c r="AC244" s="678"/>
      <c r="AD244" s="678"/>
      <c r="AE244" s="679"/>
      <c r="AF244" s="679"/>
      <c r="AG244" s="679"/>
      <c r="AH244" s="679"/>
      <c r="AI244" s="679"/>
      <c r="AJ244" s="676"/>
      <c r="AK244" s="676"/>
      <c r="AL244" s="679"/>
    </row>
    <row r="245">
      <c r="A245" s="685" t="s">
        <v>1830</v>
      </c>
      <c r="B245" s="685" t="s">
        <v>1198</v>
      </c>
      <c r="C245" s="685" t="s">
        <v>1832</v>
      </c>
      <c r="D245" s="685" t="s">
        <v>1391</v>
      </c>
      <c r="E245" s="686">
        <v>2990.0</v>
      </c>
      <c r="F245" s="692" t="s">
        <v>161</v>
      </c>
      <c r="G245" s="693"/>
      <c r="H245" s="688"/>
      <c r="I245" s="685" t="s">
        <v>160</v>
      </c>
      <c r="J245" s="689">
        <v>17.0</v>
      </c>
      <c r="K245" s="689">
        <v>0.0</v>
      </c>
      <c r="L245" s="689">
        <v>0.0</v>
      </c>
      <c r="M245" s="689">
        <v>0.0</v>
      </c>
      <c r="N245" s="686">
        <v>1640.19</v>
      </c>
      <c r="O245" s="686">
        <v>27883.23</v>
      </c>
      <c r="P245" s="686">
        <v>0.0</v>
      </c>
      <c r="Q245" s="686">
        <v>0.0</v>
      </c>
      <c r="R245" s="686">
        <v>8200.95</v>
      </c>
      <c r="S245" s="686">
        <v>0.0</v>
      </c>
      <c r="T245" s="686">
        <v>0.0</v>
      </c>
      <c r="U245" s="690">
        <v>19682.28</v>
      </c>
      <c r="V245" s="678"/>
      <c r="W245" s="679"/>
      <c r="X245" s="679"/>
      <c r="Y245" s="679"/>
      <c r="Z245" s="679"/>
      <c r="AA245" s="679"/>
      <c r="AB245" s="679"/>
      <c r="AC245" s="678"/>
      <c r="AD245" s="678"/>
      <c r="AE245" s="679"/>
      <c r="AF245" s="679"/>
      <c r="AG245" s="679"/>
      <c r="AH245" s="679"/>
      <c r="AI245" s="679"/>
      <c r="AJ245" s="676"/>
      <c r="AK245" s="676"/>
      <c r="AL245" s="679"/>
    </row>
    <row r="246">
      <c r="A246" s="685" t="s">
        <v>1830</v>
      </c>
      <c r="B246" s="685" t="s">
        <v>1198</v>
      </c>
      <c r="C246" s="685" t="s">
        <v>1832</v>
      </c>
      <c r="D246" s="685" t="s">
        <v>1391</v>
      </c>
      <c r="E246" s="686">
        <v>1990.0</v>
      </c>
      <c r="F246" s="692" t="s">
        <v>164</v>
      </c>
      <c r="G246" s="693"/>
      <c r="H246" s="688"/>
      <c r="I246" s="685" t="s">
        <v>163</v>
      </c>
      <c r="J246" s="689">
        <v>8.0</v>
      </c>
      <c r="K246" s="689">
        <v>0.0</v>
      </c>
      <c r="L246" s="689">
        <v>0.0</v>
      </c>
      <c r="M246" s="689">
        <v>0.0</v>
      </c>
      <c r="N246" s="686">
        <v>815.89</v>
      </c>
      <c r="O246" s="686">
        <v>6527.12</v>
      </c>
      <c r="P246" s="686">
        <v>0.0</v>
      </c>
      <c r="Q246" s="686">
        <v>0.0</v>
      </c>
      <c r="R246" s="686">
        <v>0.0</v>
      </c>
      <c r="S246" s="686">
        <v>0.0</v>
      </c>
      <c r="T246" s="686">
        <v>6527.12</v>
      </c>
      <c r="U246" s="690">
        <v>0.0</v>
      </c>
      <c r="V246" s="678"/>
      <c r="W246" s="679"/>
      <c r="X246" s="679"/>
      <c r="Y246" s="679"/>
      <c r="Z246" s="679"/>
      <c r="AA246" s="679"/>
      <c r="AB246" s="679"/>
      <c r="AC246" s="678"/>
      <c r="AD246" s="678"/>
      <c r="AE246" s="679"/>
      <c r="AF246" s="679"/>
      <c r="AG246" s="679"/>
      <c r="AH246" s="679"/>
      <c r="AI246" s="679"/>
      <c r="AJ246" s="676"/>
      <c r="AK246" s="676"/>
      <c r="AL246" s="679"/>
    </row>
    <row r="247">
      <c r="A247" s="685" t="s">
        <v>1830</v>
      </c>
      <c r="B247" s="685" t="s">
        <v>1198</v>
      </c>
      <c r="C247" s="685" t="s">
        <v>1832</v>
      </c>
      <c r="D247" s="685" t="s">
        <v>1391</v>
      </c>
      <c r="E247" s="686">
        <v>1990.0</v>
      </c>
      <c r="F247" s="692" t="s">
        <v>167</v>
      </c>
      <c r="G247" s="693"/>
      <c r="H247" s="688"/>
      <c r="I247" s="685" t="s">
        <v>166</v>
      </c>
      <c r="J247" s="689">
        <v>7.0</v>
      </c>
      <c r="K247" s="689">
        <v>0.0</v>
      </c>
      <c r="L247" s="689">
        <v>0.0</v>
      </c>
      <c r="M247" s="689">
        <v>0.0</v>
      </c>
      <c r="N247" s="686">
        <v>1308.0</v>
      </c>
      <c r="O247" s="686">
        <v>9156.0</v>
      </c>
      <c r="P247" s="686">
        <v>0.0</v>
      </c>
      <c r="Q247" s="686">
        <v>0.0</v>
      </c>
      <c r="R247" s="686">
        <v>9156.0</v>
      </c>
      <c r="S247" s="686">
        <v>0.0</v>
      </c>
      <c r="T247" s="686">
        <v>0.0</v>
      </c>
      <c r="U247" s="690">
        <v>0.0</v>
      </c>
      <c r="V247" s="678"/>
      <c r="W247" s="679"/>
      <c r="X247" s="679"/>
      <c r="Y247" s="679"/>
      <c r="Z247" s="679"/>
      <c r="AA247" s="679"/>
      <c r="AB247" s="679"/>
      <c r="AC247" s="678"/>
      <c r="AD247" s="678"/>
      <c r="AE247" s="679"/>
      <c r="AF247" s="679"/>
      <c r="AG247" s="679"/>
      <c r="AH247" s="679"/>
      <c r="AI247" s="679"/>
      <c r="AJ247" s="676"/>
      <c r="AK247" s="676"/>
      <c r="AL247" s="679"/>
    </row>
    <row r="248">
      <c r="A248" s="685" t="s">
        <v>1830</v>
      </c>
      <c r="B248" s="685" t="s">
        <v>1835</v>
      </c>
      <c r="C248" s="685" t="s">
        <v>1836</v>
      </c>
      <c r="D248" s="685" t="s">
        <v>1391</v>
      </c>
      <c r="E248" s="686">
        <v>1990.0</v>
      </c>
      <c r="F248" s="692" t="s">
        <v>174</v>
      </c>
      <c r="G248" s="693"/>
      <c r="H248" s="688"/>
      <c r="I248" s="685" t="s">
        <v>173</v>
      </c>
      <c r="J248" s="689">
        <v>1.0</v>
      </c>
      <c r="K248" s="689">
        <v>0.0</v>
      </c>
      <c r="L248" s="689">
        <v>0.0</v>
      </c>
      <c r="M248" s="689">
        <v>0.0</v>
      </c>
      <c r="N248" s="686">
        <v>0.0</v>
      </c>
      <c r="O248" s="686">
        <v>0.0</v>
      </c>
      <c r="P248" s="686">
        <v>0.0</v>
      </c>
      <c r="Q248" s="686">
        <v>0.0</v>
      </c>
      <c r="R248" s="686">
        <v>0.0</v>
      </c>
      <c r="S248" s="686">
        <v>0.0</v>
      </c>
      <c r="T248" s="686">
        <v>0.0</v>
      </c>
      <c r="U248" s="690">
        <v>0.0</v>
      </c>
      <c r="V248" s="678"/>
      <c r="W248" s="679"/>
      <c r="X248" s="679"/>
      <c r="Y248" s="679"/>
      <c r="Z248" s="679"/>
      <c r="AA248" s="679"/>
      <c r="AB248" s="679"/>
      <c r="AC248" s="678"/>
      <c r="AD248" s="678"/>
      <c r="AE248" s="679"/>
      <c r="AF248" s="679"/>
      <c r="AG248" s="679"/>
      <c r="AH248" s="679"/>
      <c r="AI248" s="679"/>
      <c r="AJ248" s="676"/>
      <c r="AK248" s="676"/>
      <c r="AL248" s="679"/>
    </row>
    <row r="249">
      <c r="A249" s="685" t="s">
        <v>1830</v>
      </c>
      <c r="B249" s="685" t="s">
        <v>1835</v>
      </c>
      <c r="C249" s="685" t="s">
        <v>1836</v>
      </c>
      <c r="D249" s="685" t="s">
        <v>1391</v>
      </c>
      <c r="E249" s="686">
        <v>990.0</v>
      </c>
      <c r="F249" s="692" t="s">
        <v>177</v>
      </c>
      <c r="G249" s="693"/>
      <c r="H249" s="688"/>
      <c r="I249" s="685" t="s">
        <v>176</v>
      </c>
      <c r="J249" s="689">
        <v>1.0</v>
      </c>
      <c r="K249" s="689">
        <v>0.0</v>
      </c>
      <c r="L249" s="689">
        <v>0.0</v>
      </c>
      <c r="M249" s="689">
        <v>0.0</v>
      </c>
      <c r="N249" s="686">
        <v>0.0</v>
      </c>
      <c r="O249" s="686">
        <v>0.0</v>
      </c>
      <c r="P249" s="686">
        <v>0.0</v>
      </c>
      <c r="Q249" s="686">
        <v>0.0</v>
      </c>
      <c r="R249" s="686">
        <v>0.0</v>
      </c>
      <c r="S249" s="686">
        <v>0.0</v>
      </c>
      <c r="T249" s="686">
        <v>0.0</v>
      </c>
      <c r="U249" s="690">
        <v>0.0</v>
      </c>
      <c r="V249" s="678"/>
      <c r="W249" s="679"/>
      <c r="X249" s="679"/>
      <c r="Y249" s="679"/>
      <c r="Z249" s="679"/>
      <c r="AA249" s="679"/>
      <c r="AB249" s="679"/>
      <c r="AC249" s="678"/>
      <c r="AD249" s="678"/>
      <c r="AE249" s="679"/>
      <c r="AF249" s="679"/>
      <c r="AG249" s="679"/>
      <c r="AH249" s="679"/>
      <c r="AI249" s="679"/>
      <c r="AJ249" s="676"/>
      <c r="AK249" s="676"/>
      <c r="AL249" s="679"/>
    </row>
    <row r="250">
      <c r="A250" s="685" t="s">
        <v>1830</v>
      </c>
      <c r="B250" s="685" t="s">
        <v>1837</v>
      </c>
      <c r="C250" s="685" t="s">
        <v>1836</v>
      </c>
      <c r="D250" s="685" t="s">
        <v>1594</v>
      </c>
      <c r="E250" s="686">
        <v>99.0</v>
      </c>
      <c r="F250" s="692" t="s">
        <v>180</v>
      </c>
      <c r="G250" s="693"/>
      <c r="H250" s="688"/>
      <c r="I250" s="685" t="s">
        <v>179</v>
      </c>
      <c r="J250" s="689">
        <v>1.0</v>
      </c>
      <c r="K250" s="689">
        <v>0.0</v>
      </c>
      <c r="L250" s="689">
        <v>0.0</v>
      </c>
      <c r="M250" s="689">
        <v>0.0</v>
      </c>
      <c r="N250" s="686">
        <v>0.0</v>
      </c>
      <c r="O250" s="686">
        <v>0.0</v>
      </c>
      <c r="P250" s="686">
        <v>0.0</v>
      </c>
      <c r="Q250" s="686">
        <v>0.0</v>
      </c>
      <c r="R250" s="686">
        <v>0.0</v>
      </c>
      <c r="S250" s="686">
        <v>0.0</v>
      </c>
      <c r="T250" s="686">
        <v>0.0</v>
      </c>
      <c r="U250" s="690">
        <v>0.0</v>
      </c>
      <c r="V250" s="678"/>
      <c r="W250" s="679"/>
      <c r="X250" s="679"/>
      <c r="Y250" s="679"/>
      <c r="Z250" s="679"/>
      <c r="AA250" s="679"/>
      <c r="AB250" s="679"/>
      <c r="AC250" s="678"/>
      <c r="AD250" s="678"/>
      <c r="AE250" s="679"/>
      <c r="AF250" s="679"/>
      <c r="AG250" s="679"/>
      <c r="AH250" s="679"/>
      <c r="AI250" s="679"/>
      <c r="AJ250" s="676"/>
      <c r="AK250" s="676"/>
      <c r="AL250" s="679"/>
    </row>
    <row r="251">
      <c r="A251" s="685" t="s">
        <v>1830</v>
      </c>
      <c r="B251" s="685" t="s">
        <v>1838</v>
      </c>
      <c r="C251" s="685" t="s">
        <v>1836</v>
      </c>
      <c r="D251" s="685" t="s">
        <v>1391</v>
      </c>
      <c r="E251" s="686">
        <v>1090.0</v>
      </c>
      <c r="F251" s="692" t="s">
        <v>185</v>
      </c>
      <c r="G251" s="693"/>
      <c r="H251" s="688"/>
      <c r="I251" s="685" t="s">
        <v>184</v>
      </c>
      <c r="J251" s="689">
        <v>7.0</v>
      </c>
      <c r="K251" s="689">
        <v>0.0</v>
      </c>
      <c r="L251" s="689">
        <v>0.0</v>
      </c>
      <c r="M251" s="689">
        <v>0.0</v>
      </c>
      <c r="N251" s="686">
        <v>0.0</v>
      </c>
      <c r="O251" s="686">
        <v>0.0</v>
      </c>
      <c r="P251" s="686">
        <v>0.0</v>
      </c>
      <c r="Q251" s="686">
        <v>0.0</v>
      </c>
      <c r="R251" s="686">
        <v>0.0</v>
      </c>
      <c r="S251" s="686">
        <v>0.0</v>
      </c>
      <c r="T251" s="686">
        <v>0.0</v>
      </c>
      <c r="U251" s="690">
        <v>0.0</v>
      </c>
      <c r="V251" s="678"/>
      <c r="W251" s="679"/>
      <c r="X251" s="679"/>
      <c r="Y251" s="679"/>
      <c r="Z251" s="679"/>
      <c r="AA251" s="679"/>
      <c r="AB251" s="679"/>
      <c r="AC251" s="678"/>
      <c r="AD251" s="678"/>
      <c r="AE251" s="679"/>
      <c r="AF251" s="679"/>
      <c r="AG251" s="679"/>
      <c r="AH251" s="679"/>
      <c r="AI251" s="679"/>
      <c r="AJ251" s="676"/>
      <c r="AK251" s="676"/>
      <c r="AL251" s="680"/>
    </row>
    <row r="252">
      <c r="A252" s="685" t="s">
        <v>1830</v>
      </c>
      <c r="B252" s="685" t="s">
        <v>1838</v>
      </c>
      <c r="C252" s="685" t="s">
        <v>1836</v>
      </c>
      <c r="D252" s="685" t="s">
        <v>1391</v>
      </c>
      <c r="E252" s="686">
        <v>1190.0</v>
      </c>
      <c r="F252" s="692" t="s">
        <v>189</v>
      </c>
      <c r="G252" s="693"/>
      <c r="H252" s="688"/>
      <c r="I252" s="685" t="s">
        <v>188</v>
      </c>
      <c r="J252" s="689">
        <v>1.0</v>
      </c>
      <c r="K252" s="689">
        <v>0.0</v>
      </c>
      <c r="L252" s="689">
        <v>0.0</v>
      </c>
      <c r="M252" s="689">
        <v>0.0</v>
      </c>
      <c r="N252" s="686">
        <v>0.0</v>
      </c>
      <c r="O252" s="686">
        <v>0.0</v>
      </c>
      <c r="P252" s="686">
        <v>0.0</v>
      </c>
      <c r="Q252" s="686">
        <v>0.0</v>
      </c>
      <c r="R252" s="686">
        <v>0.0</v>
      </c>
      <c r="S252" s="686">
        <v>0.0</v>
      </c>
      <c r="T252" s="686">
        <v>0.0</v>
      </c>
      <c r="U252" s="690">
        <v>0.0</v>
      </c>
      <c r="V252" s="678"/>
      <c r="W252" s="679"/>
      <c r="X252" s="679"/>
      <c r="Y252" s="679"/>
      <c r="Z252" s="679"/>
      <c r="AA252" s="679"/>
      <c r="AB252" s="679"/>
      <c r="AC252" s="678"/>
      <c r="AD252" s="678"/>
      <c r="AE252" s="679"/>
      <c r="AF252" s="679"/>
      <c r="AG252" s="679"/>
      <c r="AH252" s="679"/>
      <c r="AI252" s="679"/>
      <c r="AJ252" s="676"/>
      <c r="AK252" s="676"/>
      <c r="AL252" s="680"/>
    </row>
    <row r="253">
      <c r="A253" s="685" t="s">
        <v>1830</v>
      </c>
      <c r="B253" s="685" t="s">
        <v>1838</v>
      </c>
      <c r="C253" s="685" t="s">
        <v>1836</v>
      </c>
      <c r="D253" s="685" t="s">
        <v>1391</v>
      </c>
      <c r="E253" s="686">
        <v>1090.0</v>
      </c>
      <c r="F253" s="692" t="s">
        <v>193</v>
      </c>
      <c r="G253" s="693"/>
      <c r="H253" s="688"/>
      <c r="I253" s="685" t="s">
        <v>192</v>
      </c>
      <c r="J253" s="689">
        <v>1.0</v>
      </c>
      <c r="K253" s="689">
        <v>0.0</v>
      </c>
      <c r="L253" s="689">
        <v>0.0</v>
      </c>
      <c r="M253" s="689">
        <v>0.0</v>
      </c>
      <c r="N253" s="686">
        <v>0.0</v>
      </c>
      <c r="O253" s="686">
        <v>0.0</v>
      </c>
      <c r="P253" s="686">
        <v>0.0</v>
      </c>
      <c r="Q253" s="686">
        <v>0.0</v>
      </c>
      <c r="R253" s="686">
        <v>0.0</v>
      </c>
      <c r="S253" s="686">
        <v>0.0</v>
      </c>
      <c r="T253" s="686">
        <v>0.0</v>
      </c>
      <c r="U253" s="690">
        <v>0.0</v>
      </c>
      <c r="V253" s="678"/>
      <c r="W253" s="679"/>
      <c r="X253" s="679"/>
      <c r="Y253" s="679"/>
      <c r="Z253" s="679"/>
      <c r="AA253" s="679"/>
      <c r="AB253" s="679"/>
      <c r="AC253" s="678"/>
      <c r="AD253" s="678"/>
      <c r="AE253" s="679"/>
      <c r="AF253" s="679"/>
      <c r="AG253" s="679"/>
      <c r="AH253" s="679"/>
      <c r="AI253" s="679"/>
      <c r="AJ253" s="676"/>
      <c r="AK253" s="676"/>
      <c r="AL253" s="680"/>
    </row>
    <row r="254">
      <c r="A254" s="685" t="s">
        <v>1830</v>
      </c>
      <c r="B254" s="685" t="s">
        <v>1838</v>
      </c>
      <c r="C254" s="685" t="s">
        <v>1836</v>
      </c>
      <c r="D254" s="685" t="s">
        <v>1391</v>
      </c>
      <c r="E254" s="686">
        <v>590.0</v>
      </c>
      <c r="F254" s="692" t="s">
        <v>196</v>
      </c>
      <c r="G254" s="693"/>
      <c r="H254" s="688"/>
      <c r="I254" s="685" t="s">
        <v>195</v>
      </c>
      <c r="J254" s="689">
        <v>1.0</v>
      </c>
      <c r="K254" s="689">
        <v>0.0</v>
      </c>
      <c r="L254" s="689">
        <v>0.0</v>
      </c>
      <c r="M254" s="689">
        <v>0.0</v>
      </c>
      <c r="N254" s="686">
        <v>0.0</v>
      </c>
      <c r="O254" s="686">
        <v>0.0</v>
      </c>
      <c r="P254" s="686">
        <v>0.0</v>
      </c>
      <c r="Q254" s="686">
        <v>0.0</v>
      </c>
      <c r="R254" s="686">
        <v>0.0</v>
      </c>
      <c r="S254" s="686">
        <v>0.0</v>
      </c>
      <c r="T254" s="686">
        <v>0.0</v>
      </c>
      <c r="U254" s="690">
        <v>0.0</v>
      </c>
      <c r="V254" s="678"/>
      <c r="W254" s="679"/>
      <c r="X254" s="679"/>
      <c r="Y254" s="679"/>
      <c r="Z254" s="679"/>
      <c r="AA254" s="679"/>
      <c r="AB254" s="679"/>
      <c r="AC254" s="678"/>
      <c r="AD254" s="678"/>
      <c r="AE254" s="679"/>
      <c r="AF254" s="679"/>
      <c r="AG254" s="679"/>
      <c r="AH254" s="679"/>
      <c r="AI254" s="679"/>
      <c r="AJ254" s="676"/>
      <c r="AK254" s="676"/>
      <c r="AL254" s="680"/>
    </row>
    <row r="255">
      <c r="A255" s="685" t="s">
        <v>1830</v>
      </c>
      <c r="B255" s="685" t="s">
        <v>1838</v>
      </c>
      <c r="C255" s="685" t="s">
        <v>1836</v>
      </c>
      <c r="D255" s="685" t="s">
        <v>1391</v>
      </c>
      <c r="E255" s="686">
        <v>1090.0</v>
      </c>
      <c r="F255" s="692" t="s">
        <v>203</v>
      </c>
      <c r="G255" s="693"/>
      <c r="H255" s="688"/>
      <c r="I255" s="685" t="s">
        <v>202</v>
      </c>
      <c r="J255" s="689">
        <v>7.0</v>
      </c>
      <c r="K255" s="689">
        <v>0.0</v>
      </c>
      <c r="L255" s="689">
        <v>0.0</v>
      </c>
      <c r="M255" s="689">
        <v>0.0</v>
      </c>
      <c r="N255" s="686">
        <v>0.0</v>
      </c>
      <c r="O255" s="686">
        <v>0.0</v>
      </c>
      <c r="P255" s="686">
        <v>0.0</v>
      </c>
      <c r="Q255" s="686">
        <v>0.0</v>
      </c>
      <c r="R255" s="686">
        <v>0.0</v>
      </c>
      <c r="S255" s="686">
        <v>0.0</v>
      </c>
      <c r="T255" s="686">
        <v>0.0</v>
      </c>
      <c r="U255" s="690">
        <v>0.0</v>
      </c>
      <c r="V255" s="678"/>
      <c r="W255" s="679"/>
      <c r="X255" s="679"/>
      <c r="Y255" s="679"/>
      <c r="Z255" s="679"/>
      <c r="AA255" s="679"/>
      <c r="AB255" s="679"/>
      <c r="AC255" s="678"/>
      <c r="AD255" s="678"/>
      <c r="AE255" s="679"/>
      <c r="AF255" s="679"/>
      <c r="AG255" s="679"/>
      <c r="AH255" s="679"/>
      <c r="AI255" s="679"/>
      <c r="AJ255" s="676"/>
      <c r="AK255" s="676"/>
      <c r="AL255" s="679"/>
    </row>
    <row r="256">
      <c r="A256" s="685" t="s">
        <v>1839</v>
      </c>
      <c r="B256" s="685" t="s">
        <v>1840</v>
      </c>
      <c r="C256" s="685" t="s">
        <v>1841</v>
      </c>
      <c r="D256" s="685" t="s">
        <v>1842</v>
      </c>
      <c r="E256" s="686">
        <v>38.0</v>
      </c>
      <c r="F256" s="692" t="s">
        <v>1843</v>
      </c>
      <c r="G256" s="693"/>
      <c r="H256" s="688"/>
      <c r="I256" s="685" t="s">
        <v>1844</v>
      </c>
      <c r="J256" s="689">
        <v>2.0</v>
      </c>
      <c r="K256" s="689">
        <v>0.0</v>
      </c>
      <c r="L256" s="689">
        <v>0.0</v>
      </c>
      <c r="M256" s="689">
        <v>0.0</v>
      </c>
      <c r="N256" s="686">
        <v>34.58</v>
      </c>
      <c r="O256" s="686">
        <v>69.16</v>
      </c>
      <c r="P256" s="686">
        <v>0.0</v>
      </c>
      <c r="Q256" s="686">
        <v>0.0</v>
      </c>
      <c r="R256" s="686">
        <v>0.0</v>
      </c>
      <c r="S256" s="686">
        <v>0.0</v>
      </c>
      <c r="T256" s="686">
        <v>0.0</v>
      </c>
      <c r="U256" s="690">
        <v>69.16</v>
      </c>
      <c r="V256" s="678"/>
      <c r="W256" s="679"/>
      <c r="X256" s="679"/>
      <c r="Y256" s="679"/>
      <c r="Z256" s="679"/>
      <c r="AA256" s="679"/>
      <c r="AB256" s="679"/>
      <c r="AC256" s="678"/>
      <c r="AD256" s="678"/>
      <c r="AE256" s="679"/>
      <c r="AF256" s="679"/>
      <c r="AG256" s="679"/>
      <c r="AH256" s="679"/>
      <c r="AI256" s="679"/>
      <c r="AJ256" s="676"/>
      <c r="AK256" s="676"/>
      <c r="AL256" s="679"/>
    </row>
    <row r="257">
      <c r="A257" s="685" t="s">
        <v>1839</v>
      </c>
      <c r="B257" s="685" t="s">
        <v>1840</v>
      </c>
      <c r="C257" s="685" t="s">
        <v>1841</v>
      </c>
      <c r="D257" s="685" t="s">
        <v>1842</v>
      </c>
      <c r="E257" s="686">
        <v>38.0</v>
      </c>
      <c r="F257" s="692" t="s">
        <v>1845</v>
      </c>
      <c r="G257" s="693"/>
      <c r="H257" s="688"/>
      <c r="I257" s="685" t="s">
        <v>1846</v>
      </c>
      <c r="J257" s="689">
        <v>4.0</v>
      </c>
      <c r="K257" s="689">
        <v>0.0</v>
      </c>
      <c r="L257" s="689">
        <v>0.0</v>
      </c>
      <c r="M257" s="689">
        <v>0.0</v>
      </c>
      <c r="N257" s="686">
        <v>34.58</v>
      </c>
      <c r="O257" s="686">
        <v>138.32</v>
      </c>
      <c r="P257" s="686">
        <v>0.0</v>
      </c>
      <c r="Q257" s="686">
        <v>0.0</v>
      </c>
      <c r="R257" s="686">
        <v>0.0</v>
      </c>
      <c r="S257" s="686">
        <v>0.0</v>
      </c>
      <c r="T257" s="686">
        <v>0.0</v>
      </c>
      <c r="U257" s="690">
        <v>138.32</v>
      </c>
      <c r="V257" s="678"/>
      <c r="W257" s="679"/>
      <c r="X257" s="679"/>
      <c r="Y257" s="679"/>
      <c r="Z257" s="679"/>
      <c r="AA257" s="679"/>
      <c r="AB257" s="679"/>
      <c r="AC257" s="678"/>
      <c r="AD257" s="678"/>
      <c r="AE257" s="679"/>
      <c r="AF257" s="679"/>
      <c r="AG257" s="679"/>
      <c r="AH257" s="679"/>
      <c r="AI257" s="679"/>
      <c r="AJ257" s="676"/>
      <c r="AK257" s="676"/>
      <c r="AL257" s="679"/>
    </row>
    <row r="258">
      <c r="A258" s="685" t="s">
        <v>1839</v>
      </c>
      <c r="B258" s="685" t="s">
        <v>1840</v>
      </c>
      <c r="C258" s="685" t="s">
        <v>1841</v>
      </c>
      <c r="D258" s="685" t="s">
        <v>1842</v>
      </c>
      <c r="E258" s="686">
        <v>38.0</v>
      </c>
      <c r="F258" s="692" t="s">
        <v>1847</v>
      </c>
      <c r="G258" s="693"/>
      <c r="H258" s="688"/>
      <c r="I258" s="685" t="s">
        <v>1848</v>
      </c>
      <c r="J258" s="689">
        <v>1.0</v>
      </c>
      <c r="K258" s="689">
        <v>0.0</v>
      </c>
      <c r="L258" s="689">
        <v>0.0</v>
      </c>
      <c r="M258" s="689">
        <v>0.0</v>
      </c>
      <c r="N258" s="686">
        <v>34.58</v>
      </c>
      <c r="O258" s="686">
        <v>34.58</v>
      </c>
      <c r="P258" s="686">
        <v>0.0</v>
      </c>
      <c r="Q258" s="686">
        <v>0.0</v>
      </c>
      <c r="R258" s="686">
        <v>0.0</v>
      </c>
      <c r="S258" s="686">
        <v>0.0</v>
      </c>
      <c r="T258" s="686">
        <v>0.0</v>
      </c>
      <c r="U258" s="690">
        <v>34.58</v>
      </c>
      <c r="V258" s="678"/>
      <c r="W258" s="679"/>
      <c r="X258" s="679"/>
      <c r="Y258" s="679"/>
      <c r="Z258" s="679"/>
      <c r="AA258" s="679"/>
      <c r="AB258" s="679"/>
      <c r="AC258" s="678"/>
      <c r="AD258" s="678"/>
      <c r="AE258" s="679"/>
      <c r="AF258" s="679"/>
      <c r="AG258" s="679"/>
      <c r="AH258" s="679"/>
      <c r="AI258" s="679"/>
      <c r="AJ258" s="676"/>
      <c r="AK258" s="676"/>
      <c r="AL258" s="679"/>
    </row>
    <row r="259">
      <c r="A259" s="685" t="s">
        <v>1839</v>
      </c>
      <c r="B259" s="685" t="s">
        <v>1840</v>
      </c>
      <c r="C259" s="685" t="s">
        <v>1841</v>
      </c>
      <c r="D259" s="685" t="s">
        <v>1842</v>
      </c>
      <c r="E259" s="686">
        <v>38.0</v>
      </c>
      <c r="F259" s="692" t="s">
        <v>1849</v>
      </c>
      <c r="G259" s="693"/>
      <c r="H259" s="688"/>
      <c r="I259" s="685" t="s">
        <v>1850</v>
      </c>
      <c r="J259" s="689">
        <v>21.0</v>
      </c>
      <c r="K259" s="689">
        <v>0.0</v>
      </c>
      <c r="L259" s="689">
        <v>0.0</v>
      </c>
      <c r="M259" s="689">
        <v>0.0</v>
      </c>
      <c r="N259" s="686">
        <v>34.58</v>
      </c>
      <c r="O259" s="686">
        <v>726.18</v>
      </c>
      <c r="P259" s="686">
        <v>0.0</v>
      </c>
      <c r="Q259" s="686">
        <v>345.8</v>
      </c>
      <c r="R259" s="686">
        <v>0.0</v>
      </c>
      <c r="S259" s="686">
        <v>0.0</v>
      </c>
      <c r="T259" s="686">
        <v>380.38</v>
      </c>
      <c r="U259" s="690">
        <v>0.0</v>
      </c>
      <c r="V259" s="678"/>
      <c r="W259" s="679"/>
      <c r="X259" s="679"/>
      <c r="Y259" s="679"/>
      <c r="Z259" s="679"/>
      <c r="AA259" s="679"/>
      <c r="AB259" s="679"/>
      <c r="AC259" s="678"/>
      <c r="AD259" s="678"/>
      <c r="AE259" s="679"/>
      <c r="AF259" s="679"/>
      <c r="AG259" s="679"/>
      <c r="AH259" s="679"/>
      <c r="AI259" s="679"/>
      <c r="AJ259" s="676"/>
      <c r="AK259" s="676"/>
      <c r="AL259" s="679"/>
    </row>
    <row r="260">
      <c r="A260" s="685" t="s">
        <v>1839</v>
      </c>
      <c r="B260" s="685" t="s">
        <v>1840</v>
      </c>
      <c r="C260" s="685" t="s">
        <v>1841</v>
      </c>
      <c r="D260" s="685" t="s">
        <v>1842</v>
      </c>
      <c r="E260" s="686">
        <v>38.0</v>
      </c>
      <c r="F260" s="692" t="s">
        <v>1851</v>
      </c>
      <c r="G260" s="693"/>
      <c r="H260" s="688"/>
      <c r="I260" s="685" t="s">
        <v>1852</v>
      </c>
      <c r="J260" s="689">
        <v>17.0</v>
      </c>
      <c r="K260" s="689">
        <v>0.0</v>
      </c>
      <c r="L260" s="689">
        <v>0.0</v>
      </c>
      <c r="M260" s="689">
        <v>0.0</v>
      </c>
      <c r="N260" s="686">
        <v>34.58</v>
      </c>
      <c r="O260" s="686">
        <v>587.86</v>
      </c>
      <c r="P260" s="686">
        <v>0.0</v>
      </c>
      <c r="Q260" s="686">
        <v>172.9</v>
      </c>
      <c r="R260" s="686">
        <v>0.0</v>
      </c>
      <c r="S260" s="686">
        <v>0.0</v>
      </c>
      <c r="T260" s="686">
        <v>414.96</v>
      </c>
      <c r="U260" s="690">
        <v>0.0</v>
      </c>
      <c r="V260" s="678"/>
      <c r="W260" s="679"/>
      <c r="X260" s="679"/>
      <c r="Y260" s="679"/>
      <c r="Z260" s="679"/>
      <c r="AA260" s="679"/>
      <c r="AB260" s="679"/>
      <c r="AC260" s="678"/>
      <c r="AD260" s="678"/>
      <c r="AE260" s="679"/>
      <c r="AF260" s="679"/>
      <c r="AG260" s="679"/>
      <c r="AH260" s="679"/>
      <c r="AI260" s="679"/>
      <c r="AJ260" s="676"/>
      <c r="AK260" s="676"/>
      <c r="AL260" s="679"/>
    </row>
    <row r="261">
      <c r="A261" s="685" t="s">
        <v>1839</v>
      </c>
      <c r="B261" s="685" t="s">
        <v>1840</v>
      </c>
      <c r="C261" s="685" t="s">
        <v>1841</v>
      </c>
      <c r="D261" s="685" t="s">
        <v>1842</v>
      </c>
      <c r="E261" s="686">
        <v>38.0</v>
      </c>
      <c r="F261" s="692" t="s">
        <v>1853</v>
      </c>
      <c r="G261" s="687"/>
      <c r="H261" s="688"/>
      <c r="I261" s="685" t="s">
        <v>1854</v>
      </c>
      <c r="J261" s="689">
        <v>1.0</v>
      </c>
      <c r="K261" s="689">
        <v>0.0</v>
      </c>
      <c r="L261" s="689">
        <v>0.0</v>
      </c>
      <c r="M261" s="689">
        <v>0.0</v>
      </c>
      <c r="N261" s="686">
        <v>34.58</v>
      </c>
      <c r="O261" s="686">
        <v>34.58</v>
      </c>
      <c r="P261" s="686">
        <v>0.0</v>
      </c>
      <c r="Q261" s="686">
        <v>0.0</v>
      </c>
      <c r="R261" s="686">
        <v>0.0</v>
      </c>
      <c r="S261" s="686">
        <v>0.0</v>
      </c>
      <c r="T261" s="686">
        <v>0.0</v>
      </c>
      <c r="U261" s="690">
        <v>34.58</v>
      </c>
      <c r="V261" s="694"/>
      <c r="W261" s="679"/>
      <c r="X261" s="679"/>
      <c r="Y261" s="679"/>
      <c r="Z261" s="679"/>
      <c r="AA261" s="679"/>
      <c r="AB261" s="679"/>
      <c r="AC261" s="678"/>
      <c r="AD261" s="678"/>
      <c r="AE261" s="679"/>
      <c r="AF261" s="679"/>
      <c r="AG261" s="679"/>
      <c r="AH261" s="679"/>
      <c r="AI261" s="679"/>
      <c r="AJ261" s="676"/>
      <c r="AK261" s="676"/>
      <c r="AL261" s="679"/>
    </row>
    <row r="262">
      <c r="A262" s="685" t="s">
        <v>1839</v>
      </c>
      <c r="B262" s="685" t="s">
        <v>1840</v>
      </c>
      <c r="C262" s="685" t="s">
        <v>1841</v>
      </c>
      <c r="D262" s="685" t="s">
        <v>1842</v>
      </c>
      <c r="E262" s="686">
        <v>38.0</v>
      </c>
      <c r="F262" s="692" t="s">
        <v>1855</v>
      </c>
      <c r="G262" s="687"/>
      <c r="H262" s="688"/>
      <c r="I262" s="685" t="s">
        <v>1856</v>
      </c>
      <c r="J262" s="689">
        <v>2.0</v>
      </c>
      <c r="K262" s="689">
        <v>0.0</v>
      </c>
      <c r="L262" s="689">
        <v>0.0</v>
      </c>
      <c r="M262" s="689">
        <v>0.0</v>
      </c>
      <c r="N262" s="686">
        <v>34.58</v>
      </c>
      <c r="O262" s="686">
        <v>69.16</v>
      </c>
      <c r="P262" s="686">
        <v>0.0</v>
      </c>
      <c r="Q262" s="686">
        <v>0.0</v>
      </c>
      <c r="R262" s="686">
        <v>0.0</v>
      </c>
      <c r="S262" s="686">
        <v>0.0</v>
      </c>
      <c r="T262" s="686">
        <v>0.0</v>
      </c>
      <c r="U262" s="690">
        <v>69.16</v>
      </c>
      <c r="V262" s="694"/>
      <c r="W262" s="679"/>
      <c r="X262" s="679"/>
      <c r="Y262" s="679"/>
      <c r="Z262" s="679"/>
      <c r="AA262" s="679"/>
      <c r="AB262" s="679"/>
      <c r="AC262" s="678"/>
      <c r="AD262" s="678"/>
      <c r="AE262" s="679"/>
      <c r="AF262" s="679"/>
      <c r="AG262" s="679"/>
      <c r="AH262" s="679"/>
      <c r="AI262" s="679"/>
      <c r="AJ262" s="676"/>
      <c r="AK262" s="676"/>
      <c r="AL262" s="679"/>
    </row>
    <row r="263">
      <c r="A263" s="685" t="s">
        <v>1839</v>
      </c>
      <c r="B263" s="685" t="s">
        <v>1840</v>
      </c>
      <c r="C263" s="685" t="s">
        <v>1841</v>
      </c>
      <c r="D263" s="685" t="s">
        <v>1842</v>
      </c>
      <c r="E263" s="686">
        <v>38.0</v>
      </c>
      <c r="F263" s="692" t="s">
        <v>1857</v>
      </c>
      <c r="G263" s="693"/>
      <c r="H263" s="688"/>
      <c r="I263" s="685" t="s">
        <v>1858</v>
      </c>
      <c r="J263" s="689">
        <v>3.0</v>
      </c>
      <c r="K263" s="689">
        <v>0.0</v>
      </c>
      <c r="L263" s="689">
        <v>0.0</v>
      </c>
      <c r="M263" s="689">
        <v>0.0</v>
      </c>
      <c r="N263" s="686">
        <v>34.58</v>
      </c>
      <c r="O263" s="686">
        <v>103.74</v>
      </c>
      <c r="P263" s="686">
        <v>0.0</v>
      </c>
      <c r="Q263" s="686">
        <v>0.0</v>
      </c>
      <c r="R263" s="686">
        <v>0.0</v>
      </c>
      <c r="S263" s="686">
        <v>0.0</v>
      </c>
      <c r="T263" s="686">
        <v>0.0</v>
      </c>
      <c r="U263" s="690">
        <v>103.74</v>
      </c>
      <c r="V263" s="694"/>
      <c r="W263" s="679"/>
      <c r="X263" s="679"/>
      <c r="Y263" s="679"/>
      <c r="Z263" s="679"/>
      <c r="AA263" s="679"/>
      <c r="AB263" s="679"/>
      <c r="AC263" s="678"/>
      <c r="AD263" s="678"/>
      <c r="AE263" s="679"/>
      <c r="AF263" s="679"/>
      <c r="AG263" s="679"/>
      <c r="AH263" s="679"/>
      <c r="AI263" s="679"/>
      <c r="AJ263" s="676"/>
      <c r="AK263" s="676"/>
      <c r="AL263" s="680"/>
    </row>
    <row r="264">
      <c r="A264" s="685" t="s">
        <v>1839</v>
      </c>
      <c r="B264" s="685" t="s">
        <v>1840</v>
      </c>
      <c r="C264" s="685" t="s">
        <v>1841</v>
      </c>
      <c r="D264" s="685" t="s">
        <v>1842</v>
      </c>
      <c r="E264" s="686">
        <v>38.0</v>
      </c>
      <c r="F264" s="692" t="s">
        <v>1859</v>
      </c>
      <c r="G264" s="693"/>
      <c r="H264" s="688"/>
      <c r="I264" s="685" t="s">
        <v>1860</v>
      </c>
      <c r="J264" s="689">
        <v>5.0</v>
      </c>
      <c r="K264" s="689">
        <v>0.0</v>
      </c>
      <c r="L264" s="689">
        <v>0.0</v>
      </c>
      <c r="M264" s="689">
        <v>0.0</v>
      </c>
      <c r="N264" s="686">
        <v>34.58</v>
      </c>
      <c r="O264" s="686">
        <v>172.9</v>
      </c>
      <c r="P264" s="686">
        <v>0.0</v>
      </c>
      <c r="Q264" s="686">
        <v>0.0</v>
      </c>
      <c r="R264" s="686">
        <v>0.0</v>
      </c>
      <c r="S264" s="686">
        <v>0.0</v>
      </c>
      <c r="T264" s="686">
        <v>0.0</v>
      </c>
      <c r="U264" s="690">
        <v>172.9</v>
      </c>
      <c r="V264" s="694"/>
      <c r="W264" s="679"/>
      <c r="X264" s="679"/>
      <c r="Y264" s="679"/>
      <c r="Z264" s="679"/>
      <c r="AA264" s="679"/>
      <c r="AB264" s="679"/>
      <c r="AC264" s="678"/>
      <c r="AD264" s="678"/>
      <c r="AE264" s="679"/>
      <c r="AF264" s="679"/>
      <c r="AG264" s="679"/>
      <c r="AH264" s="679"/>
      <c r="AI264" s="679"/>
      <c r="AJ264" s="676"/>
      <c r="AK264" s="676"/>
      <c r="AL264" s="680"/>
    </row>
    <row r="265">
      <c r="A265" s="685" t="s">
        <v>1839</v>
      </c>
      <c r="B265" s="685" t="s">
        <v>1840</v>
      </c>
      <c r="C265" s="685" t="s">
        <v>1841</v>
      </c>
      <c r="D265" s="685" t="s">
        <v>1842</v>
      </c>
      <c r="E265" s="686">
        <v>38.0</v>
      </c>
      <c r="F265" s="692" t="s">
        <v>1861</v>
      </c>
      <c r="G265" s="693"/>
      <c r="H265" s="688"/>
      <c r="I265" s="685" t="s">
        <v>1862</v>
      </c>
      <c r="J265" s="689">
        <v>1.0</v>
      </c>
      <c r="K265" s="689">
        <v>0.0</v>
      </c>
      <c r="L265" s="689">
        <v>0.0</v>
      </c>
      <c r="M265" s="689">
        <v>0.0</v>
      </c>
      <c r="N265" s="686">
        <v>34.58</v>
      </c>
      <c r="O265" s="686">
        <v>34.58</v>
      </c>
      <c r="P265" s="686">
        <v>0.0</v>
      </c>
      <c r="Q265" s="686">
        <v>0.0</v>
      </c>
      <c r="R265" s="686">
        <v>0.0</v>
      </c>
      <c r="S265" s="686">
        <v>0.0</v>
      </c>
      <c r="T265" s="686">
        <v>0.0</v>
      </c>
      <c r="U265" s="690">
        <v>34.58</v>
      </c>
      <c r="V265" s="694"/>
      <c r="W265" s="679"/>
      <c r="X265" s="679"/>
      <c r="Y265" s="679"/>
      <c r="Z265" s="679"/>
      <c r="AA265" s="679"/>
      <c r="AB265" s="679"/>
      <c r="AC265" s="678"/>
      <c r="AD265" s="678"/>
      <c r="AE265" s="679"/>
      <c r="AF265" s="679"/>
      <c r="AG265" s="679"/>
      <c r="AH265" s="679"/>
      <c r="AI265" s="679"/>
      <c r="AJ265" s="676"/>
      <c r="AK265" s="676"/>
      <c r="AL265" s="680"/>
    </row>
    <row r="266">
      <c r="A266" s="685" t="s">
        <v>1839</v>
      </c>
      <c r="B266" s="685" t="s">
        <v>1840</v>
      </c>
      <c r="C266" s="685" t="s">
        <v>1841</v>
      </c>
      <c r="D266" s="685" t="s">
        <v>1842</v>
      </c>
      <c r="E266" s="686">
        <v>38.0</v>
      </c>
      <c r="F266" s="692" t="s">
        <v>1863</v>
      </c>
      <c r="G266" s="693"/>
      <c r="H266" s="688"/>
      <c r="I266" s="685" t="s">
        <v>1864</v>
      </c>
      <c r="J266" s="689">
        <v>2.0</v>
      </c>
      <c r="K266" s="689">
        <v>0.0</v>
      </c>
      <c r="L266" s="689">
        <v>0.0</v>
      </c>
      <c r="M266" s="689">
        <v>0.0</v>
      </c>
      <c r="N266" s="686">
        <v>34.58</v>
      </c>
      <c r="O266" s="686">
        <v>69.16</v>
      </c>
      <c r="P266" s="686">
        <v>0.0</v>
      </c>
      <c r="Q266" s="686">
        <v>0.0</v>
      </c>
      <c r="R266" s="686">
        <v>0.0</v>
      </c>
      <c r="S266" s="686">
        <v>0.0</v>
      </c>
      <c r="T266" s="686">
        <v>0.0</v>
      </c>
      <c r="U266" s="690">
        <v>69.16</v>
      </c>
      <c r="V266" s="678"/>
      <c r="W266" s="679"/>
      <c r="X266" s="679"/>
      <c r="Y266" s="679"/>
      <c r="Z266" s="679"/>
      <c r="AA266" s="679"/>
      <c r="AB266" s="679"/>
      <c r="AC266" s="678"/>
      <c r="AD266" s="678"/>
      <c r="AE266" s="679"/>
      <c r="AF266" s="679"/>
      <c r="AG266" s="679"/>
      <c r="AH266" s="679"/>
      <c r="AI266" s="679"/>
      <c r="AJ266" s="676"/>
      <c r="AK266" s="676"/>
      <c r="AL266" s="680"/>
    </row>
    <row r="267">
      <c r="A267" s="685" t="s">
        <v>1865</v>
      </c>
      <c r="B267" s="685" t="s">
        <v>1707</v>
      </c>
      <c r="C267" s="685" t="s">
        <v>1866</v>
      </c>
      <c r="D267" s="685" t="s">
        <v>1391</v>
      </c>
      <c r="E267" s="686">
        <v>4599.0</v>
      </c>
      <c r="F267" s="692" t="s">
        <v>83</v>
      </c>
      <c r="G267" s="693"/>
      <c r="H267" s="688"/>
      <c r="I267" s="685" t="s">
        <v>1867</v>
      </c>
      <c r="J267" s="689">
        <v>2.0</v>
      </c>
      <c r="K267" s="689">
        <v>0.0</v>
      </c>
      <c r="L267" s="689">
        <v>0.0</v>
      </c>
      <c r="M267" s="689">
        <v>0.0</v>
      </c>
      <c r="N267" s="686">
        <v>3739.0</v>
      </c>
      <c r="O267" s="686">
        <v>7478.0</v>
      </c>
      <c r="P267" s="686">
        <v>7478.0</v>
      </c>
      <c r="Q267" s="686">
        <v>0.0</v>
      </c>
      <c r="R267" s="686">
        <v>0.0</v>
      </c>
      <c r="S267" s="686">
        <v>0.0</v>
      </c>
      <c r="T267" s="686">
        <v>0.0</v>
      </c>
      <c r="U267" s="690">
        <v>0.0</v>
      </c>
      <c r="V267" s="678"/>
      <c r="W267" s="679"/>
      <c r="X267" s="679"/>
      <c r="Y267" s="679"/>
      <c r="Z267" s="679"/>
      <c r="AA267" s="679"/>
      <c r="AB267" s="679"/>
      <c r="AC267" s="678"/>
      <c r="AD267" s="678"/>
      <c r="AE267" s="679"/>
      <c r="AF267" s="679"/>
      <c r="AG267" s="679"/>
      <c r="AH267" s="679"/>
      <c r="AI267" s="679"/>
      <c r="AJ267" s="676"/>
      <c r="AK267" s="676"/>
      <c r="AL267" s="680"/>
    </row>
    <row r="268">
      <c r="A268" s="685" t="s">
        <v>1865</v>
      </c>
      <c r="B268" s="685" t="s">
        <v>1707</v>
      </c>
      <c r="C268" s="685" t="s">
        <v>1866</v>
      </c>
      <c r="D268" s="685" t="s">
        <v>1391</v>
      </c>
      <c r="E268" s="686">
        <v>5999.0</v>
      </c>
      <c r="F268" s="692" t="s">
        <v>128</v>
      </c>
      <c r="G268" s="693"/>
      <c r="H268" s="688"/>
      <c r="I268" s="685" t="s">
        <v>1868</v>
      </c>
      <c r="J268" s="689">
        <v>4.0</v>
      </c>
      <c r="K268" s="689">
        <v>0.0</v>
      </c>
      <c r="L268" s="689">
        <v>0.0</v>
      </c>
      <c r="M268" s="689">
        <v>0.0</v>
      </c>
      <c r="N268" s="686">
        <v>4065.0</v>
      </c>
      <c r="O268" s="686">
        <v>16260.0</v>
      </c>
      <c r="P268" s="686">
        <v>0.0</v>
      </c>
      <c r="Q268" s="686">
        <v>0.0</v>
      </c>
      <c r="R268" s="686">
        <v>16260.0</v>
      </c>
      <c r="S268" s="686">
        <v>0.0</v>
      </c>
      <c r="T268" s="686">
        <v>0.0</v>
      </c>
      <c r="U268" s="690">
        <v>0.0</v>
      </c>
      <c r="V268" s="678"/>
      <c r="W268" s="679"/>
      <c r="X268" s="679"/>
      <c r="Y268" s="679"/>
      <c r="Z268" s="679"/>
      <c r="AA268" s="679"/>
      <c r="AB268" s="679"/>
      <c r="AC268" s="678"/>
      <c r="AD268" s="678"/>
      <c r="AE268" s="679"/>
      <c r="AF268" s="679"/>
      <c r="AG268" s="679"/>
      <c r="AH268" s="679"/>
      <c r="AI268" s="679"/>
      <c r="AJ268" s="676"/>
      <c r="AK268" s="676"/>
      <c r="AL268" s="679"/>
    </row>
    <row r="269">
      <c r="A269" s="685" t="s">
        <v>1865</v>
      </c>
      <c r="B269" s="685" t="s">
        <v>1707</v>
      </c>
      <c r="C269" s="685" t="s">
        <v>1866</v>
      </c>
      <c r="D269" s="685" t="s">
        <v>1391</v>
      </c>
      <c r="E269" s="686">
        <v>5999.0</v>
      </c>
      <c r="F269" s="692" t="s">
        <v>132</v>
      </c>
      <c r="G269" s="693"/>
      <c r="H269" s="688"/>
      <c r="I269" s="685" t="s">
        <v>1869</v>
      </c>
      <c r="J269" s="689">
        <v>5.0</v>
      </c>
      <c r="K269" s="689">
        <v>0.0</v>
      </c>
      <c r="L269" s="689">
        <v>0.0</v>
      </c>
      <c r="M269" s="689">
        <v>0.0</v>
      </c>
      <c r="N269" s="686">
        <v>4065.0</v>
      </c>
      <c r="O269" s="686">
        <v>20325.0</v>
      </c>
      <c r="P269" s="686">
        <v>0.0</v>
      </c>
      <c r="Q269" s="686">
        <v>0.0</v>
      </c>
      <c r="R269" s="686">
        <v>20325.0</v>
      </c>
      <c r="S269" s="686">
        <v>0.0</v>
      </c>
      <c r="T269" s="686">
        <v>0.0</v>
      </c>
      <c r="U269" s="690">
        <v>0.0</v>
      </c>
      <c r="V269" s="678"/>
      <c r="W269" s="679"/>
      <c r="X269" s="679"/>
      <c r="Y269" s="679"/>
      <c r="Z269" s="679"/>
      <c r="AA269" s="679"/>
      <c r="AB269" s="679"/>
      <c r="AC269" s="678"/>
      <c r="AD269" s="678"/>
      <c r="AE269" s="679"/>
      <c r="AF269" s="679"/>
      <c r="AG269" s="679"/>
      <c r="AH269" s="679"/>
      <c r="AI269" s="679"/>
      <c r="AJ269" s="676"/>
      <c r="AK269" s="676"/>
      <c r="AL269" s="679"/>
    </row>
    <row r="270">
      <c r="A270" s="685" t="s">
        <v>1865</v>
      </c>
      <c r="B270" s="685" t="s">
        <v>1707</v>
      </c>
      <c r="C270" s="685" t="s">
        <v>1866</v>
      </c>
      <c r="D270" s="685" t="s">
        <v>1391</v>
      </c>
      <c r="E270" s="686">
        <v>6999.0</v>
      </c>
      <c r="F270" s="692" t="s">
        <v>140</v>
      </c>
      <c r="G270" s="693"/>
      <c r="H270" s="688"/>
      <c r="I270" s="685" t="s">
        <v>1870</v>
      </c>
      <c r="J270" s="689">
        <v>6.0</v>
      </c>
      <c r="K270" s="689">
        <v>0.0</v>
      </c>
      <c r="L270" s="689">
        <v>0.0</v>
      </c>
      <c r="M270" s="689">
        <v>0.0</v>
      </c>
      <c r="N270" s="686">
        <v>5555.5</v>
      </c>
      <c r="O270" s="686">
        <v>33333.0</v>
      </c>
      <c r="P270" s="686">
        <v>0.0</v>
      </c>
      <c r="Q270" s="686">
        <v>28455.0</v>
      </c>
      <c r="R270" s="686">
        <v>4878.0</v>
      </c>
      <c r="S270" s="686">
        <v>0.0</v>
      </c>
      <c r="T270" s="686">
        <v>0.0</v>
      </c>
      <c r="U270" s="690">
        <v>0.0</v>
      </c>
      <c r="V270" s="678"/>
      <c r="W270" s="679"/>
      <c r="X270" s="679"/>
      <c r="Y270" s="679"/>
      <c r="Z270" s="679"/>
      <c r="AA270" s="679"/>
      <c r="AB270" s="679"/>
      <c r="AC270" s="678"/>
      <c r="AD270" s="678"/>
      <c r="AE270" s="679"/>
      <c r="AF270" s="679"/>
      <c r="AG270" s="679"/>
      <c r="AH270" s="679"/>
      <c r="AI270" s="679"/>
      <c r="AJ270" s="676"/>
      <c r="AK270" s="676"/>
      <c r="AL270" s="679"/>
    </row>
    <row r="271">
      <c r="A271" s="685" t="s">
        <v>1865</v>
      </c>
      <c r="B271" s="685" t="s">
        <v>1707</v>
      </c>
      <c r="C271" s="685" t="s">
        <v>1866</v>
      </c>
      <c r="D271" s="685" t="s">
        <v>1391</v>
      </c>
      <c r="E271" s="686">
        <v>6999.0</v>
      </c>
      <c r="F271" s="692" t="s">
        <v>150</v>
      </c>
      <c r="G271" s="693"/>
      <c r="H271" s="688"/>
      <c r="I271" s="685" t="s">
        <v>1871</v>
      </c>
      <c r="J271" s="689">
        <v>5.0</v>
      </c>
      <c r="K271" s="689">
        <v>0.0</v>
      </c>
      <c r="L271" s="689">
        <v>0.0</v>
      </c>
      <c r="M271" s="689">
        <v>0.0</v>
      </c>
      <c r="N271" s="686">
        <v>5691.0</v>
      </c>
      <c r="O271" s="686">
        <v>28455.0</v>
      </c>
      <c r="P271" s="686">
        <v>0.0</v>
      </c>
      <c r="Q271" s="686">
        <v>28455.0</v>
      </c>
      <c r="R271" s="686">
        <v>0.0</v>
      </c>
      <c r="S271" s="686">
        <v>0.0</v>
      </c>
      <c r="T271" s="686">
        <v>0.0</v>
      </c>
      <c r="U271" s="690">
        <v>0.0</v>
      </c>
      <c r="V271" s="694"/>
      <c r="W271" s="679"/>
      <c r="X271" s="679"/>
      <c r="Y271" s="679"/>
      <c r="Z271" s="679"/>
      <c r="AA271" s="679"/>
      <c r="AB271" s="679"/>
      <c r="AC271" s="678"/>
      <c r="AD271" s="678"/>
      <c r="AE271" s="679"/>
      <c r="AF271" s="679"/>
      <c r="AG271" s="679"/>
      <c r="AH271" s="679"/>
      <c r="AI271" s="679"/>
      <c r="AJ271" s="676"/>
      <c r="AK271" s="676"/>
      <c r="AL271" s="680"/>
    </row>
    <row r="272">
      <c r="A272" s="685" t="s">
        <v>1865</v>
      </c>
      <c r="B272" s="685" t="s">
        <v>1707</v>
      </c>
      <c r="C272" s="685" t="s">
        <v>1872</v>
      </c>
      <c r="D272" s="685" t="s">
        <v>1391</v>
      </c>
      <c r="E272" s="686">
        <v>8999.0</v>
      </c>
      <c r="F272" s="692" t="s">
        <v>170</v>
      </c>
      <c r="G272" s="693"/>
      <c r="H272" s="688"/>
      <c r="I272" s="685" t="s">
        <v>1873</v>
      </c>
      <c r="J272" s="689">
        <v>3.0</v>
      </c>
      <c r="K272" s="689">
        <v>0.0</v>
      </c>
      <c r="L272" s="689">
        <v>0.0</v>
      </c>
      <c r="M272" s="689">
        <v>0.0</v>
      </c>
      <c r="N272" s="686">
        <v>6504.0</v>
      </c>
      <c r="O272" s="686">
        <v>19512.0</v>
      </c>
      <c r="P272" s="686">
        <v>0.0</v>
      </c>
      <c r="Q272" s="686">
        <v>0.0</v>
      </c>
      <c r="R272" s="686">
        <v>19512.0</v>
      </c>
      <c r="S272" s="686">
        <v>0.0</v>
      </c>
      <c r="T272" s="686">
        <v>0.0</v>
      </c>
      <c r="U272" s="690">
        <v>0.0</v>
      </c>
      <c r="V272" s="678"/>
      <c r="W272" s="679"/>
      <c r="X272" s="679"/>
      <c r="Y272" s="679"/>
      <c r="Z272" s="679"/>
      <c r="AA272" s="679"/>
      <c r="AB272" s="679"/>
      <c r="AC272" s="678"/>
      <c r="AD272" s="678"/>
      <c r="AE272" s="679"/>
      <c r="AF272" s="679"/>
      <c r="AG272" s="679"/>
      <c r="AH272" s="679"/>
      <c r="AI272" s="679"/>
      <c r="AJ272" s="676"/>
      <c r="AK272" s="676"/>
      <c r="AL272" s="680"/>
    </row>
    <row r="273">
      <c r="A273" s="685" t="s">
        <v>1865</v>
      </c>
      <c r="B273" s="685" t="s">
        <v>1707</v>
      </c>
      <c r="C273" s="685" t="s">
        <v>1872</v>
      </c>
      <c r="D273" s="685" t="s">
        <v>1391</v>
      </c>
      <c r="E273" s="686">
        <v>10599.0</v>
      </c>
      <c r="F273" s="692" t="s">
        <v>186</v>
      </c>
      <c r="G273" s="693"/>
      <c r="H273" s="688"/>
      <c r="I273" s="685" t="s">
        <v>1874</v>
      </c>
      <c r="J273" s="689">
        <v>3.0</v>
      </c>
      <c r="K273" s="689">
        <v>0.0</v>
      </c>
      <c r="L273" s="689">
        <v>0.0</v>
      </c>
      <c r="M273" s="689">
        <v>0.0</v>
      </c>
      <c r="N273" s="686">
        <v>7561.0</v>
      </c>
      <c r="O273" s="686">
        <v>22683.0</v>
      </c>
      <c r="P273" s="686">
        <v>0.0</v>
      </c>
      <c r="Q273" s="686">
        <v>0.0</v>
      </c>
      <c r="R273" s="686">
        <v>22683.0</v>
      </c>
      <c r="S273" s="686">
        <v>0.0</v>
      </c>
      <c r="T273" s="686">
        <v>0.0</v>
      </c>
      <c r="U273" s="690">
        <v>0.0</v>
      </c>
      <c r="V273" s="694"/>
      <c r="W273" s="679"/>
      <c r="X273" s="679"/>
      <c r="Y273" s="679"/>
      <c r="Z273" s="679"/>
      <c r="AA273" s="679"/>
      <c r="AB273" s="679"/>
      <c r="AC273" s="678"/>
      <c r="AD273" s="678"/>
      <c r="AE273" s="679"/>
      <c r="AF273" s="679"/>
      <c r="AG273" s="679"/>
      <c r="AH273" s="679"/>
      <c r="AI273" s="679"/>
      <c r="AJ273" s="676"/>
      <c r="AK273" s="676"/>
      <c r="AL273" s="679"/>
    </row>
    <row r="274">
      <c r="A274" s="685" t="s">
        <v>1865</v>
      </c>
      <c r="B274" s="685" t="s">
        <v>1707</v>
      </c>
      <c r="C274" s="685" t="s">
        <v>1872</v>
      </c>
      <c r="D274" s="685" t="s">
        <v>1391</v>
      </c>
      <c r="E274" s="686">
        <v>8999.0</v>
      </c>
      <c r="F274" s="692" t="s">
        <v>172</v>
      </c>
      <c r="G274" s="693"/>
      <c r="H274" s="688"/>
      <c r="I274" s="685" t="s">
        <v>1875</v>
      </c>
      <c r="J274" s="689">
        <v>7.0</v>
      </c>
      <c r="K274" s="689">
        <v>0.0</v>
      </c>
      <c r="L274" s="689">
        <v>0.0</v>
      </c>
      <c r="M274" s="689">
        <v>0.0</v>
      </c>
      <c r="N274" s="686">
        <v>6504.0</v>
      </c>
      <c r="O274" s="686">
        <v>45528.0</v>
      </c>
      <c r="P274" s="686">
        <v>0.0</v>
      </c>
      <c r="Q274" s="686">
        <v>0.0</v>
      </c>
      <c r="R274" s="686">
        <v>45528.0</v>
      </c>
      <c r="S274" s="686">
        <v>0.0</v>
      </c>
      <c r="T274" s="686">
        <v>0.0</v>
      </c>
      <c r="U274" s="690">
        <v>0.0</v>
      </c>
      <c r="V274" s="694"/>
      <c r="W274" s="679"/>
      <c r="X274" s="679"/>
      <c r="Y274" s="679"/>
      <c r="Z274" s="679"/>
      <c r="AA274" s="679"/>
      <c r="AB274" s="679"/>
      <c r="AC274" s="678"/>
      <c r="AD274" s="678"/>
      <c r="AE274" s="679"/>
      <c r="AF274" s="679"/>
      <c r="AG274" s="679"/>
      <c r="AH274" s="679"/>
      <c r="AI274" s="679"/>
      <c r="AJ274" s="676"/>
      <c r="AK274" s="676"/>
      <c r="AL274" s="679"/>
    </row>
    <row r="275">
      <c r="A275" s="685" t="s">
        <v>1865</v>
      </c>
      <c r="B275" s="685" t="s">
        <v>1707</v>
      </c>
      <c r="C275" s="685" t="s">
        <v>1872</v>
      </c>
      <c r="D275" s="685" t="s">
        <v>1391</v>
      </c>
      <c r="E275" s="686">
        <v>10599.0</v>
      </c>
      <c r="F275" s="692" t="s">
        <v>182</v>
      </c>
      <c r="G275" s="687"/>
      <c r="H275" s="688"/>
      <c r="I275" s="685" t="s">
        <v>1876</v>
      </c>
      <c r="J275" s="689">
        <v>2.0</v>
      </c>
      <c r="K275" s="689">
        <v>0.0</v>
      </c>
      <c r="L275" s="689">
        <v>0.0</v>
      </c>
      <c r="M275" s="689">
        <v>0.0</v>
      </c>
      <c r="N275" s="686">
        <v>7317.0</v>
      </c>
      <c r="O275" s="686">
        <v>14634.0</v>
      </c>
      <c r="P275" s="686">
        <v>0.0</v>
      </c>
      <c r="Q275" s="686">
        <v>0.0</v>
      </c>
      <c r="R275" s="686">
        <v>14634.0</v>
      </c>
      <c r="S275" s="686">
        <v>0.0</v>
      </c>
      <c r="T275" s="686">
        <v>0.0</v>
      </c>
      <c r="U275" s="690">
        <v>0.0</v>
      </c>
      <c r="V275" s="678"/>
      <c r="W275" s="679"/>
      <c r="X275" s="679"/>
      <c r="Y275" s="679"/>
      <c r="Z275" s="679"/>
      <c r="AA275" s="679"/>
      <c r="AB275" s="679"/>
      <c r="AC275" s="678"/>
      <c r="AD275" s="678"/>
      <c r="AE275" s="679"/>
      <c r="AF275" s="679"/>
      <c r="AG275" s="679"/>
      <c r="AH275" s="679"/>
      <c r="AI275" s="679"/>
      <c r="AJ275" s="676"/>
      <c r="AK275" s="676"/>
      <c r="AL275" s="679"/>
    </row>
    <row r="276">
      <c r="A276" s="685" t="s">
        <v>1865</v>
      </c>
      <c r="B276" s="685" t="s">
        <v>1707</v>
      </c>
      <c r="C276" s="685" t="s">
        <v>1877</v>
      </c>
      <c r="D276" s="685" t="s">
        <v>1391</v>
      </c>
      <c r="E276" s="686">
        <v>10999.0</v>
      </c>
      <c r="F276" s="692" t="s">
        <v>200</v>
      </c>
      <c r="G276" s="687"/>
      <c r="H276" s="688"/>
      <c r="I276" s="685" t="s">
        <v>1878</v>
      </c>
      <c r="J276" s="689">
        <v>5.0</v>
      </c>
      <c r="K276" s="689">
        <v>0.0</v>
      </c>
      <c r="L276" s="689">
        <v>0.0</v>
      </c>
      <c r="M276" s="689">
        <v>0.0</v>
      </c>
      <c r="N276" s="686">
        <v>8943.0</v>
      </c>
      <c r="O276" s="686">
        <v>44715.0</v>
      </c>
      <c r="P276" s="686">
        <v>0.0</v>
      </c>
      <c r="Q276" s="686">
        <v>44715.0</v>
      </c>
      <c r="R276" s="686">
        <v>0.0</v>
      </c>
      <c r="S276" s="686">
        <v>0.0</v>
      </c>
      <c r="T276" s="686">
        <v>0.0</v>
      </c>
      <c r="U276" s="690">
        <v>0.0</v>
      </c>
      <c r="V276" s="678"/>
      <c r="W276" s="679"/>
      <c r="X276" s="679"/>
      <c r="Y276" s="679"/>
      <c r="Z276" s="679"/>
      <c r="AA276" s="679"/>
      <c r="AB276" s="679"/>
      <c r="AC276" s="678"/>
      <c r="AD276" s="678"/>
      <c r="AE276" s="679"/>
      <c r="AF276" s="679"/>
      <c r="AG276" s="679"/>
      <c r="AH276" s="679"/>
      <c r="AI276" s="679"/>
      <c r="AJ276" s="676"/>
      <c r="AK276" s="676"/>
      <c r="AL276" s="679"/>
    </row>
    <row r="277">
      <c r="A277" s="685" t="s">
        <v>1865</v>
      </c>
      <c r="B277" s="685" t="s">
        <v>1707</v>
      </c>
      <c r="C277" s="685" t="s">
        <v>1877</v>
      </c>
      <c r="D277" s="685" t="s">
        <v>1391</v>
      </c>
      <c r="E277" s="686">
        <v>10999.0</v>
      </c>
      <c r="F277" s="692" t="s">
        <v>208</v>
      </c>
      <c r="G277" s="687"/>
      <c r="H277" s="688"/>
      <c r="I277" s="685" t="s">
        <v>1879</v>
      </c>
      <c r="J277" s="689">
        <v>4.0</v>
      </c>
      <c r="K277" s="689">
        <v>0.0</v>
      </c>
      <c r="L277" s="689">
        <v>0.0</v>
      </c>
      <c r="M277" s="689">
        <v>0.0</v>
      </c>
      <c r="N277" s="686">
        <v>8943.0</v>
      </c>
      <c r="O277" s="686">
        <v>35772.0</v>
      </c>
      <c r="P277" s="686">
        <v>35772.0</v>
      </c>
      <c r="Q277" s="686">
        <v>0.0</v>
      </c>
      <c r="R277" s="686">
        <v>0.0</v>
      </c>
      <c r="S277" s="686">
        <v>0.0</v>
      </c>
      <c r="T277" s="686">
        <v>0.0</v>
      </c>
      <c r="U277" s="690">
        <v>0.0</v>
      </c>
      <c r="V277" s="678"/>
      <c r="W277" s="679"/>
      <c r="X277" s="679"/>
      <c r="Y277" s="679"/>
      <c r="Z277" s="679"/>
      <c r="AA277" s="679"/>
      <c r="AB277" s="679"/>
      <c r="AC277" s="678"/>
      <c r="AD277" s="678"/>
      <c r="AE277" s="679"/>
      <c r="AF277" s="679"/>
      <c r="AG277" s="679"/>
      <c r="AH277" s="679"/>
      <c r="AI277" s="679"/>
      <c r="AJ277" s="676"/>
      <c r="AK277" s="676"/>
      <c r="AL277" s="679"/>
    </row>
    <row r="278">
      <c r="A278" s="685" t="s">
        <v>1865</v>
      </c>
      <c r="B278" s="685" t="s">
        <v>1707</v>
      </c>
      <c r="C278" s="685" t="s">
        <v>1880</v>
      </c>
      <c r="D278" s="685" t="s">
        <v>1391</v>
      </c>
      <c r="E278" s="686">
        <v>13999.0</v>
      </c>
      <c r="F278" s="692" t="s">
        <v>211</v>
      </c>
      <c r="G278" s="687"/>
      <c r="H278" s="688"/>
      <c r="I278" s="685" t="s">
        <v>1881</v>
      </c>
      <c r="J278" s="689">
        <v>3.0</v>
      </c>
      <c r="K278" s="689">
        <v>0.0</v>
      </c>
      <c r="L278" s="689">
        <v>0.0</v>
      </c>
      <c r="M278" s="689">
        <v>0.0</v>
      </c>
      <c r="N278" s="686">
        <v>11382.0</v>
      </c>
      <c r="O278" s="686">
        <v>34146.0</v>
      </c>
      <c r="P278" s="686">
        <v>0.0</v>
      </c>
      <c r="Q278" s="686">
        <v>0.0</v>
      </c>
      <c r="R278" s="686">
        <v>34146.0</v>
      </c>
      <c r="S278" s="686">
        <v>0.0</v>
      </c>
      <c r="T278" s="686">
        <v>0.0</v>
      </c>
      <c r="U278" s="690">
        <v>0.0</v>
      </c>
      <c r="V278" s="678"/>
      <c r="W278" s="679"/>
      <c r="X278" s="679"/>
      <c r="Y278" s="679"/>
      <c r="Z278" s="679"/>
      <c r="AA278" s="679"/>
      <c r="AB278" s="679"/>
      <c r="AC278" s="678"/>
      <c r="AD278" s="678"/>
      <c r="AE278" s="679"/>
      <c r="AF278" s="679"/>
      <c r="AG278" s="679"/>
      <c r="AH278" s="679"/>
      <c r="AI278" s="679"/>
      <c r="AJ278" s="676"/>
      <c r="AK278" s="676"/>
      <c r="AL278" s="679"/>
    </row>
    <row r="279">
      <c r="A279" s="685" t="s">
        <v>1865</v>
      </c>
      <c r="B279" s="685" t="s">
        <v>1707</v>
      </c>
      <c r="C279" s="685" t="s">
        <v>1880</v>
      </c>
      <c r="D279" s="685" t="s">
        <v>1391</v>
      </c>
      <c r="E279" s="686">
        <v>13999.0</v>
      </c>
      <c r="F279" s="692" t="s">
        <v>220</v>
      </c>
      <c r="G279" s="687"/>
      <c r="H279" s="688"/>
      <c r="I279" s="685" t="s">
        <v>1882</v>
      </c>
      <c r="J279" s="689">
        <v>3.0</v>
      </c>
      <c r="K279" s="689">
        <v>0.0</v>
      </c>
      <c r="L279" s="689">
        <v>0.0</v>
      </c>
      <c r="M279" s="689">
        <v>0.0</v>
      </c>
      <c r="N279" s="686">
        <v>11382.0</v>
      </c>
      <c r="O279" s="686">
        <v>34146.0</v>
      </c>
      <c r="P279" s="686">
        <v>0.0</v>
      </c>
      <c r="Q279" s="686">
        <v>34146.0</v>
      </c>
      <c r="R279" s="686">
        <v>0.0</v>
      </c>
      <c r="S279" s="686">
        <v>0.0</v>
      </c>
      <c r="T279" s="686">
        <v>0.0</v>
      </c>
      <c r="U279" s="690">
        <v>0.0</v>
      </c>
      <c r="V279" s="678"/>
      <c r="W279" s="679"/>
      <c r="X279" s="679"/>
      <c r="Y279" s="679"/>
      <c r="Z279" s="679"/>
      <c r="AA279" s="679"/>
      <c r="AB279" s="679"/>
      <c r="AC279" s="678"/>
      <c r="AD279" s="678"/>
      <c r="AE279" s="679"/>
      <c r="AF279" s="679"/>
      <c r="AG279" s="679"/>
      <c r="AH279" s="679"/>
      <c r="AI279" s="679"/>
      <c r="AJ279" s="676"/>
      <c r="AK279" s="676"/>
      <c r="AL279" s="680"/>
    </row>
    <row r="280">
      <c r="A280" s="685" t="s">
        <v>1865</v>
      </c>
      <c r="B280" s="685" t="s">
        <v>1707</v>
      </c>
      <c r="C280" s="685" t="s">
        <v>1880</v>
      </c>
      <c r="D280" s="685" t="s">
        <v>1391</v>
      </c>
      <c r="E280" s="686">
        <v>13999.0</v>
      </c>
      <c r="F280" s="692" t="s">
        <v>222</v>
      </c>
      <c r="G280" s="687"/>
      <c r="H280" s="688"/>
      <c r="I280" s="685" t="s">
        <v>1883</v>
      </c>
      <c r="J280" s="689">
        <v>4.0</v>
      </c>
      <c r="K280" s="689">
        <v>0.0</v>
      </c>
      <c r="L280" s="689">
        <v>0.0</v>
      </c>
      <c r="M280" s="689">
        <v>0.0</v>
      </c>
      <c r="N280" s="686">
        <v>11382.0</v>
      </c>
      <c r="O280" s="686">
        <v>45528.0</v>
      </c>
      <c r="P280" s="686">
        <v>0.0</v>
      </c>
      <c r="Q280" s="686">
        <v>0.0</v>
      </c>
      <c r="R280" s="686">
        <v>45528.0</v>
      </c>
      <c r="S280" s="686">
        <v>0.0</v>
      </c>
      <c r="T280" s="686">
        <v>0.0</v>
      </c>
      <c r="U280" s="690">
        <v>0.0</v>
      </c>
      <c r="V280" s="678"/>
      <c r="W280" s="679"/>
      <c r="X280" s="679"/>
      <c r="Y280" s="679"/>
      <c r="Z280" s="679"/>
      <c r="AA280" s="679"/>
      <c r="AB280" s="679"/>
      <c r="AC280" s="678"/>
      <c r="AD280" s="678"/>
      <c r="AE280" s="679"/>
      <c r="AF280" s="679"/>
      <c r="AG280" s="679"/>
      <c r="AH280" s="679"/>
      <c r="AI280" s="679"/>
      <c r="AJ280" s="676"/>
      <c r="AK280" s="676"/>
      <c r="AL280" s="680"/>
    </row>
    <row r="281">
      <c r="A281" s="685" t="s">
        <v>1865</v>
      </c>
      <c r="B281" s="685" t="s">
        <v>1707</v>
      </c>
      <c r="C281" s="685" t="s">
        <v>1884</v>
      </c>
      <c r="D281" s="685" t="s">
        <v>1391</v>
      </c>
      <c r="E281" s="686">
        <v>16999.0</v>
      </c>
      <c r="F281" s="692" t="s">
        <v>227</v>
      </c>
      <c r="G281" s="687"/>
      <c r="H281" s="688"/>
      <c r="I281" s="685" t="s">
        <v>1885</v>
      </c>
      <c r="J281" s="689">
        <v>3.0</v>
      </c>
      <c r="K281" s="689">
        <v>0.0</v>
      </c>
      <c r="L281" s="689">
        <v>0.0</v>
      </c>
      <c r="M281" s="689">
        <v>0.0</v>
      </c>
      <c r="N281" s="686">
        <v>13822.0</v>
      </c>
      <c r="O281" s="686">
        <v>41466.0</v>
      </c>
      <c r="P281" s="686">
        <v>41466.0</v>
      </c>
      <c r="Q281" s="686">
        <v>0.0</v>
      </c>
      <c r="R281" s="686">
        <v>0.0</v>
      </c>
      <c r="S281" s="686">
        <v>0.0</v>
      </c>
      <c r="T281" s="686">
        <v>0.0</v>
      </c>
      <c r="U281" s="690">
        <v>0.0</v>
      </c>
      <c r="V281" s="678"/>
      <c r="W281" s="679"/>
      <c r="X281" s="679"/>
      <c r="Y281" s="679"/>
      <c r="Z281" s="679"/>
      <c r="AA281" s="679"/>
      <c r="AB281" s="679"/>
      <c r="AC281" s="678"/>
      <c r="AD281" s="678"/>
      <c r="AE281" s="679"/>
      <c r="AF281" s="679"/>
      <c r="AG281" s="679"/>
      <c r="AH281" s="679"/>
      <c r="AI281" s="679"/>
      <c r="AJ281" s="676"/>
      <c r="AK281" s="676"/>
      <c r="AL281" s="680"/>
    </row>
    <row r="282">
      <c r="A282" s="685" t="s">
        <v>1865</v>
      </c>
      <c r="B282" s="685" t="s">
        <v>1707</v>
      </c>
      <c r="C282" s="685" t="s">
        <v>1884</v>
      </c>
      <c r="D282" s="685" t="s">
        <v>1391</v>
      </c>
      <c r="E282" s="686">
        <v>17999.0</v>
      </c>
      <c r="F282" s="692" t="s">
        <v>249</v>
      </c>
      <c r="G282" s="687"/>
      <c r="H282" s="688"/>
      <c r="I282" s="685" t="s">
        <v>1886</v>
      </c>
      <c r="J282" s="689">
        <v>5.0</v>
      </c>
      <c r="K282" s="689">
        <v>0.0</v>
      </c>
      <c r="L282" s="689">
        <v>0.0</v>
      </c>
      <c r="M282" s="689">
        <v>0.0</v>
      </c>
      <c r="N282" s="686">
        <v>14635.0</v>
      </c>
      <c r="O282" s="686">
        <v>73175.0</v>
      </c>
      <c r="P282" s="686">
        <v>0.0</v>
      </c>
      <c r="Q282" s="686">
        <v>0.0</v>
      </c>
      <c r="R282" s="686">
        <v>73175.0</v>
      </c>
      <c r="S282" s="686">
        <v>0.0</v>
      </c>
      <c r="T282" s="686">
        <v>0.0</v>
      </c>
      <c r="U282" s="690">
        <v>0.0</v>
      </c>
      <c r="V282" s="678"/>
      <c r="W282" s="679"/>
      <c r="X282" s="679"/>
      <c r="Y282" s="679"/>
      <c r="Z282" s="679"/>
      <c r="AA282" s="679"/>
      <c r="AB282" s="679"/>
      <c r="AC282" s="678"/>
      <c r="AD282" s="678"/>
      <c r="AE282" s="679"/>
      <c r="AF282" s="679"/>
      <c r="AG282" s="679"/>
      <c r="AH282" s="679"/>
      <c r="AI282" s="679"/>
      <c r="AJ282" s="676"/>
      <c r="AK282" s="676"/>
      <c r="AL282" s="679"/>
    </row>
    <row r="283">
      <c r="A283" s="685" t="s">
        <v>1865</v>
      </c>
      <c r="B283" s="685" t="s">
        <v>1707</v>
      </c>
      <c r="C283" s="685" t="s">
        <v>1884</v>
      </c>
      <c r="D283" s="685" t="s">
        <v>1391</v>
      </c>
      <c r="E283" s="686">
        <v>20999.0</v>
      </c>
      <c r="F283" s="692" t="s">
        <v>270</v>
      </c>
      <c r="G283" s="687"/>
      <c r="H283" s="688"/>
      <c r="I283" s="685" t="s">
        <v>1887</v>
      </c>
      <c r="J283" s="689">
        <v>9.0</v>
      </c>
      <c r="K283" s="689">
        <v>0.0</v>
      </c>
      <c r="L283" s="689">
        <v>0.0</v>
      </c>
      <c r="M283" s="689">
        <v>0.0</v>
      </c>
      <c r="N283" s="686">
        <v>17074.0</v>
      </c>
      <c r="O283" s="686">
        <v>153666.0</v>
      </c>
      <c r="P283" s="686">
        <v>153666.0</v>
      </c>
      <c r="Q283" s="686">
        <v>0.0</v>
      </c>
      <c r="R283" s="686">
        <v>0.0</v>
      </c>
      <c r="S283" s="686">
        <v>0.0</v>
      </c>
      <c r="T283" s="686">
        <v>0.0</v>
      </c>
      <c r="U283" s="690">
        <v>0.0</v>
      </c>
      <c r="V283" s="678"/>
      <c r="W283" s="679"/>
      <c r="X283" s="679"/>
      <c r="Y283" s="679"/>
      <c r="Z283" s="679"/>
      <c r="AA283" s="679"/>
      <c r="AB283" s="679"/>
      <c r="AC283" s="678"/>
      <c r="AD283" s="678"/>
      <c r="AE283" s="679"/>
      <c r="AF283" s="679"/>
      <c r="AG283" s="679"/>
      <c r="AH283" s="679"/>
      <c r="AI283" s="679"/>
      <c r="AJ283" s="676"/>
      <c r="AK283" s="676"/>
      <c r="AL283" s="679"/>
    </row>
    <row r="284">
      <c r="A284" s="685" t="s">
        <v>1865</v>
      </c>
      <c r="B284" s="685" t="s">
        <v>1707</v>
      </c>
      <c r="C284" s="685" t="s">
        <v>1884</v>
      </c>
      <c r="D284" s="685" t="s">
        <v>1391</v>
      </c>
      <c r="E284" s="686">
        <v>16999.0</v>
      </c>
      <c r="F284" s="692" t="s">
        <v>244</v>
      </c>
      <c r="G284" s="687"/>
      <c r="H284" s="688"/>
      <c r="I284" s="685" t="s">
        <v>1888</v>
      </c>
      <c r="J284" s="689">
        <v>2.0</v>
      </c>
      <c r="K284" s="689">
        <v>0.0</v>
      </c>
      <c r="L284" s="689">
        <v>0.0</v>
      </c>
      <c r="M284" s="689">
        <v>0.0</v>
      </c>
      <c r="N284" s="686">
        <v>13822.0</v>
      </c>
      <c r="O284" s="686">
        <v>27644.0</v>
      </c>
      <c r="P284" s="686">
        <v>27644.0</v>
      </c>
      <c r="Q284" s="686">
        <v>0.0</v>
      </c>
      <c r="R284" s="686">
        <v>0.0</v>
      </c>
      <c r="S284" s="686">
        <v>0.0</v>
      </c>
      <c r="T284" s="686">
        <v>0.0</v>
      </c>
      <c r="U284" s="690">
        <v>0.0</v>
      </c>
      <c r="V284" s="678"/>
      <c r="W284" s="679"/>
      <c r="X284" s="679"/>
      <c r="Y284" s="679"/>
      <c r="Z284" s="679"/>
      <c r="AA284" s="679"/>
      <c r="AB284" s="679"/>
      <c r="AC284" s="678"/>
      <c r="AD284" s="678"/>
      <c r="AE284" s="679"/>
      <c r="AF284" s="679"/>
      <c r="AG284" s="679"/>
      <c r="AH284" s="679"/>
      <c r="AI284" s="679"/>
      <c r="AJ284" s="676"/>
      <c r="AK284" s="676"/>
      <c r="AL284" s="680"/>
    </row>
    <row r="285">
      <c r="A285" s="685" t="s">
        <v>1865</v>
      </c>
      <c r="B285" s="685" t="s">
        <v>1707</v>
      </c>
      <c r="C285" s="685" t="s">
        <v>1884</v>
      </c>
      <c r="D285" s="685" t="s">
        <v>1391</v>
      </c>
      <c r="E285" s="686">
        <v>17999.0</v>
      </c>
      <c r="F285" s="692" t="s">
        <v>261</v>
      </c>
      <c r="G285" s="687"/>
      <c r="H285" s="688"/>
      <c r="I285" s="685" t="s">
        <v>1889</v>
      </c>
      <c r="J285" s="689">
        <v>9.0</v>
      </c>
      <c r="K285" s="689">
        <v>0.0</v>
      </c>
      <c r="L285" s="689">
        <v>0.0</v>
      </c>
      <c r="M285" s="689">
        <v>0.0</v>
      </c>
      <c r="N285" s="686">
        <v>14635.0</v>
      </c>
      <c r="O285" s="686">
        <v>131715.0</v>
      </c>
      <c r="P285" s="686">
        <v>0.0</v>
      </c>
      <c r="Q285" s="686">
        <v>131715.0</v>
      </c>
      <c r="R285" s="686">
        <v>0.0</v>
      </c>
      <c r="S285" s="686">
        <v>0.0</v>
      </c>
      <c r="T285" s="686">
        <v>0.0</v>
      </c>
      <c r="U285" s="690">
        <v>0.0</v>
      </c>
      <c r="V285" s="678"/>
      <c r="W285" s="679"/>
      <c r="X285" s="679"/>
      <c r="Y285" s="679"/>
      <c r="Z285" s="679"/>
      <c r="AA285" s="679"/>
      <c r="AB285" s="679"/>
      <c r="AC285" s="678"/>
      <c r="AD285" s="678"/>
      <c r="AE285" s="679"/>
      <c r="AF285" s="679"/>
      <c r="AG285" s="679"/>
      <c r="AH285" s="679"/>
      <c r="AI285" s="679"/>
      <c r="AJ285" s="676"/>
      <c r="AK285" s="676"/>
      <c r="AL285" s="679"/>
    </row>
    <row r="286">
      <c r="A286" s="685" t="s">
        <v>1865</v>
      </c>
      <c r="B286" s="685" t="s">
        <v>1707</v>
      </c>
      <c r="C286" s="685" t="s">
        <v>1884</v>
      </c>
      <c r="D286" s="685" t="s">
        <v>1391</v>
      </c>
      <c r="E286" s="686">
        <v>20999.0</v>
      </c>
      <c r="F286" s="692" t="s">
        <v>286</v>
      </c>
      <c r="G286" s="687"/>
      <c r="H286" s="688"/>
      <c r="I286" s="685" t="s">
        <v>1890</v>
      </c>
      <c r="J286" s="689">
        <v>9.0</v>
      </c>
      <c r="K286" s="689">
        <v>0.0</v>
      </c>
      <c r="L286" s="689">
        <v>0.0</v>
      </c>
      <c r="M286" s="689">
        <v>0.0</v>
      </c>
      <c r="N286" s="686">
        <v>17074.0</v>
      </c>
      <c r="O286" s="686">
        <v>153666.0</v>
      </c>
      <c r="P286" s="686">
        <v>0.0</v>
      </c>
      <c r="Q286" s="686">
        <v>0.0</v>
      </c>
      <c r="R286" s="686">
        <v>0.0</v>
      </c>
      <c r="S286" s="686">
        <v>153666.0</v>
      </c>
      <c r="T286" s="686">
        <v>0.0</v>
      </c>
      <c r="U286" s="690">
        <v>0.0</v>
      </c>
      <c r="V286" s="678"/>
      <c r="W286" s="679"/>
      <c r="X286" s="679"/>
      <c r="Y286" s="679"/>
      <c r="Z286" s="679"/>
      <c r="AA286" s="679"/>
      <c r="AB286" s="679"/>
      <c r="AC286" s="678"/>
      <c r="AD286" s="678"/>
      <c r="AE286" s="679"/>
      <c r="AF286" s="679"/>
      <c r="AG286" s="679"/>
      <c r="AH286" s="679"/>
      <c r="AI286" s="679"/>
      <c r="AJ286" s="676"/>
      <c r="AK286" s="676"/>
      <c r="AL286" s="679"/>
    </row>
    <row r="287">
      <c r="A287" s="685" t="s">
        <v>1865</v>
      </c>
      <c r="B287" s="685" t="s">
        <v>1707</v>
      </c>
      <c r="C287" s="685" t="s">
        <v>1884</v>
      </c>
      <c r="D287" s="685" t="s">
        <v>1391</v>
      </c>
      <c r="E287" s="686">
        <v>17999.0</v>
      </c>
      <c r="F287" s="692" t="s">
        <v>256</v>
      </c>
      <c r="G287" s="687"/>
      <c r="H287" s="688"/>
      <c r="I287" s="685" t="s">
        <v>1891</v>
      </c>
      <c r="J287" s="689">
        <v>7.0</v>
      </c>
      <c r="K287" s="689">
        <v>0.0</v>
      </c>
      <c r="L287" s="689">
        <v>0.0</v>
      </c>
      <c r="M287" s="689">
        <v>0.0</v>
      </c>
      <c r="N287" s="686">
        <v>14635.0</v>
      </c>
      <c r="O287" s="686">
        <v>102445.0</v>
      </c>
      <c r="P287" s="686">
        <v>0.0</v>
      </c>
      <c r="Q287" s="686">
        <v>73175.0</v>
      </c>
      <c r="R287" s="686">
        <v>0.0</v>
      </c>
      <c r="S287" s="686">
        <v>0.0</v>
      </c>
      <c r="T287" s="686">
        <v>29270.0</v>
      </c>
      <c r="U287" s="690">
        <v>0.0</v>
      </c>
      <c r="V287" s="678"/>
      <c r="W287" s="679"/>
      <c r="X287" s="679"/>
      <c r="Y287" s="679"/>
      <c r="Z287" s="679"/>
      <c r="AA287" s="679"/>
      <c r="AB287" s="679"/>
      <c r="AC287" s="678"/>
      <c r="AD287" s="678"/>
      <c r="AE287" s="679"/>
      <c r="AF287" s="679"/>
      <c r="AG287" s="679"/>
      <c r="AH287" s="679"/>
      <c r="AI287" s="679"/>
      <c r="AJ287" s="676"/>
      <c r="AK287" s="676"/>
      <c r="AL287" s="679"/>
    </row>
    <row r="288">
      <c r="A288" s="685" t="s">
        <v>1865</v>
      </c>
      <c r="B288" s="685" t="s">
        <v>1707</v>
      </c>
      <c r="C288" s="685" t="s">
        <v>1884</v>
      </c>
      <c r="D288" s="685" t="s">
        <v>1391</v>
      </c>
      <c r="E288" s="686">
        <v>20999.0</v>
      </c>
      <c r="F288" s="692" t="s">
        <v>278</v>
      </c>
      <c r="G288" s="687"/>
      <c r="H288" s="688"/>
      <c r="I288" s="685" t="s">
        <v>1892</v>
      </c>
      <c r="J288" s="689">
        <v>8.0</v>
      </c>
      <c r="K288" s="689">
        <v>0.0</v>
      </c>
      <c r="L288" s="689">
        <v>0.0</v>
      </c>
      <c r="M288" s="689">
        <v>0.0</v>
      </c>
      <c r="N288" s="686">
        <v>17074.0</v>
      </c>
      <c r="O288" s="686">
        <v>136592.0</v>
      </c>
      <c r="P288" s="686">
        <v>136592.0</v>
      </c>
      <c r="Q288" s="686">
        <v>0.0</v>
      </c>
      <c r="R288" s="686">
        <v>0.0</v>
      </c>
      <c r="S288" s="686">
        <v>0.0</v>
      </c>
      <c r="T288" s="686">
        <v>0.0</v>
      </c>
      <c r="U288" s="690">
        <v>0.0</v>
      </c>
      <c r="V288" s="678"/>
      <c r="W288" s="679"/>
      <c r="X288" s="679"/>
      <c r="Y288" s="679"/>
      <c r="Z288" s="679"/>
      <c r="AA288" s="679"/>
      <c r="AB288" s="679"/>
      <c r="AC288" s="678"/>
      <c r="AD288" s="678"/>
      <c r="AE288" s="679"/>
      <c r="AF288" s="679"/>
      <c r="AG288" s="679"/>
      <c r="AH288" s="679"/>
      <c r="AI288" s="679"/>
      <c r="AJ288" s="676"/>
      <c r="AK288" s="676"/>
      <c r="AL288" s="679"/>
    </row>
    <row r="289">
      <c r="A289" s="685" t="s">
        <v>1865</v>
      </c>
      <c r="B289" s="685" t="s">
        <v>1707</v>
      </c>
      <c r="C289" s="685" t="s">
        <v>1893</v>
      </c>
      <c r="D289" s="685" t="s">
        <v>1391</v>
      </c>
      <c r="E289" s="686">
        <v>26900.0</v>
      </c>
      <c r="F289" s="692" t="s">
        <v>327</v>
      </c>
      <c r="G289" s="687"/>
      <c r="H289" s="688"/>
      <c r="I289" s="685" t="s">
        <v>1894</v>
      </c>
      <c r="J289" s="689">
        <v>3.0</v>
      </c>
      <c r="K289" s="689">
        <v>0.0</v>
      </c>
      <c r="L289" s="689">
        <v>0.0</v>
      </c>
      <c r="M289" s="689">
        <v>0.0</v>
      </c>
      <c r="N289" s="686">
        <v>20246.0</v>
      </c>
      <c r="O289" s="686">
        <v>60738.0</v>
      </c>
      <c r="P289" s="686">
        <v>0.0</v>
      </c>
      <c r="Q289" s="686">
        <v>0.0</v>
      </c>
      <c r="R289" s="686">
        <v>60738.0</v>
      </c>
      <c r="S289" s="686">
        <v>0.0</v>
      </c>
      <c r="T289" s="686">
        <v>0.0</v>
      </c>
      <c r="U289" s="690">
        <v>0.0</v>
      </c>
      <c r="V289" s="678"/>
      <c r="W289" s="679"/>
      <c r="X289" s="679"/>
      <c r="Y289" s="679"/>
      <c r="Z289" s="679"/>
      <c r="AA289" s="679"/>
      <c r="AB289" s="679"/>
      <c r="AC289" s="678"/>
      <c r="AD289" s="678"/>
      <c r="AE289" s="679"/>
      <c r="AF289" s="679"/>
      <c r="AG289" s="679"/>
      <c r="AH289" s="679"/>
      <c r="AI289" s="679"/>
      <c r="AJ289" s="676"/>
      <c r="AK289" s="676"/>
      <c r="AL289" s="679"/>
    </row>
    <row r="290">
      <c r="A290" s="685" t="s">
        <v>1865</v>
      </c>
      <c r="B290" s="685" t="s">
        <v>1707</v>
      </c>
      <c r="C290" s="685" t="s">
        <v>1893</v>
      </c>
      <c r="D290" s="685" t="s">
        <v>1391</v>
      </c>
      <c r="E290" s="686">
        <v>26900.0</v>
      </c>
      <c r="F290" s="692" t="s">
        <v>333</v>
      </c>
      <c r="G290" s="687"/>
      <c r="H290" s="688"/>
      <c r="I290" s="685" t="s">
        <v>1896</v>
      </c>
      <c r="J290" s="689">
        <v>3.0</v>
      </c>
      <c r="K290" s="689">
        <v>0.0</v>
      </c>
      <c r="L290" s="689">
        <v>0.0</v>
      </c>
      <c r="M290" s="689">
        <v>0.0</v>
      </c>
      <c r="N290" s="686">
        <v>20246.0</v>
      </c>
      <c r="O290" s="686">
        <v>60738.0</v>
      </c>
      <c r="P290" s="686">
        <v>0.0</v>
      </c>
      <c r="Q290" s="686">
        <v>0.0</v>
      </c>
      <c r="R290" s="686">
        <v>60738.0</v>
      </c>
      <c r="S290" s="686">
        <v>0.0</v>
      </c>
      <c r="T290" s="686">
        <v>0.0</v>
      </c>
      <c r="U290" s="690">
        <v>0.0</v>
      </c>
      <c r="V290" s="678"/>
      <c r="W290" s="679"/>
      <c r="X290" s="679"/>
      <c r="Y290" s="679"/>
      <c r="Z290" s="679"/>
      <c r="AA290" s="679"/>
      <c r="AB290" s="679"/>
      <c r="AC290" s="678"/>
      <c r="AD290" s="678"/>
      <c r="AE290" s="679"/>
      <c r="AF290" s="679"/>
      <c r="AG290" s="679"/>
      <c r="AH290" s="679"/>
      <c r="AI290" s="679"/>
      <c r="AJ290" s="676"/>
      <c r="AK290" s="676"/>
      <c r="AL290" s="679"/>
    </row>
    <row r="291">
      <c r="A291" s="685" t="s">
        <v>1865</v>
      </c>
      <c r="B291" s="685" t="s">
        <v>1707</v>
      </c>
      <c r="C291" s="685" t="s">
        <v>1893</v>
      </c>
      <c r="D291" s="685" t="s">
        <v>1391</v>
      </c>
      <c r="E291" s="686">
        <v>26900.0</v>
      </c>
      <c r="F291" s="692" t="s">
        <v>339</v>
      </c>
      <c r="G291" s="687"/>
      <c r="H291" s="688"/>
      <c r="I291" s="685" t="s">
        <v>1898</v>
      </c>
      <c r="J291" s="689">
        <v>4.0</v>
      </c>
      <c r="K291" s="689">
        <v>0.0</v>
      </c>
      <c r="L291" s="689">
        <v>0.0</v>
      </c>
      <c r="M291" s="689">
        <v>0.0</v>
      </c>
      <c r="N291" s="686">
        <v>20246.0</v>
      </c>
      <c r="O291" s="686">
        <v>80984.0</v>
      </c>
      <c r="P291" s="686">
        <v>0.0</v>
      </c>
      <c r="Q291" s="686">
        <v>0.0</v>
      </c>
      <c r="R291" s="686">
        <v>0.0</v>
      </c>
      <c r="S291" s="686">
        <v>0.0</v>
      </c>
      <c r="T291" s="686">
        <v>80984.0</v>
      </c>
      <c r="U291" s="690">
        <v>0.0</v>
      </c>
      <c r="V291" s="678"/>
      <c r="W291" s="679"/>
      <c r="X291" s="679"/>
      <c r="Y291" s="679"/>
      <c r="Z291" s="679"/>
      <c r="AA291" s="679"/>
      <c r="AB291" s="679"/>
      <c r="AC291" s="678"/>
      <c r="AD291" s="678"/>
      <c r="AE291" s="679"/>
      <c r="AF291" s="679"/>
      <c r="AG291" s="679"/>
      <c r="AH291" s="679"/>
      <c r="AI291" s="679"/>
      <c r="AJ291" s="676"/>
      <c r="AK291" s="676"/>
      <c r="AL291" s="679"/>
    </row>
    <row r="292">
      <c r="A292" s="685" t="s">
        <v>1865</v>
      </c>
      <c r="B292" s="685" t="s">
        <v>1707</v>
      </c>
      <c r="C292" s="685" t="s">
        <v>1893</v>
      </c>
      <c r="D292" s="685" t="s">
        <v>1391</v>
      </c>
      <c r="E292" s="686">
        <v>26900.0</v>
      </c>
      <c r="F292" s="692" t="s">
        <v>347</v>
      </c>
      <c r="G292" s="687"/>
      <c r="H292" s="688"/>
      <c r="I292" s="685" t="s">
        <v>1899</v>
      </c>
      <c r="J292" s="689">
        <v>2.0</v>
      </c>
      <c r="K292" s="689">
        <v>0.0</v>
      </c>
      <c r="L292" s="689">
        <v>0.0</v>
      </c>
      <c r="M292" s="689">
        <v>0.0</v>
      </c>
      <c r="N292" s="686">
        <v>20246.0</v>
      </c>
      <c r="O292" s="686">
        <v>40492.0</v>
      </c>
      <c r="P292" s="686">
        <v>0.0</v>
      </c>
      <c r="Q292" s="686">
        <v>0.0</v>
      </c>
      <c r="R292" s="686">
        <v>40492.0</v>
      </c>
      <c r="S292" s="686">
        <v>0.0</v>
      </c>
      <c r="T292" s="686">
        <v>0.0</v>
      </c>
      <c r="U292" s="690">
        <v>0.0</v>
      </c>
      <c r="V292" s="678"/>
      <c r="W292" s="679"/>
      <c r="X292" s="679"/>
      <c r="Y292" s="679"/>
      <c r="Z292" s="679"/>
      <c r="AA292" s="679"/>
      <c r="AB292" s="679"/>
      <c r="AC292" s="678"/>
      <c r="AD292" s="678"/>
      <c r="AE292" s="679"/>
      <c r="AF292" s="679"/>
      <c r="AG292" s="679"/>
      <c r="AH292" s="679"/>
      <c r="AI292" s="679"/>
      <c r="AJ292" s="676"/>
      <c r="AK292" s="676"/>
      <c r="AL292" s="679"/>
    </row>
    <row r="293">
      <c r="A293" s="685" t="s">
        <v>1865</v>
      </c>
      <c r="B293" s="685" t="s">
        <v>1707</v>
      </c>
      <c r="C293" s="685" t="s">
        <v>1708</v>
      </c>
      <c r="D293" s="685" t="s">
        <v>1391</v>
      </c>
      <c r="E293" s="686">
        <v>36900.0</v>
      </c>
      <c r="F293" s="692" t="s">
        <v>400</v>
      </c>
      <c r="G293" s="687"/>
      <c r="H293" s="688"/>
      <c r="I293" s="685" t="s">
        <v>1900</v>
      </c>
      <c r="J293" s="689">
        <v>13.0</v>
      </c>
      <c r="K293" s="689">
        <v>0.0</v>
      </c>
      <c r="L293" s="689">
        <v>0.0</v>
      </c>
      <c r="M293" s="689">
        <v>0.0</v>
      </c>
      <c r="N293" s="686">
        <v>30003.0</v>
      </c>
      <c r="O293" s="686">
        <v>390039.0</v>
      </c>
      <c r="P293" s="686">
        <v>360036.0</v>
      </c>
      <c r="Q293" s="686">
        <v>30003.0</v>
      </c>
      <c r="R293" s="686">
        <v>0.0</v>
      </c>
      <c r="S293" s="686">
        <v>0.0</v>
      </c>
      <c r="T293" s="686">
        <v>0.0</v>
      </c>
      <c r="U293" s="690">
        <v>0.0</v>
      </c>
      <c r="V293" s="678"/>
      <c r="W293" s="679"/>
      <c r="X293" s="679"/>
      <c r="Y293" s="679"/>
      <c r="Z293" s="679"/>
      <c r="AA293" s="679"/>
      <c r="AB293" s="679"/>
      <c r="AC293" s="678"/>
      <c r="AD293" s="678"/>
      <c r="AE293" s="679"/>
      <c r="AF293" s="679"/>
      <c r="AG293" s="679"/>
      <c r="AH293" s="679"/>
      <c r="AI293" s="679"/>
      <c r="AJ293" s="676"/>
      <c r="AK293" s="676"/>
      <c r="AL293" s="679"/>
    </row>
    <row r="294">
      <c r="A294" s="685" t="s">
        <v>1865</v>
      </c>
      <c r="B294" s="685" t="s">
        <v>1707</v>
      </c>
      <c r="C294" s="685" t="s">
        <v>1708</v>
      </c>
      <c r="D294" s="685" t="s">
        <v>1391</v>
      </c>
      <c r="E294" s="686">
        <v>36900.0</v>
      </c>
      <c r="F294" s="692" t="s">
        <v>355</v>
      </c>
      <c r="G294" s="687"/>
      <c r="H294" s="688"/>
      <c r="I294" s="685" t="s">
        <v>1902</v>
      </c>
      <c r="J294" s="689">
        <v>11.0</v>
      </c>
      <c r="K294" s="689">
        <v>0.0</v>
      </c>
      <c r="L294" s="689">
        <v>0.0</v>
      </c>
      <c r="M294" s="689">
        <v>0.0</v>
      </c>
      <c r="N294" s="686">
        <v>30003.0</v>
      </c>
      <c r="O294" s="686">
        <v>330033.0</v>
      </c>
      <c r="P294" s="686">
        <v>210021.0</v>
      </c>
      <c r="Q294" s="686">
        <v>120012.0</v>
      </c>
      <c r="R294" s="686">
        <v>0.0</v>
      </c>
      <c r="S294" s="686">
        <v>0.0</v>
      </c>
      <c r="T294" s="686">
        <v>0.0</v>
      </c>
      <c r="U294" s="690">
        <v>0.0</v>
      </c>
      <c r="V294" s="678"/>
      <c r="W294" s="679"/>
      <c r="X294" s="679"/>
      <c r="Y294" s="679"/>
      <c r="Z294" s="679"/>
      <c r="AA294" s="679"/>
      <c r="AB294" s="679"/>
      <c r="AC294" s="678"/>
      <c r="AD294" s="678"/>
      <c r="AE294" s="679"/>
      <c r="AF294" s="679"/>
      <c r="AG294" s="679"/>
      <c r="AH294" s="679"/>
      <c r="AI294" s="679"/>
      <c r="AJ294" s="676"/>
      <c r="AK294" s="676"/>
      <c r="AL294" s="679"/>
    </row>
    <row r="295">
      <c r="A295" s="685" t="s">
        <v>1865</v>
      </c>
      <c r="B295" s="685" t="s">
        <v>1707</v>
      </c>
      <c r="C295" s="685" t="s">
        <v>1907</v>
      </c>
      <c r="D295" s="685" t="s">
        <v>1391</v>
      </c>
      <c r="E295" s="686">
        <v>24900.0</v>
      </c>
      <c r="F295" s="692" t="s">
        <v>415</v>
      </c>
      <c r="G295" s="687"/>
      <c r="H295" s="688"/>
      <c r="I295" s="685" t="s">
        <v>1910</v>
      </c>
      <c r="J295" s="689">
        <v>2.0</v>
      </c>
      <c r="K295" s="689">
        <v>0.0</v>
      </c>
      <c r="L295" s="689">
        <v>0.0</v>
      </c>
      <c r="M295" s="689">
        <v>0.0</v>
      </c>
      <c r="N295" s="686">
        <v>20246.0</v>
      </c>
      <c r="O295" s="686">
        <v>40492.0</v>
      </c>
      <c r="P295" s="686">
        <v>40492.0</v>
      </c>
      <c r="Q295" s="686">
        <v>0.0</v>
      </c>
      <c r="R295" s="686">
        <v>0.0</v>
      </c>
      <c r="S295" s="686">
        <v>0.0</v>
      </c>
      <c r="T295" s="686">
        <v>0.0</v>
      </c>
      <c r="U295" s="690">
        <v>0.0</v>
      </c>
      <c r="V295" s="678"/>
      <c r="W295" s="679"/>
      <c r="X295" s="679"/>
      <c r="Y295" s="679"/>
      <c r="Z295" s="679"/>
      <c r="AA295" s="679"/>
      <c r="AB295" s="679"/>
      <c r="AC295" s="678"/>
      <c r="AD295" s="678"/>
      <c r="AE295" s="679"/>
      <c r="AF295" s="679"/>
      <c r="AG295" s="679"/>
      <c r="AH295" s="679"/>
      <c r="AI295" s="679"/>
      <c r="AJ295" s="676"/>
      <c r="AK295" s="676"/>
      <c r="AL295" s="679"/>
    </row>
    <row r="296">
      <c r="A296" s="685" t="s">
        <v>1865</v>
      </c>
      <c r="B296" s="685" t="s">
        <v>1707</v>
      </c>
      <c r="C296" s="685" t="s">
        <v>1907</v>
      </c>
      <c r="D296" s="685" t="s">
        <v>1391</v>
      </c>
      <c r="E296" s="686">
        <v>24900.0</v>
      </c>
      <c r="F296" s="692" t="s">
        <v>418</v>
      </c>
      <c r="G296" s="687"/>
      <c r="H296" s="688"/>
      <c r="I296" s="685" t="s">
        <v>1915</v>
      </c>
      <c r="J296" s="689">
        <v>5.0</v>
      </c>
      <c r="K296" s="689">
        <v>0.0</v>
      </c>
      <c r="L296" s="689">
        <v>0.0</v>
      </c>
      <c r="M296" s="689">
        <v>0.0</v>
      </c>
      <c r="N296" s="686">
        <v>20246.0</v>
      </c>
      <c r="O296" s="686">
        <v>101230.0</v>
      </c>
      <c r="P296" s="686">
        <v>101230.0</v>
      </c>
      <c r="Q296" s="686">
        <v>0.0</v>
      </c>
      <c r="R296" s="686">
        <v>0.0</v>
      </c>
      <c r="S296" s="686">
        <v>0.0</v>
      </c>
      <c r="T296" s="686">
        <v>0.0</v>
      </c>
      <c r="U296" s="690">
        <v>0.0</v>
      </c>
      <c r="V296" s="678"/>
      <c r="W296" s="679"/>
      <c r="X296" s="679"/>
      <c r="Y296" s="679"/>
      <c r="Z296" s="679"/>
      <c r="AA296" s="679"/>
      <c r="AB296" s="679"/>
      <c r="AC296" s="678"/>
      <c r="AD296" s="678"/>
      <c r="AE296" s="679"/>
      <c r="AF296" s="679"/>
      <c r="AG296" s="679"/>
      <c r="AH296" s="679"/>
      <c r="AI296" s="679"/>
      <c r="AJ296" s="676"/>
      <c r="AK296" s="676"/>
      <c r="AL296" s="680"/>
    </row>
    <row r="297">
      <c r="A297" s="685" t="s">
        <v>1865</v>
      </c>
      <c r="B297" s="685" t="s">
        <v>1707</v>
      </c>
      <c r="C297" s="685" t="s">
        <v>1907</v>
      </c>
      <c r="D297" s="685" t="s">
        <v>1391</v>
      </c>
      <c r="E297" s="686">
        <v>24900.0</v>
      </c>
      <c r="F297" s="692" t="s">
        <v>420</v>
      </c>
      <c r="G297" s="687"/>
      <c r="H297" s="688"/>
      <c r="I297" s="685" t="s">
        <v>1919</v>
      </c>
      <c r="J297" s="689">
        <v>1.0</v>
      </c>
      <c r="K297" s="689">
        <v>0.0</v>
      </c>
      <c r="L297" s="689">
        <v>0.0</v>
      </c>
      <c r="M297" s="689">
        <v>0.0</v>
      </c>
      <c r="N297" s="686">
        <v>20246.0</v>
      </c>
      <c r="O297" s="686">
        <v>20246.0</v>
      </c>
      <c r="P297" s="686">
        <v>20246.0</v>
      </c>
      <c r="Q297" s="686">
        <v>0.0</v>
      </c>
      <c r="R297" s="686">
        <v>0.0</v>
      </c>
      <c r="S297" s="686">
        <v>0.0</v>
      </c>
      <c r="T297" s="686">
        <v>0.0</v>
      </c>
      <c r="U297" s="690">
        <v>0.0</v>
      </c>
      <c r="V297" s="678"/>
      <c r="W297" s="679"/>
      <c r="X297" s="679"/>
      <c r="Y297" s="679"/>
      <c r="Z297" s="679"/>
      <c r="AA297" s="679"/>
      <c r="AB297" s="679"/>
      <c r="AC297" s="678"/>
      <c r="AD297" s="678"/>
      <c r="AE297" s="679"/>
      <c r="AF297" s="679"/>
      <c r="AG297" s="679"/>
      <c r="AH297" s="679"/>
      <c r="AI297" s="679"/>
      <c r="AJ297" s="676"/>
      <c r="AK297" s="676"/>
      <c r="AL297" s="680"/>
    </row>
    <row r="298">
      <c r="A298" s="685" t="s">
        <v>1865</v>
      </c>
      <c r="B298" s="685" t="s">
        <v>1707</v>
      </c>
      <c r="C298" s="685" t="s">
        <v>1907</v>
      </c>
      <c r="D298" s="685" t="s">
        <v>1391</v>
      </c>
      <c r="E298" s="686">
        <v>24900.0</v>
      </c>
      <c r="F298" s="692" t="s">
        <v>403</v>
      </c>
      <c r="G298" s="687"/>
      <c r="H298" s="688"/>
      <c r="I298" s="685" t="s">
        <v>1923</v>
      </c>
      <c r="J298" s="689">
        <v>3.0</v>
      </c>
      <c r="K298" s="689">
        <v>0.0</v>
      </c>
      <c r="L298" s="689">
        <v>0.0</v>
      </c>
      <c r="M298" s="689">
        <v>0.0</v>
      </c>
      <c r="N298" s="686">
        <v>20246.0</v>
      </c>
      <c r="O298" s="686">
        <v>60738.0</v>
      </c>
      <c r="P298" s="686">
        <v>60738.0</v>
      </c>
      <c r="Q298" s="686">
        <v>0.0</v>
      </c>
      <c r="R298" s="686">
        <v>0.0</v>
      </c>
      <c r="S298" s="686">
        <v>0.0</v>
      </c>
      <c r="T298" s="686">
        <v>0.0</v>
      </c>
      <c r="U298" s="690">
        <v>0.0</v>
      </c>
      <c r="V298" s="678"/>
      <c r="W298" s="679"/>
      <c r="X298" s="679"/>
      <c r="Y298" s="679"/>
      <c r="Z298" s="679"/>
      <c r="AA298" s="679"/>
      <c r="AB298" s="679"/>
      <c r="AC298" s="678"/>
      <c r="AD298" s="678"/>
      <c r="AE298" s="679"/>
      <c r="AF298" s="679"/>
      <c r="AG298" s="679"/>
      <c r="AH298" s="679"/>
      <c r="AI298" s="679"/>
      <c r="AJ298" s="676"/>
      <c r="AK298" s="676"/>
      <c r="AL298" s="679"/>
    </row>
    <row r="299">
      <c r="A299" s="685" t="s">
        <v>1865</v>
      </c>
      <c r="B299" s="685" t="s">
        <v>1707</v>
      </c>
      <c r="C299" s="685" t="s">
        <v>1907</v>
      </c>
      <c r="D299" s="685" t="s">
        <v>1391</v>
      </c>
      <c r="E299" s="686">
        <v>24900.0</v>
      </c>
      <c r="F299" s="692" t="s">
        <v>408</v>
      </c>
      <c r="G299" s="687"/>
      <c r="H299" s="688"/>
      <c r="I299" s="685" t="s">
        <v>1925</v>
      </c>
      <c r="J299" s="689">
        <v>4.0</v>
      </c>
      <c r="K299" s="689">
        <v>0.0</v>
      </c>
      <c r="L299" s="689">
        <v>0.0</v>
      </c>
      <c r="M299" s="689">
        <v>0.0</v>
      </c>
      <c r="N299" s="686">
        <v>20246.0</v>
      </c>
      <c r="O299" s="686">
        <v>80984.0</v>
      </c>
      <c r="P299" s="686">
        <v>80984.0</v>
      </c>
      <c r="Q299" s="686">
        <v>0.0</v>
      </c>
      <c r="R299" s="686">
        <v>0.0</v>
      </c>
      <c r="S299" s="686">
        <v>0.0</v>
      </c>
      <c r="T299" s="686">
        <v>0.0</v>
      </c>
      <c r="U299" s="690">
        <v>0.0</v>
      </c>
      <c r="V299" s="678"/>
      <c r="W299" s="679"/>
      <c r="X299" s="679"/>
      <c r="Y299" s="679"/>
      <c r="Z299" s="679"/>
      <c r="AA299" s="679"/>
      <c r="AB299" s="679"/>
      <c r="AC299" s="678"/>
      <c r="AD299" s="678"/>
      <c r="AE299" s="679"/>
      <c r="AF299" s="679"/>
      <c r="AG299" s="679"/>
      <c r="AH299" s="679"/>
      <c r="AI299" s="679"/>
      <c r="AJ299" s="676"/>
      <c r="AK299" s="676"/>
      <c r="AL299" s="680"/>
    </row>
    <row r="300">
      <c r="A300" s="685" t="s">
        <v>1865</v>
      </c>
      <c r="B300" s="685" t="s">
        <v>1707</v>
      </c>
      <c r="C300" s="685" t="s">
        <v>1907</v>
      </c>
      <c r="D300" s="685" t="s">
        <v>1391</v>
      </c>
      <c r="E300" s="686">
        <v>24900.0</v>
      </c>
      <c r="F300" s="692" t="s">
        <v>411</v>
      </c>
      <c r="G300" s="687"/>
      <c r="H300" s="688"/>
      <c r="I300" s="685" t="s">
        <v>1928</v>
      </c>
      <c r="J300" s="689">
        <v>2.0</v>
      </c>
      <c r="K300" s="689">
        <v>0.0</v>
      </c>
      <c r="L300" s="689">
        <v>0.0</v>
      </c>
      <c r="M300" s="689">
        <v>0.0</v>
      </c>
      <c r="N300" s="686">
        <v>20246.0</v>
      </c>
      <c r="O300" s="686">
        <v>40492.0</v>
      </c>
      <c r="P300" s="686">
        <v>40492.0</v>
      </c>
      <c r="Q300" s="686">
        <v>0.0</v>
      </c>
      <c r="R300" s="686">
        <v>0.0</v>
      </c>
      <c r="S300" s="686">
        <v>0.0</v>
      </c>
      <c r="T300" s="686">
        <v>0.0</v>
      </c>
      <c r="U300" s="690">
        <v>0.0</v>
      </c>
      <c r="V300" s="678"/>
      <c r="W300" s="679"/>
      <c r="X300" s="679"/>
      <c r="Y300" s="679"/>
      <c r="Z300" s="679"/>
      <c r="AA300" s="679"/>
      <c r="AB300" s="679"/>
      <c r="AC300" s="678"/>
      <c r="AD300" s="678"/>
      <c r="AE300" s="679"/>
      <c r="AF300" s="679"/>
      <c r="AG300" s="679"/>
      <c r="AH300" s="679"/>
      <c r="AI300" s="679"/>
      <c r="AJ300" s="676"/>
      <c r="AK300" s="676"/>
      <c r="AL300" s="679"/>
    </row>
    <row r="301">
      <c r="A301" s="685" t="s">
        <v>1865</v>
      </c>
      <c r="B301" s="685" t="s">
        <v>1707</v>
      </c>
      <c r="C301" s="685" t="s">
        <v>1593</v>
      </c>
      <c r="D301" s="685" t="s">
        <v>1391</v>
      </c>
      <c r="E301" s="686">
        <v>33900.0</v>
      </c>
      <c r="F301" s="692" t="s">
        <v>437</v>
      </c>
      <c r="G301" s="687"/>
      <c r="H301" s="688"/>
      <c r="I301" s="685" t="s">
        <v>1929</v>
      </c>
      <c r="J301" s="689">
        <v>1.0</v>
      </c>
      <c r="K301" s="689">
        <v>0.0</v>
      </c>
      <c r="L301" s="689">
        <v>0.0</v>
      </c>
      <c r="M301" s="689">
        <v>0.0</v>
      </c>
      <c r="N301" s="686">
        <v>27564.0</v>
      </c>
      <c r="O301" s="686">
        <v>27564.0</v>
      </c>
      <c r="P301" s="686">
        <v>0.0</v>
      </c>
      <c r="Q301" s="686">
        <v>0.0</v>
      </c>
      <c r="R301" s="686">
        <v>0.0</v>
      </c>
      <c r="S301" s="686">
        <v>0.0</v>
      </c>
      <c r="T301" s="686">
        <v>0.0</v>
      </c>
      <c r="U301" s="690">
        <v>27564.0</v>
      </c>
      <c r="V301" s="678"/>
      <c r="W301" s="679"/>
      <c r="X301" s="679"/>
      <c r="Y301" s="679"/>
      <c r="Z301" s="679"/>
      <c r="AA301" s="679"/>
      <c r="AB301" s="679"/>
      <c r="AC301" s="678"/>
      <c r="AD301" s="678"/>
      <c r="AE301" s="679"/>
      <c r="AF301" s="679"/>
      <c r="AG301" s="679"/>
      <c r="AH301" s="679"/>
      <c r="AI301" s="679"/>
      <c r="AJ301" s="676"/>
      <c r="AK301" s="676"/>
      <c r="AL301" s="679"/>
    </row>
    <row r="302">
      <c r="A302" s="685" t="s">
        <v>1865</v>
      </c>
      <c r="B302" s="685" t="s">
        <v>1707</v>
      </c>
      <c r="C302" s="685" t="s">
        <v>1593</v>
      </c>
      <c r="D302" s="685" t="s">
        <v>1391</v>
      </c>
      <c r="E302" s="686">
        <v>41900.0</v>
      </c>
      <c r="F302" s="692" t="s">
        <v>463</v>
      </c>
      <c r="G302" s="687"/>
      <c r="H302" s="688"/>
      <c r="I302" s="685" t="s">
        <v>1930</v>
      </c>
      <c r="J302" s="689">
        <v>2.0</v>
      </c>
      <c r="K302" s="689">
        <v>0.0</v>
      </c>
      <c r="L302" s="689">
        <v>0.0</v>
      </c>
      <c r="M302" s="689">
        <v>0.0</v>
      </c>
      <c r="N302" s="686">
        <v>34068.0</v>
      </c>
      <c r="O302" s="686">
        <v>68136.0</v>
      </c>
      <c r="P302" s="686">
        <v>0.0</v>
      </c>
      <c r="Q302" s="686">
        <v>0.0</v>
      </c>
      <c r="R302" s="686">
        <v>0.0</v>
      </c>
      <c r="S302" s="686">
        <v>0.0</v>
      </c>
      <c r="T302" s="686">
        <v>0.0</v>
      </c>
      <c r="U302" s="690">
        <v>68136.0</v>
      </c>
      <c r="V302" s="678"/>
      <c r="W302" s="679"/>
      <c r="X302" s="679"/>
      <c r="Y302" s="679"/>
      <c r="Z302" s="679"/>
      <c r="AA302" s="679"/>
      <c r="AB302" s="679"/>
      <c r="AC302" s="678"/>
      <c r="AD302" s="678"/>
      <c r="AE302" s="679"/>
      <c r="AF302" s="679"/>
      <c r="AG302" s="679"/>
      <c r="AH302" s="679"/>
      <c r="AI302" s="679"/>
      <c r="AJ302" s="676"/>
      <c r="AK302" s="676"/>
      <c r="AL302" s="679"/>
    </row>
    <row r="303">
      <c r="A303" s="685" t="s">
        <v>1865</v>
      </c>
      <c r="B303" s="685" t="s">
        <v>1707</v>
      </c>
      <c r="C303" s="685" t="s">
        <v>1593</v>
      </c>
      <c r="D303" s="685" t="s">
        <v>1391</v>
      </c>
      <c r="E303" s="686">
        <v>33900.0</v>
      </c>
      <c r="F303" s="692" t="s">
        <v>428</v>
      </c>
      <c r="G303" s="687"/>
      <c r="H303" s="688"/>
      <c r="I303" s="685" t="s">
        <v>1933</v>
      </c>
      <c r="J303" s="689">
        <v>1.0</v>
      </c>
      <c r="K303" s="689">
        <v>0.0</v>
      </c>
      <c r="L303" s="689">
        <v>0.0</v>
      </c>
      <c r="M303" s="689">
        <v>0.0</v>
      </c>
      <c r="N303" s="686">
        <v>27564.0</v>
      </c>
      <c r="O303" s="686">
        <v>27564.0</v>
      </c>
      <c r="P303" s="686">
        <v>0.0</v>
      </c>
      <c r="Q303" s="686">
        <v>0.0</v>
      </c>
      <c r="R303" s="686">
        <v>0.0</v>
      </c>
      <c r="S303" s="686">
        <v>0.0</v>
      </c>
      <c r="T303" s="686">
        <v>0.0</v>
      </c>
      <c r="U303" s="690">
        <v>27564.0</v>
      </c>
      <c r="V303" s="678"/>
      <c r="W303" s="679"/>
      <c r="X303" s="679"/>
      <c r="Y303" s="679"/>
      <c r="Z303" s="679"/>
      <c r="AA303" s="679"/>
      <c r="AB303" s="679"/>
      <c r="AC303" s="678"/>
      <c r="AD303" s="678"/>
      <c r="AE303" s="679"/>
      <c r="AF303" s="679"/>
      <c r="AG303" s="679"/>
      <c r="AH303" s="679"/>
      <c r="AI303" s="679"/>
      <c r="AJ303" s="676"/>
      <c r="AK303" s="676"/>
      <c r="AL303" s="679"/>
    </row>
    <row r="304">
      <c r="A304" s="685" t="s">
        <v>1865</v>
      </c>
      <c r="B304" s="685" t="s">
        <v>1707</v>
      </c>
      <c r="C304" s="685" t="s">
        <v>1593</v>
      </c>
      <c r="D304" s="685" t="s">
        <v>1391</v>
      </c>
      <c r="E304" s="686">
        <v>41900.0</v>
      </c>
      <c r="F304" s="692" t="s">
        <v>456</v>
      </c>
      <c r="G304" s="687"/>
      <c r="H304" s="688"/>
      <c r="I304" s="685" t="s">
        <v>1934</v>
      </c>
      <c r="J304" s="689">
        <v>2.0</v>
      </c>
      <c r="K304" s="689">
        <v>0.0</v>
      </c>
      <c r="L304" s="689">
        <v>0.0</v>
      </c>
      <c r="M304" s="689">
        <v>0.0</v>
      </c>
      <c r="N304" s="686">
        <v>34068.0</v>
      </c>
      <c r="O304" s="686">
        <v>68136.0</v>
      </c>
      <c r="P304" s="686">
        <v>0.0</v>
      </c>
      <c r="Q304" s="686">
        <v>0.0</v>
      </c>
      <c r="R304" s="686">
        <v>0.0</v>
      </c>
      <c r="S304" s="686">
        <v>0.0</v>
      </c>
      <c r="T304" s="686">
        <v>0.0</v>
      </c>
      <c r="U304" s="690">
        <v>68136.0</v>
      </c>
      <c r="V304" s="678"/>
      <c r="W304" s="679"/>
      <c r="X304" s="679"/>
      <c r="Y304" s="679"/>
      <c r="Z304" s="679"/>
      <c r="AA304" s="679"/>
      <c r="AB304" s="679"/>
      <c r="AC304" s="678"/>
      <c r="AD304" s="678"/>
      <c r="AE304" s="679"/>
      <c r="AF304" s="679"/>
      <c r="AG304" s="679"/>
      <c r="AH304" s="679"/>
      <c r="AI304" s="679"/>
      <c r="AJ304" s="676"/>
      <c r="AK304" s="676"/>
      <c r="AL304" s="679"/>
    </row>
    <row r="305">
      <c r="A305" s="685" t="s">
        <v>1865</v>
      </c>
      <c r="B305" s="685" t="s">
        <v>1707</v>
      </c>
      <c r="C305" s="685" t="s">
        <v>1593</v>
      </c>
      <c r="D305" s="685" t="s">
        <v>1391</v>
      </c>
      <c r="E305" s="686">
        <v>41900.0</v>
      </c>
      <c r="F305" s="692" t="s">
        <v>471</v>
      </c>
      <c r="G305" s="687"/>
      <c r="H305" s="688"/>
      <c r="I305" s="685" t="s">
        <v>1935</v>
      </c>
      <c r="J305" s="689">
        <v>3.0</v>
      </c>
      <c r="K305" s="689">
        <v>0.0</v>
      </c>
      <c r="L305" s="689">
        <v>0.0</v>
      </c>
      <c r="M305" s="689">
        <v>0.0</v>
      </c>
      <c r="N305" s="686">
        <v>34068.0</v>
      </c>
      <c r="O305" s="686">
        <v>102204.0</v>
      </c>
      <c r="P305" s="686">
        <v>0.0</v>
      </c>
      <c r="Q305" s="686">
        <v>0.0</v>
      </c>
      <c r="R305" s="686">
        <v>0.0</v>
      </c>
      <c r="S305" s="686">
        <v>0.0</v>
      </c>
      <c r="T305" s="686">
        <v>0.0</v>
      </c>
      <c r="U305" s="690">
        <v>102204.0</v>
      </c>
      <c r="V305" s="678"/>
      <c r="W305" s="679"/>
      <c r="X305" s="679"/>
      <c r="Y305" s="679"/>
      <c r="Z305" s="679"/>
      <c r="AA305" s="679"/>
      <c r="AB305" s="679"/>
      <c r="AC305" s="678"/>
      <c r="AD305" s="678"/>
      <c r="AE305" s="679"/>
      <c r="AF305" s="679"/>
      <c r="AG305" s="679"/>
      <c r="AH305" s="679"/>
      <c r="AI305" s="679"/>
      <c r="AJ305" s="676"/>
      <c r="AK305" s="676"/>
      <c r="AL305" s="679"/>
    </row>
    <row r="306">
      <c r="A306" s="685" t="s">
        <v>1865</v>
      </c>
      <c r="B306" s="685" t="s">
        <v>1707</v>
      </c>
      <c r="C306" s="685" t="s">
        <v>1593</v>
      </c>
      <c r="D306" s="685" t="s">
        <v>1391</v>
      </c>
      <c r="E306" s="686">
        <v>41900.0</v>
      </c>
      <c r="F306" s="692" t="s">
        <v>476</v>
      </c>
      <c r="G306" s="687"/>
      <c r="H306" s="688"/>
      <c r="I306" s="685" t="s">
        <v>1936</v>
      </c>
      <c r="J306" s="689">
        <v>1.0</v>
      </c>
      <c r="K306" s="689">
        <v>0.0</v>
      </c>
      <c r="L306" s="689">
        <v>0.0</v>
      </c>
      <c r="M306" s="689">
        <v>0.0</v>
      </c>
      <c r="N306" s="686">
        <v>34068.0</v>
      </c>
      <c r="O306" s="686">
        <v>34068.0</v>
      </c>
      <c r="P306" s="686">
        <v>0.0</v>
      </c>
      <c r="Q306" s="686">
        <v>0.0</v>
      </c>
      <c r="R306" s="686">
        <v>0.0</v>
      </c>
      <c r="S306" s="686">
        <v>0.0</v>
      </c>
      <c r="T306" s="686">
        <v>0.0</v>
      </c>
      <c r="U306" s="690">
        <v>34068.0</v>
      </c>
      <c r="V306" s="678"/>
      <c r="W306" s="679"/>
      <c r="X306" s="679"/>
      <c r="Y306" s="679"/>
      <c r="Z306" s="679"/>
      <c r="AA306" s="679"/>
      <c r="AB306" s="679"/>
      <c r="AC306" s="678"/>
      <c r="AD306" s="678"/>
      <c r="AE306" s="679"/>
      <c r="AF306" s="679"/>
      <c r="AG306" s="679"/>
      <c r="AH306" s="679"/>
      <c r="AI306" s="679"/>
      <c r="AJ306" s="676"/>
      <c r="AK306" s="676"/>
      <c r="AL306" s="680"/>
    </row>
    <row r="307">
      <c r="A307" s="685" t="s">
        <v>1865</v>
      </c>
      <c r="B307" s="685" t="s">
        <v>1707</v>
      </c>
      <c r="C307" s="685" t="s">
        <v>1593</v>
      </c>
      <c r="D307" s="685" t="s">
        <v>1391</v>
      </c>
      <c r="E307" s="686">
        <v>40900.0</v>
      </c>
      <c r="F307" s="692" t="s">
        <v>494</v>
      </c>
      <c r="G307" s="687"/>
      <c r="H307" s="688"/>
      <c r="I307" s="685" t="s">
        <v>1939</v>
      </c>
      <c r="J307" s="689">
        <v>1.0</v>
      </c>
      <c r="K307" s="689">
        <v>0.0</v>
      </c>
      <c r="L307" s="689">
        <v>0.0</v>
      </c>
      <c r="M307" s="689">
        <v>0.0</v>
      </c>
      <c r="N307" s="686">
        <v>33255.0</v>
      </c>
      <c r="O307" s="686">
        <v>33255.0</v>
      </c>
      <c r="P307" s="686">
        <v>0.0</v>
      </c>
      <c r="Q307" s="686">
        <v>0.0</v>
      </c>
      <c r="R307" s="686">
        <v>0.0</v>
      </c>
      <c r="S307" s="686">
        <v>0.0</v>
      </c>
      <c r="T307" s="686">
        <v>0.0</v>
      </c>
      <c r="U307" s="690">
        <v>33255.0</v>
      </c>
      <c r="V307" s="678"/>
      <c r="W307" s="679"/>
      <c r="X307" s="679"/>
      <c r="Y307" s="679"/>
      <c r="Z307" s="679"/>
      <c r="AA307" s="679"/>
      <c r="AB307" s="679"/>
      <c r="AC307" s="678"/>
      <c r="AD307" s="678"/>
      <c r="AE307" s="679"/>
      <c r="AF307" s="679"/>
      <c r="AG307" s="679"/>
      <c r="AH307" s="679"/>
      <c r="AI307" s="679"/>
      <c r="AJ307" s="676"/>
      <c r="AK307" s="676"/>
      <c r="AL307" s="679"/>
    </row>
    <row r="308">
      <c r="A308" s="685" t="s">
        <v>1865</v>
      </c>
      <c r="B308" s="685" t="s">
        <v>1707</v>
      </c>
      <c r="C308" s="685" t="s">
        <v>1593</v>
      </c>
      <c r="D308" s="685" t="s">
        <v>1391</v>
      </c>
      <c r="E308" s="686">
        <v>48900.0</v>
      </c>
      <c r="F308" s="692" t="s">
        <v>520</v>
      </c>
      <c r="G308" s="687"/>
      <c r="H308" s="688"/>
      <c r="I308" s="685" t="s">
        <v>1940</v>
      </c>
      <c r="J308" s="689">
        <v>3.0</v>
      </c>
      <c r="K308" s="689">
        <v>0.0</v>
      </c>
      <c r="L308" s="689">
        <v>0.0</v>
      </c>
      <c r="M308" s="689">
        <v>0.0</v>
      </c>
      <c r="N308" s="686">
        <v>39760.0</v>
      </c>
      <c r="O308" s="686">
        <v>119280.0</v>
      </c>
      <c r="P308" s="686">
        <v>0.0</v>
      </c>
      <c r="Q308" s="686">
        <v>0.0</v>
      </c>
      <c r="R308" s="686">
        <v>0.0</v>
      </c>
      <c r="S308" s="686">
        <v>0.0</v>
      </c>
      <c r="T308" s="686">
        <v>0.0</v>
      </c>
      <c r="U308" s="690">
        <v>119280.0</v>
      </c>
      <c r="V308" s="678"/>
      <c r="W308" s="679"/>
      <c r="X308" s="679"/>
      <c r="Y308" s="679"/>
      <c r="Z308" s="679"/>
      <c r="AA308" s="679"/>
      <c r="AB308" s="679"/>
      <c r="AC308" s="678"/>
      <c r="AD308" s="678"/>
      <c r="AE308" s="679"/>
      <c r="AF308" s="679"/>
      <c r="AG308" s="679"/>
      <c r="AH308" s="679"/>
      <c r="AI308" s="679"/>
      <c r="AJ308" s="676"/>
      <c r="AK308" s="676"/>
      <c r="AL308" s="679"/>
    </row>
    <row r="309">
      <c r="A309" s="685" t="s">
        <v>1865</v>
      </c>
      <c r="B309" s="685" t="s">
        <v>1707</v>
      </c>
      <c r="C309" s="685" t="s">
        <v>1593</v>
      </c>
      <c r="D309" s="685" t="s">
        <v>1391</v>
      </c>
      <c r="E309" s="686">
        <v>48900.0</v>
      </c>
      <c r="F309" s="692" t="s">
        <v>511</v>
      </c>
      <c r="G309" s="687"/>
      <c r="H309" s="688"/>
      <c r="I309" s="685" t="s">
        <v>1941</v>
      </c>
      <c r="J309" s="689">
        <v>3.0</v>
      </c>
      <c r="K309" s="689">
        <v>0.0</v>
      </c>
      <c r="L309" s="689">
        <v>0.0</v>
      </c>
      <c r="M309" s="689">
        <v>0.0</v>
      </c>
      <c r="N309" s="686">
        <v>39760.0</v>
      </c>
      <c r="O309" s="686">
        <v>119280.0</v>
      </c>
      <c r="P309" s="686">
        <v>0.0</v>
      </c>
      <c r="Q309" s="686">
        <v>0.0</v>
      </c>
      <c r="R309" s="686">
        <v>0.0</v>
      </c>
      <c r="S309" s="686">
        <v>0.0</v>
      </c>
      <c r="T309" s="686">
        <v>0.0</v>
      </c>
      <c r="U309" s="690">
        <v>119280.0</v>
      </c>
      <c r="V309" s="678"/>
      <c r="W309" s="679"/>
      <c r="X309" s="679"/>
      <c r="Y309" s="679"/>
      <c r="Z309" s="679"/>
      <c r="AA309" s="679"/>
      <c r="AB309" s="679"/>
      <c r="AC309" s="678"/>
      <c r="AD309" s="678"/>
      <c r="AE309" s="679"/>
      <c r="AF309" s="679"/>
      <c r="AG309" s="679"/>
      <c r="AH309" s="679"/>
      <c r="AI309" s="679"/>
      <c r="AJ309" s="676"/>
      <c r="AK309" s="676"/>
      <c r="AL309" s="679"/>
    </row>
    <row r="310">
      <c r="A310" s="685" t="s">
        <v>1865</v>
      </c>
      <c r="B310" s="685" t="s">
        <v>1707</v>
      </c>
      <c r="C310" s="685" t="s">
        <v>1593</v>
      </c>
      <c r="D310" s="685" t="s">
        <v>1391</v>
      </c>
      <c r="E310" s="686">
        <v>40900.0</v>
      </c>
      <c r="F310" s="692" t="s">
        <v>500</v>
      </c>
      <c r="G310" s="687"/>
      <c r="H310" s="688"/>
      <c r="I310" s="685" t="s">
        <v>1942</v>
      </c>
      <c r="J310" s="689">
        <v>1.0</v>
      </c>
      <c r="K310" s="689">
        <v>0.0</v>
      </c>
      <c r="L310" s="689">
        <v>0.0</v>
      </c>
      <c r="M310" s="689">
        <v>0.0</v>
      </c>
      <c r="N310" s="686">
        <v>33255.0</v>
      </c>
      <c r="O310" s="686">
        <v>33255.0</v>
      </c>
      <c r="P310" s="686">
        <v>0.0</v>
      </c>
      <c r="Q310" s="686">
        <v>0.0</v>
      </c>
      <c r="R310" s="686">
        <v>0.0</v>
      </c>
      <c r="S310" s="686">
        <v>33255.0</v>
      </c>
      <c r="T310" s="686">
        <v>0.0</v>
      </c>
      <c r="U310" s="690">
        <v>0.0</v>
      </c>
      <c r="V310" s="678"/>
      <c r="W310" s="679"/>
      <c r="X310" s="679"/>
      <c r="Y310" s="679"/>
      <c r="Z310" s="679"/>
      <c r="AA310" s="679"/>
      <c r="AB310" s="679"/>
      <c r="AC310" s="678"/>
      <c r="AD310" s="678"/>
      <c r="AE310" s="679"/>
      <c r="AF310" s="679"/>
      <c r="AG310" s="679"/>
      <c r="AH310" s="679"/>
      <c r="AI310" s="679"/>
      <c r="AJ310" s="676"/>
      <c r="AK310" s="676"/>
      <c r="AL310" s="679"/>
    </row>
    <row r="311">
      <c r="A311" s="685" t="s">
        <v>1865</v>
      </c>
      <c r="B311" s="685" t="s">
        <v>1707</v>
      </c>
      <c r="C311" s="685" t="s">
        <v>1593</v>
      </c>
      <c r="D311" s="685" t="s">
        <v>1391</v>
      </c>
      <c r="E311" s="686">
        <v>48900.0</v>
      </c>
      <c r="F311" s="692" t="s">
        <v>525</v>
      </c>
      <c r="G311" s="687"/>
      <c r="H311" s="688"/>
      <c r="I311" s="685" t="s">
        <v>1943</v>
      </c>
      <c r="J311" s="689">
        <v>2.0</v>
      </c>
      <c r="K311" s="689">
        <v>0.0</v>
      </c>
      <c r="L311" s="689">
        <v>0.0</v>
      </c>
      <c r="M311" s="689">
        <v>0.0</v>
      </c>
      <c r="N311" s="686">
        <v>39760.0</v>
      </c>
      <c r="O311" s="686">
        <v>79520.0</v>
      </c>
      <c r="P311" s="686">
        <v>0.0</v>
      </c>
      <c r="Q311" s="686">
        <v>0.0</v>
      </c>
      <c r="R311" s="686">
        <v>0.0</v>
      </c>
      <c r="S311" s="686">
        <v>0.0</v>
      </c>
      <c r="T311" s="686">
        <v>0.0</v>
      </c>
      <c r="U311" s="690">
        <v>79520.0</v>
      </c>
      <c r="V311" s="678"/>
      <c r="W311" s="679"/>
      <c r="X311" s="679"/>
      <c r="Y311" s="679"/>
      <c r="Z311" s="679"/>
      <c r="AA311" s="679"/>
      <c r="AB311" s="679"/>
      <c r="AC311" s="678"/>
      <c r="AD311" s="678"/>
      <c r="AE311" s="679"/>
      <c r="AF311" s="679"/>
      <c r="AG311" s="679"/>
      <c r="AH311" s="679"/>
      <c r="AI311" s="679"/>
      <c r="AJ311" s="676"/>
      <c r="AK311" s="676"/>
      <c r="AL311" s="680"/>
    </row>
    <row r="312">
      <c r="A312" s="685" t="s">
        <v>1865</v>
      </c>
      <c r="B312" s="685" t="s">
        <v>1707</v>
      </c>
      <c r="C312" s="685" t="s">
        <v>1593</v>
      </c>
      <c r="D312" s="685" t="s">
        <v>1391</v>
      </c>
      <c r="E312" s="686">
        <v>40900.0</v>
      </c>
      <c r="F312" s="692" t="s">
        <v>506</v>
      </c>
      <c r="G312" s="687"/>
      <c r="H312" s="688"/>
      <c r="I312" s="685" t="s">
        <v>1947</v>
      </c>
      <c r="J312" s="689">
        <v>1.0</v>
      </c>
      <c r="K312" s="689">
        <v>0.0</v>
      </c>
      <c r="L312" s="689">
        <v>0.0</v>
      </c>
      <c r="M312" s="689">
        <v>0.0</v>
      </c>
      <c r="N312" s="686">
        <v>33255.0</v>
      </c>
      <c r="O312" s="686">
        <v>33255.0</v>
      </c>
      <c r="P312" s="686">
        <v>0.0</v>
      </c>
      <c r="Q312" s="686">
        <v>0.0</v>
      </c>
      <c r="R312" s="686">
        <v>0.0</v>
      </c>
      <c r="S312" s="686">
        <v>33255.0</v>
      </c>
      <c r="T312" s="686">
        <v>0.0</v>
      </c>
      <c r="U312" s="690">
        <v>0.0</v>
      </c>
      <c r="V312" s="678"/>
      <c r="W312" s="679"/>
      <c r="X312" s="679"/>
      <c r="Y312" s="679"/>
      <c r="Z312" s="679"/>
      <c r="AA312" s="679"/>
      <c r="AB312" s="679"/>
      <c r="AC312" s="678"/>
      <c r="AD312" s="678"/>
      <c r="AE312" s="679"/>
      <c r="AF312" s="679"/>
      <c r="AG312" s="679"/>
      <c r="AH312" s="679"/>
      <c r="AI312" s="679"/>
      <c r="AJ312" s="676"/>
      <c r="AK312" s="676"/>
      <c r="AL312" s="680"/>
    </row>
    <row r="313">
      <c r="A313" s="685" t="s">
        <v>1865</v>
      </c>
      <c r="B313" s="685" t="s">
        <v>1707</v>
      </c>
      <c r="C313" s="685" t="s">
        <v>1593</v>
      </c>
      <c r="D313" s="685" t="s">
        <v>1391</v>
      </c>
      <c r="E313" s="686">
        <v>48900.0</v>
      </c>
      <c r="F313" s="692" t="s">
        <v>531</v>
      </c>
      <c r="G313" s="687"/>
      <c r="H313" s="688"/>
      <c r="I313" s="685" t="s">
        <v>1952</v>
      </c>
      <c r="J313" s="689">
        <v>1.0</v>
      </c>
      <c r="K313" s="689">
        <v>0.0</v>
      </c>
      <c r="L313" s="689">
        <v>0.0</v>
      </c>
      <c r="M313" s="689">
        <v>0.0</v>
      </c>
      <c r="N313" s="686">
        <v>39760.0</v>
      </c>
      <c r="O313" s="686">
        <v>39760.0</v>
      </c>
      <c r="P313" s="686">
        <v>0.0</v>
      </c>
      <c r="Q313" s="686">
        <v>0.0</v>
      </c>
      <c r="R313" s="686">
        <v>0.0</v>
      </c>
      <c r="S313" s="686">
        <v>0.0</v>
      </c>
      <c r="T313" s="686">
        <v>0.0</v>
      </c>
      <c r="U313" s="690">
        <v>39760.0</v>
      </c>
      <c r="V313" s="678"/>
      <c r="W313" s="679"/>
      <c r="X313" s="679"/>
      <c r="Y313" s="679"/>
      <c r="Z313" s="679"/>
      <c r="AA313" s="679"/>
      <c r="AB313" s="679"/>
      <c r="AC313" s="678"/>
      <c r="AD313" s="678"/>
      <c r="AE313" s="679"/>
      <c r="AF313" s="679"/>
      <c r="AG313" s="679"/>
      <c r="AH313" s="679"/>
      <c r="AI313" s="679"/>
      <c r="AJ313" s="676"/>
      <c r="AK313" s="676"/>
      <c r="AL313" s="680"/>
    </row>
    <row r="314">
      <c r="A314" s="685" t="s">
        <v>1865</v>
      </c>
      <c r="B314" s="685" t="s">
        <v>1707</v>
      </c>
      <c r="C314" s="685" t="s">
        <v>1593</v>
      </c>
      <c r="D314" s="685" t="s">
        <v>1391</v>
      </c>
      <c r="E314" s="686">
        <v>46900.0</v>
      </c>
      <c r="F314" s="692" t="s">
        <v>551</v>
      </c>
      <c r="G314" s="687"/>
      <c r="H314" s="688"/>
      <c r="I314" s="685" t="s">
        <v>1956</v>
      </c>
      <c r="J314" s="689">
        <v>2.0</v>
      </c>
      <c r="K314" s="689">
        <v>0.0</v>
      </c>
      <c r="L314" s="689">
        <v>0.0</v>
      </c>
      <c r="M314" s="689">
        <v>0.0</v>
      </c>
      <c r="N314" s="686">
        <v>38134.0</v>
      </c>
      <c r="O314" s="686">
        <v>76268.0</v>
      </c>
      <c r="P314" s="686">
        <v>0.0</v>
      </c>
      <c r="Q314" s="686">
        <v>0.0</v>
      </c>
      <c r="R314" s="686">
        <v>76268.0</v>
      </c>
      <c r="S314" s="686">
        <v>0.0</v>
      </c>
      <c r="T314" s="686">
        <v>0.0</v>
      </c>
      <c r="U314" s="690">
        <v>0.0</v>
      </c>
      <c r="V314" s="678"/>
      <c r="W314" s="679"/>
      <c r="X314" s="679"/>
      <c r="Y314" s="679"/>
      <c r="Z314" s="679"/>
      <c r="AA314" s="679"/>
      <c r="AB314" s="679"/>
      <c r="AC314" s="678"/>
      <c r="AD314" s="678"/>
      <c r="AE314" s="679"/>
      <c r="AF314" s="680"/>
      <c r="AG314" s="680"/>
      <c r="AH314" s="680"/>
      <c r="AI314" s="680"/>
      <c r="AJ314" s="676"/>
      <c r="AK314" s="676"/>
      <c r="AL314" s="680"/>
    </row>
    <row r="315">
      <c r="A315" s="685" t="s">
        <v>1865</v>
      </c>
      <c r="B315" s="685" t="s">
        <v>1707</v>
      </c>
      <c r="C315" s="685" t="s">
        <v>1593</v>
      </c>
      <c r="D315" s="685" t="s">
        <v>1391</v>
      </c>
      <c r="E315" s="686">
        <v>54900.0</v>
      </c>
      <c r="F315" s="692" t="s">
        <v>582</v>
      </c>
      <c r="G315" s="687"/>
      <c r="H315" s="688"/>
      <c r="I315" s="685" t="s">
        <v>1960</v>
      </c>
      <c r="J315" s="689">
        <v>12.0</v>
      </c>
      <c r="K315" s="689">
        <v>0.0</v>
      </c>
      <c r="L315" s="689">
        <v>0.0</v>
      </c>
      <c r="M315" s="689">
        <v>0.0</v>
      </c>
      <c r="N315" s="686">
        <v>44638.0</v>
      </c>
      <c r="O315" s="686">
        <v>535656.0</v>
      </c>
      <c r="P315" s="686">
        <v>0.0</v>
      </c>
      <c r="Q315" s="686">
        <v>0.0</v>
      </c>
      <c r="R315" s="686">
        <v>0.0</v>
      </c>
      <c r="S315" s="686">
        <v>0.0</v>
      </c>
      <c r="T315" s="686">
        <v>0.0</v>
      </c>
      <c r="U315" s="690">
        <v>535656.0</v>
      </c>
      <c r="V315" s="678"/>
      <c r="W315" s="679"/>
      <c r="X315" s="679"/>
      <c r="Y315" s="679"/>
      <c r="Z315" s="679"/>
      <c r="AA315" s="679"/>
      <c r="AB315" s="679"/>
      <c r="AC315" s="678"/>
      <c r="AD315" s="678"/>
      <c r="AE315" s="679"/>
      <c r="AF315" s="680"/>
      <c r="AG315" s="680"/>
      <c r="AH315" s="680"/>
      <c r="AI315" s="680"/>
      <c r="AJ315" s="676"/>
      <c r="AK315" s="676"/>
      <c r="AL315" s="679"/>
    </row>
    <row r="316">
      <c r="A316" s="685" t="s">
        <v>1865</v>
      </c>
      <c r="B316" s="685" t="s">
        <v>1707</v>
      </c>
      <c r="C316" s="685" t="s">
        <v>1593</v>
      </c>
      <c r="D316" s="685" t="s">
        <v>1391</v>
      </c>
      <c r="E316" s="686">
        <v>46900.0</v>
      </c>
      <c r="F316" s="692" t="s">
        <v>538</v>
      </c>
      <c r="G316" s="687"/>
      <c r="H316" s="688"/>
      <c r="I316" s="685" t="s">
        <v>1964</v>
      </c>
      <c r="J316" s="689">
        <v>4.0</v>
      </c>
      <c r="K316" s="689">
        <v>0.0</v>
      </c>
      <c r="L316" s="689">
        <v>0.0</v>
      </c>
      <c r="M316" s="689">
        <v>0.0</v>
      </c>
      <c r="N316" s="686">
        <v>38134.0</v>
      </c>
      <c r="O316" s="686">
        <v>152536.0</v>
      </c>
      <c r="P316" s="686">
        <v>0.0</v>
      </c>
      <c r="Q316" s="686">
        <v>0.0</v>
      </c>
      <c r="R316" s="686">
        <v>0.0</v>
      </c>
      <c r="S316" s="686">
        <v>114402.0</v>
      </c>
      <c r="T316" s="686">
        <v>38134.0</v>
      </c>
      <c r="U316" s="690">
        <v>0.0</v>
      </c>
      <c r="V316" s="678"/>
      <c r="W316" s="679"/>
      <c r="X316" s="679"/>
      <c r="Y316" s="679"/>
      <c r="Z316" s="679"/>
      <c r="AA316" s="679"/>
      <c r="AB316" s="679"/>
      <c r="AC316" s="678"/>
      <c r="AD316" s="678"/>
      <c r="AE316" s="679"/>
      <c r="AF316" s="680"/>
      <c r="AG316" s="680"/>
      <c r="AH316" s="680"/>
      <c r="AI316" s="680"/>
      <c r="AJ316" s="676"/>
      <c r="AK316" s="676"/>
      <c r="AL316" s="679"/>
    </row>
    <row r="317">
      <c r="A317" s="685" t="s">
        <v>1865</v>
      </c>
      <c r="B317" s="685" t="s">
        <v>1707</v>
      </c>
      <c r="C317" s="685" t="s">
        <v>1593</v>
      </c>
      <c r="D317" s="685" t="s">
        <v>1391</v>
      </c>
      <c r="E317" s="686">
        <v>54900.0</v>
      </c>
      <c r="F317" s="692" t="s">
        <v>572</v>
      </c>
      <c r="G317" s="687"/>
      <c r="H317" s="688"/>
      <c r="I317" s="685" t="s">
        <v>1965</v>
      </c>
      <c r="J317" s="689">
        <v>7.0</v>
      </c>
      <c r="K317" s="689">
        <v>0.0</v>
      </c>
      <c r="L317" s="689">
        <v>0.0</v>
      </c>
      <c r="M317" s="689">
        <v>0.0</v>
      </c>
      <c r="N317" s="686">
        <v>44638.0</v>
      </c>
      <c r="O317" s="686">
        <v>312466.0</v>
      </c>
      <c r="P317" s="686">
        <v>0.0</v>
      </c>
      <c r="Q317" s="686">
        <v>0.0</v>
      </c>
      <c r="R317" s="686">
        <v>312466.0</v>
      </c>
      <c r="S317" s="686">
        <v>0.0</v>
      </c>
      <c r="T317" s="686">
        <v>0.0</v>
      </c>
      <c r="U317" s="690">
        <v>0.0</v>
      </c>
      <c r="V317" s="678"/>
      <c r="W317" s="679"/>
      <c r="X317" s="679"/>
      <c r="Y317" s="679"/>
      <c r="Z317" s="679"/>
      <c r="AA317" s="679"/>
      <c r="AB317" s="679"/>
      <c r="AC317" s="678"/>
      <c r="AD317" s="678"/>
      <c r="AE317" s="679"/>
      <c r="AF317" s="680"/>
      <c r="AG317" s="680"/>
      <c r="AH317" s="680"/>
      <c r="AI317" s="680"/>
      <c r="AJ317" s="676"/>
      <c r="AK317" s="676"/>
      <c r="AL317" s="679"/>
    </row>
    <row r="318">
      <c r="A318" s="685" t="s">
        <v>1865</v>
      </c>
      <c r="B318" s="685" t="s">
        <v>1707</v>
      </c>
      <c r="C318" s="685" t="s">
        <v>1593</v>
      </c>
      <c r="D318" s="685" t="s">
        <v>1391</v>
      </c>
      <c r="E318" s="686">
        <v>46900.0</v>
      </c>
      <c r="F318" s="692" t="s">
        <v>557</v>
      </c>
      <c r="G318" s="687"/>
      <c r="H318" s="688"/>
      <c r="I318" s="685" t="s">
        <v>1966</v>
      </c>
      <c r="J318" s="689">
        <v>6.0</v>
      </c>
      <c r="K318" s="689">
        <v>0.0</v>
      </c>
      <c r="L318" s="689">
        <v>0.0</v>
      </c>
      <c r="M318" s="689">
        <v>0.0</v>
      </c>
      <c r="N318" s="686">
        <v>38134.0</v>
      </c>
      <c r="O318" s="686">
        <v>228804.0</v>
      </c>
      <c r="P318" s="686">
        <v>0.0</v>
      </c>
      <c r="Q318" s="686">
        <v>0.0</v>
      </c>
      <c r="R318" s="686">
        <v>190670.0</v>
      </c>
      <c r="S318" s="686">
        <v>38134.0</v>
      </c>
      <c r="T318" s="686">
        <v>0.0</v>
      </c>
      <c r="U318" s="690">
        <v>0.0</v>
      </c>
      <c r="V318" s="678"/>
      <c r="W318" s="679"/>
      <c r="X318" s="679"/>
      <c r="Y318" s="679"/>
      <c r="Z318" s="679"/>
      <c r="AA318" s="679"/>
      <c r="AB318" s="679"/>
      <c r="AC318" s="678"/>
      <c r="AD318" s="678"/>
      <c r="AE318" s="679"/>
      <c r="AF318" s="680"/>
      <c r="AG318" s="680"/>
      <c r="AH318" s="680"/>
      <c r="AI318" s="680"/>
      <c r="AJ318" s="676"/>
      <c r="AK318" s="676"/>
      <c r="AL318" s="679"/>
    </row>
    <row r="319">
      <c r="A319" s="685" t="s">
        <v>1865</v>
      </c>
      <c r="B319" s="685" t="s">
        <v>1707</v>
      </c>
      <c r="C319" s="685" t="s">
        <v>1593</v>
      </c>
      <c r="D319" s="685" t="s">
        <v>1391</v>
      </c>
      <c r="E319" s="686">
        <v>54900.0</v>
      </c>
      <c r="F319" s="692" t="s">
        <v>589</v>
      </c>
      <c r="G319" s="687"/>
      <c r="H319" s="688"/>
      <c r="I319" s="685" t="s">
        <v>1969</v>
      </c>
      <c r="J319" s="689">
        <v>3.0</v>
      </c>
      <c r="K319" s="689">
        <v>0.0</v>
      </c>
      <c r="L319" s="689">
        <v>0.0</v>
      </c>
      <c r="M319" s="689">
        <v>0.0</v>
      </c>
      <c r="N319" s="686">
        <v>44638.0</v>
      </c>
      <c r="O319" s="686">
        <v>133914.0</v>
      </c>
      <c r="P319" s="686">
        <v>0.0</v>
      </c>
      <c r="Q319" s="686">
        <v>0.0</v>
      </c>
      <c r="R319" s="686">
        <v>0.0</v>
      </c>
      <c r="S319" s="686">
        <v>0.0</v>
      </c>
      <c r="T319" s="686">
        <v>0.0</v>
      </c>
      <c r="U319" s="690">
        <v>133914.0</v>
      </c>
      <c r="V319" s="678"/>
      <c r="W319" s="679"/>
      <c r="X319" s="679"/>
      <c r="Y319" s="679"/>
      <c r="Z319" s="679"/>
      <c r="AA319" s="679"/>
      <c r="AB319" s="679"/>
      <c r="AC319" s="678"/>
      <c r="AD319" s="678"/>
      <c r="AE319" s="679"/>
      <c r="AF319" s="680"/>
      <c r="AG319" s="680"/>
      <c r="AH319" s="680"/>
      <c r="AI319" s="680"/>
      <c r="AJ319" s="676"/>
      <c r="AK319" s="676"/>
      <c r="AL319" s="679"/>
    </row>
    <row r="320">
      <c r="A320" s="685" t="s">
        <v>1865</v>
      </c>
      <c r="B320" s="685" t="s">
        <v>1707</v>
      </c>
      <c r="C320" s="685" t="s">
        <v>1593</v>
      </c>
      <c r="D320" s="685" t="s">
        <v>1391</v>
      </c>
      <c r="E320" s="686">
        <v>46900.0</v>
      </c>
      <c r="F320" s="692" t="s">
        <v>565</v>
      </c>
      <c r="G320" s="687"/>
      <c r="H320" s="688"/>
      <c r="I320" s="685" t="s">
        <v>1972</v>
      </c>
      <c r="J320" s="689">
        <v>6.0</v>
      </c>
      <c r="K320" s="689">
        <v>0.0</v>
      </c>
      <c r="L320" s="689">
        <v>0.0</v>
      </c>
      <c r="M320" s="689">
        <v>0.0</v>
      </c>
      <c r="N320" s="686">
        <v>38134.0</v>
      </c>
      <c r="O320" s="686">
        <v>228804.0</v>
      </c>
      <c r="P320" s="686">
        <v>0.0</v>
      </c>
      <c r="Q320" s="686">
        <v>0.0</v>
      </c>
      <c r="R320" s="686">
        <v>190670.0</v>
      </c>
      <c r="S320" s="686">
        <v>38134.0</v>
      </c>
      <c r="T320" s="686">
        <v>0.0</v>
      </c>
      <c r="U320" s="690">
        <v>0.0</v>
      </c>
      <c r="V320" s="678"/>
      <c r="W320" s="679"/>
      <c r="X320" s="679"/>
      <c r="Y320" s="679"/>
      <c r="Z320" s="679"/>
      <c r="AA320" s="679"/>
      <c r="AB320" s="679"/>
      <c r="AC320" s="678"/>
      <c r="AD320" s="678"/>
      <c r="AE320" s="679"/>
      <c r="AF320" s="680"/>
      <c r="AG320" s="680"/>
      <c r="AH320" s="680"/>
      <c r="AI320" s="680"/>
      <c r="AJ320" s="676"/>
      <c r="AK320" s="676"/>
      <c r="AL320" s="679"/>
    </row>
    <row r="321">
      <c r="A321" s="685" t="s">
        <v>1865</v>
      </c>
      <c r="B321" s="685" t="s">
        <v>1707</v>
      </c>
      <c r="C321" s="685" t="s">
        <v>1593</v>
      </c>
      <c r="D321" s="685" t="s">
        <v>1391</v>
      </c>
      <c r="E321" s="686">
        <v>54900.0</v>
      </c>
      <c r="F321" s="692" t="s">
        <v>598</v>
      </c>
      <c r="G321" s="687"/>
      <c r="H321" s="688"/>
      <c r="I321" s="685" t="s">
        <v>1979</v>
      </c>
      <c r="J321" s="689">
        <v>3.0</v>
      </c>
      <c r="K321" s="689">
        <v>0.0</v>
      </c>
      <c r="L321" s="689">
        <v>0.0</v>
      </c>
      <c r="M321" s="689">
        <v>0.0</v>
      </c>
      <c r="N321" s="686">
        <v>44638.0</v>
      </c>
      <c r="O321" s="686">
        <v>133914.0</v>
      </c>
      <c r="P321" s="686">
        <v>0.0</v>
      </c>
      <c r="Q321" s="686">
        <v>0.0</v>
      </c>
      <c r="R321" s="686">
        <v>0.0</v>
      </c>
      <c r="S321" s="686">
        <v>0.0</v>
      </c>
      <c r="T321" s="686">
        <v>0.0</v>
      </c>
      <c r="U321" s="690">
        <v>133914.0</v>
      </c>
      <c r="V321" s="678"/>
      <c r="W321" s="679"/>
      <c r="X321" s="679"/>
      <c r="Y321" s="679"/>
      <c r="Z321" s="679"/>
      <c r="AA321" s="679"/>
      <c r="AB321" s="679"/>
      <c r="AC321" s="678"/>
      <c r="AD321" s="678"/>
      <c r="AE321" s="679"/>
      <c r="AF321" s="680"/>
      <c r="AG321" s="680"/>
      <c r="AH321" s="680"/>
      <c r="AI321" s="680"/>
      <c r="AJ321" s="676"/>
      <c r="AK321" s="676"/>
      <c r="AL321" s="679"/>
    </row>
    <row r="322">
      <c r="A322" s="685" t="s">
        <v>1865</v>
      </c>
      <c r="B322" s="685" t="s">
        <v>1707</v>
      </c>
      <c r="C322" s="685" t="s">
        <v>1694</v>
      </c>
      <c r="D322" s="685" t="s">
        <v>1391</v>
      </c>
      <c r="E322" s="686">
        <v>42900.0</v>
      </c>
      <c r="F322" s="692" t="s">
        <v>743</v>
      </c>
      <c r="G322" s="687"/>
      <c r="H322" s="688"/>
      <c r="I322" s="685" t="s">
        <v>1982</v>
      </c>
      <c r="J322" s="689">
        <v>1.0</v>
      </c>
      <c r="K322" s="689">
        <v>0.0</v>
      </c>
      <c r="L322" s="689">
        <v>0.0</v>
      </c>
      <c r="M322" s="689">
        <v>0.0</v>
      </c>
      <c r="N322" s="686">
        <v>34881.0</v>
      </c>
      <c r="O322" s="686">
        <v>34881.0</v>
      </c>
      <c r="P322" s="686">
        <v>34881.0</v>
      </c>
      <c r="Q322" s="686">
        <v>0.0</v>
      </c>
      <c r="R322" s="686">
        <v>0.0</v>
      </c>
      <c r="S322" s="686">
        <v>0.0</v>
      </c>
      <c r="T322" s="686">
        <v>0.0</v>
      </c>
      <c r="U322" s="690">
        <v>0.0</v>
      </c>
      <c r="V322" s="678"/>
      <c r="W322" s="679"/>
      <c r="X322" s="679"/>
      <c r="Y322" s="679"/>
      <c r="Z322" s="679"/>
      <c r="AA322" s="679"/>
      <c r="AB322" s="679"/>
      <c r="AC322" s="678"/>
      <c r="AD322" s="678"/>
      <c r="AE322" s="679"/>
      <c r="AF322" s="680"/>
      <c r="AG322" s="680"/>
      <c r="AH322" s="680"/>
      <c r="AI322" s="680"/>
      <c r="AJ322" s="676"/>
      <c r="AK322" s="676"/>
      <c r="AL322" s="679"/>
    </row>
    <row r="323">
      <c r="A323" s="685" t="s">
        <v>1865</v>
      </c>
      <c r="B323" s="685" t="s">
        <v>1707</v>
      </c>
      <c r="C323" s="685" t="s">
        <v>1694</v>
      </c>
      <c r="D323" s="685" t="s">
        <v>1391</v>
      </c>
      <c r="E323" s="686">
        <v>42900.0</v>
      </c>
      <c r="F323" s="692" t="s">
        <v>753</v>
      </c>
      <c r="G323" s="687"/>
      <c r="H323" s="688"/>
      <c r="I323" s="685" t="s">
        <v>1983</v>
      </c>
      <c r="J323" s="689">
        <v>1.0</v>
      </c>
      <c r="K323" s="689">
        <v>0.0</v>
      </c>
      <c r="L323" s="689">
        <v>0.0</v>
      </c>
      <c r="M323" s="689">
        <v>0.0</v>
      </c>
      <c r="N323" s="686">
        <v>34881.0</v>
      </c>
      <c r="O323" s="686">
        <v>34881.0</v>
      </c>
      <c r="P323" s="686">
        <v>34881.0</v>
      </c>
      <c r="Q323" s="686">
        <v>0.0</v>
      </c>
      <c r="R323" s="686">
        <v>0.0</v>
      </c>
      <c r="S323" s="686">
        <v>0.0</v>
      </c>
      <c r="T323" s="686">
        <v>0.0</v>
      </c>
      <c r="U323" s="690">
        <v>0.0</v>
      </c>
      <c r="V323" s="678"/>
      <c r="W323" s="679"/>
      <c r="X323" s="679"/>
      <c r="Y323" s="679"/>
      <c r="Z323" s="679"/>
      <c r="AA323" s="679"/>
      <c r="AB323" s="679"/>
      <c r="AC323" s="678"/>
      <c r="AD323" s="678"/>
      <c r="AE323" s="679"/>
      <c r="AF323" s="680"/>
      <c r="AG323" s="680"/>
      <c r="AH323" s="680"/>
      <c r="AI323" s="680"/>
      <c r="AJ323" s="676"/>
      <c r="AK323" s="676"/>
      <c r="AL323" s="679"/>
    </row>
    <row r="324">
      <c r="A324" s="685" t="s">
        <v>1865</v>
      </c>
      <c r="B324" s="685" t="s">
        <v>1707</v>
      </c>
      <c r="C324" s="685" t="s">
        <v>1694</v>
      </c>
      <c r="D324" s="685" t="s">
        <v>1391</v>
      </c>
      <c r="E324" s="686">
        <v>42900.0</v>
      </c>
      <c r="F324" s="692" t="s">
        <v>760</v>
      </c>
      <c r="G324" s="687"/>
      <c r="H324" s="688"/>
      <c r="I324" s="685" t="s">
        <v>1986</v>
      </c>
      <c r="J324" s="689">
        <v>1.0</v>
      </c>
      <c r="K324" s="689">
        <v>0.0</v>
      </c>
      <c r="L324" s="689">
        <v>0.0</v>
      </c>
      <c r="M324" s="689">
        <v>0.0</v>
      </c>
      <c r="N324" s="686">
        <v>34881.0</v>
      </c>
      <c r="O324" s="686">
        <v>34881.0</v>
      </c>
      <c r="P324" s="686">
        <v>34881.0</v>
      </c>
      <c r="Q324" s="686">
        <v>0.0</v>
      </c>
      <c r="R324" s="686">
        <v>0.0</v>
      </c>
      <c r="S324" s="686">
        <v>0.0</v>
      </c>
      <c r="T324" s="686">
        <v>0.0</v>
      </c>
      <c r="U324" s="690">
        <v>0.0</v>
      </c>
      <c r="V324" s="678"/>
      <c r="W324" s="679"/>
      <c r="X324" s="679"/>
      <c r="Y324" s="679"/>
      <c r="Z324" s="679"/>
      <c r="AA324" s="679"/>
      <c r="AB324" s="679"/>
      <c r="AC324" s="678"/>
      <c r="AD324" s="678"/>
      <c r="AE324" s="679"/>
      <c r="AF324" s="680"/>
      <c r="AG324" s="680"/>
      <c r="AH324" s="680"/>
      <c r="AI324" s="680"/>
      <c r="AJ324" s="676"/>
      <c r="AK324" s="676"/>
      <c r="AL324" s="679"/>
    </row>
    <row r="325">
      <c r="A325" s="685" t="s">
        <v>1865</v>
      </c>
      <c r="B325" s="685" t="s">
        <v>1707</v>
      </c>
      <c r="C325" s="685" t="s">
        <v>1747</v>
      </c>
      <c r="D325" s="685" t="s">
        <v>1391</v>
      </c>
      <c r="E325" s="686">
        <v>61900.0</v>
      </c>
      <c r="F325" s="692" t="s">
        <v>893</v>
      </c>
      <c r="G325" s="687"/>
      <c r="H325" s="688"/>
      <c r="I325" s="685" t="s">
        <v>1989</v>
      </c>
      <c r="J325" s="689">
        <v>1.0</v>
      </c>
      <c r="K325" s="689">
        <v>0.0</v>
      </c>
      <c r="L325" s="689">
        <v>0.0</v>
      </c>
      <c r="M325" s="689">
        <v>0.0</v>
      </c>
      <c r="N325" s="686">
        <v>50330.0</v>
      </c>
      <c r="O325" s="686">
        <v>50330.0</v>
      </c>
      <c r="P325" s="686">
        <v>50330.0</v>
      </c>
      <c r="Q325" s="686">
        <v>0.0</v>
      </c>
      <c r="R325" s="686">
        <v>0.0</v>
      </c>
      <c r="S325" s="686">
        <v>0.0</v>
      </c>
      <c r="T325" s="686">
        <v>0.0</v>
      </c>
      <c r="U325" s="690">
        <v>0.0</v>
      </c>
      <c r="V325" s="678"/>
      <c r="W325" s="679"/>
      <c r="X325" s="679"/>
      <c r="Y325" s="679"/>
      <c r="Z325" s="679"/>
      <c r="AA325" s="679"/>
      <c r="AB325" s="679"/>
      <c r="AC325" s="678"/>
      <c r="AD325" s="678"/>
      <c r="AE325" s="679"/>
      <c r="AF325" s="680"/>
      <c r="AG325" s="680"/>
      <c r="AH325" s="680"/>
      <c r="AI325" s="680"/>
      <c r="AJ325" s="676"/>
      <c r="AK325" s="676"/>
      <c r="AL325" s="679"/>
    </row>
    <row r="326">
      <c r="A326" s="685" t="s">
        <v>1865</v>
      </c>
      <c r="B326" s="685" t="s">
        <v>1707</v>
      </c>
      <c r="C326" s="685" t="s">
        <v>1747</v>
      </c>
      <c r="D326" s="685" t="s">
        <v>1391</v>
      </c>
      <c r="E326" s="686">
        <v>61900.0</v>
      </c>
      <c r="F326" s="692" t="s">
        <v>901</v>
      </c>
      <c r="G326" s="687"/>
      <c r="H326" s="688"/>
      <c r="I326" s="685" t="s">
        <v>1994</v>
      </c>
      <c r="J326" s="689">
        <v>2.0</v>
      </c>
      <c r="K326" s="689">
        <v>0.0</v>
      </c>
      <c r="L326" s="689">
        <v>0.0</v>
      </c>
      <c r="M326" s="689">
        <v>0.0</v>
      </c>
      <c r="N326" s="686">
        <v>50330.0</v>
      </c>
      <c r="O326" s="686">
        <v>100660.0</v>
      </c>
      <c r="P326" s="686">
        <v>100660.0</v>
      </c>
      <c r="Q326" s="686">
        <v>0.0</v>
      </c>
      <c r="R326" s="686">
        <v>0.0</v>
      </c>
      <c r="S326" s="686">
        <v>0.0</v>
      </c>
      <c r="T326" s="686">
        <v>0.0</v>
      </c>
      <c r="U326" s="690">
        <v>0.0</v>
      </c>
      <c r="V326" s="678"/>
      <c r="W326" s="679"/>
      <c r="X326" s="679"/>
      <c r="Y326" s="679"/>
      <c r="Z326" s="679"/>
      <c r="AA326" s="679"/>
      <c r="AB326" s="679"/>
      <c r="AC326" s="678"/>
      <c r="AD326" s="678"/>
      <c r="AE326" s="679"/>
      <c r="AF326" s="680"/>
      <c r="AG326" s="680"/>
      <c r="AH326" s="680"/>
      <c r="AI326" s="680"/>
      <c r="AJ326" s="676"/>
      <c r="AK326" s="676"/>
      <c r="AL326" s="680"/>
    </row>
    <row r="327">
      <c r="A327" s="685" t="s">
        <v>1865</v>
      </c>
      <c r="B327" s="685" t="s">
        <v>1707</v>
      </c>
      <c r="C327" s="685" t="s">
        <v>1747</v>
      </c>
      <c r="D327" s="685" t="s">
        <v>1391</v>
      </c>
      <c r="E327" s="686">
        <v>69900.0</v>
      </c>
      <c r="F327" s="692" t="s">
        <v>1018</v>
      </c>
      <c r="G327" s="687"/>
      <c r="H327" s="688"/>
      <c r="I327" s="685" t="s">
        <v>1996</v>
      </c>
      <c r="J327" s="689">
        <v>1.0</v>
      </c>
      <c r="K327" s="689">
        <v>0.0</v>
      </c>
      <c r="L327" s="689">
        <v>0.0</v>
      </c>
      <c r="M327" s="689">
        <v>0.0</v>
      </c>
      <c r="N327" s="686">
        <v>56835.0</v>
      </c>
      <c r="O327" s="686">
        <v>56835.0</v>
      </c>
      <c r="P327" s="686">
        <v>56835.0</v>
      </c>
      <c r="Q327" s="686">
        <v>0.0</v>
      </c>
      <c r="R327" s="686">
        <v>0.0</v>
      </c>
      <c r="S327" s="686">
        <v>0.0</v>
      </c>
      <c r="T327" s="686">
        <v>0.0</v>
      </c>
      <c r="U327" s="690">
        <v>0.0</v>
      </c>
      <c r="V327" s="678"/>
      <c r="W327" s="679"/>
      <c r="X327" s="679"/>
      <c r="Y327" s="679"/>
      <c r="Z327" s="679"/>
      <c r="AA327" s="679"/>
      <c r="AB327" s="679"/>
      <c r="AC327" s="678"/>
      <c r="AD327" s="678"/>
      <c r="AE327" s="679"/>
      <c r="AF327" s="680"/>
      <c r="AG327" s="680"/>
      <c r="AH327" s="680"/>
      <c r="AI327" s="680"/>
      <c r="AJ327" s="676"/>
      <c r="AK327" s="676"/>
      <c r="AL327" s="680"/>
    </row>
    <row r="328">
      <c r="A328" s="685" t="s">
        <v>1865</v>
      </c>
      <c r="B328" s="685" t="s">
        <v>1707</v>
      </c>
      <c r="C328" s="685" t="s">
        <v>1747</v>
      </c>
      <c r="D328" s="685" t="s">
        <v>1391</v>
      </c>
      <c r="E328" s="686">
        <v>69900.0</v>
      </c>
      <c r="F328" s="692" t="s">
        <v>1027</v>
      </c>
      <c r="G328" s="687"/>
      <c r="H328" s="688"/>
      <c r="I328" s="685" t="s">
        <v>1997</v>
      </c>
      <c r="J328" s="689">
        <v>2.0</v>
      </c>
      <c r="K328" s="689">
        <v>0.0</v>
      </c>
      <c r="L328" s="689">
        <v>0.0</v>
      </c>
      <c r="M328" s="689">
        <v>0.0</v>
      </c>
      <c r="N328" s="686">
        <v>56835.0</v>
      </c>
      <c r="O328" s="686">
        <v>113670.0</v>
      </c>
      <c r="P328" s="686">
        <v>113670.0</v>
      </c>
      <c r="Q328" s="686">
        <v>0.0</v>
      </c>
      <c r="R328" s="686">
        <v>0.0</v>
      </c>
      <c r="S328" s="686">
        <v>0.0</v>
      </c>
      <c r="T328" s="686">
        <v>0.0</v>
      </c>
      <c r="U328" s="690">
        <v>0.0</v>
      </c>
      <c r="V328" s="678"/>
      <c r="W328" s="679"/>
      <c r="X328" s="679"/>
      <c r="Y328" s="679"/>
      <c r="Z328" s="679"/>
      <c r="AA328" s="679"/>
      <c r="AB328" s="679"/>
      <c r="AC328" s="678"/>
      <c r="AD328" s="678"/>
      <c r="AE328" s="679"/>
      <c r="AF328" s="680"/>
      <c r="AG328" s="680"/>
      <c r="AH328" s="680"/>
      <c r="AI328" s="680"/>
      <c r="AJ328" s="676"/>
      <c r="AK328" s="676"/>
      <c r="AL328" s="680"/>
    </row>
    <row r="329">
      <c r="A329" s="685" t="s">
        <v>1865</v>
      </c>
      <c r="B329" s="685" t="s">
        <v>1707</v>
      </c>
      <c r="C329" s="685" t="s">
        <v>1747</v>
      </c>
      <c r="D329" s="685" t="s">
        <v>1391</v>
      </c>
      <c r="E329" s="686">
        <v>77900.0</v>
      </c>
      <c r="F329" s="692" t="s">
        <v>1044</v>
      </c>
      <c r="G329" s="687"/>
      <c r="H329" s="688"/>
      <c r="I329" s="685" t="s">
        <v>2002</v>
      </c>
      <c r="J329" s="689">
        <v>1.0</v>
      </c>
      <c r="K329" s="689">
        <v>0.0</v>
      </c>
      <c r="L329" s="689">
        <v>0.0</v>
      </c>
      <c r="M329" s="689">
        <v>0.0</v>
      </c>
      <c r="N329" s="686">
        <v>63339.0</v>
      </c>
      <c r="O329" s="686">
        <v>63339.0</v>
      </c>
      <c r="P329" s="686">
        <v>63339.0</v>
      </c>
      <c r="Q329" s="686">
        <v>0.0</v>
      </c>
      <c r="R329" s="686">
        <v>0.0</v>
      </c>
      <c r="S329" s="686">
        <v>0.0</v>
      </c>
      <c r="T329" s="689">
        <v>0.0</v>
      </c>
      <c r="U329" s="690">
        <v>0.0</v>
      </c>
      <c r="V329" s="678"/>
      <c r="W329" s="679"/>
      <c r="X329" s="679"/>
      <c r="Y329" s="679"/>
      <c r="Z329" s="679"/>
      <c r="AA329" s="679"/>
      <c r="AB329" s="679"/>
      <c r="AC329" s="678"/>
      <c r="AD329" s="678"/>
      <c r="AE329" s="679"/>
      <c r="AF329" s="680"/>
      <c r="AG329" s="680"/>
      <c r="AH329" s="680"/>
      <c r="AI329" s="680"/>
      <c r="AJ329" s="676"/>
      <c r="AK329" s="676"/>
      <c r="AL329" s="679"/>
    </row>
    <row r="330">
      <c r="A330" s="685" t="s">
        <v>1865</v>
      </c>
      <c r="B330" s="685" t="s">
        <v>1707</v>
      </c>
      <c r="C330" s="685" t="s">
        <v>1747</v>
      </c>
      <c r="D330" s="685" t="s">
        <v>1391</v>
      </c>
      <c r="E330" s="686">
        <v>69900.0</v>
      </c>
      <c r="F330" s="692" t="s">
        <v>1035</v>
      </c>
      <c r="G330" s="687"/>
      <c r="H330" s="688"/>
      <c r="I330" s="685" t="s">
        <v>2007</v>
      </c>
      <c r="J330" s="689">
        <v>1.0</v>
      </c>
      <c r="K330" s="689">
        <v>0.0</v>
      </c>
      <c r="L330" s="689">
        <v>0.0</v>
      </c>
      <c r="M330" s="689">
        <v>0.0</v>
      </c>
      <c r="N330" s="686">
        <v>56835.0</v>
      </c>
      <c r="O330" s="686">
        <v>56835.0</v>
      </c>
      <c r="P330" s="686">
        <v>56835.0</v>
      </c>
      <c r="Q330" s="686">
        <v>0.0</v>
      </c>
      <c r="R330" s="686">
        <v>0.0</v>
      </c>
      <c r="S330" s="686">
        <v>0.0</v>
      </c>
      <c r="T330" s="689">
        <v>0.0</v>
      </c>
      <c r="U330" s="690">
        <v>0.0</v>
      </c>
      <c r="V330" s="678"/>
      <c r="W330" s="679"/>
      <c r="X330" s="679"/>
      <c r="Y330" s="679"/>
      <c r="Z330" s="679"/>
      <c r="AA330" s="679"/>
      <c r="AB330" s="679"/>
      <c r="AC330" s="678"/>
      <c r="AD330" s="678"/>
      <c r="AE330" s="679"/>
      <c r="AF330" s="680"/>
      <c r="AG330" s="680"/>
      <c r="AH330" s="680"/>
      <c r="AI330" s="680"/>
      <c r="AJ330" s="676"/>
      <c r="AK330" s="676"/>
      <c r="AL330" s="679"/>
    </row>
    <row r="331">
      <c r="A331" s="685" t="s">
        <v>2010</v>
      </c>
      <c r="B331" s="685" t="s">
        <v>2012</v>
      </c>
      <c r="C331" s="685" t="s">
        <v>1821</v>
      </c>
      <c r="D331" s="685" t="s">
        <v>1391</v>
      </c>
      <c r="E331" s="686">
        <v>12900.0</v>
      </c>
      <c r="F331" s="692" t="s">
        <v>1180</v>
      </c>
      <c r="G331" s="687"/>
      <c r="H331" s="688"/>
      <c r="I331" s="685" t="s">
        <v>2013</v>
      </c>
      <c r="J331" s="689">
        <v>6.0</v>
      </c>
      <c r="K331" s="689">
        <v>0.0</v>
      </c>
      <c r="L331" s="689">
        <v>0.0</v>
      </c>
      <c r="M331" s="689">
        <v>0.0</v>
      </c>
      <c r="N331" s="686">
        <v>9645.0</v>
      </c>
      <c r="O331" s="686">
        <v>57870.0</v>
      </c>
      <c r="P331" s="686">
        <v>48225.0</v>
      </c>
      <c r="Q331" s="686">
        <v>9645.0</v>
      </c>
      <c r="R331" s="686">
        <v>0.0</v>
      </c>
      <c r="S331" s="686">
        <v>0.0</v>
      </c>
      <c r="T331" s="689">
        <v>0.0</v>
      </c>
      <c r="U331" s="690">
        <v>0.0</v>
      </c>
      <c r="V331" s="678"/>
      <c r="W331" s="679"/>
      <c r="X331" s="679"/>
      <c r="Y331" s="679"/>
      <c r="Z331" s="679"/>
      <c r="AA331" s="679"/>
      <c r="AB331" s="679"/>
      <c r="AC331" s="678"/>
      <c r="AD331" s="678"/>
      <c r="AE331" s="679"/>
      <c r="AF331" s="680"/>
      <c r="AG331" s="680"/>
      <c r="AH331" s="680"/>
      <c r="AI331" s="680"/>
      <c r="AJ331" s="676"/>
      <c r="AK331" s="676"/>
      <c r="AL331" s="679"/>
    </row>
    <row r="332">
      <c r="A332" s="685" t="s">
        <v>2010</v>
      </c>
      <c r="B332" s="685" t="s">
        <v>2012</v>
      </c>
      <c r="C332" s="685" t="s">
        <v>1821</v>
      </c>
      <c r="D332" s="685" t="s">
        <v>1391</v>
      </c>
      <c r="E332" s="686">
        <v>12900.0</v>
      </c>
      <c r="F332" s="692" t="s">
        <v>1181</v>
      </c>
      <c r="G332" s="687"/>
      <c r="H332" s="688"/>
      <c r="I332" s="685" t="s">
        <v>2014</v>
      </c>
      <c r="J332" s="689">
        <v>10.0</v>
      </c>
      <c r="K332" s="689">
        <v>0.0</v>
      </c>
      <c r="L332" s="689">
        <v>0.0</v>
      </c>
      <c r="M332" s="689">
        <v>0.0</v>
      </c>
      <c r="N332" s="686">
        <v>9645.0</v>
      </c>
      <c r="O332" s="686">
        <v>96450.0</v>
      </c>
      <c r="P332" s="686">
        <v>96450.0</v>
      </c>
      <c r="Q332" s="686">
        <v>0.0</v>
      </c>
      <c r="R332" s="686">
        <v>0.0</v>
      </c>
      <c r="S332" s="686">
        <v>0.0</v>
      </c>
      <c r="T332" s="689">
        <v>0.0</v>
      </c>
      <c r="U332" s="690">
        <v>0.0</v>
      </c>
      <c r="V332" s="678"/>
      <c r="W332" s="679"/>
      <c r="X332" s="679"/>
      <c r="Y332" s="679"/>
      <c r="Z332" s="679"/>
      <c r="AA332" s="679"/>
      <c r="AB332" s="679"/>
      <c r="AC332" s="678"/>
      <c r="AD332" s="678"/>
      <c r="AE332" s="679"/>
      <c r="AF332" s="680"/>
      <c r="AG332" s="680"/>
      <c r="AH332" s="680"/>
      <c r="AI332" s="680"/>
      <c r="AJ332" s="676"/>
      <c r="AK332" s="676"/>
      <c r="AL332" s="679"/>
    </row>
    <row r="333">
      <c r="A333" s="685" t="s">
        <v>2010</v>
      </c>
      <c r="B333" s="685" t="s">
        <v>2012</v>
      </c>
      <c r="C333" s="685" t="s">
        <v>1821</v>
      </c>
      <c r="D333" s="685" t="s">
        <v>1391</v>
      </c>
      <c r="E333" s="686">
        <v>14900.0</v>
      </c>
      <c r="F333" s="692" t="s">
        <v>1184</v>
      </c>
      <c r="G333" s="687"/>
      <c r="H333" s="688"/>
      <c r="I333" s="685" t="s">
        <v>2015</v>
      </c>
      <c r="J333" s="689">
        <v>5.0</v>
      </c>
      <c r="K333" s="689">
        <v>0.0</v>
      </c>
      <c r="L333" s="689">
        <v>0.0</v>
      </c>
      <c r="M333" s="689">
        <v>0.0</v>
      </c>
      <c r="N333" s="686">
        <v>11140.0</v>
      </c>
      <c r="O333" s="686">
        <v>55700.0</v>
      </c>
      <c r="P333" s="686">
        <v>55700.0</v>
      </c>
      <c r="Q333" s="686">
        <v>0.0</v>
      </c>
      <c r="R333" s="686">
        <v>0.0</v>
      </c>
      <c r="S333" s="686">
        <v>0.0</v>
      </c>
      <c r="T333" s="686">
        <v>0.0</v>
      </c>
      <c r="U333" s="690">
        <v>0.0</v>
      </c>
      <c r="V333" s="678"/>
      <c r="W333" s="679"/>
      <c r="X333" s="679"/>
      <c r="Y333" s="679"/>
      <c r="Z333" s="679"/>
      <c r="AA333" s="679"/>
      <c r="AB333" s="679"/>
      <c r="AC333" s="678"/>
      <c r="AD333" s="678"/>
      <c r="AE333" s="679"/>
      <c r="AF333" s="680"/>
      <c r="AG333" s="680"/>
      <c r="AH333" s="680"/>
      <c r="AI333" s="680"/>
      <c r="AJ333" s="676"/>
      <c r="AK333" s="676"/>
      <c r="AL333" s="679"/>
    </row>
    <row r="334">
      <c r="A334" s="685" t="s">
        <v>2010</v>
      </c>
      <c r="B334" s="685" t="s">
        <v>2012</v>
      </c>
      <c r="C334" s="685" t="s">
        <v>1821</v>
      </c>
      <c r="D334" s="685" t="s">
        <v>1391</v>
      </c>
      <c r="E334" s="686">
        <v>14900.0</v>
      </c>
      <c r="F334" s="692" t="s">
        <v>1183</v>
      </c>
      <c r="G334" s="687"/>
      <c r="H334" s="688"/>
      <c r="I334" s="685" t="s">
        <v>2016</v>
      </c>
      <c r="J334" s="689">
        <v>3.0</v>
      </c>
      <c r="K334" s="689">
        <v>0.0</v>
      </c>
      <c r="L334" s="689">
        <v>0.0</v>
      </c>
      <c r="M334" s="689">
        <v>0.0</v>
      </c>
      <c r="N334" s="686">
        <v>11140.0</v>
      </c>
      <c r="O334" s="686">
        <v>33420.0</v>
      </c>
      <c r="P334" s="686">
        <v>33420.0</v>
      </c>
      <c r="Q334" s="686">
        <v>0.0</v>
      </c>
      <c r="R334" s="686">
        <v>0.0</v>
      </c>
      <c r="S334" s="686">
        <v>0.0</v>
      </c>
      <c r="T334" s="686">
        <v>0.0</v>
      </c>
      <c r="U334" s="690">
        <v>0.0</v>
      </c>
      <c r="V334" s="678"/>
      <c r="W334" s="679"/>
      <c r="X334" s="679"/>
      <c r="Y334" s="679"/>
      <c r="Z334" s="679"/>
      <c r="AA334" s="679"/>
      <c r="AB334" s="679"/>
      <c r="AC334" s="678"/>
      <c r="AD334" s="678"/>
      <c r="AE334" s="679"/>
      <c r="AF334" s="680"/>
      <c r="AG334" s="680"/>
      <c r="AH334" s="680"/>
      <c r="AI334" s="680"/>
      <c r="AJ334" s="676"/>
      <c r="AK334" s="676"/>
      <c r="AL334" s="679"/>
    </row>
    <row r="335">
      <c r="A335" s="685" t="s">
        <v>2010</v>
      </c>
      <c r="B335" s="685" t="s">
        <v>2017</v>
      </c>
      <c r="C335" s="685" t="s">
        <v>2018</v>
      </c>
      <c r="D335" s="685" t="s">
        <v>1391</v>
      </c>
      <c r="E335" s="686">
        <v>1990.0</v>
      </c>
      <c r="F335" s="692" t="s">
        <v>1080</v>
      </c>
      <c r="G335" s="687"/>
      <c r="H335" s="688"/>
      <c r="I335" s="685" t="s">
        <v>2019</v>
      </c>
      <c r="J335" s="689">
        <v>2.0</v>
      </c>
      <c r="K335" s="689">
        <v>0.0</v>
      </c>
      <c r="L335" s="689">
        <v>0.0</v>
      </c>
      <c r="M335" s="689">
        <v>0.0</v>
      </c>
      <c r="N335" s="686">
        <v>1488.0</v>
      </c>
      <c r="O335" s="686">
        <v>2976.0</v>
      </c>
      <c r="P335" s="686">
        <v>0.0</v>
      </c>
      <c r="Q335" s="686">
        <v>0.0</v>
      </c>
      <c r="R335" s="686">
        <v>2976.0</v>
      </c>
      <c r="S335" s="686">
        <v>0.0</v>
      </c>
      <c r="T335" s="686">
        <v>0.0</v>
      </c>
      <c r="U335" s="690">
        <v>0.0</v>
      </c>
      <c r="V335" s="678"/>
      <c r="W335" s="679"/>
      <c r="X335" s="679"/>
      <c r="Y335" s="679"/>
      <c r="Z335" s="679"/>
      <c r="AA335" s="679"/>
      <c r="AB335" s="679"/>
      <c r="AC335" s="678"/>
      <c r="AD335" s="678"/>
      <c r="AE335" s="679"/>
      <c r="AF335" s="680"/>
      <c r="AG335" s="680"/>
      <c r="AH335" s="680"/>
      <c r="AI335" s="680"/>
      <c r="AJ335" s="676"/>
      <c r="AK335" s="676"/>
      <c r="AL335" s="679"/>
    </row>
    <row r="336">
      <c r="A336" s="685" t="s">
        <v>2010</v>
      </c>
      <c r="B336" s="685" t="s">
        <v>2017</v>
      </c>
      <c r="C336" s="685" t="s">
        <v>2018</v>
      </c>
      <c r="D336" s="685" t="s">
        <v>1391</v>
      </c>
      <c r="E336" s="686">
        <v>1990.0</v>
      </c>
      <c r="F336" s="692" t="s">
        <v>1081</v>
      </c>
      <c r="G336" s="687"/>
      <c r="H336" s="688"/>
      <c r="I336" s="685" t="s">
        <v>2021</v>
      </c>
      <c r="J336" s="689">
        <v>2.0</v>
      </c>
      <c r="K336" s="689">
        <v>0.0</v>
      </c>
      <c r="L336" s="689">
        <v>0.0</v>
      </c>
      <c r="M336" s="689">
        <v>0.0</v>
      </c>
      <c r="N336" s="686">
        <v>1488.0</v>
      </c>
      <c r="O336" s="686">
        <v>2976.0</v>
      </c>
      <c r="P336" s="686">
        <v>0.0</v>
      </c>
      <c r="Q336" s="686">
        <v>1488.0</v>
      </c>
      <c r="R336" s="686">
        <v>1488.0</v>
      </c>
      <c r="S336" s="686">
        <v>0.0</v>
      </c>
      <c r="T336" s="686">
        <v>0.0</v>
      </c>
      <c r="U336" s="690">
        <v>0.0</v>
      </c>
      <c r="V336" s="678"/>
      <c r="W336" s="679"/>
      <c r="X336" s="679"/>
      <c r="Y336" s="679"/>
      <c r="Z336" s="679"/>
      <c r="AA336" s="679"/>
      <c r="AB336" s="679"/>
      <c r="AC336" s="678"/>
      <c r="AD336" s="678"/>
      <c r="AE336" s="679"/>
      <c r="AF336" s="680"/>
      <c r="AG336" s="680"/>
      <c r="AH336" s="680"/>
      <c r="AI336" s="680"/>
      <c r="AJ336" s="676"/>
      <c r="AK336" s="676"/>
      <c r="AL336" s="680"/>
    </row>
    <row r="337">
      <c r="A337" s="685" t="s">
        <v>2010</v>
      </c>
      <c r="B337" s="685" t="s">
        <v>2017</v>
      </c>
      <c r="C337" s="685" t="s">
        <v>2018</v>
      </c>
      <c r="D337" s="685" t="s">
        <v>1391</v>
      </c>
      <c r="E337" s="686">
        <v>1990.0</v>
      </c>
      <c r="F337" s="692" t="s">
        <v>1082</v>
      </c>
      <c r="G337" s="687"/>
      <c r="H337" s="688"/>
      <c r="I337" s="685" t="s">
        <v>2022</v>
      </c>
      <c r="J337" s="689">
        <v>3.0</v>
      </c>
      <c r="K337" s="689">
        <v>0.0</v>
      </c>
      <c r="L337" s="689">
        <v>0.0</v>
      </c>
      <c r="M337" s="689">
        <v>0.0</v>
      </c>
      <c r="N337" s="686">
        <v>1488.0</v>
      </c>
      <c r="O337" s="686">
        <v>4464.0</v>
      </c>
      <c r="P337" s="686">
        <v>0.0</v>
      </c>
      <c r="Q337" s="686">
        <v>0.0</v>
      </c>
      <c r="R337" s="686">
        <v>1488.0</v>
      </c>
      <c r="S337" s="686">
        <v>0.0</v>
      </c>
      <c r="T337" s="686">
        <v>1488.0</v>
      </c>
      <c r="U337" s="690">
        <v>1488.0</v>
      </c>
      <c r="V337" s="678"/>
      <c r="W337" s="679"/>
      <c r="X337" s="679"/>
      <c r="Y337" s="679"/>
      <c r="Z337" s="679"/>
      <c r="AA337" s="679"/>
      <c r="AB337" s="679"/>
      <c r="AC337" s="678"/>
      <c r="AD337" s="678"/>
      <c r="AE337" s="679"/>
      <c r="AF337" s="680"/>
      <c r="AG337" s="680"/>
      <c r="AH337" s="680"/>
      <c r="AI337" s="680"/>
      <c r="AJ337" s="676"/>
      <c r="AK337" s="676"/>
      <c r="AL337" s="680"/>
    </row>
    <row r="338">
      <c r="A338" s="685" t="s">
        <v>2010</v>
      </c>
      <c r="B338" s="685" t="s">
        <v>2017</v>
      </c>
      <c r="C338" s="685" t="s">
        <v>2023</v>
      </c>
      <c r="D338" s="685" t="s">
        <v>1391</v>
      </c>
      <c r="E338" s="686">
        <v>24900.0</v>
      </c>
      <c r="F338" s="692" t="s">
        <v>1112</v>
      </c>
      <c r="G338" s="687"/>
      <c r="H338" s="688"/>
      <c r="I338" s="685" t="s">
        <v>2024</v>
      </c>
      <c r="J338" s="689">
        <v>2.0</v>
      </c>
      <c r="K338" s="689">
        <v>0.0</v>
      </c>
      <c r="L338" s="689">
        <v>0.0</v>
      </c>
      <c r="M338" s="689">
        <v>0.0</v>
      </c>
      <c r="N338" s="686">
        <v>18617.0</v>
      </c>
      <c r="O338" s="686">
        <v>37234.0</v>
      </c>
      <c r="P338" s="686">
        <v>0.0</v>
      </c>
      <c r="Q338" s="686">
        <v>0.0</v>
      </c>
      <c r="R338" s="686">
        <v>0.0</v>
      </c>
      <c r="S338" s="686">
        <v>18617.0</v>
      </c>
      <c r="T338" s="686">
        <v>18617.0</v>
      </c>
      <c r="U338" s="690">
        <v>0.0</v>
      </c>
      <c r="V338" s="678"/>
      <c r="W338" s="679"/>
      <c r="X338" s="679"/>
      <c r="Y338" s="679"/>
      <c r="Z338" s="679"/>
      <c r="AA338" s="679"/>
      <c r="AB338" s="679"/>
      <c r="AC338" s="678"/>
      <c r="AD338" s="678"/>
      <c r="AE338" s="679"/>
      <c r="AF338" s="680"/>
      <c r="AG338" s="680"/>
      <c r="AH338" s="680"/>
      <c r="AI338" s="680"/>
      <c r="AJ338" s="676"/>
      <c r="AK338" s="676"/>
      <c r="AL338" s="679"/>
    </row>
    <row r="339">
      <c r="A339" s="685" t="s">
        <v>2010</v>
      </c>
      <c r="B339" s="685" t="s">
        <v>2017</v>
      </c>
      <c r="C339" s="685" t="s">
        <v>2023</v>
      </c>
      <c r="D339" s="685" t="s">
        <v>1391</v>
      </c>
      <c r="E339" s="686">
        <v>24900.0</v>
      </c>
      <c r="F339" s="692" t="s">
        <v>1111</v>
      </c>
      <c r="G339" s="687"/>
      <c r="H339" s="688"/>
      <c r="I339" s="685" t="s">
        <v>2027</v>
      </c>
      <c r="J339" s="689">
        <v>5.0</v>
      </c>
      <c r="K339" s="689">
        <v>0.0</v>
      </c>
      <c r="L339" s="689">
        <v>0.0</v>
      </c>
      <c r="M339" s="689">
        <v>0.0</v>
      </c>
      <c r="N339" s="686">
        <v>18617.0</v>
      </c>
      <c r="O339" s="686">
        <v>93085.0</v>
      </c>
      <c r="P339" s="686">
        <v>0.0</v>
      </c>
      <c r="Q339" s="686">
        <v>0.0</v>
      </c>
      <c r="R339" s="686">
        <v>0.0</v>
      </c>
      <c r="S339" s="686">
        <v>0.0</v>
      </c>
      <c r="T339" s="686">
        <v>0.0</v>
      </c>
      <c r="U339" s="690">
        <v>93085.0</v>
      </c>
      <c r="V339" s="678"/>
      <c r="W339" s="679"/>
      <c r="X339" s="679"/>
      <c r="Y339" s="679"/>
      <c r="Z339" s="679"/>
      <c r="AA339" s="679"/>
      <c r="AB339" s="679"/>
      <c r="AC339" s="678"/>
      <c r="AD339" s="678"/>
      <c r="AE339" s="679"/>
      <c r="AF339" s="680"/>
      <c r="AG339" s="680"/>
      <c r="AH339" s="680"/>
      <c r="AI339" s="680"/>
      <c r="AJ339" s="676"/>
      <c r="AK339" s="676"/>
      <c r="AL339" s="679"/>
    </row>
    <row r="340">
      <c r="A340" s="685" t="s">
        <v>2010</v>
      </c>
      <c r="B340" s="685" t="s">
        <v>2017</v>
      </c>
      <c r="C340" s="685" t="s">
        <v>2023</v>
      </c>
      <c r="D340" s="685" t="s">
        <v>1391</v>
      </c>
      <c r="E340" s="686">
        <v>23900.0</v>
      </c>
      <c r="F340" s="692" t="s">
        <v>1109</v>
      </c>
      <c r="G340" s="687"/>
      <c r="H340" s="688"/>
      <c r="I340" s="685" t="s">
        <v>2028</v>
      </c>
      <c r="J340" s="689">
        <v>4.0</v>
      </c>
      <c r="K340" s="689">
        <v>0.0</v>
      </c>
      <c r="L340" s="689">
        <v>0.0</v>
      </c>
      <c r="M340" s="689">
        <v>0.0</v>
      </c>
      <c r="N340" s="686">
        <v>17869.0</v>
      </c>
      <c r="O340" s="686">
        <v>71476.0</v>
      </c>
      <c r="P340" s="686">
        <v>0.0</v>
      </c>
      <c r="Q340" s="686">
        <v>0.0</v>
      </c>
      <c r="R340" s="686">
        <v>0.0</v>
      </c>
      <c r="S340" s="686">
        <v>0.0</v>
      </c>
      <c r="T340" s="686">
        <v>0.0</v>
      </c>
      <c r="U340" s="690">
        <v>71476.0</v>
      </c>
      <c r="V340" s="678"/>
      <c r="W340" s="679"/>
      <c r="X340" s="679"/>
      <c r="Y340" s="679"/>
      <c r="Z340" s="679"/>
      <c r="AA340" s="679"/>
      <c r="AB340" s="679"/>
      <c r="AC340" s="678"/>
      <c r="AD340" s="678"/>
      <c r="AE340" s="679"/>
      <c r="AF340" s="680"/>
      <c r="AG340" s="680"/>
      <c r="AH340" s="680"/>
      <c r="AI340" s="680"/>
      <c r="AJ340" s="676"/>
      <c r="AK340" s="676"/>
      <c r="AL340" s="679"/>
    </row>
    <row r="341">
      <c r="A341" s="685" t="s">
        <v>2010</v>
      </c>
      <c r="B341" s="685" t="s">
        <v>2017</v>
      </c>
      <c r="C341" s="685" t="s">
        <v>2023</v>
      </c>
      <c r="D341" s="685" t="s">
        <v>1391</v>
      </c>
      <c r="E341" s="686">
        <v>25900.0</v>
      </c>
      <c r="F341" s="692" t="s">
        <v>1188</v>
      </c>
      <c r="G341" s="687"/>
      <c r="H341" s="688"/>
      <c r="I341" s="685" t="s">
        <v>2029</v>
      </c>
      <c r="J341" s="689">
        <v>7.0</v>
      </c>
      <c r="K341" s="689">
        <v>0.0</v>
      </c>
      <c r="L341" s="689">
        <v>0.0</v>
      </c>
      <c r="M341" s="689">
        <v>0.0</v>
      </c>
      <c r="N341" s="686">
        <v>19364.0</v>
      </c>
      <c r="O341" s="686">
        <v>135548.0</v>
      </c>
      <c r="P341" s="686">
        <v>58092.0</v>
      </c>
      <c r="Q341" s="686">
        <v>77456.0</v>
      </c>
      <c r="R341" s="686">
        <v>0.0</v>
      </c>
      <c r="S341" s="686">
        <v>0.0</v>
      </c>
      <c r="T341" s="686">
        <v>0.0</v>
      </c>
      <c r="U341" s="690">
        <v>0.0</v>
      </c>
      <c r="V341" s="678"/>
      <c r="W341" s="679"/>
      <c r="X341" s="679"/>
      <c r="Y341" s="679"/>
      <c r="Z341" s="679"/>
      <c r="AA341" s="679"/>
      <c r="AB341" s="679"/>
      <c r="AC341" s="678"/>
      <c r="AD341" s="678"/>
      <c r="AE341" s="679"/>
      <c r="AF341" s="680"/>
      <c r="AG341" s="680"/>
      <c r="AH341" s="680"/>
      <c r="AI341" s="680"/>
      <c r="AJ341" s="676"/>
      <c r="AK341" s="676"/>
      <c r="AL341" s="679"/>
    </row>
    <row r="342">
      <c r="A342" s="685" t="s">
        <v>2010</v>
      </c>
      <c r="B342" s="685" t="s">
        <v>2017</v>
      </c>
      <c r="C342" s="685" t="s">
        <v>2023</v>
      </c>
      <c r="D342" s="685" t="s">
        <v>1391</v>
      </c>
      <c r="E342" s="686">
        <v>25900.0</v>
      </c>
      <c r="F342" s="692" t="s">
        <v>1190</v>
      </c>
      <c r="G342" s="687"/>
      <c r="H342" s="688"/>
      <c r="I342" s="685" t="s">
        <v>2030</v>
      </c>
      <c r="J342" s="689">
        <v>6.0</v>
      </c>
      <c r="K342" s="689">
        <v>0.0</v>
      </c>
      <c r="L342" s="689">
        <v>0.0</v>
      </c>
      <c r="M342" s="689">
        <v>0.0</v>
      </c>
      <c r="N342" s="686">
        <v>19364.0</v>
      </c>
      <c r="O342" s="686">
        <v>116184.0</v>
      </c>
      <c r="P342" s="686">
        <v>0.0</v>
      </c>
      <c r="Q342" s="686">
        <v>116184.0</v>
      </c>
      <c r="R342" s="686">
        <v>0.0</v>
      </c>
      <c r="S342" s="686">
        <v>0.0</v>
      </c>
      <c r="T342" s="686">
        <v>0.0</v>
      </c>
      <c r="U342" s="690">
        <v>0.0</v>
      </c>
      <c r="V342" s="678"/>
      <c r="W342" s="679"/>
      <c r="X342" s="679"/>
      <c r="Y342" s="679"/>
      <c r="Z342" s="679"/>
      <c r="AA342" s="679"/>
      <c r="AB342" s="679"/>
      <c r="AC342" s="678"/>
      <c r="AD342" s="678"/>
      <c r="AE342" s="679"/>
      <c r="AF342" s="680"/>
      <c r="AG342" s="680"/>
      <c r="AH342" s="680"/>
      <c r="AI342" s="680"/>
      <c r="AJ342" s="676"/>
      <c r="AK342" s="676"/>
      <c r="AL342" s="679"/>
    </row>
    <row r="343">
      <c r="A343" s="685" t="s">
        <v>2010</v>
      </c>
      <c r="B343" s="685" t="s">
        <v>2017</v>
      </c>
      <c r="C343" s="685" t="s">
        <v>1810</v>
      </c>
      <c r="D343" s="685" t="s">
        <v>1391</v>
      </c>
      <c r="E343" s="686">
        <v>11900.0</v>
      </c>
      <c r="F343" s="692" t="s">
        <v>1095</v>
      </c>
      <c r="G343" s="687"/>
      <c r="H343" s="688"/>
      <c r="I343" s="685" t="s">
        <v>2031</v>
      </c>
      <c r="J343" s="689">
        <v>2.0</v>
      </c>
      <c r="K343" s="689">
        <v>0.0</v>
      </c>
      <c r="L343" s="689">
        <v>0.0</v>
      </c>
      <c r="M343" s="689">
        <v>0.0</v>
      </c>
      <c r="N343" s="686">
        <v>8897.0</v>
      </c>
      <c r="O343" s="686">
        <v>17794.0</v>
      </c>
      <c r="P343" s="686">
        <v>17794.0</v>
      </c>
      <c r="Q343" s="686">
        <v>0.0</v>
      </c>
      <c r="R343" s="686">
        <v>0.0</v>
      </c>
      <c r="S343" s="686">
        <v>0.0</v>
      </c>
      <c r="T343" s="686">
        <v>0.0</v>
      </c>
      <c r="U343" s="690">
        <v>0.0</v>
      </c>
      <c r="V343" s="678"/>
      <c r="W343" s="679"/>
      <c r="X343" s="679"/>
      <c r="Y343" s="679"/>
      <c r="Z343" s="679"/>
      <c r="AA343" s="679"/>
      <c r="AB343" s="679"/>
      <c r="AC343" s="678"/>
      <c r="AD343" s="678"/>
      <c r="AE343" s="679"/>
      <c r="AF343" s="680"/>
      <c r="AG343" s="680"/>
      <c r="AH343" s="680"/>
      <c r="AI343" s="680"/>
      <c r="AJ343" s="676"/>
      <c r="AK343" s="676"/>
      <c r="AL343" s="679"/>
    </row>
    <row r="344">
      <c r="A344" s="685" t="s">
        <v>2010</v>
      </c>
      <c r="B344" s="685" t="s">
        <v>2017</v>
      </c>
      <c r="C344" s="685" t="s">
        <v>1810</v>
      </c>
      <c r="D344" s="685" t="s">
        <v>1391</v>
      </c>
      <c r="E344" s="686">
        <v>17900.0</v>
      </c>
      <c r="F344" s="692" t="s">
        <v>2032</v>
      </c>
      <c r="G344" s="687"/>
      <c r="H344" s="688"/>
      <c r="I344" s="685" t="s">
        <v>2033</v>
      </c>
      <c r="J344" s="689">
        <v>1.0</v>
      </c>
      <c r="K344" s="689">
        <v>0.0</v>
      </c>
      <c r="L344" s="689">
        <v>0.0</v>
      </c>
      <c r="M344" s="689">
        <v>0.0</v>
      </c>
      <c r="N344" s="686">
        <v>13383.0</v>
      </c>
      <c r="O344" s="686">
        <v>13383.0</v>
      </c>
      <c r="P344" s="686">
        <v>0.0</v>
      </c>
      <c r="Q344" s="686">
        <v>0.0</v>
      </c>
      <c r="R344" s="686">
        <v>0.0</v>
      </c>
      <c r="S344" s="686">
        <v>0.0</v>
      </c>
      <c r="T344" s="686">
        <v>13383.0</v>
      </c>
      <c r="U344" s="690">
        <v>0.0</v>
      </c>
      <c r="V344" s="678"/>
      <c r="W344" s="679"/>
      <c r="X344" s="679"/>
      <c r="Y344" s="679"/>
      <c r="Z344" s="679"/>
      <c r="AA344" s="679"/>
      <c r="AB344" s="679"/>
      <c r="AC344" s="678"/>
      <c r="AD344" s="678"/>
      <c r="AE344" s="679"/>
      <c r="AF344" s="680"/>
      <c r="AG344" s="680"/>
      <c r="AH344" s="680"/>
      <c r="AI344" s="680"/>
      <c r="AJ344" s="676"/>
      <c r="AK344" s="676"/>
      <c r="AL344" s="680"/>
    </row>
    <row r="345">
      <c r="A345" s="685" t="s">
        <v>2010</v>
      </c>
      <c r="B345" s="685" t="s">
        <v>2017</v>
      </c>
      <c r="C345" s="685" t="s">
        <v>1810</v>
      </c>
      <c r="D345" s="685" t="s">
        <v>1391</v>
      </c>
      <c r="E345" s="686">
        <v>17900.0</v>
      </c>
      <c r="F345" s="692" t="s">
        <v>1100</v>
      </c>
      <c r="G345" s="687"/>
      <c r="H345" s="688"/>
      <c r="I345" s="685" t="s">
        <v>2034</v>
      </c>
      <c r="J345" s="689">
        <v>2.0</v>
      </c>
      <c r="K345" s="689">
        <v>0.0</v>
      </c>
      <c r="L345" s="689">
        <v>0.0</v>
      </c>
      <c r="M345" s="689">
        <v>0.0</v>
      </c>
      <c r="N345" s="686">
        <v>13383.0</v>
      </c>
      <c r="O345" s="686">
        <v>26766.0</v>
      </c>
      <c r="P345" s="686">
        <v>0.0</v>
      </c>
      <c r="Q345" s="686">
        <v>0.0</v>
      </c>
      <c r="R345" s="686">
        <v>0.0</v>
      </c>
      <c r="S345" s="686">
        <v>0.0</v>
      </c>
      <c r="T345" s="686">
        <v>0.0</v>
      </c>
      <c r="U345" s="690">
        <v>26766.0</v>
      </c>
      <c r="V345" s="678"/>
      <c r="W345" s="679"/>
      <c r="X345" s="679"/>
      <c r="Y345" s="679"/>
      <c r="Z345" s="679"/>
      <c r="AA345" s="679"/>
      <c r="AB345" s="679"/>
      <c r="AC345" s="678"/>
      <c r="AD345" s="678"/>
      <c r="AE345" s="679"/>
      <c r="AF345" s="680"/>
      <c r="AG345" s="680"/>
      <c r="AH345" s="680"/>
      <c r="AI345" s="680"/>
      <c r="AJ345" s="676"/>
      <c r="AK345" s="676"/>
      <c r="AL345" s="679"/>
    </row>
    <row r="346">
      <c r="A346" s="685" t="s">
        <v>2010</v>
      </c>
      <c r="B346" s="685" t="s">
        <v>2017</v>
      </c>
      <c r="C346" s="685" t="s">
        <v>1810</v>
      </c>
      <c r="D346" s="685" t="s">
        <v>1391</v>
      </c>
      <c r="E346" s="686">
        <v>19900.0</v>
      </c>
      <c r="F346" s="692" t="s">
        <v>1102</v>
      </c>
      <c r="G346" s="687"/>
      <c r="H346" s="688"/>
      <c r="I346" s="685" t="s">
        <v>2035</v>
      </c>
      <c r="J346" s="689">
        <v>1.0</v>
      </c>
      <c r="K346" s="689">
        <v>0.0</v>
      </c>
      <c r="L346" s="689">
        <v>0.0</v>
      </c>
      <c r="M346" s="689">
        <v>0.0</v>
      </c>
      <c r="N346" s="686">
        <v>14879.0</v>
      </c>
      <c r="O346" s="686">
        <v>14879.0</v>
      </c>
      <c r="P346" s="686">
        <v>0.0</v>
      </c>
      <c r="Q346" s="686">
        <v>0.0</v>
      </c>
      <c r="R346" s="686">
        <v>0.0</v>
      </c>
      <c r="S346" s="686">
        <v>0.0</v>
      </c>
      <c r="T346" s="686">
        <v>0.0</v>
      </c>
      <c r="U346" s="690">
        <v>14879.0</v>
      </c>
      <c r="V346" s="678"/>
      <c r="W346" s="679"/>
      <c r="X346" s="679"/>
      <c r="Y346" s="679"/>
      <c r="Z346" s="679"/>
      <c r="AA346" s="679"/>
      <c r="AB346" s="679"/>
      <c r="AC346" s="678"/>
      <c r="AD346" s="678"/>
      <c r="AE346" s="679"/>
      <c r="AF346" s="680"/>
      <c r="AG346" s="680"/>
      <c r="AH346" s="680"/>
      <c r="AI346" s="680"/>
      <c r="AJ346" s="676"/>
      <c r="AK346" s="676"/>
      <c r="AL346" s="679"/>
    </row>
    <row r="347">
      <c r="A347" s="708"/>
      <c r="B347" s="685"/>
      <c r="C347" s="685"/>
      <c r="D347" s="685"/>
      <c r="E347" s="686"/>
      <c r="F347" s="692"/>
      <c r="G347" s="687"/>
      <c r="H347" s="688"/>
      <c r="I347" s="685"/>
      <c r="J347" s="689"/>
      <c r="K347" s="689"/>
      <c r="L347" s="689"/>
      <c r="M347" s="689"/>
      <c r="N347" s="686"/>
      <c r="O347" s="686"/>
      <c r="P347" s="686"/>
      <c r="Q347" s="686"/>
      <c r="R347" s="686"/>
      <c r="S347" s="686"/>
      <c r="T347" s="689"/>
      <c r="U347" s="690"/>
      <c r="V347" s="678"/>
      <c r="W347" s="679"/>
      <c r="X347" s="679"/>
      <c r="Y347" s="679"/>
      <c r="Z347" s="679"/>
      <c r="AA347" s="679"/>
      <c r="AB347" s="679"/>
      <c r="AC347" s="678"/>
      <c r="AD347" s="678"/>
      <c r="AE347" s="679"/>
      <c r="AF347" s="680"/>
      <c r="AG347" s="680"/>
      <c r="AH347" s="680"/>
      <c r="AI347" s="680"/>
      <c r="AJ347" s="676"/>
      <c r="AK347" s="676"/>
      <c r="AL347" s="680"/>
    </row>
    <row r="348">
      <c r="A348" s="685"/>
      <c r="B348" s="685"/>
      <c r="C348" s="685"/>
      <c r="D348" s="685"/>
      <c r="E348" s="686"/>
      <c r="F348" s="692"/>
      <c r="G348" s="687"/>
      <c r="H348" s="688"/>
      <c r="I348" s="685"/>
      <c r="J348" s="689"/>
      <c r="K348" s="689"/>
      <c r="L348" s="689"/>
      <c r="M348" s="689"/>
      <c r="N348" s="686"/>
      <c r="O348" s="686"/>
      <c r="P348" s="686"/>
      <c r="Q348" s="686"/>
      <c r="R348" s="686"/>
      <c r="S348" s="686"/>
      <c r="T348" s="689"/>
      <c r="U348" s="690"/>
      <c r="V348" s="678"/>
      <c r="W348" s="679"/>
      <c r="X348" s="679"/>
      <c r="Y348" s="679"/>
      <c r="Z348" s="679"/>
      <c r="AA348" s="679"/>
      <c r="AB348" s="679"/>
      <c r="AC348" s="678"/>
      <c r="AD348" s="678"/>
      <c r="AE348" s="679"/>
      <c r="AF348" s="680"/>
      <c r="AG348" s="680"/>
      <c r="AH348" s="680"/>
      <c r="AI348" s="680"/>
      <c r="AJ348" s="676"/>
      <c r="AK348" s="676"/>
      <c r="AL348" s="679"/>
    </row>
    <row r="349">
      <c r="A349" s="708"/>
      <c r="B349" s="685"/>
      <c r="C349" s="685"/>
      <c r="D349" s="685"/>
      <c r="E349" s="686"/>
      <c r="F349" s="692"/>
      <c r="G349" s="687"/>
      <c r="H349" s="688"/>
      <c r="I349" s="685"/>
      <c r="J349" s="689"/>
      <c r="K349" s="689"/>
      <c r="L349" s="689"/>
      <c r="M349" s="689"/>
      <c r="N349" s="686"/>
      <c r="O349" s="686"/>
      <c r="P349" s="686"/>
      <c r="Q349" s="686"/>
      <c r="R349" s="686"/>
      <c r="S349" s="686"/>
      <c r="T349" s="686"/>
      <c r="U349" s="690"/>
      <c r="V349" s="678"/>
      <c r="W349" s="679"/>
      <c r="X349" s="679"/>
      <c r="Y349" s="679"/>
      <c r="Z349" s="679"/>
      <c r="AA349" s="679"/>
      <c r="AB349" s="679"/>
      <c r="AC349" s="678"/>
      <c r="AD349" s="678"/>
      <c r="AE349" s="679"/>
      <c r="AF349" s="680"/>
      <c r="AG349" s="680"/>
      <c r="AH349" s="680"/>
      <c r="AI349" s="680"/>
      <c r="AJ349" s="676"/>
      <c r="AK349" s="676"/>
      <c r="AL349" s="679"/>
    </row>
    <row r="350">
      <c r="A350" s="685"/>
      <c r="B350" s="685"/>
      <c r="C350" s="685"/>
      <c r="D350" s="685"/>
      <c r="E350" s="686"/>
      <c r="F350" s="692"/>
      <c r="G350" s="687"/>
      <c r="H350" s="688"/>
      <c r="I350" s="685"/>
      <c r="J350" s="689"/>
      <c r="K350" s="689"/>
      <c r="L350" s="689"/>
      <c r="M350" s="689"/>
      <c r="N350" s="686"/>
      <c r="O350" s="686"/>
      <c r="P350" s="686"/>
      <c r="Q350" s="686"/>
      <c r="R350" s="686"/>
      <c r="S350" s="686"/>
      <c r="T350" s="689"/>
      <c r="U350" s="690"/>
      <c r="V350" s="678"/>
      <c r="W350" s="679"/>
      <c r="X350" s="679"/>
      <c r="Y350" s="679"/>
      <c r="Z350" s="679"/>
      <c r="AA350" s="679"/>
      <c r="AB350" s="679"/>
      <c r="AC350" s="678"/>
      <c r="AD350" s="678"/>
      <c r="AE350" s="679"/>
      <c r="AF350" s="680"/>
      <c r="AG350" s="680"/>
      <c r="AH350" s="680"/>
      <c r="AI350" s="680"/>
      <c r="AJ350" s="676"/>
      <c r="AK350" s="676"/>
      <c r="AL350" s="680"/>
    </row>
    <row r="351">
      <c r="A351" s="685"/>
      <c r="B351" s="685"/>
      <c r="C351" s="685"/>
      <c r="D351" s="685"/>
      <c r="E351" s="686"/>
      <c r="F351" s="692"/>
      <c r="G351" s="687"/>
      <c r="H351" s="688"/>
      <c r="I351" s="685"/>
      <c r="J351" s="689"/>
      <c r="K351" s="689"/>
      <c r="L351" s="689"/>
      <c r="M351" s="689"/>
      <c r="N351" s="686"/>
      <c r="O351" s="686"/>
      <c r="P351" s="686"/>
      <c r="Q351" s="686"/>
      <c r="R351" s="686"/>
      <c r="S351" s="686"/>
      <c r="T351" s="686"/>
      <c r="U351" s="690"/>
      <c r="V351" s="678"/>
      <c r="W351" s="679"/>
      <c r="X351" s="679"/>
      <c r="Y351" s="679"/>
      <c r="Z351" s="679"/>
      <c r="AA351" s="679"/>
      <c r="AB351" s="679"/>
      <c r="AC351" s="678"/>
      <c r="AD351" s="678"/>
      <c r="AE351" s="679"/>
      <c r="AF351" s="680"/>
      <c r="AG351" s="680"/>
      <c r="AH351" s="680"/>
      <c r="AI351" s="680"/>
      <c r="AJ351" s="676"/>
      <c r="AK351" s="676"/>
      <c r="AL351" s="680"/>
    </row>
    <row r="352">
      <c r="A352" s="708"/>
      <c r="B352" s="685"/>
      <c r="C352" s="685"/>
      <c r="D352" s="685"/>
      <c r="E352" s="686"/>
      <c r="F352" s="692"/>
      <c r="G352" s="687"/>
      <c r="H352" s="688"/>
      <c r="I352" s="685"/>
      <c r="J352" s="689"/>
      <c r="K352" s="689"/>
      <c r="L352" s="689"/>
      <c r="M352" s="689"/>
      <c r="N352" s="686"/>
      <c r="O352" s="686"/>
      <c r="P352" s="686"/>
      <c r="Q352" s="686"/>
      <c r="R352" s="686"/>
      <c r="S352" s="686"/>
      <c r="T352" s="689"/>
      <c r="U352" s="690"/>
      <c r="V352" s="678"/>
      <c r="W352" s="679"/>
      <c r="X352" s="679"/>
      <c r="Y352" s="679"/>
      <c r="Z352" s="679"/>
      <c r="AA352" s="679"/>
      <c r="AB352" s="679"/>
      <c r="AC352" s="678"/>
      <c r="AD352" s="678"/>
      <c r="AE352" s="679"/>
      <c r="AF352" s="680"/>
      <c r="AG352" s="680"/>
      <c r="AH352" s="680"/>
      <c r="AI352" s="680"/>
      <c r="AJ352" s="676"/>
      <c r="AK352" s="676"/>
      <c r="AL352" s="679"/>
    </row>
    <row r="353">
      <c r="A353" s="685"/>
      <c r="B353" s="685"/>
      <c r="C353" s="685"/>
      <c r="D353" s="685"/>
      <c r="E353" s="686"/>
      <c r="F353" s="692"/>
      <c r="G353" s="687"/>
      <c r="H353" s="688"/>
      <c r="I353" s="685"/>
      <c r="J353" s="689"/>
      <c r="K353" s="689"/>
      <c r="L353" s="689"/>
      <c r="M353" s="689"/>
      <c r="N353" s="686"/>
      <c r="O353" s="686"/>
      <c r="P353" s="686"/>
      <c r="Q353" s="686"/>
      <c r="R353" s="686"/>
      <c r="S353" s="686"/>
      <c r="T353" s="689"/>
      <c r="U353" s="690"/>
      <c r="V353" s="678"/>
      <c r="W353" s="679"/>
      <c r="X353" s="679"/>
      <c r="Y353" s="679"/>
      <c r="Z353" s="679"/>
      <c r="AA353" s="679"/>
      <c r="AB353" s="679"/>
      <c r="AC353" s="678"/>
      <c r="AD353" s="678"/>
      <c r="AE353" s="679"/>
      <c r="AF353" s="680"/>
      <c r="AG353" s="680"/>
      <c r="AH353" s="680"/>
      <c r="AI353" s="680"/>
      <c r="AJ353" s="676"/>
      <c r="AK353" s="676"/>
      <c r="AL353" s="679"/>
    </row>
    <row r="354">
      <c r="A354" s="708"/>
      <c r="B354" s="680"/>
      <c r="C354" s="676"/>
      <c r="D354" s="680"/>
      <c r="E354" s="709"/>
      <c r="F354" s="710"/>
      <c r="G354" s="680"/>
      <c r="H354" s="711"/>
      <c r="I354" s="680"/>
      <c r="J354" s="681"/>
      <c r="K354" s="680"/>
      <c r="L354" s="681"/>
      <c r="M354" s="680"/>
      <c r="N354" s="675"/>
      <c r="O354" s="709"/>
      <c r="P354" s="675"/>
      <c r="Q354" s="675"/>
      <c r="R354" s="675"/>
      <c r="S354" s="675"/>
      <c r="T354" s="712"/>
      <c r="U354" s="675"/>
      <c r="V354" s="678"/>
      <c r="W354" s="679"/>
      <c r="X354" s="679"/>
      <c r="Y354" s="679"/>
      <c r="Z354" s="679"/>
      <c r="AA354" s="679"/>
      <c r="AB354" s="679"/>
      <c r="AC354" s="678"/>
      <c r="AD354" s="678"/>
      <c r="AE354" s="679"/>
      <c r="AF354" s="680"/>
      <c r="AG354" s="680"/>
      <c r="AH354" s="680"/>
      <c r="AI354" s="680"/>
      <c r="AJ354" s="676"/>
      <c r="AK354" s="676"/>
      <c r="AL354" s="679"/>
    </row>
    <row r="355">
      <c r="A355" s="680"/>
      <c r="B355" s="680"/>
      <c r="C355" s="676"/>
      <c r="D355" s="680"/>
      <c r="E355" s="709"/>
      <c r="F355" s="710"/>
      <c r="G355" s="680"/>
      <c r="H355" s="711"/>
      <c r="I355" s="680"/>
      <c r="J355" s="681"/>
      <c r="K355" s="680"/>
      <c r="L355" s="681"/>
      <c r="M355" s="680"/>
      <c r="N355" s="675"/>
      <c r="O355" s="709"/>
      <c r="P355" s="675"/>
      <c r="Q355" s="675"/>
      <c r="R355" s="675"/>
      <c r="S355" s="675"/>
      <c r="T355" s="712"/>
      <c r="U355" s="675"/>
      <c r="V355" s="678"/>
      <c r="W355" s="679"/>
      <c r="X355" s="679"/>
      <c r="Y355" s="679"/>
      <c r="Z355" s="679"/>
      <c r="AA355" s="679"/>
      <c r="AB355" s="679"/>
      <c r="AC355" s="678"/>
      <c r="AD355" s="678"/>
      <c r="AE355" s="679"/>
      <c r="AF355" s="680"/>
      <c r="AG355" s="680"/>
      <c r="AH355" s="680"/>
      <c r="AI355" s="680"/>
      <c r="AJ355" s="676"/>
      <c r="AK355" s="676"/>
      <c r="AL355" s="680"/>
    </row>
    <row r="356">
      <c r="A356" s="680"/>
      <c r="B356" s="680"/>
      <c r="C356" s="676"/>
      <c r="D356" s="680"/>
      <c r="E356" s="709"/>
      <c r="F356" s="710"/>
      <c r="G356" s="680"/>
      <c r="H356" s="711"/>
      <c r="I356" s="680"/>
      <c r="J356" s="681"/>
      <c r="K356" s="680"/>
      <c r="L356" s="681"/>
      <c r="M356" s="680"/>
      <c r="N356" s="675"/>
      <c r="O356" s="709"/>
      <c r="P356" s="675"/>
      <c r="Q356" s="675"/>
      <c r="R356" s="675"/>
      <c r="S356" s="675"/>
      <c r="T356" s="712"/>
      <c r="U356" s="675"/>
      <c r="V356" s="678"/>
      <c r="W356" s="679"/>
      <c r="X356" s="679"/>
      <c r="Y356" s="679"/>
      <c r="Z356" s="679"/>
      <c r="AA356" s="679"/>
      <c r="AB356" s="679"/>
      <c r="AC356" s="678"/>
      <c r="AD356" s="678"/>
      <c r="AE356" s="679"/>
      <c r="AF356" s="680"/>
      <c r="AG356" s="680"/>
      <c r="AH356" s="680"/>
      <c r="AI356" s="680"/>
      <c r="AJ356" s="676"/>
      <c r="AK356" s="676"/>
      <c r="AL356" s="680"/>
    </row>
    <row r="357">
      <c r="A357" s="680"/>
      <c r="B357" s="680"/>
      <c r="C357" s="676"/>
      <c r="D357" s="680"/>
      <c r="E357" s="709"/>
      <c r="F357" s="710"/>
      <c r="G357" s="680"/>
      <c r="H357" s="711"/>
      <c r="I357" s="680"/>
      <c r="J357" s="681"/>
      <c r="K357" s="680"/>
      <c r="L357" s="681"/>
      <c r="M357" s="680"/>
      <c r="N357" s="675"/>
      <c r="O357" s="709"/>
      <c r="P357" s="675"/>
      <c r="Q357" s="675"/>
      <c r="R357" s="675"/>
      <c r="S357" s="675"/>
      <c r="T357" s="712"/>
      <c r="U357" s="675"/>
      <c r="V357" s="678"/>
      <c r="W357" s="679"/>
      <c r="X357" s="679"/>
      <c r="Y357" s="679"/>
      <c r="Z357" s="679"/>
      <c r="AA357" s="679"/>
      <c r="AB357" s="679"/>
      <c r="AC357" s="678"/>
      <c r="AD357" s="678"/>
      <c r="AE357" s="679"/>
      <c r="AF357" s="680"/>
      <c r="AG357" s="680"/>
      <c r="AH357" s="680"/>
      <c r="AI357" s="680"/>
      <c r="AJ357" s="676"/>
      <c r="AK357" s="676"/>
      <c r="AL357" s="680"/>
    </row>
    <row r="358">
      <c r="A358" s="680"/>
      <c r="B358" s="680"/>
      <c r="C358" s="676"/>
      <c r="D358" s="680"/>
      <c r="E358" s="709"/>
      <c r="F358" s="710"/>
      <c r="G358" s="680"/>
      <c r="H358" s="711"/>
      <c r="I358" s="680"/>
      <c r="J358" s="681"/>
      <c r="K358" s="680"/>
      <c r="L358" s="681"/>
      <c r="M358" s="680"/>
      <c r="N358" s="675"/>
      <c r="O358" s="709"/>
      <c r="P358" s="675"/>
      <c r="Q358" s="675"/>
      <c r="R358" s="675"/>
      <c r="S358" s="675"/>
      <c r="T358" s="712"/>
      <c r="U358" s="675"/>
      <c r="V358" s="678"/>
      <c r="W358" s="679"/>
      <c r="X358" s="679"/>
      <c r="Y358" s="679"/>
      <c r="Z358" s="679"/>
      <c r="AA358" s="679"/>
      <c r="AB358" s="679"/>
      <c r="AC358" s="678"/>
      <c r="AD358" s="678"/>
      <c r="AE358" s="679"/>
      <c r="AF358" s="680"/>
      <c r="AG358" s="680"/>
      <c r="AH358" s="680"/>
      <c r="AI358" s="680"/>
      <c r="AJ358" s="676"/>
      <c r="AK358" s="676"/>
      <c r="AL358" s="679"/>
    </row>
    <row r="359">
      <c r="A359" s="680"/>
      <c r="B359" s="680"/>
      <c r="C359" s="676"/>
      <c r="D359" s="680"/>
      <c r="E359" s="709"/>
      <c r="F359" s="710"/>
      <c r="G359" s="680"/>
      <c r="H359" s="711"/>
      <c r="I359" s="680"/>
      <c r="J359" s="681"/>
      <c r="K359" s="680"/>
      <c r="L359" s="681"/>
      <c r="M359" s="680"/>
      <c r="N359" s="675"/>
      <c r="O359" s="709"/>
      <c r="P359" s="675"/>
      <c r="Q359" s="675"/>
      <c r="R359" s="675"/>
      <c r="S359" s="675"/>
      <c r="T359" s="712"/>
      <c r="U359" s="675"/>
      <c r="V359" s="678"/>
      <c r="W359" s="679"/>
      <c r="X359" s="679"/>
      <c r="Y359" s="679"/>
      <c r="Z359" s="679"/>
      <c r="AA359" s="679"/>
      <c r="AB359" s="679"/>
      <c r="AC359" s="678"/>
      <c r="AD359" s="678"/>
      <c r="AE359" s="679"/>
      <c r="AF359" s="680"/>
      <c r="AG359" s="680"/>
      <c r="AH359" s="680"/>
      <c r="AI359" s="680"/>
      <c r="AJ359" s="676"/>
      <c r="AK359" s="676"/>
      <c r="AL359" s="679"/>
    </row>
    <row r="360">
      <c r="A360" s="680"/>
      <c r="B360" s="680"/>
      <c r="C360" s="676"/>
      <c r="D360" s="680"/>
      <c r="E360" s="709"/>
      <c r="F360" s="710"/>
      <c r="G360" s="680"/>
      <c r="H360" s="711"/>
      <c r="I360" s="680"/>
      <c r="J360" s="681"/>
      <c r="K360" s="680"/>
      <c r="L360" s="681"/>
      <c r="M360" s="680"/>
      <c r="N360" s="675"/>
      <c r="O360" s="709"/>
      <c r="P360" s="675"/>
      <c r="Q360" s="675"/>
      <c r="R360" s="675"/>
      <c r="S360" s="675"/>
      <c r="T360" s="712"/>
      <c r="U360" s="675"/>
      <c r="V360" s="678"/>
      <c r="W360" s="679"/>
      <c r="X360" s="679"/>
      <c r="Y360" s="679"/>
      <c r="Z360" s="679"/>
      <c r="AA360" s="679"/>
      <c r="AB360" s="679"/>
      <c r="AC360" s="678"/>
      <c r="AD360" s="678"/>
      <c r="AE360" s="679"/>
      <c r="AF360" s="680"/>
      <c r="AG360" s="680"/>
      <c r="AH360" s="680"/>
      <c r="AI360" s="680"/>
      <c r="AJ360" s="676"/>
      <c r="AK360" s="676"/>
      <c r="AL360" s="680"/>
    </row>
    <row r="361">
      <c r="A361" s="680"/>
      <c r="B361" s="680"/>
      <c r="C361" s="676"/>
      <c r="D361" s="680"/>
      <c r="E361" s="709"/>
      <c r="F361" s="710"/>
      <c r="G361" s="680"/>
      <c r="H361" s="711"/>
      <c r="I361" s="680"/>
      <c r="J361" s="681"/>
      <c r="K361" s="680"/>
      <c r="L361" s="681"/>
      <c r="M361" s="680"/>
      <c r="N361" s="675"/>
      <c r="O361" s="709"/>
      <c r="P361" s="675"/>
      <c r="Q361" s="675"/>
      <c r="R361" s="675"/>
      <c r="S361" s="676"/>
      <c r="T361" s="712"/>
      <c r="U361" s="675"/>
      <c r="V361" s="678"/>
      <c r="W361" s="679"/>
      <c r="X361" s="679"/>
      <c r="Y361" s="679"/>
      <c r="Z361" s="679"/>
      <c r="AA361" s="679"/>
      <c r="AB361" s="679"/>
      <c r="AC361" s="678"/>
      <c r="AD361" s="678"/>
      <c r="AE361" s="679"/>
      <c r="AF361" s="680"/>
      <c r="AG361" s="680"/>
      <c r="AH361" s="680"/>
      <c r="AI361" s="680"/>
      <c r="AJ361" s="676"/>
      <c r="AK361" s="676"/>
      <c r="AL361" s="679"/>
    </row>
    <row r="362">
      <c r="A362" s="680"/>
      <c r="B362" s="680"/>
      <c r="C362" s="676"/>
      <c r="D362" s="680"/>
      <c r="E362" s="709"/>
      <c r="F362" s="710"/>
      <c r="G362" s="680"/>
      <c r="H362" s="711"/>
      <c r="I362" s="680"/>
      <c r="J362" s="681"/>
      <c r="K362" s="680"/>
      <c r="L362" s="681"/>
      <c r="M362" s="680"/>
      <c r="N362" s="675"/>
      <c r="O362" s="709"/>
      <c r="P362" s="675"/>
      <c r="Q362" s="675"/>
      <c r="R362" s="675"/>
      <c r="S362" s="676"/>
      <c r="T362" s="712"/>
      <c r="U362" s="675"/>
      <c r="V362" s="678"/>
      <c r="W362" s="679"/>
      <c r="X362" s="679"/>
      <c r="Y362" s="679"/>
      <c r="Z362" s="679"/>
      <c r="AA362" s="679"/>
      <c r="AB362" s="679"/>
      <c r="AC362" s="678"/>
      <c r="AD362" s="678"/>
      <c r="AE362" s="679"/>
      <c r="AF362" s="680"/>
      <c r="AG362" s="680"/>
      <c r="AH362" s="680"/>
      <c r="AI362" s="680"/>
      <c r="AJ362" s="676"/>
      <c r="AK362" s="676"/>
      <c r="AL362" s="679"/>
    </row>
    <row r="363">
      <c r="A363" s="680"/>
      <c r="B363" s="680"/>
      <c r="C363" s="676"/>
      <c r="D363" s="680"/>
      <c r="E363" s="709"/>
      <c r="F363" s="710"/>
      <c r="G363" s="680"/>
      <c r="H363" s="711"/>
      <c r="I363" s="680"/>
      <c r="J363" s="681"/>
      <c r="K363" s="680"/>
      <c r="L363" s="681"/>
      <c r="M363" s="680"/>
      <c r="N363" s="675"/>
      <c r="O363" s="709"/>
      <c r="P363" s="675"/>
      <c r="Q363" s="675"/>
      <c r="R363" s="675"/>
      <c r="S363" s="675"/>
      <c r="T363" s="712"/>
      <c r="U363" s="676"/>
      <c r="V363" s="678"/>
      <c r="W363" s="679"/>
      <c r="X363" s="679"/>
      <c r="Y363" s="679"/>
      <c r="Z363" s="679"/>
      <c r="AA363" s="679"/>
      <c r="AB363" s="679"/>
      <c r="AC363" s="678"/>
      <c r="AD363" s="678"/>
      <c r="AE363" s="679"/>
      <c r="AF363" s="680"/>
      <c r="AG363" s="680"/>
      <c r="AH363" s="680"/>
      <c r="AI363" s="680"/>
      <c r="AJ363" s="676"/>
      <c r="AK363" s="676"/>
      <c r="AL363" s="679"/>
    </row>
    <row r="364">
      <c r="A364" s="680"/>
      <c r="B364" s="680"/>
      <c r="C364" s="676"/>
      <c r="D364" s="680"/>
      <c r="E364" s="709"/>
      <c r="F364" s="710"/>
      <c r="G364" s="680"/>
      <c r="H364" s="711"/>
      <c r="I364" s="680"/>
      <c r="J364" s="681"/>
      <c r="K364" s="680"/>
      <c r="L364" s="681"/>
      <c r="M364" s="680"/>
      <c r="N364" s="675"/>
      <c r="O364" s="709"/>
      <c r="P364" s="675"/>
      <c r="Q364" s="675"/>
      <c r="R364" s="675"/>
      <c r="S364" s="676"/>
      <c r="T364" s="713"/>
      <c r="U364" s="675"/>
      <c r="V364" s="678"/>
      <c r="W364" s="679"/>
      <c r="X364" s="679"/>
      <c r="Y364" s="679"/>
      <c r="Z364" s="679"/>
      <c r="AA364" s="679"/>
      <c r="AB364" s="679"/>
      <c r="AC364" s="678"/>
      <c r="AD364" s="678"/>
      <c r="AE364" s="679"/>
      <c r="AF364" s="680"/>
      <c r="AG364" s="680"/>
      <c r="AH364" s="680"/>
      <c r="AI364" s="680"/>
      <c r="AJ364" s="676"/>
      <c r="AK364" s="676"/>
      <c r="AL364" s="679"/>
    </row>
    <row r="365">
      <c r="A365" s="680"/>
      <c r="B365" s="680"/>
      <c r="C365" s="676"/>
      <c r="D365" s="680"/>
      <c r="E365" s="709"/>
      <c r="F365" s="710"/>
      <c r="G365" s="680"/>
      <c r="H365" s="711"/>
      <c r="I365" s="680"/>
      <c r="J365" s="681"/>
      <c r="K365" s="680"/>
      <c r="L365" s="681"/>
      <c r="M365" s="680"/>
      <c r="N365" s="675"/>
      <c r="O365" s="709"/>
      <c r="P365" s="675"/>
      <c r="Q365" s="675"/>
      <c r="R365" s="675"/>
      <c r="S365" s="675"/>
      <c r="T365" s="712"/>
      <c r="U365" s="676"/>
      <c r="V365" s="678"/>
      <c r="W365" s="679"/>
      <c r="X365" s="679"/>
      <c r="Y365" s="679"/>
      <c r="Z365" s="679"/>
      <c r="AA365" s="679"/>
      <c r="AB365" s="679"/>
      <c r="AC365" s="678"/>
      <c r="AD365" s="678"/>
      <c r="AE365" s="679"/>
      <c r="AF365" s="680"/>
      <c r="AG365" s="680"/>
      <c r="AH365" s="680"/>
      <c r="AI365" s="680"/>
      <c r="AJ365" s="676"/>
      <c r="AK365" s="676"/>
      <c r="AL365" s="679"/>
    </row>
    <row r="366">
      <c r="A366" s="680"/>
      <c r="B366" s="680"/>
      <c r="C366" s="676"/>
      <c r="D366" s="680"/>
      <c r="E366" s="709"/>
      <c r="F366" s="710"/>
      <c r="G366" s="680"/>
      <c r="H366" s="711"/>
      <c r="I366" s="680"/>
      <c r="J366" s="681"/>
      <c r="K366" s="680"/>
      <c r="L366" s="681"/>
      <c r="M366" s="680"/>
      <c r="N366" s="675"/>
      <c r="O366" s="709"/>
      <c r="P366" s="675"/>
      <c r="Q366" s="675"/>
      <c r="R366" s="675"/>
      <c r="S366" s="676"/>
      <c r="T366" s="712"/>
      <c r="U366" s="675"/>
      <c r="V366" s="678"/>
      <c r="W366" s="679"/>
      <c r="X366" s="679"/>
      <c r="Y366" s="679"/>
      <c r="Z366" s="679"/>
      <c r="AA366" s="679"/>
      <c r="AB366" s="679"/>
      <c r="AC366" s="678"/>
      <c r="AD366" s="678"/>
      <c r="AE366" s="679"/>
      <c r="AF366" s="680"/>
      <c r="AG366" s="680"/>
      <c r="AH366" s="680"/>
      <c r="AI366" s="680"/>
      <c r="AJ366" s="676"/>
      <c r="AK366" s="676"/>
      <c r="AL366" s="679"/>
    </row>
    <row r="367">
      <c r="A367" s="680"/>
      <c r="B367" s="680"/>
      <c r="C367" s="676"/>
      <c r="D367" s="680"/>
      <c r="E367" s="709"/>
      <c r="F367" s="710"/>
      <c r="G367" s="680"/>
      <c r="H367" s="711"/>
      <c r="I367" s="680"/>
      <c r="J367" s="681"/>
      <c r="K367" s="680"/>
      <c r="L367" s="681"/>
      <c r="M367" s="680"/>
      <c r="N367" s="675"/>
      <c r="O367" s="709"/>
      <c r="P367" s="675"/>
      <c r="Q367" s="675"/>
      <c r="R367" s="675"/>
      <c r="S367" s="676"/>
      <c r="T367" s="712"/>
      <c r="U367" s="676"/>
      <c r="V367" s="678"/>
      <c r="W367" s="679"/>
      <c r="X367" s="679"/>
      <c r="Y367" s="679"/>
      <c r="Z367" s="679"/>
      <c r="AA367" s="679"/>
      <c r="AB367" s="679"/>
      <c r="AC367" s="678"/>
      <c r="AD367" s="678"/>
      <c r="AE367" s="679"/>
      <c r="AF367" s="680"/>
      <c r="AG367" s="680"/>
      <c r="AH367" s="680"/>
      <c r="AI367" s="680"/>
      <c r="AJ367" s="676"/>
      <c r="AK367" s="676"/>
      <c r="AL367" s="679"/>
    </row>
    <row r="368">
      <c r="A368" s="680"/>
      <c r="B368" s="680"/>
      <c r="C368" s="676"/>
      <c r="D368" s="680"/>
      <c r="E368" s="709"/>
      <c r="F368" s="710"/>
      <c r="G368" s="680"/>
      <c r="H368" s="711"/>
      <c r="I368" s="680"/>
      <c r="J368" s="681"/>
      <c r="K368" s="680"/>
      <c r="L368" s="681"/>
      <c r="M368" s="680"/>
      <c r="N368" s="675"/>
      <c r="O368" s="709"/>
      <c r="P368" s="675"/>
      <c r="Q368" s="675"/>
      <c r="R368" s="675"/>
      <c r="S368" s="675"/>
      <c r="T368" s="712"/>
      <c r="U368" s="676"/>
      <c r="V368" s="678"/>
      <c r="W368" s="679"/>
      <c r="X368" s="679"/>
      <c r="Y368" s="679"/>
      <c r="Z368" s="679"/>
      <c r="AA368" s="679"/>
      <c r="AB368" s="679"/>
      <c r="AC368" s="678"/>
      <c r="AD368" s="678"/>
      <c r="AE368" s="679"/>
      <c r="AF368" s="680"/>
      <c r="AG368" s="680"/>
      <c r="AH368" s="680"/>
      <c r="AI368" s="680"/>
      <c r="AJ368" s="676"/>
      <c r="AK368" s="676"/>
      <c r="AL368" s="680"/>
    </row>
    <row r="369">
      <c r="A369" s="680"/>
      <c r="B369" s="680"/>
      <c r="C369" s="676"/>
      <c r="D369" s="680"/>
      <c r="E369" s="709"/>
      <c r="F369" s="710"/>
      <c r="G369" s="680"/>
      <c r="H369" s="711"/>
      <c r="I369" s="680"/>
      <c r="J369" s="681"/>
      <c r="K369" s="680"/>
      <c r="L369" s="681"/>
      <c r="M369" s="680"/>
      <c r="N369" s="675"/>
      <c r="O369" s="709"/>
      <c r="P369" s="675"/>
      <c r="Q369" s="675"/>
      <c r="R369" s="675"/>
      <c r="S369" s="676"/>
      <c r="T369" s="712"/>
      <c r="U369" s="676"/>
      <c r="V369" s="678"/>
      <c r="W369" s="679"/>
      <c r="X369" s="679"/>
      <c r="Y369" s="679"/>
      <c r="Z369" s="679"/>
      <c r="AA369" s="679"/>
      <c r="AB369" s="679"/>
      <c r="AC369" s="678"/>
      <c r="AD369" s="678"/>
      <c r="AE369" s="679"/>
      <c r="AF369" s="680"/>
      <c r="AG369" s="680"/>
      <c r="AH369" s="680"/>
      <c r="AI369" s="680"/>
      <c r="AJ369" s="676"/>
      <c r="AK369" s="676"/>
      <c r="AL369" s="680"/>
    </row>
    <row r="370">
      <c r="A370" s="680"/>
      <c r="B370" s="680"/>
      <c r="C370" s="676"/>
      <c r="D370" s="680"/>
      <c r="E370" s="709"/>
      <c r="F370" s="710"/>
      <c r="G370" s="680"/>
      <c r="H370" s="711"/>
      <c r="I370" s="680"/>
      <c r="J370" s="681"/>
      <c r="K370" s="680"/>
      <c r="L370" s="681"/>
      <c r="M370" s="680"/>
      <c r="N370" s="675"/>
      <c r="O370" s="709"/>
      <c r="P370" s="676"/>
      <c r="Q370" s="675"/>
      <c r="R370" s="675"/>
      <c r="S370" s="675"/>
      <c r="T370" s="712"/>
      <c r="U370" s="676"/>
      <c r="V370" s="678"/>
      <c r="W370" s="679"/>
      <c r="X370" s="679"/>
      <c r="Y370" s="679"/>
      <c r="Z370" s="679"/>
      <c r="AA370" s="679"/>
      <c r="AB370" s="679"/>
      <c r="AC370" s="678"/>
      <c r="AD370" s="678"/>
      <c r="AE370" s="679"/>
      <c r="AF370" s="680"/>
      <c r="AG370" s="680"/>
      <c r="AH370" s="680"/>
      <c r="AI370" s="680"/>
      <c r="AJ370" s="676"/>
      <c r="AK370" s="676"/>
      <c r="AL370" s="679"/>
    </row>
    <row r="371">
      <c r="A371" s="680"/>
      <c r="B371" s="680"/>
      <c r="C371" s="676"/>
      <c r="D371" s="680"/>
      <c r="E371" s="709"/>
      <c r="F371" s="710"/>
      <c r="G371" s="680"/>
      <c r="H371" s="711"/>
      <c r="I371" s="680"/>
      <c r="J371" s="681"/>
      <c r="K371" s="680"/>
      <c r="L371" s="681"/>
      <c r="M371" s="680"/>
      <c r="N371" s="675"/>
      <c r="O371" s="709"/>
      <c r="P371" s="675"/>
      <c r="Q371" s="675"/>
      <c r="R371" s="675"/>
      <c r="S371" s="676"/>
      <c r="T371" s="712"/>
      <c r="U371" s="676"/>
      <c r="V371" s="678"/>
      <c r="W371" s="679"/>
      <c r="X371" s="679"/>
      <c r="Y371" s="679"/>
      <c r="Z371" s="679"/>
      <c r="AA371" s="679"/>
      <c r="AB371" s="679"/>
      <c r="AC371" s="678"/>
      <c r="AD371" s="678"/>
      <c r="AE371" s="679"/>
      <c r="AF371" s="680"/>
      <c r="AG371" s="680"/>
      <c r="AH371" s="680"/>
      <c r="AI371" s="680"/>
      <c r="AJ371" s="676"/>
      <c r="AK371" s="676"/>
      <c r="AL371" s="679"/>
    </row>
    <row r="372">
      <c r="A372" s="680"/>
      <c r="B372" s="680"/>
      <c r="C372" s="676"/>
      <c r="D372" s="680"/>
      <c r="E372" s="709"/>
      <c r="F372" s="710"/>
      <c r="G372" s="680"/>
      <c r="H372" s="711"/>
      <c r="I372" s="680"/>
      <c r="J372" s="681"/>
      <c r="K372" s="680"/>
      <c r="L372" s="681"/>
      <c r="M372" s="680"/>
      <c r="N372" s="675"/>
      <c r="O372" s="709"/>
      <c r="P372" s="676"/>
      <c r="Q372" s="676"/>
      <c r="R372" s="675"/>
      <c r="S372" s="675"/>
      <c r="T372" s="712"/>
      <c r="U372" s="676"/>
      <c r="V372" s="678"/>
      <c r="W372" s="679"/>
      <c r="X372" s="679"/>
      <c r="Y372" s="679"/>
      <c r="Z372" s="679"/>
      <c r="AA372" s="679"/>
      <c r="AB372" s="679"/>
      <c r="AC372" s="678"/>
      <c r="AD372" s="678"/>
      <c r="AE372" s="679"/>
      <c r="AF372" s="680"/>
      <c r="AG372" s="680"/>
      <c r="AH372" s="680"/>
      <c r="AI372" s="680"/>
      <c r="AJ372" s="676"/>
      <c r="AK372" s="676"/>
      <c r="AL372" s="679"/>
    </row>
    <row r="373">
      <c r="A373" s="680"/>
      <c r="B373" s="680"/>
      <c r="C373" s="676"/>
      <c r="D373" s="680"/>
      <c r="E373" s="709"/>
      <c r="F373" s="710"/>
      <c r="G373" s="680"/>
      <c r="H373" s="711"/>
      <c r="I373" s="680"/>
      <c r="J373" s="681"/>
      <c r="K373" s="680"/>
      <c r="L373" s="681"/>
      <c r="M373" s="680"/>
      <c r="N373" s="675"/>
      <c r="O373" s="709"/>
      <c r="P373" s="675"/>
      <c r="Q373" s="676"/>
      <c r="R373" s="675"/>
      <c r="S373" s="676"/>
      <c r="T373" s="712"/>
      <c r="U373" s="676"/>
      <c r="V373" s="678"/>
      <c r="W373" s="679"/>
      <c r="X373" s="679"/>
      <c r="Y373" s="679"/>
      <c r="Z373" s="679"/>
      <c r="AA373" s="679"/>
      <c r="AB373" s="679"/>
      <c r="AC373" s="678"/>
      <c r="AD373" s="678"/>
      <c r="AE373" s="679"/>
      <c r="AF373" s="680"/>
      <c r="AG373" s="680"/>
      <c r="AH373" s="680"/>
      <c r="AI373" s="680"/>
      <c r="AJ373" s="676"/>
      <c r="AK373" s="676"/>
      <c r="AL373" s="679"/>
    </row>
    <row r="374">
      <c r="A374" s="680"/>
      <c r="B374" s="680"/>
      <c r="C374" s="676"/>
      <c r="D374" s="680"/>
      <c r="E374" s="680"/>
      <c r="F374" s="710"/>
      <c r="G374" s="680"/>
      <c r="H374" s="711"/>
      <c r="I374" s="680"/>
      <c r="J374" s="681"/>
      <c r="K374" s="680"/>
      <c r="L374" s="679"/>
      <c r="M374" s="680"/>
      <c r="N374" s="676"/>
      <c r="O374" s="680"/>
      <c r="P374" s="676"/>
      <c r="Q374" s="676"/>
      <c r="R374" s="676"/>
      <c r="S374" s="676"/>
      <c r="T374" s="712"/>
      <c r="U374" s="676"/>
      <c r="V374" s="678"/>
      <c r="W374" s="679"/>
      <c r="X374" s="679"/>
      <c r="Y374" s="679"/>
      <c r="Z374" s="679"/>
      <c r="AA374" s="679"/>
      <c r="AB374" s="679"/>
      <c r="AC374" s="678"/>
      <c r="AD374" s="678"/>
      <c r="AE374" s="679"/>
      <c r="AF374" s="680"/>
      <c r="AG374" s="680"/>
      <c r="AH374" s="680"/>
      <c r="AI374" s="680"/>
      <c r="AJ374" s="676"/>
      <c r="AK374" s="676"/>
      <c r="AL374" s="680"/>
    </row>
    <row r="375">
      <c r="A375" s="680"/>
      <c r="B375" s="680"/>
      <c r="C375" s="676"/>
      <c r="D375" s="680"/>
      <c r="E375" s="680"/>
      <c r="F375" s="710"/>
      <c r="G375" s="680"/>
      <c r="H375" s="711"/>
      <c r="I375" s="680"/>
      <c r="J375" s="681"/>
      <c r="K375" s="680"/>
      <c r="L375" s="679"/>
      <c r="M375" s="680"/>
      <c r="N375" s="676"/>
      <c r="O375" s="680"/>
      <c r="P375" s="676"/>
      <c r="Q375" s="676"/>
      <c r="R375" s="676"/>
      <c r="S375" s="676"/>
      <c r="T375" s="712"/>
      <c r="U375" s="676"/>
      <c r="V375" s="678"/>
      <c r="W375" s="679"/>
      <c r="X375" s="679"/>
      <c r="Y375" s="679"/>
      <c r="Z375" s="679"/>
      <c r="AA375" s="679"/>
      <c r="AB375" s="679"/>
      <c r="AC375" s="678"/>
      <c r="AD375" s="678"/>
      <c r="AE375" s="679"/>
      <c r="AF375" s="680"/>
      <c r="AG375" s="680"/>
      <c r="AH375" s="680"/>
      <c r="AI375" s="680"/>
      <c r="AJ375" s="676"/>
      <c r="AK375" s="676"/>
      <c r="AL375" s="679"/>
    </row>
    <row r="376">
      <c r="A376" s="680"/>
      <c r="B376" s="680"/>
      <c r="C376" s="676"/>
      <c r="D376" s="680"/>
      <c r="E376" s="680"/>
      <c r="F376" s="710"/>
      <c r="G376" s="680"/>
      <c r="H376" s="711"/>
      <c r="I376" s="680"/>
      <c r="J376" s="681"/>
      <c r="K376" s="680"/>
      <c r="L376" s="679"/>
      <c r="M376" s="680"/>
      <c r="N376" s="676"/>
      <c r="O376" s="680"/>
      <c r="P376" s="676"/>
      <c r="Q376" s="676"/>
      <c r="R376" s="676"/>
      <c r="S376" s="676"/>
      <c r="T376" s="712"/>
      <c r="U376" s="676"/>
      <c r="V376" s="678"/>
      <c r="W376" s="679"/>
      <c r="X376" s="679"/>
      <c r="Y376" s="679"/>
      <c r="Z376" s="679"/>
      <c r="AA376" s="679"/>
      <c r="AB376" s="679"/>
      <c r="AC376" s="678"/>
      <c r="AD376" s="678"/>
      <c r="AE376" s="679"/>
      <c r="AF376" s="680"/>
      <c r="AG376" s="680"/>
      <c r="AH376" s="680"/>
      <c r="AI376" s="680"/>
      <c r="AJ376" s="676"/>
      <c r="AK376" s="676"/>
      <c r="AL376" s="680"/>
    </row>
    <row r="377">
      <c r="A377" s="680"/>
      <c r="B377" s="680"/>
      <c r="C377" s="676"/>
      <c r="D377" s="680"/>
      <c r="E377" s="680"/>
      <c r="F377" s="710"/>
      <c r="G377" s="680"/>
      <c r="H377" s="711"/>
      <c r="I377" s="680"/>
      <c r="J377" s="681"/>
      <c r="K377" s="680"/>
      <c r="L377" s="679"/>
      <c r="M377" s="680"/>
      <c r="N377" s="676"/>
      <c r="O377" s="680"/>
      <c r="P377" s="676"/>
      <c r="Q377" s="676"/>
      <c r="R377" s="676"/>
      <c r="S377" s="676"/>
      <c r="T377" s="712"/>
      <c r="U377" s="676"/>
      <c r="V377" s="678"/>
      <c r="W377" s="679"/>
      <c r="X377" s="679"/>
      <c r="Y377" s="679"/>
      <c r="Z377" s="679"/>
      <c r="AA377" s="679"/>
      <c r="AB377" s="679"/>
      <c r="AC377" s="678"/>
      <c r="AD377" s="678"/>
      <c r="AE377" s="679"/>
      <c r="AF377" s="680"/>
      <c r="AG377" s="680"/>
      <c r="AH377" s="680"/>
      <c r="AI377" s="680"/>
      <c r="AJ377" s="676"/>
      <c r="AK377" s="676"/>
      <c r="AL377" s="680"/>
    </row>
    <row r="378">
      <c r="A378" s="680"/>
      <c r="B378" s="680"/>
      <c r="C378" s="676"/>
      <c r="D378" s="680"/>
      <c r="E378" s="680"/>
      <c r="F378" s="710"/>
      <c r="G378" s="680"/>
      <c r="H378" s="711"/>
      <c r="I378" s="680"/>
      <c r="J378" s="681"/>
      <c r="K378" s="680"/>
      <c r="L378" s="679"/>
      <c r="M378" s="680"/>
      <c r="N378" s="676"/>
      <c r="O378" s="680"/>
      <c r="P378" s="676"/>
      <c r="Q378" s="676"/>
      <c r="R378" s="676"/>
      <c r="S378" s="676"/>
      <c r="T378" s="712"/>
      <c r="U378" s="676"/>
      <c r="V378" s="678"/>
      <c r="W378" s="679"/>
      <c r="X378" s="679"/>
      <c r="Y378" s="679"/>
      <c r="Z378" s="679"/>
      <c r="AA378" s="679"/>
      <c r="AB378" s="679"/>
      <c r="AC378" s="678"/>
      <c r="AD378" s="678"/>
      <c r="AE378" s="679"/>
      <c r="AF378" s="680"/>
      <c r="AG378" s="680"/>
      <c r="AH378" s="680"/>
      <c r="AI378" s="680"/>
      <c r="AJ378" s="676"/>
      <c r="AK378" s="676"/>
      <c r="AL378" s="679"/>
    </row>
    <row r="379">
      <c r="A379" s="680"/>
      <c r="B379" s="680"/>
      <c r="C379" s="676"/>
      <c r="D379" s="680"/>
      <c r="E379" s="680"/>
      <c r="F379" s="710"/>
      <c r="G379" s="680"/>
      <c r="H379" s="711"/>
      <c r="I379" s="680"/>
      <c r="J379" s="681"/>
      <c r="K379" s="680"/>
      <c r="L379" s="679"/>
      <c r="M379" s="680"/>
      <c r="N379" s="676"/>
      <c r="O379" s="680"/>
      <c r="P379" s="676"/>
      <c r="Q379" s="676"/>
      <c r="R379" s="676"/>
      <c r="S379" s="676"/>
      <c r="T379" s="712"/>
      <c r="U379" s="676"/>
      <c r="V379" s="678"/>
      <c r="W379" s="679"/>
      <c r="X379" s="679"/>
      <c r="Y379" s="679"/>
      <c r="Z379" s="679"/>
      <c r="AA379" s="679"/>
      <c r="AB379" s="679"/>
      <c r="AC379" s="678"/>
      <c r="AD379" s="678"/>
      <c r="AE379" s="679"/>
      <c r="AF379" s="680"/>
      <c r="AG379" s="680"/>
      <c r="AH379" s="680"/>
      <c r="AI379" s="680"/>
      <c r="AJ379" s="676"/>
      <c r="AK379" s="676"/>
      <c r="AL379" s="680"/>
    </row>
    <row r="380">
      <c r="A380" s="680"/>
      <c r="B380" s="680"/>
      <c r="C380" s="676"/>
      <c r="D380" s="680"/>
      <c r="E380" s="680"/>
      <c r="F380" s="710"/>
      <c r="G380" s="680"/>
      <c r="H380" s="711"/>
      <c r="I380" s="680"/>
      <c r="J380" s="681"/>
      <c r="K380" s="680"/>
      <c r="L380" s="679"/>
      <c r="M380" s="680"/>
      <c r="N380" s="676"/>
      <c r="O380" s="680"/>
      <c r="P380" s="676"/>
      <c r="Q380" s="676"/>
      <c r="R380" s="676"/>
      <c r="S380" s="676"/>
      <c r="T380" s="712"/>
      <c r="U380" s="676"/>
      <c r="V380" s="678"/>
      <c r="W380" s="679"/>
      <c r="X380" s="679"/>
      <c r="Y380" s="679"/>
      <c r="Z380" s="679"/>
      <c r="AA380" s="679"/>
      <c r="AB380" s="679"/>
      <c r="AC380" s="678"/>
      <c r="AD380" s="678"/>
      <c r="AE380" s="679"/>
      <c r="AF380" s="680"/>
      <c r="AG380" s="680"/>
      <c r="AH380" s="680"/>
      <c r="AI380" s="680"/>
      <c r="AJ380" s="676"/>
      <c r="AK380" s="676"/>
      <c r="AL380" s="679"/>
    </row>
    <row r="381">
      <c r="A381" s="680"/>
      <c r="B381" s="680"/>
      <c r="C381" s="676"/>
      <c r="D381" s="680"/>
      <c r="E381" s="680"/>
      <c r="F381" s="710"/>
      <c r="G381" s="680"/>
      <c r="H381" s="711"/>
      <c r="I381" s="680"/>
      <c r="J381" s="681"/>
      <c r="K381" s="680"/>
      <c r="L381" s="679"/>
      <c r="M381" s="680"/>
      <c r="N381" s="676"/>
      <c r="O381" s="680"/>
      <c r="P381" s="676"/>
      <c r="Q381" s="676"/>
      <c r="R381" s="676"/>
      <c r="S381" s="676"/>
      <c r="T381" s="712"/>
      <c r="U381" s="676"/>
      <c r="V381" s="678"/>
      <c r="W381" s="679"/>
      <c r="X381" s="679"/>
      <c r="Y381" s="679"/>
      <c r="Z381" s="679"/>
      <c r="AA381" s="679"/>
      <c r="AB381" s="679"/>
      <c r="AC381" s="678"/>
      <c r="AD381" s="678"/>
      <c r="AE381" s="679"/>
      <c r="AF381" s="680"/>
      <c r="AG381" s="680"/>
      <c r="AH381" s="680"/>
      <c r="AI381" s="680"/>
      <c r="AJ381" s="676"/>
      <c r="AK381" s="676"/>
      <c r="AL381" s="679"/>
    </row>
    <row r="382">
      <c r="A382" s="680"/>
      <c r="B382" s="680"/>
      <c r="C382" s="676"/>
      <c r="D382" s="680"/>
      <c r="E382" s="680"/>
      <c r="F382" s="710"/>
      <c r="G382" s="680"/>
      <c r="H382" s="711"/>
      <c r="I382" s="680"/>
      <c r="J382" s="681"/>
      <c r="K382" s="680"/>
      <c r="L382" s="679"/>
      <c r="M382" s="680"/>
      <c r="N382" s="676"/>
      <c r="O382" s="680"/>
      <c r="P382" s="676"/>
      <c r="Q382" s="676"/>
      <c r="R382" s="676"/>
      <c r="S382" s="676"/>
      <c r="T382" s="712"/>
      <c r="U382" s="676"/>
      <c r="V382" s="678"/>
      <c r="W382" s="679"/>
      <c r="X382" s="679"/>
      <c r="Y382" s="679"/>
      <c r="Z382" s="679"/>
      <c r="AA382" s="679"/>
      <c r="AB382" s="679"/>
      <c r="AC382" s="678"/>
      <c r="AD382" s="678"/>
      <c r="AE382" s="679"/>
      <c r="AF382" s="680"/>
      <c r="AG382" s="680"/>
      <c r="AH382" s="680"/>
      <c r="AI382" s="680"/>
      <c r="AJ382" s="676"/>
      <c r="AK382" s="676"/>
      <c r="AL382" s="680"/>
    </row>
    <row r="383">
      <c r="A383" s="680"/>
      <c r="B383" s="680"/>
      <c r="C383" s="676"/>
      <c r="D383" s="680"/>
      <c r="E383" s="680"/>
      <c r="F383" s="710"/>
      <c r="G383" s="680"/>
      <c r="H383" s="711"/>
      <c r="I383" s="680"/>
      <c r="J383" s="681"/>
      <c r="K383" s="680"/>
      <c r="L383" s="679"/>
      <c r="M383" s="680"/>
      <c r="N383" s="676"/>
      <c r="O383" s="680"/>
      <c r="P383" s="676"/>
      <c r="Q383" s="676"/>
      <c r="R383" s="676"/>
      <c r="S383" s="676"/>
      <c r="T383" s="712"/>
      <c r="U383" s="676"/>
      <c r="V383" s="678"/>
      <c r="W383" s="679"/>
      <c r="X383" s="679"/>
      <c r="Y383" s="679"/>
      <c r="Z383" s="679"/>
      <c r="AA383" s="679"/>
      <c r="AB383" s="679"/>
      <c r="AC383" s="678"/>
      <c r="AD383" s="678"/>
      <c r="AE383" s="679"/>
      <c r="AF383" s="680"/>
      <c r="AG383" s="680"/>
      <c r="AH383" s="680"/>
      <c r="AI383" s="680"/>
      <c r="AJ383" s="676"/>
      <c r="AK383" s="676"/>
      <c r="AL383" s="679"/>
    </row>
    <row r="384">
      <c r="A384" s="680"/>
      <c r="B384" s="680"/>
      <c r="C384" s="676"/>
      <c r="D384" s="680"/>
      <c r="E384" s="680"/>
      <c r="F384" s="710"/>
      <c r="G384" s="680"/>
      <c r="H384" s="711"/>
      <c r="I384" s="680"/>
      <c r="J384" s="681"/>
      <c r="K384" s="680"/>
      <c r="L384" s="679"/>
      <c r="M384" s="680"/>
      <c r="N384" s="676"/>
      <c r="O384" s="680"/>
      <c r="P384" s="676"/>
      <c r="Q384" s="676"/>
      <c r="R384" s="676"/>
      <c r="S384" s="676"/>
      <c r="T384" s="714"/>
      <c r="U384" s="676"/>
      <c r="V384" s="678"/>
      <c r="W384" s="679"/>
      <c r="X384" s="679"/>
      <c r="Y384" s="679"/>
      <c r="Z384" s="679"/>
      <c r="AA384" s="679"/>
      <c r="AB384" s="679"/>
      <c r="AC384" s="678"/>
      <c r="AD384" s="678"/>
      <c r="AE384" s="680"/>
      <c r="AF384" s="679"/>
      <c r="AG384" s="679"/>
      <c r="AH384" s="679"/>
      <c r="AI384" s="679"/>
      <c r="AJ384" s="676"/>
      <c r="AK384" s="676"/>
      <c r="AL384" s="679"/>
    </row>
    <row r="385">
      <c r="A385" s="680"/>
      <c r="B385" s="680"/>
      <c r="C385" s="676"/>
      <c r="D385" s="680"/>
      <c r="E385" s="680"/>
      <c r="F385" s="710"/>
      <c r="G385" s="680"/>
      <c r="H385" s="711"/>
      <c r="I385" s="680"/>
      <c r="J385" s="681"/>
      <c r="K385" s="680"/>
      <c r="L385" s="679"/>
      <c r="M385" s="680"/>
      <c r="N385" s="676"/>
      <c r="O385" s="680"/>
      <c r="P385" s="676"/>
      <c r="Q385" s="676"/>
      <c r="R385" s="676"/>
      <c r="S385" s="676"/>
      <c r="T385" s="714"/>
      <c r="U385" s="676"/>
      <c r="V385" s="678"/>
      <c r="W385" s="679"/>
      <c r="X385" s="679"/>
      <c r="Y385" s="679"/>
      <c r="Z385" s="679"/>
      <c r="AA385" s="679"/>
      <c r="AB385" s="679"/>
      <c r="AC385" s="678"/>
      <c r="AD385" s="678"/>
      <c r="AE385" s="680"/>
      <c r="AF385" s="679"/>
      <c r="AG385" s="679"/>
      <c r="AH385" s="679"/>
      <c r="AI385" s="679"/>
      <c r="AJ385" s="676"/>
      <c r="AK385" s="676"/>
      <c r="AL385" s="680"/>
    </row>
    <row r="386">
      <c r="A386" s="680"/>
      <c r="B386" s="680"/>
      <c r="C386" s="676"/>
      <c r="D386" s="680"/>
      <c r="E386" s="680"/>
      <c r="F386" s="710"/>
      <c r="G386" s="680"/>
      <c r="H386" s="711"/>
      <c r="I386" s="680"/>
      <c r="J386" s="681"/>
      <c r="K386" s="680"/>
      <c r="L386" s="679"/>
      <c r="M386" s="680"/>
      <c r="N386" s="676"/>
      <c r="O386" s="680"/>
      <c r="P386" s="676"/>
      <c r="Q386" s="676"/>
      <c r="R386" s="676"/>
      <c r="S386" s="676"/>
      <c r="T386" s="714"/>
      <c r="U386" s="676"/>
      <c r="V386" s="678"/>
      <c r="W386" s="679"/>
      <c r="X386" s="679"/>
      <c r="Y386" s="679"/>
      <c r="Z386" s="679"/>
      <c r="AA386" s="679"/>
      <c r="AB386" s="679"/>
      <c r="AC386" s="678"/>
      <c r="AD386" s="678"/>
      <c r="AE386" s="680"/>
      <c r="AF386" s="679"/>
      <c r="AG386" s="679"/>
      <c r="AH386" s="679"/>
      <c r="AI386" s="679"/>
      <c r="AJ386" s="676"/>
      <c r="AK386" s="676"/>
      <c r="AL386" s="679"/>
    </row>
    <row r="387">
      <c r="A387" s="680"/>
      <c r="B387" s="680"/>
      <c r="C387" s="676"/>
      <c r="D387" s="680"/>
      <c r="E387" s="680"/>
      <c r="F387" s="710"/>
      <c r="G387" s="680"/>
      <c r="H387" s="711"/>
      <c r="I387" s="680"/>
      <c r="J387" s="681"/>
      <c r="K387" s="680"/>
      <c r="L387" s="679"/>
      <c r="M387" s="680"/>
      <c r="N387" s="676"/>
      <c r="O387" s="680"/>
      <c r="P387" s="676"/>
      <c r="Q387" s="676"/>
      <c r="R387" s="676"/>
      <c r="S387" s="676"/>
      <c r="T387" s="714"/>
      <c r="U387" s="676"/>
      <c r="V387" s="678"/>
      <c r="W387" s="679"/>
      <c r="X387" s="679"/>
      <c r="Y387" s="679"/>
      <c r="Z387" s="679"/>
      <c r="AA387" s="679"/>
      <c r="AB387" s="679"/>
      <c r="AC387" s="678"/>
      <c r="AD387" s="678"/>
      <c r="AE387" s="680"/>
      <c r="AF387" s="679"/>
      <c r="AG387" s="679"/>
      <c r="AH387" s="679"/>
      <c r="AI387" s="679"/>
      <c r="AJ387" s="676"/>
      <c r="AK387" s="676"/>
      <c r="AL387" s="679"/>
    </row>
    <row r="388">
      <c r="A388" s="680"/>
      <c r="B388" s="680"/>
      <c r="C388" s="676"/>
      <c r="D388" s="680"/>
      <c r="E388" s="680"/>
      <c r="F388" s="710"/>
      <c r="G388" s="680"/>
      <c r="H388" s="711"/>
      <c r="I388" s="680"/>
      <c r="J388" s="681"/>
      <c r="K388" s="680"/>
      <c r="L388" s="679"/>
      <c r="M388" s="680"/>
      <c r="N388" s="676"/>
      <c r="O388" s="680"/>
      <c r="P388" s="676"/>
      <c r="Q388" s="676"/>
      <c r="R388" s="676"/>
      <c r="S388" s="676"/>
      <c r="T388" s="714"/>
      <c r="U388" s="676"/>
      <c r="V388" s="678"/>
      <c r="W388" s="679"/>
      <c r="X388" s="679"/>
      <c r="Y388" s="679"/>
      <c r="Z388" s="679"/>
      <c r="AA388" s="679"/>
      <c r="AB388" s="679"/>
      <c r="AC388" s="678"/>
      <c r="AD388" s="678"/>
      <c r="AE388" s="680"/>
      <c r="AF388" s="679"/>
      <c r="AG388" s="679"/>
      <c r="AH388" s="679"/>
      <c r="AI388" s="679"/>
      <c r="AJ388" s="676"/>
      <c r="AK388" s="676"/>
      <c r="AL388" s="680"/>
    </row>
    <row r="389">
      <c r="A389" s="680"/>
      <c r="B389" s="680"/>
      <c r="C389" s="676"/>
      <c r="D389" s="680"/>
      <c r="E389" s="680"/>
      <c r="F389" s="710"/>
      <c r="G389" s="680"/>
      <c r="H389" s="711"/>
      <c r="I389" s="680"/>
      <c r="J389" s="681"/>
      <c r="K389" s="680"/>
      <c r="L389" s="679"/>
      <c r="M389" s="680"/>
      <c r="N389" s="676"/>
      <c r="O389" s="680"/>
      <c r="P389" s="675"/>
      <c r="Q389" s="676"/>
      <c r="R389" s="675"/>
      <c r="S389" s="676"/>
      <c r="T389" s="714"/>
      <c r="U389" s="676"/>
      <c r="V389" s="678"/>
      <c r="W389" s="679"/>
      <c r="X389" s="679"/>
      <c r="Y389" s="679"/>
      <c r="Z389" s="679"/>
      <c r="AA389" s="679"/>
      <c r="AB389" s="679"/>
      <c r="AC389" s="678"/>
      <c r="AD389" s="678"/>
      <c r="AE389" s="680"/>
      <c r="AF389" s="679"/>
      <c r="AG389" s="679"/>
      <c r="AH389" s="679"/>
      <c r="AI389" s="679"/>
      <c r="AJ389" s="676"/>
      <c r="AK389" s="676"/>
      <c r="AL389" s="679"/>
    </row>
    <row r="390">
      <c r="A390" s="680"/>
      <c r="B390" s="680"/>
      <c r="C390" s="676"/>
      <c r="D390" s="680"/>
      <c r="E390" s="680"/>
      <c r="F390" s="710"/>
      <c r="G390" s="680"/>
      <c r="H390" s="711"/>
      <c r="I390" s="680"/>
      <c r="J390" s="681"/>
      <c r="K390" s="680"/>
      <c r="L390" s="679"/>
      <c r="M390" s="680"/>
      <c r="N390" s="676"/>
      <c r="O390" s="680"/>
      <c r="P390" s="675"/>
      <c r="Q390" s="676"/>
      <c r="R390" s="675"/>
      <c r="S390" s="676"/>
      <c r="T390" s="712"/>
      <c r="U390" s="676"/>
      <c r="V390" s="678"/>
      <c r="W390" s="679"/>
      <c r="X390" s="679"/>
      <c r="Y390" s="679"/>
      <c r="Z390" s="679"/>
      <c r="AA390" s="679"/>
      <c r="AB390" s="679"/>
      <c r="AC390" s="678"/>
      <c r="AD390" s="678"/>
      <c r="AE390" s="680"/>
      <c r="AF390" s="679"/>
      <c r="AG390" s="679"/>
      <c r="AH390" s="679"/>
      <c r="AI390" s="679"/>
      <c r="AJ390" s="676"/>
      <c r="AK390" s="676"/>
      <c r="AL390" s="679"/>
    </row>
    <row r="391">
      <c r="A391" s="680"/>
      <c r="B391" s="680"/>
      <c r="C391" s="676"/>
      <c r="D391" s="680"/>
      <c r="E391" s="680"/>
      <c r="F391" s="710"/>
      <c r="G391" s="680"/>
      <c r="H391" s="711"/>
      <c r="I391" s="680"/>
      <c r="J391" s="679"/>
      <c r="K391" s="680"/>
      <c r="L391" s="679"/>
      <c r="M391" s="680"/>
      <c r="N391" s="676"/>
      <c r="O391" s="680"/>
      <c r="P391" s="675"/>
      <c r="Q391" s="676"/>
      <c r="R391" s="675"/>
      <c r="S391" s="676"/>
      <c r="T391" s="714"/>
      <c r="U391" s="676"/>
      <c r="V391" s="678"/>
      <c r="W391" s="679"/>
      <c r="X391" s="679"/>
      <c r="Y391" s="679"/>
      <c r="Z391" s="679"/>
      <c r="AA391" s="679"/>
      <c r="AB391" s="679"/>
      <c r="AC391" s="678"/>
      <c r="AD391" s="678"/>
      <c r="AE391" s="680"/>
      <c r="AF391" s="680"/>
      <c r="AG391" s="680"/>
      <c r="AH391" s="680"/>
      <c r="AI391" s="680"/>
      <c r="AJ391" s="676"/>
      <c r="AK391" s="676"/>
      <c r="AL391" s="679"/>
    </row>
    <row r="392">
      <c r="A392" s="680"/>
      <c r="B392" s="680"/>
      <c r="C392" s="676"/>
      <c r="D392" s="680"/>
      <c r="E392" s="680"/>
      <c r="F392" s="710"/>
      <c r="G392" s="680"/>
      <c r="H392" s="711"/>
      <c r="I392" s="680"/>
      <c r="J392" s="679"/>
      <c r="K392" s="680"/>
      <c r="L392" s="679"/>
      <c r="M392" s="680"/>
      <c r="N392" s="676"/>
      <c r="O392" s="680"/>
      <c r="P392" s="675"/>
      <c r="Q392" s="676"/>
      <c r="R392" s="675"/>
      <c r="S392" s="676"/>
      <c r="T392" s="714"/>
      <c r="U392" s="676"/>
      <c r="V392" s="678"/>
      <c r="W392" s="679"/>
      <c r="X392" s="679"/>
      <c r="Y392" s="679"/>
      <c r="Z392" s="679"/>
      <c r="AA392" s="679"/>
      <c r="AB392" s="679"/>
      <c r="AC392" s="678"/>
      <c r="AD392" s="678"/>
      <c r="AE392" s="680"/>
      <c r="AF392" s="680"/>
      <c r="AG392" s="680"/>
      <c r="AH392" s="680"/>
      <c r="AI392" s="680"/>
      <c r="AJ392" s="676"/>
      <c r="AK392" s="676"/>
      <c r="AL392" s="679"/>
    </row>
    <row r="393">
      <c r="A393" s="680"/>
      <c r="B393" s="680"/>
      <c r="C393" s="676"/>
      <c r="D393" s="680"/>
      <c r="E393" s="680"/>
      <c r="F393" s="710"/>
      <c r="G393" s="680"/>
      <c r="H393" s="711"/>
      <c r="I393" s="680"/>
      <c r="J393" s="679"/>
      <c r="K393" s="680"/>
      <c r="L393" s="679"/>
      <c r="M393" s="680"/>
      <c r="N393" s="676"/>
      <c r="O393" s="680"/>
      <c r="P393" s="675"/>
      <c r="Q393" s="676"/>
      <c r="R393" s="675"/>
      <c r="S393" s="676"/>
      <c r="T393" s="714"/>
      <c r="U393" s="676"/>
      <c r="V393" s="678"/>
      <c r="W393" s="679"/>
      <c r="X393" s="679"/>
      <c r="Y393" s="679"/>
      <c r="Z393" s="679"/>
      <c r="AA393" s="679"/>
      <c r="AB393" s="679"/>
      <c r="AC393" s="678"/>
      <c r="AD393" s="678"/>
      <c r="AE393" s="680"/>
      <c r="AF393" s="680"/>
      <c r="AG393" s="680"/>
      <c r="AH393" s="680"/>
      <c r="AI393" s="680"/>
      <c r="AJ393" s="676"/>
      <c r="AK393" s="676"/>
      <c r="AL393" s="679"/>
    </row>
    <row r="394">
      <c r="A394" s="680"/>
      <c r="B394" s="680"/>
      <c r="C394" s="676"/>
      <c r="D394" s="680"/>
      <c r="E394" s="680"/>
      <c r="F394" s="710"/>
      <c r="G394" s="680"/>
      <c r="H394" s="711"/>
      <c r="I394" s="680"/>
      <c r="J394" s="679"/>
      <c r="K394" s="680"/>
      <c r="L394" s="679"/>
      <c r="M394" s="680"/>
      <c r="N394" s="676"/>
      <c r="O394" s="680"/>
      <c r="P394" s="675"/>
      <c r="Q394" s="676"/>
      <c r="R394" s="675"/>
      <c r="S394" s="676"/>
      <c r="T394" s="712"/>
      <c r="U394" s="676"/>
      <c r="V394" s="678"/>
      <c r="W394" s="679"/>
      <c r="X394" s="679"/>
      <c r="Y394" s="679"/>
      <c r="Z394" s="679"/>
      <c r="AA394" s="679"/>
      <c r="AB394" s="679"/>
      <c r="AC394" s="678"/>
      <c r="AD394" s="678"/>
      <c r="AE394" s="680"/>
      <c r="AF394" s="679"/>
      <c r="AG394" s="679"/>
      <c r="AH394" s="679"/>
      <c r="AI394" s="679"/>
      <c r="AJ394" s="676"/>
      <c r="AK394" s="676"/>
      <c r="AL394" s="679"/>
    </row>
    <row r="395">
      <c r="A395" s="680"/>
      <c r="B395" s="680"/>
      <c r="C395" s="676"/>
      <c r="D395" s="680"/>
      <c r="E395" s="680"/>
      <c r="F395" s="710"/>
      <c r="G395" s="680"/>
      <c r="H395" s="711"/>
      <c r="I395" s="680"/>
      <c r="J395" s="679"/>
      <c r="K395" s="680"/>
      <c r="L395" s="679"/>
      <c r="M395" s="680"/>
      <c r="N395" s="676"/>
      <c r="O395" s="680"/>
      <c r="P395" s="675"/>
      <c r="Q395" s="676"/>
      <c r="R395" s="675"/>
      <c r="S395" s="676"/>
      <c r="T395" s="714"/>
      <c r="U395" s="676"/>
      <c r="V395" s="678"/>
      <c r="W395" s="679"/>
      <c r="X395" s="679"/>
      <c r="Y395" s="679"/>
      <c r="Z395" s="679"/>
      <c r="AA395" s="679"/>
      <c r="AB395" s="679"/>
      <c r="AC395" s="678"/>
      <c r="AD395" s="678"/>
      <c r="AE395" s="680"/>
      <c r="AF395" s="680"/>
      <c r="AG395" s="680"/>
      <c r="AH395" s="680"/>
      <c r="AI395" s="680"/>
      <c r="AJ395" s="676"/>
      <c r="AK395" s="676"/>
      <c r="AL395" s="679"/>
    </row>
    <row r="396">
      <c r="A396" s="680"/>
      <c r="B396" s="680"/>
      <c r="C396" s="676"/>
      <c r="D396" s="680"/>
      <c r="E396" s="680"/>
      <c r="F396" s="710"/>
      <c r="G396" s="680"/>
      <c r="H396" s="711"/>
      <c r="I396" s="680"/>
      <c r="J396" s="679"/>
      <c r="K396" s="680"/>
      <c r="L396" s="679"/>
      <c r="M396" s="680"/>
      <c r="N396" s="676"/>
      <c r="O396" s="680"/>
      <c r="P396" s="675"/>
      <c r="Q396" s="676"/>
      <c r="R396" s="675"/>
      <c r="S396" s="676"/>
      <c r="T396" s="714"/>
      <c r="U396" s="676"/>
      <c r="V396" s="678"/>
      <c r="W396" s="679"/>
      <c r="X396" s="679"/>
      <c r="Y396" s="679"/>
      <c r="Z396" s="679"/>
      <c r="AA396" s="679"/>
      <c r="AB396" s="679"/>
      <c r="AC396" s="678"/>
      <c r="AD396" s="678"/>
      <c r="AE396" s="680"/>
      <c r="AF396" s="680"/>
      <c r="AG396" s="680"/>
      <c r="AH396" s="680"/>
      <c r="AI396" s="680"/>
      <c r="AJ396" s="676"/>
      <c r="AK396" s="676"/>
      <c r="AL396" s="679"/>
    </row>
    <row r="397">
      <c r="A397" s="680"/>
      <c r="B397" s="680"/>
      <c r="C397" s="676"/>
      <c r="D397" s="680"/>
      <c r="E397" s="680"/>
      <c r="F397" s="710"/>
      <c r="G397" s="680"/>
      <c r="H397" s="711"/>
      <c r="I397" s="680"/>
      <c r="J397" s="679"/>
      <c r="K397" s="680"/>
      <c r="L397" s="679"/>
      <c r="M397" s="680"/>
      <c r="N397" s="676"/>
      <c r="O397" s="680"/>
      <c r="P397" s="675"/>
      <c r="Q397" s="676"/>
      <c r="R397" s="675"/>
      <c r="S397" s="676"/>
      <c r="T397" s="714"/>
      <c r="U397" s="676"/>
      <c r="V397" s="678"/>
      <c r="W397" s="679"/>
      <c r="X397" s="679"/>
      <c r="Y397" s="679"/>
      <c r="Z397" s="679"/>
      <c r="AA397" s="679"/>
      <c r="AB397" s="679"/>
      <c r="AC397" s="678"/>
      <c r="AD397" s="678"/>
      <c r="AE397" s="680"/>
      <c r="AF397" s="680"/>
      <c r="AG397" s="680"/>
      <c r="AH397" s="680"/>
      <c r="AI397" s="680"/>
      <c r="AJ397" s="676"/>
      <c r="AK397" s="676"/>
      <c r="AL397" s="679"/>
    </row>
    <row r="398">
      <c r="A398" s="680"/>
      <c r="B398" s="680"/>
      <c r="C398" s="676"/>
      <c r="D398" s="680"/>
      <c r="E398" s="680"/>
      <c r="F398" s="710"/>
      <c r="G398" s="680"/>
      <c r="H398" s="711"/>
      <c r="I398" s="680"/>
      <c r="J398" s="679"/>
      <c r="K398" s="680"/>
      <c r="L398" s="679"/>
      <c r="M398" s="680"/>
      <c r="N398" s="676"/>
      <c r="O398" s="680"/>
      <c r="P398" s="675"/>
      <c r="Q398" s="676"/>
      <c r="R398" s="675"/>
      <c r="S398" s="676"/>
      <c r="T398" s="714"/>
      <c r="U398" s="676"/>
      <c r="V398" s="678"/>
      <c r="W398" s="679"/>
      <c r="X398" s="679"/>
      <c r="Y398" s="679"/>
      <c r="Z398" s="679"/>
      <c r="AA398" s="679"/>
      <c r="AB398" s="679"/>
      <c r="AC398" s="678"/>
      <c r="AD398" s="678"/>
      <c r="AE398" s="680"/>
      <c r="AF398" s="679"/>
      <c r="AG398" s="679"/>
      <c r="AH398" s="679"/>
      <c r="AI398" s="679"/>
      <c r="AJ398" s="676"/>
      <c r="AK398" s="676"/>
      <c r="AL398" s="679"/>
    </row>
    <row r="399">
      <c r="A399" s="680"/>
      <c r="B399" s="680"/>
      <c r="C399" s="676"/>
      <c r="D399" s="680"/>
      <c r="E399" s="680"/>
      <c r="F399" s="710"/>
      <c r="G399" s="680"/>
      <c r="H399" s="711"/>
      <c r="I399" s="680"/>
      <c r="J399" s="679"/>
      <c r="K399" s="680"/>
      <c r="L399" s="679"/>
      <c r="M399" s="680"/>
      <c r="N399" s="676"/>
      <c r="O399" s="680"/>
      <c r="P399" s="675"/>
      <c r="Q399" s="676"/>
      <c r="R399" s="675"/>
      <c r="S399" s="676"/>
      <c r="T399" s="677"/>
      <c r="U399" s="676"/>
      <c r="V399" s="678"/>
      <c r="W399" s="679"/>
      <c r="X399" s="679"/>
      <c r="Y399" s="679"/>
      <c r="Z399" s="679"/>
      <c r="AA399" s="679"/>
      <c r="AB399" s="679"/>
      <c r="AC399" s="678"/>
      <c r="AD399" s="678"/>
      <c r="AE399" s="680"/>
      <c r="AF399" s="679"/>
      <c r="AG399" s="679"/>
      <c r="AH399" s="679"/>
      <c r="AI399" s="679"/>
      <c r="AJ399" s="676"/>
      <c r="AK399" s="676"/>
      <c r="AL399" s="679"/>
    </row>
    <row r="400">
      <c r="A400" s="680"/>
      <c r="B400" s="680"/>
      <c r="C400" s="676"/>
      <c r="D400" s="680"/>
      <c r="E400" s="680"/>
      <c r="F400" s="710"/>
      <c r="G400" s="680"/>
      <c r="H400" s="711"/>
      <c r="I400" s="680"/>
      <c r="J400" s="679"/>
      <c r="K400" s="680"/>
      <c r="L400" s="679"/>
      <c r="M400" s="680"/>
      <c r="N400" s="676"/>
      <c r="O400" s="680"/>
      <c r="P400" s="675"/>
      <c r="Q400" s="676"/>
      <c r="R400" s="675"/>
      <c r="S400" s="676"/>
      <c r="T400" s="712"/>
      <c r="U400" s="676"/>
      <c r="V400" s="678"/>
      <c r="W400" s="679"/>
      <c r="X400" s="679"/>
      <c r="Y400" s="679"/>
      <c r="Z400" s="679"/>
      <c r="AA400" s="679"/>
      <c r="AB400" s="679"/>
      <c r="AC400" s="678"/>
      <c r="AD400" s="678"/>
      <c r="AE400" s="680"/>
      <c r="AF400" s="679"/>
      <c r="AG400" s="679"/>
      <c r="AH400" s="679"/>
      <c r="AI400" s="679"/>
      <c r="AJ400" s="676"/>
      <c r="AK400" s="676"/>
      <c r="AL400" s="679"/>
    </row>
    <row r="401">
      <c r="A401" s="680"/>
      <c r="B401" s="680"/>
      <c r="C401" s="676"/>
      <c r="D401" s="680"/>
      <c r="E401" s="680"/>
      <c r="F401" s="710"/>
      <c r="G401" s="680"/>
      <c r="H401" s="711"/>
      <c r="I401" s="680"/>
      <c r="J401" s="679"/>
      <c r="K401" s="680"/>
      <c r="L401" s="679"/>
      <c r="M401" s="680"/>
      <c r="N401" s="676"/>
      <c r="O401" s="680"/>
      <c r="P401" s="675"/>
      <c r="Q401" s="676"/>
      <c r="R401" s="675"/>
      <c r="S401" s="676"/>
      <c r="T401" s="712"/>
      <c r="U401" s="676"/>
      <c r="V401" s="678"/>
      <c r="W401" s="679"/>
      <c r="X401" s="679"/>
      <c r="Y401" s="679"/>
      <c r="Z401" s="679"/>
      <c r="AA401" s="679"/>
      <c r="AB401" s="679"/>
      <c r="AC401" s="678"/>
      <c r="AD401" s="678"/>
      <c r="AE401" s="680"/>
      <c r="AF401" s="679"/>
      <c r="AG401" s="679"/>
      <c r="AH401" s="679"/>
      <c r="AI401" s="679"/>
      <c r="AJ401" s="676"/>
      <c r="AK401" s="676"/>
      <c r="AL401" s="679"/>
    </row>
    <row r="402">
      <c r="A402" s="680"/>
      <c r="B402" s="680"/>
      <c r="C402" s="676"/>
      <c r="D402" s="680"/>
      <c r="E402" s="680"/>
      <c r="F402" s="710"/>
      <c r="G402" s="680"/>
      <c r="H402" s="711"/>
      <c r="I402" s="680"/>
      <c r="J402" s="679"/>
      <c r="K402" s="680"/>
      <c r="L402" s="679"/>
      <c r="M402" s="680"/>
      <c r="N402" s="676"/>
      <c r="O402" s="680"/>
      <c r="P402" s="675"/>
      <c r="Q402" s="676"/>
      <c r="R402" s="675"/>
      <c r="S402" s="676"/>
      <c r="T402" s="714"/>
      <c r="U402" s="676"/>
      <c r="V402" s="678"/>
      <c r="W402" s="679"/>
      <c r="X402" s="679"/>
      <c r="Y402" s="679"/>
      <c r="Z402" s="679"/>
      <c r="AA402" s="679"/>
      <c r="AB402" s="679"/>
      <c r="AC402" s="678"/>
      <c r="AD402" s="678"/>
      <c r="AE402" s="680"/>
      <c r="AF402" s="680"/>
      <c r="AG402" s="680"/>
      <c r="AH402" s="680"/>
      <c r="AI402" s="680"/>
      <c r="AJ402" s="676"/>
      <c r="AK402" s="676"/>
      <c r="AL402" s="679"/>
    </row>
    <row r="403">
      <c r="A403" s="680"/>
      <c r="B403" s="680"/>
      <c r="C403" s="676"/>
      <c r="D403" s="680"/>
      <c r="E403" s="680"/>
      <c r="F403" s="710"/>
      <c r="G403" s="680"/>
      <c r="H403" s="711"/>
      <c r="I403" s="680"/>
      <c r="J403" s="679"/>
      <c r="K403" s="680"/>
      <c r="L403" s="679"/>
      <c r="M403" s="680"/>
      <c r="N403" s="676"/>
      <c r="O403" s="680"/>
      <c r="P403" s="675"/>
      <c r="Q403" s="676"/>
      <c r="R403" s="675"/>
      <c r="S403" s="676"/>
      <c r="T403" s="712"/>
      <c r="U403" s="676"/>
      <c r="V403" s="678"/>
      <c r="W403" s="679"/>
      <c r="X403" s="679"/>
      <c r="Y403" s="679"/>
      <c r="Z403" s="679"/>
      <c r="AA403" s="679"/>
      <c r="AB403" s="679"/>
      <c r="AC403" s="678"/>
      <c r="AD403" s="678"/>
      <c r="AE403" s="680"/>
      <c r="AF403" s="680"/>
      <c r="AG403" s="680"/>
      <c r="AH403" s="680"/>
      <c r="AI403" s="680"/>
      <c r="AJ403" s="676"/>
      <c r="AK403" s="676"/>
      <c r="AL403" s="679"/>
    </row>
    <row r="404">
      <c r="A404" s="680"/>
      <c r="B404" s="680"/>
      <c r="C404" s="676"/>
      <c r="D404" s="680"/>
      <c r="E404" s="680"/>
      <c r="F404" s="710"/>
      <c r="G404" s="680"/>
      <c r="H404" s="711"/>
      <c r="I404" s="680"/>
      <c r="J404" s="679"/>
      <c r="K404" s="680"/>
      <c r="L404" s="679"/>
      <c r="M404" s="680"/>
      <c r="N404" s="676"/>
      <c r="O404" s="680"/>
      <c r="P404" s="675"/>
      <c r="Q404" s="676"/>
      <c r="R404" s="675"/>
      <c r="S404" s="676"/>
      <c r="T404" s="712"/>
      <c r="U404" s="676"/>
      <c r="V404" s="678"/>
      <c r="W404" s="679"/>
      <c r="X404" s="679"/>
      <c r="Y404" s="679"/>
      <c r="Z404" s="679"/>
      <c r="AA404" s="679"/>
      <c r="AB404" s="679"/>
      <c r="AC404" s="678"/>
      <c r="AD404" s="678"/>
      <c r="AE404" s="680"/>
      <c r="AF404" s="680"/>
      <c r="AG404" s="680"/>
      <c r="AH404" s="680"/>
      <c r="AI404" s="680"/>
      <c r="AJ404" s="676"/>
      <c r="AK404" s="676"/>
      <c r="AL404" s="679"/>
    </row>
    <row r="405">
      <c r="A405" s="680"/>
      <c r="B405" s="680"/>
      <c r="C405" s="676"/>
      <c r="D405" s="680"/>
      <c r="E405" s="680"/>
      <c r="F405" s="710"/>
      <c r="G405" s="680"/>
      <c r="H405" s="711"/>
      <c r="I405" s="680"/>
      <c r="J405" s="679"/>
      <c r="K405" s="680"/>
      <c r="L405" s="679"/>
      <c r="M405" s="680"/>
      <c r="N405" s="676"/>
      <c r="O405" s="680"/>
      <c r="P405" s="675"/>
      <c r="Q405" s="676"/>
      <c r="R405" s="675"/>
      <c r="S405" s="676"/>
      <c r="T405" s="712"/>
      <c r="U405" s="676"/>
      <c r="V405" s="678"/>
      <c r="W405" s="679"/>
      <c r="X405" s="679"/>
      <c r="Y405" s="679"/>
      <c r="Z405" s="679"/>
      <c r="AA405" s="679"/>
      <c r="AB405" s="679"/>
      <c r="AC405" s="678"/>
      <c r="AD405" s="678"/>
      <c r="AE405" s="680"/>
      <c r="AF405" s="680"/>
      <c r="AG405" s="680"/>
      <c r="AH405" s="680"/>
      <c r="AI405" s="680"/>
      <c r="AJ405" s="676"/>
      <c r="AK405" s="676"/>
      <c r="AL405" s="679"/>
    </row>
    <row r="406">
      <c r="A406" s="680"/>
      <c r="B406" s="680"/>
      <c r="C406" s="676"/>
      <c r="D406" s="680"/>
      <c r="E406" s="680"/>
      <c r="F406" s="710"/>
      <c r="G406" s="680"/>
      <c r="H406" s="711"/>
      <c r="I406" s="680"/>
      <c r="J406" s="679"/>
      <c r="K406" s="680"/>
      <c r="L406" s="679"/>
      <c r="M406" s="680"/>
      <c r="N406" s="676"/>
      <c r="O406" s="680"/>
      <c r="P406" s="675"/>
      <c r="Q406" s="676"/>
      <c r="R406" s="675"/>
      <c r="S406" s="676"/>
      <c r="T406" s="712"/>
      <c r="U406" s="676"/>
      <c r="V406" s="678"/>
      <c r="W406" s="679"/>
      <c r="X406" s="679"/>
      <c r="Y406" s="679"/>
      <c r="Z406" s="679"/>
      <c r="AA406" s="679"/>
      <c r="AB406" s="679"/>
      <c r="AC406" s="678"/>
      <c r="AD406" s="678"/>
      <c r="AE406" s="680"/>
      <c r="AF406" s="680"/>
      <c r="AG406" s="680"/>
      <c r="AH406" s="680"/>
      <c r="AI406" s="680"/>
      <c r="AJ406" s="676"/>
      <c r="AK406" s="676"/>
      <c r="AL406" s="679"/>
    </row>
    <row r="407">
      <c r="A407" s="680"/>
      <c r="B407" s="680"/>
      <c r="C407" s="676"/>
      <c r="D407" s="680"/>
      <c r="E407" s="680"/>
      <c r="F407" s="710"/>
      <c r="G407" s="680"/>
      <c r="H407" s="711"/>
      <c r="I407" s="680"/>
      <c r="J407" s="679"/>
      <c r="K407" s="680"/>
      <c r="L407" s="679"/>
      <c r="M407" s="680"/>
      <c r="N407" s="676"/>
      <c r="O407" s="680"/>
      <c r="P407" s="675"/>
      <c r="Q407" s="676"/>
      <c r="R407" s="675"/>
      <c r="S407" s="676"/>
      <c r="T407" s="712"/>
      <c r="U407" s="676"/>
      <c r="V407" s="678"/>
      <c r="W407" s="679"/>
      <c r="X407" s="679"/>
      <c r="Y407" s="679"/>
      <c r="Z407" s="679"/>
      <c r="AA407" s="679"/>
      <c r="AB407" s="679"/>
      <c r="AC407" s="678"/>
      <c r="AD407" s="678"/>
      <c r="AE407" s="680"/>
      <c r="AF407" s="680"/>
      <c r="AG407" s="680"/>
      <c r="AH407" s="680"/>
      <c r="AI407" s="680"/>
      <c r="AJ407" s="676"/>
      <c r="AK407" s="676"/>
      <c r="AL407" s="679"/>
    </row>
    <row r="408">
      <c r="A408" s="680"/>
      <c r="B408" s="680"/>
      <c r="C408" s="676"/>
      <c r="D408" s="680"/>
      <c r="E408" s="680"/>
      <c r="F408" s="710"/>
      <c r="G408" s="680"/>
      <c r="H408" s="711"/>
      <c r="I408" s="680"/>
      <c r="J408" s="679"/>
      <c r="K408" s="680"/>
      <c r="L408" s="679"/>
      <c r="M408" s="680"/>
      <c r="N408" s="676"/>
      <c r="O408" s="680"/>
      <c r="P408" s="675"/>
      <c r="Q408" s="676"/>
      <c r="R408" s="675"/>
      <c r="S408" s="676"/>
      <c r="T408" s="714"/>
      <c r="U408" s="676"/>
      <c r="V408" s="678"/>
      <c r="W408" s="679"/>
      <c r="X408" s="679"/>
      <c r="Y408" s="679"/>
      <c r="Z408" s="679"/>
      <c r="AA408" s="679"/>
      <c r="AB408" s="679"/>
      <c r="AC408" s="678"/>
      <c r="AD408" s="678"/>
      <c r="AE408" s="680"/>
      <c r="AF408" s="679"/>
      <c r="AG408" s="679"/>
      <c r="AH408" s="679"/>
      <c r="AI408" s="679"/>
      <c r="AJ408" s="676"/>
      <c r="AK408" s="676"/>
      <c r="AL408" s="680"/>
    </row>
    <row r="409">
      <c r="A409" s="680"/>
      <c r="B409" s="680"/>
      <c r="C409" s="676"/>
      <c r="D409" s="680"/>
      <c r="E409" s="680"/>
      <c r="F409" s="710"/>
      <c r="G409" s="680"/>
      <c r="H409" s="711"/>
      <c r="I409" s="680"/>
      <c r="J409" s="679"/>
      <c r="K409" s="680"/>
      <c r="L409" s="679"/>
      <c r="M409" s="680"/>
      <c r="N409" s="676"/>
      <c r="O409" s="680"/>
      <c r="P409" s="675"/>
      <c r="Q409" s="676"/>
      <c r="R409" s="675"/>
      <c r="S409" s="676"/>
      <c r="T409" s="714"/>
      <c r="U409" s="676"/>
      <c r="V409" s="678"/>
      <c r="W409" s="679"/>
      <c r="X409" s="679"/>
      <c r="Y409" s="679"/>
      <c r="Z409" s="679"/>
      <c r="AA409" s="679"/>
      <c r="AB409" s="679"/>
      <c r="AC409" s="678"/>
      <c r="AD409" s="678"/>
      <c r="AE409" s="680"/>
      <c r="AF409" s="680"/>
      <c r="AG409" s="680"/>
      <c r="AH409" s="680"/>
      <c r="AI409" s="680"/>
      <c r="AJ409" s="676"/>
      <c r="AK409" s="676"/>
      <c r="AL409" s="679"/>
    </row>
    <row r="410">
      <c r="A410" s="680"/>
      <c r="B410" s="680"/>
      <c r="C410" s="676"/>
      <c r="D410" s="680"/>
      <c r="E410" s="680"/>
      <c r="F410" s="710"/>
      <c r="G410" s="680"/>
      <c r="H410" s="711"/>
      <c r="I410" s="680"/>
      <c r="J410" s="679"/>
      <c r="K410" s="680"/>
      <c r="L410" s="679"/>
      <c r="M410" s="680"/>
      <c r="N410" s="676"/>
      <c r="O410" s="680"/>
      <c r="P410" s="675"/>
      <c r="Q410" s="676"/>
      <c r="R410" s="675"/>
      <c r="S410" s="676"/>
      <c r="T410" s="712"/>
      <c r="U410" s="676"/>
      <c r="V410" s="678"/>
      <c r="W410" s="679"/>
      <c r="X410" s="679"/>
      <c r="Y410" s="679"/>
      <c r="Z410" s="679"/>
      <c r="AA410" s="679"/>
      <c r="AB410" s="679"/>
      <c r="AC410" s="678"/>
      <c r="AD410" s="678"/>
      <c r="AE410" s="680"/>
      <c r="AF410" s="680"/>
      <c r="AG410" s="680"/>
      <c r="AH410" s="680"/>
      <c r="AI410" s="680"/>
      <c r="AJ410" s="676"/>
      <c r="AK410" s="676"/>
      <c r="AL410" s="679"/>
    </row>
    <row r="411">
      <c r="A411" s="680"/>
      <c r="B411" s="680"/>
      <c r="C411" s="676"/>
      <c r="D411" s="680"/>
      <c r="E411" s="680"/>
      <c r="F411" s="710"/>
      <c r="G411" s="680"/>
      <c r="H411" s="711"/>
      <c r="I411" s="680"/>
      <c r="J411" s="679"/>
      <c r="K411" s="680"/>
      <c r="L411" s="679"/>
      <c r="M411" s="680"/>
      <c r="N411" s="676"/>
      <c r="O411" s="680"/>
      <c r="P411" s="675"/>
      <c r="Q411" s="676"/>
      <c r="R411" s="675"/>
      <c r="S411" s="676"/>
      <c r="T411" s="712"/>
      <c r="U411" s="676"/>
      <c r="V411" s="678"/>
      <c r="W411" s="679"/>
      <c r="X411" s="679"/>
      <c r="Y411" s="679"/>
      <c r="Z411" s="679"/>
      <c r="AA411" s="679"/>
      <c r="AB411" s="679"/>
      <c r="AC411" s="678"/>
      <c r="AD411" s="678"/>
      <c r="AE411" s="680"/>
      <c r="AF411" s="680"/>
      <c r="AG411" s="680"/>
      <c r="AH411" s="680"/>
      <c r="AI411" s="680"/>
      <c r="AJ411" s="676"/>
      <c r="AK411" s="676"/>
      <c r="AL411" s="679"/>
    </row>
    <row r="412">
      <c r="A412" s="680"/>
      <c r="B412" s="680"/>
      <c r="C412" s="676"/>
      <c r="D412" s="680"/>
      <c r="E412" s="680"/>
      <c r="F412" s="710"/>
      <c r="G412" s="680"/>
      <c r="H412" s="711"/>
      <c r="I412" s="680"/>
      <c r="J412" s="679"/>
      <c r="K412" s="680"/>
      <c r="L412" s="679"/>
      <c r="M412" s="680"/>
      <c r="N412" s="676"/>
      <c r="O412" s="680"/>
      <c r="P412" s="675"/>
      <c r="Q412" s="676"/>
      <c r="R412" s="675"/>
      <c r="S412" s="676"/>
      <c r="T412" s="712"/>
      <c r="U412" s="676"/>
      <c r="V412" s="678"/>
      <c r="W412" s="679"/>
      <c r="X412" s="679"/>
      <c r="Y412" s="679"/>
      <c r="Z412" s="679"/>
      <c r="AA412" s="679"/>
      <c r="AB412" s="679"/>
      <c r="AC412" s="678"/>
      <c r="AD412" s="678"/>
      <c r="AE412" s="680"/>
      <c r="AF412" s="680"/>
      <c r="AG412" s="680"/>
      <c r="AH412" s="680"/>
      <c r="AI412" s="680"/>
      <c r="AJ412" s="676"/>
      <c r="AK412" s="676"/>
      <c r="AL412" s="679"/>
    </row>
    <row r="413">
      <c r="A413" s="680"/>
      <c r="B413" s="680"/>
      <c r="C413" s="676"/>
      <c r="D413" s="680"/>
      <c r="E413" s="680"/>
      <c r="F413" s="710"/>
      <c r="G413" s="680"/>
      <c r="H413" s="711"/>
      <c r="I413" s="680"/>
      <c r="J413" s="679"/>
      <c r="K413" s="680"/>
      <c r="L413" s="679"/>
      <c r="M413" s="680"/>
      <c r="N413" s="676"/>
      <c r="O413" s="680"/>
      <c r="P413" s="675"/>
      <c r="Q413" s="676"/>
      <c r="R413" s="675"/>
      <c r="S413" s="676"/>
      <c r="T413" s="712"/>
      <c r="U413" s="676"/>
      <c r="V413" s="678"/>
      <c r="W413" s="679"/>
      <c r="X413" s="679"/>
      <c r="Y413" s="679"/>
      <c r="Z413" s="679"/>
      <c r="AA413" s="679"/>
      <c r="AB413" s="679"/>
      <c r="AC413" s="678"/>
      <c r="AD413" s="678"/>
      <c r="AE413" s="680"/>
      <c r="AF413" s="679"/>
      <c r="AG413" s="679"/>
      <c r="AH413" s="679"/>
      <c r="AI413" s="679"/>
      <c r="AJ413" s="676"/>
      <c r="AK413" s="676"/>
      <c r="AL413" s="679"/>
    </row>
    <row r="414">
      <c r="A414" s="680"/>
      <c r="B414" s="680"/>
      <c r="C414" s="676"/>
      <c r="D414" s="680"/>
      <c r="E414" s="680"/>
      <c r="F414" s="710"/>
      <c r="G414" s="680"/>
      <c r="H414" s="711"/>
      <c r="I414" s="680"/>
      <c r="J414" s="679"/>
      <c r="K414" s="680"/>
      <c r="L414" s="679"/>
      <c r="M414" s="680"/>
      <c r="N414" s="676"/>
      <c r="O414" s="680"/>
      <c r="P414" s="675"/>
      <c r="Q414" s="676"/>
      <c r="R414" s="675"/>
      <c r="S414" s="676"/>
      <c r="T414" s="714"/>
      <c r="U414" s="676"/>
      <c r="V414" s="678"/>
      <c r="W414" s="679"/>
      <c r="X414" s="679"/>
      <c r="Y414" s="679"/>
      <c r="Z414" s="679"/>
      <c r="AA414" s="679"/>
      <c r="AB414" s="679"/>
      <c r="AC414" s="678"/>
      <c r="AD414" s="678"/>
      <c r="AE414" s="680"/>
      <c r="AF414" s="680"/>
      <c r="AG414" s="680"/>
      <c r="AH414" s="680"/>
      <c r="AI414" s="680"/>
      <c r="AJ414" s="676"/>
      <c r="AK414" s="676"/>
      <c r="AL414" s="679"/>
    </row>
    <row r="415">
      <c r="A415" s="680"/>
      <c r="B415" s="680"/>
      <c r="C415" s="676"/>
      <c r="D415" s="680"/>
      <c r="E415" s="680"/>
      <c r="F415" s="710"/>
      <c r="G415" s="680"/>
      <c r="H415" s="711"/>
      <c r="I415" s="680"/>
      <c r="J415" s="679"/>
      <c r="K415" s="680"/>
      <c r="L415" s="679"/>
      <c r="M415" s="680"/>
      <c r="N415" s="676"/>
      <c r="O415" s="680"/>
      <c r="P415" s="675"/>
      <c r="Q415" s="676"/>
      <c r="R415" s="675"/>
      <c r="S415" s="676"/>
      <c r="T415" s="714"/>
      <c r="U415" s="676"/>
      <c r="V415" s="678"/>
      <c r="W415" s="679"/>
      <c r="X415" s="679"/>
      <c r="Y415" s="679"/>
      <c r="Z415" s="679"/>
      <c r="AA415" s="679"/>
      <c r="AB415" s="679"/>
      <c r="AC415" s="678"/>
      <c r="AD415" s="678"/>
      <c r="AE415" s="680"/>
      <c r="AF415" s="679"/>
      <c r="AG415" s="679"/>
      <c r="AH415" s="679"/>
      <c r="AI415" s="679"/>
      <c r="AJ415" s="676"/>
      <c r="AK415" s="676"/>
      <c r="AL415" s="679"/>
    </row>
    <row r="416">
      <c r="A416" s="680"/>
      <c r="B416" s="680"/>
      <c r="C416" s="676"/>
      <c r="D416" s="680"/>
      <c r="E416" s="680"/>
      <c r="F416" s="710"/>
      <c r="G416" s="680"/>
      <c r="H416" s="711"/>
      <c r="I416" s="680"/>
      <c r="J416" s="679"/>
      <c r="K416" s="680"/>
      <c r="L416" s="679"/>
      <c r="M416" s="680"/>
      <c r="N416" s="676"/>
      <c r="O416" s="680"/>
      <c r="P416" s="675"/>
      <c r="Q416" s="676"/>
      <c r="R416" s="675"/>
      <c r="S416" s="676"/>
      <c r="T416" s="714"/>
      <c r="U416" s="676"/>
      <c r="V416" s="678"/>
      <c r="W416" s="679"/>
      <c r="X416" s="679"/>
      <c r="Y416" s="679"/>
      <c r="Z416" s="679"/>
      <c r="AA416" s="679"/>
      <c r="AB416" s="679"/>
      <c r="AC416" s="678"/>
      <c r="AD416" s="678"/>
      <c r="AE416" s="680"/>
      <c r="AF416" s="679"/>
      <c r="AG416" s="679"/>
      <c r="AH416" s="679"/>
      <c r="AI416" s="679"/>
      <c r="AJ416" s="676"/>
      <c r="AK416" s="676"/>
      <c r="AL416" s="679"/>
    </row>
    <row r="417">
      <c r="A417" s="680"/>
      <c r="B417" s="680"/>
      <c r="C417" s="676"/>
      <c r="D417" s="680"/>
      <c r="E417" s="680"/>
      <c r="F417" s="710"/>
      <c r="G417" s="680"/>
      <c r="H417" s="711"/>
      <c r="I417" s="680"/>
      <c r="J417" s="679"/>
      <c r="K417" s="680"/>
      <c r="L417" s="679"/>
      <c r="M417" s="680"/>
      <c r="N417" s="676"/>
      <c r="O417" s="680"/>
      <c r="P417" s="675"/>
      <c r="Q417" s="676"/>
      <c r="R417" s="675"/>
      <c r="S417" s="676"/>
      <c r="T417" s="712"/>
      <c r="U417" s="676"/>
      <c r="V417" s="678"/>
      <c r="W417" s="679"/>
      <c r="X417" s="679"/>
      <c r="Y417" s="679"/>
      <c r="Z417" s="679"/>
      <c r="AA417" s="679"/>
      <c r="AB417" s="679"/>
      <c r="AC417" s="678"/>
      <c r="AD417" s="678"/>
      <c r="AE417" s="680"/>
      <c r="AF417" s="680"/>
      <c r="AG417" s="680"/>
      <c r="AH417" s="680"/>
      <c r="AI417" s="680"/>
      <c r="AJ417" s="676"/>
      <c r="AK417" s="676"/>
      <c r="AL417" s="679"/>
    </row>
    <row r="418">
      <c r="A418" s="680"/>
      <c r="B418" s="680"/>
      <c r="C418" s="676"/>
      <c r="D418" s="680"/>
      <c r="E418" s="680"/>
      <c r="F418" s="710"/>
      <c r="G418" s="680"/>
      <c r="H418" s="711"/>
      <c r="I418" s="680"/>
      <c r="J418" s="679"/>
      <c r="K418" s="680"/>
      <c r="L418" s="679"/>
      <c r="M418" s="680"/>
      <c r="N418" s="676"/>
      <c r="O418" s="680"/>
      <c r="P418" s="675"/>
      <c r="Q418" s="676"/>
      <c r="R418" s="675"/>
      <c r="S418" s="676"/>
      <c r="T418" s="714"/>
      <c r="U418" s="676"/>
      <c r="V418" s="678"/>
      <c r="W418" s="679"/>
      <c r="X418" s="679"/>
      <c r="Y418" s="679"/>
      <c r="Z418" s="679"/>
      <c r="AA418" s="679"/>
      <c r="AB418" s="679"/>
      <c r="AC418" s="678"/>
      <c r="AD418" s="678"/>
      <c r="AE418" s="680"/>
      <c r="AF418" s="680"/>
      <c r="AG418" s="680"/>
      <c r="AH418" s="680"/>
      <c r="AI418" s="680"/>
      <c r="AJ418" s="676"/>
      <c r="AK418" s="676"/>
      <c r="AL418" s="679"/>
    </row>
    <row r="419">
      <c r="A419" s="680"/>
      <c r="B419" s="680"/>
      <c r="C419" s="676"/>
      <c r="D419" s="680"/>
      <c r="E419" s="680"/>
      <c r="F419" s="710"/>
      <c r="G419" s="680"/>
      <c r="H419" s="711"/>
      <c r="I419" s="680"/>
      <c r="J419" s="679"/>
      <c r="K419" s="680"/>
      <c r="L419" s="679"/>
      <c r="M419" s="680"/>
      <c r="N419" s="676"/>
      <c r="O419" s="680"/>
      <c r="P419" s="675"/>
      <c r="Q419" s="676"/>
      <c r="R419" s="675"/>
      <c r="S419" s="676"/>
      <c r="T419" s="714"/>
      <c r="U419" s="676"/>
      <c r="V419" s="678"/>
      <c r="W419" s="679"/>
      <c r="X419" s="679"/>
      <c r="Y419" s="679"/>
      <c r="Z419" s="679"/>
      <c r="AA419" s="679"/>
      <c r="AB419" s="679"/>
      <c r="AC419" s="678"/>
      <c r="AD419" s="678"/>
      <c r="AE419" s="680"/>
      <c r="AF419" s="680"/>
      <c r="AG419" s="680"/>
      <c r="AH419" s="680"/>
      <c r="AI419" s="680"/>
      <c r="AJ419" s="676"/>
      <c r="AK419" s="676"/>
      <c r="AL419" s="679"/>
    </row>
    <row r="420">
      <c r="A420" s="680"/>
      <c r="B420" s="680"/>
      <c r="C420" s="676"/>
      <c r="D420" s="680"/>
      <c r="E420" s="680"/>
      <c r="F420" s="710"/>
      <c r="G420" s="680"/>
      <c r="H420" s="711"/>
      <c r="I420" s="680"/>
      <c r="J420" s="679"/>
      <c r="K420" s="680"/>
      <c r="L420" s="679"/>
      <c r="M420" s="680"/>
      <c r="N420" s="676"/>
      <c r="O420" s="680"/>
      <c r="P420" s="675"/>
      <c r="Q420" s="676"/>
      <c r="R420" s="675"/>
      <c r="S420" s="676"/>
      <c r="T420" s="714"/>
      <c r="U420" s="676"/>
      <c r="V420" s="678"/>
      <c r="W420" s="679"/>
      <c r="X420" s="679"/>
      <c r="Y420" s="679"/>
      <c r="Z420" s="679"/>
      <c r="AA420" s="679"/>
      <c r="AB420" s="679"/>
      <c r="AC420" s="678"/>
      <c r="AD420" s="678"/>
      <c r="AE420" s="680"/>
      <c r="AF420" s="680"/>
      <c r="AG420" s="680"/>
      <c r="AH420" s="680"/>
      <c r="AI420" s="680"/>
      <c r="AJ420" s="676"/>
      <c r="AK420" s="676"/>
      <c r="AL420" s="679"/>
    </row>
    <row r="421">
      <c r="A421" s="680"/>
      <c r="B421" s="680"/>
      <c r="C421" s="676"/>
      <c r="D421" s="680"/>
      <c r="E421" s="680"/>
      <c r="F421" s="710"/>
      <c r="G421" s="680"/>
      <c r="H421" s="711"/>
      <c r="I421" s="680"/>
      <c r="J421" s="679"/>
      <c r="K421" s="680"/>
      <c r="L421" s="679"/>
      <c r="M421" s="680"/>
      <c r="N421" s="676"/>
      <c r="O421" s="680"/>
      <c r="P421" s="675"/>
      <c r="Q421" s="676"/>
      <c r="R421" s="675"/>
      <c r="S421" s="676"/>
      <c r="T421" s="714"/>
      <c r="U421" s="676"/>
      <c r="V421" s="678"/>
      <c r="W421" s="679"/>
      <c r="X421" s="679"/>
      <c r="Y421" s="679"/>
      <c r="Z421" s="679"/>
      <c r="AA421" s="679"/>
      <c r="AB421" s="679"/>
      <c r="AC421" s="678"/>
      <c r="AD421" s="678"/>
      <c r="AE421" s="680"/>
      <c r="AF421" s="679"/>
      <c r="AG421" s="679"/>
      <c r="AH421" s="679"/>
      <c r="AI421" s="679"/>
      <c r="AJ421" s="676"/>
      <c r="AK421" s="676"/>
      <c r="AL421" s="680"/>
    </row>
    <row r="422">
      <c r="A422" s="680"/>
      <c r="B422" s="680"/>
      <c r="C422" s="676"/>
      <c r="D422" s="680"/>
      <c r="E422" s="680"/>
      <c r="F422" s="710"/>
      <c r="G422" s="680"/>
      <c r="H422" s="711"/>
      <c r="I422" s="680"/>
      <c r="J422" s="679"/>
      <c r="K422" s="680"/>
      <c r="L422" s="679"/>
      <c r="M422" s="680"/>
      <c r="N422" s="676"/>
      <c r="O422" s="680"/>
      <c r="P422" s="675"/>
      <c r="Q422" s="676"/>
      <c r="R422" s="675"/>
      <c r="S422" s="676"/>
      <c r="T422" s="714"/>
      <c r="U422" s="676"/>
      <c r="V422" s="678"/>
      <c r="W422" s="679"/>
      <c r="X422" s="679"/>
      <c r="Y422" s="679"/>
      <c r="Z422" s="679"/>
      <c r="AA422" s="679"/>
      <c r="AB422" s="679"/>
      <c r="AC422" s="678"/>
      <c r="AD422" s="678"/>
      <c r="AE422" s="680"/>
      <c r="AF422" s="679"/>
      <c r="AG422" s="679"/>
      <c r="AH422" s="679"/>
      <c r="AI422" s="679"/>
      <c r="AJ422" s="676"/>
      <c r="AK422" s="676"/>
      <c r="AL422" s="680"/>
    </row>
    <row r="423">
      <c r="A423" s="680"/>
      <c r="B423" s="680"/>
      <c r="C423" s="676"/>
      <c r="D423" s="680"/>
      <c r="E423" s="680"/>
      <c r="F423" s="710"/>
      <c r="G423" s="680"/>
      <c r="H423" s="711"/>
      <c r="I423" s="680"/>
      <c r="J423" s="679"/>
      <c r="K423" s="680"/>
      <c r="L423" s="679"/>
      <c r="M423" s="680"/>
      <c r="N423" s="676"/>
      <c r="O423" s="680"/>
      <c r="P423" s="675"/>
      <c r="Q423" s="676"/>
      <c r="R423" s="675"/>
      <c r="S423" s="676"/>
      <c r="T423" s="714"/>
      <c r="U423" s="676"/>
      <c r="V423" s="678"/>
      <c r="W423" s="679"/>
      <c r="X423" s="679"/>
      <c r="Y423" s="679"/>
      <c r="Z423" s="679"/>
      <c r="AA423" s="679"/>
      <c r="AB423" s="679"/>
      <c r="AC423" s="678"/>
      <c r="AD423" s="678"/>
      <c r="AE423" s="680"/>
      <c r="AF423" s="679"/>
      <c r="AG423" s="679"/>
      <c r="AH423" s="679"/>
      <c r="AI423" s="679"/>
      <c r="AJ423" s="676"/>
      <c r="AK423" s="676"/>
      <c r="AL423" s="680"/>
    </row>
    <row r="424">
      <c r="A424" s="680"/>
      <c r="B424" s="680"/>
      <c r="C424" s="676"/>
      <c r="D424" s="680"/>
      <c r="E424" s="680"/>
      <c r="F424" s="710"/>
      <c r="G424" s="680"/>
      <c r="H424" s="711"/>
      <c r="I424" s="680"/>
      <c r="J424" s="679"/>
      <c r="K424" s="680"/>
      <c r="L424" s="679"/>
      <c r="M424" s="680"/>
      <c r="N424" s="676"/>
      <c r="O424" s="680"/>
      <c r="P424" s="675"/>
      <c r="Q424" s="676"/>
      <c r="R424" s="675"/>
      <c r="S424" s="676"/>
      <c r="T424" s="714"/>
      <c r="U424" s="676"/>
      <c r="V424" s="678"/>
      <c r="W424" s="679"/>
      <c r="X424" s="679"/>
      <c r="Y424" s="679"/>
      <c r="Z424" s="679"/>
      <c r="AA424" s="679"/>
      <c r="AB424" s="679"/>
      <c r="AC424" s="678"/>
      <c r="AD424" s="678"/>
      <c r="AE424" s="680"/>
      <c r="AF424" s="679"/>
      <c r="AG424" s="679"/>
      <c r="AH424" s="679"/>
      <c r="AI424" s="679"/>
      <c r="AJ424" s="676"/>
      <c r="AK424" s="676"/>
      <c r="AL424" s="680"/>
    </row>
    <row r="425">
      <c r="A425" s="680"/>
      <c r="B425" s="680"/>
      <c r="C425" s="676"/>
      <c r="D425" s="680"/>
      <c r="E425" s="680"/>
      <c r="F425" s="710"/>
      <c r="G425" s="680"/>
      <c r="H425" s="711"/>
      <c r="I425" s="680"/>
      <c r="J425" s="679"/>
      <c r="K425" s="680"/>
      <c r="L425" s="679"/>
      <c r="M425" s="680"/>
      <c r="N425" s="676"/>
      <c r="O425" s="680"/>
      <c r="P425" s="675"/>
      <c r="Q425" s="675"/>
      <c r="R425" s="675"/>
      <c r="S425" s="676"/>
      <c r="T425" s="714"/>
      <c r="U425" s="676"/>
      <c r="V425" s="678"/>
      <c r="W425" s="679"/>
      <c r="X425" s="679"/>
      <c r="Y425" s="679"/>
      <c r="Z425" s="679"/>
      <c r="AA425" s="679"/>
      <c r="AB425" s="679"/>
      <c r="AC425" s="678"/>
      <c r="AD425" s="678"/>
      <c r="AE425" s="680"/>
      <c r="AF425" s="680"/>
      <c r="AG425" s="680"/>
      <c r="AH425" s="680"/>
      <c r="AI425" s="680"/>
      <c r="AJ425" s="676"/>
      <c r="AK425" s="676"/>
      <c r="AL425" s="680"/>
    </row>
    <row r="426">
      <c r="A426" s="680"/>
      <c r="B426" s="680"/>
      <c r="C426" s="676"/>
      <c r="D426" s="680"/>
      <c r="E426" s="680"/>
      <c r="F426" s="710"/>
      <c r="G426" s="680"/>
      <c r="H426" s="711"/>
      <c r="I426" s="680"/>
      <c r="J426" s="679"/>
      <c r="K426" s="680"/>
      <c r="L426" s="679"/>
      <c r="M426" s="680"/>
      <c r="N426" s="676"/>
      <c r="O426" s="680"/>
      <c r="P426" s="675"/>
      <c r="Q426" s="675"/>
      <c r="R426" s="675"/>
      <c r="S426" s="676"/>
      <c r="T426" s="714"/>
      <c r="U426" s="676"/>
      <c r="V426" s="678"/>
      <c r="W426" s="679"/>
      <c r="X426" s="679"/>
      <c r="Y426" s="679"/>
      <c r="Z426" s="679"/>
      <c r="AA426" s="679"/>
      <c r="AB426" s="679"/>
      <c r="AC426" s="678"/>
      <c r="AD426" s="678"/>
      <c r="AE426" s="680"/>
      <c r="AF426" s="680"/>
      <c r="AG426" s="680"/>
      <c r="AH426" s="680"/>
      <c r="AI426" s="680"/>
      <c r="AJ426" s="676"/>
      <c r="AK426" s="676"/>
      <c r="AL426" s="679"/>
    </row>
    <row r="427">
      <c r="A427" s="680"/>
      <c r="B427" s="680"/>
      <c r="C427" s="676"/>
      <c r="D427" s="680"/>
      <c r="E427" s="680"/>
      <c r="F427" s="710"/>
      <c r="G427" s="680"/>
      <c r="H427" s="711"/>
      <c r="I427" s="680"/>
      <c r="J427" s="679"/>
      <c r="K427" s="680"/>
      <c r="L427" s="679"/>
      <c r="M427" s="680"/>
      <c r="N427" s="676"/>
      <c r="O427" s="680"/>
      <c r="P427" s="675"/>
      <c r="Q427" s="675"/>
      <c r="R427" s="675"/>
      <c r="S427" s="676"/>
      <c r="T427" s="714"/>
      <c r="U427" s="676"/>
      <c r="V427" s="678"/>
      <c r="W427" s="679"/>
      <c r="X427" s="679"/>
      <c r="Y427" s="679"/>
      <c r="Z427" s="679"/>
      <c r="AA427" s="679"/>
      <c r="AB427" s="679"/>
      <c r="AC427" s="678"/>
      <c r="AD427" s="678"/>
      <c r="AE427" s="680"/>
      <c r="AF427" s="680"/>
      <c r="AG427" s="680"/>
      <c r="AH427" s="680"/>
      <c r="AI427" s="680"/>
      <c r="AJ427" s="676"/>
      <c r="AK427" s="676"/>
      <c r="AL427" s="679"/>
    </row>
    <row r="428">
      <c r="A428" s="680"/>
      <c r="B428" s="680"/>
      <c r="C428" s="676"/>
      <c r="D428" s="680"/>
      <c r="E428" s="680"/>
      <c r="F428" s="710"/>
      <c r="G428" s="680"/>
      <c r="H428" s="711"/>
      <c r="I428" s="680"/>
      <c r="J428" s="679"/>
      <c r="K428" s="680"/>
      <c r="L428" s="679"/>
      <c r="M428" s="680"/>
      <c r="N428" s="676"/>
      <c r="O428" s="680"/>
      <c r="P428" s="675"/>
      <c r="Q428" s="675"/>
      <c r="R428" s="675"/>
      <c r="S428" s="676"/>
      <c r="T428" s="714"/>
      <c r="U428" s="676"/>
      <c r="V428" s="678"/>
      <c r="W428" s="679"/>
      <c r="X428" s="679"/>
      <c r="Y428" s="679"/>
      <c r="Z428" s="679"/>
      <c r="AA428" s="679"/>
      <c r="AB428" s="679"/>
      <c r="AC428" s="678"/>
      <c r="AD428" s="678"/>
      <c r="AE428" s="680"/>
      <c r="AF428" s="680"/>
      <c r="AG428" s="680"/>
      <c r="AH428" s="680"/>
      <c r="AI428" s="680"/>
      <c r="AJ428" s="676"/>
      <c r="AK428" s="676"/>
      <c r="AL428" s="679"/>
    </row>
    <row r="429">
      <c r="A429" s="680"/>
      <c r="B429" s="680"/>
      <c r="C429" s="676"/>
      <c r="D429" s="680"/>
      <c r="E429" s="680"/>
      <c r="F429" s="710"/>
      <c r="G429" s="680"/>
      <c r="H429" s="711"/>
      <c r="I429" s="680"/>
      <c r="J429" s="679"/>
      <c r="K429" s="680"/>
      <c r="L429" s="679"/>
      <c r="M429" s="680"/>
      <c r="N429" s="676"/>
      <c r="O429" s="680"/>
      <c r="P429" s="675"/>
      <c r="Q429" s="675"/>
      <c r="R429" s="675"/>
      <c r="S429" s="676"/>
      <c r="T429" s="714"/>
      <c r="U429" s="676"/>
      <c r="V429" s="678"/>
      <c r="W429" s="679"/>
      <c r="X429" s="679"/>
      <c r="Y429" s="679"/>
      <c r="Z429" s="679"/>
      <c r="AA429" s="679"/>
      <c r="AB429" s="679"/>
      <c r="AC429" s="678"/>
      <c r="AD429" s="678"/>
      <c r="AE429" s="680"/>
      <c r="AF429" s="680"/>
      <c r="AG429" s="680"/>
      <c r="AH429" s="680"/>
      <c r="AI429" s="680"/>
      <c r="AJ429" s="676"/>
      <c r="AK429" s="676"/>
      <c r="AL429" s="679"/>
    </row>
    <row r="430">
      <c r="A430" s="680"/>
      <c r="B430" s="680"/>
      <c r="C430" s="676"/>
      <c r="D430" s="680"/>
      <c r="E430" s="680"/>
      <c r="F430" s="710"/>
      <c r="G430" s="680"/>
      <c r="H430" s="711"/>
      <c r="I430" s="680"/>
      <c r="J430" s="679"/>
      <c r="K430" s="680"/>
      <c r="L430" s="679"/>
      <c r="M430" s="680"/>
      <c r="N430" s="676"/>
      <c r="O430" s="680"/>
      <c r="P430" s="675"/>
      <c r="Q430" s="675"/>
      <c r="R430" s="675"/>
      <c r="S430" s="676"/>
      <c r="T430" s="714"/>
      <c r="U430" s="676"/>
      <c r="V430" s="678"/>
      <c r="W430" s="679"/>
      <c r="X430" s="679"/>
      <c r="Y430" s="679"/>
      <c r="Z430" s="679"/>
      <c r="AA430" s="679"/>
      <c r="AB430" s="679"/>
      <c r="AC430" s="678"/>
      <c r="AD430" s="678"/>
      <c r="AE430" s="680"/>
      <c r="AF430" s="680"/>
      <c r="AG430" s="680"/>
      <c r="AH430" s="680"/>
      <c r="AI430" s="680"/>
      <c r="AJ430" s="676"/>
      <c r="AK430" s="676"/>
      <c r="AL430" s="680"/>
    </row>
    <row r="431">
      <c r="A431" s="680"/>
      <c r="B431" s="680"/>
      <c r="C431" s="676"/>
      <c r="D431" s="680"/>
      <c r="E431" s="680"/>
      <c r="F431" s="710"/>
      <c r="G431" s="680"/>
      <c r="H431" s="711"/>
      <c r="I431" s="680"/>
      <c r="J431" s="679"/>
      <c r="K431" s="680"/>
      <c r="L431" s="679"/>
      <c r="M431" s="680"/>
      <c r="N431" s="676"/>
      <c r="O431" s="680"/>
      <c r="P431" s="675"/>
      <c r="Q431" s="675"/>
      <c r="R431" s="675"/>
      <c r="S431" s="676"/>
      <c r="T431" s="714"/>
      <c r="U431" s="676"/>
      <c r="V431" s="678"/>
      <c r="W431" s="679"/>
      <c r="X431" s="679"/>
      <c r="Y431" s="679"/>
      <c r="Z431" s="679"/>
      <c r="AA431" s="679"/>
      <c r="AB431" s="679"/>
      <c r="AC431" s="678"/>
      <c r="AD431" s="678"/>
      <c r="AE431" s="680"/>
      <c r="AF431" s="680"/>
      <c r="AG431" s="680"/>
      <c r="AH431" s="680"/>
      <c r="AI431" s="680"/>
      <c r="AJ431" s="676"/>
      <c r="AK431" s="676"/>
      <c r="AL431" s="679"/>
    </row>
    <row r="432">
      <c r="A432" s="680"/>
      <c r="B432" s="680"/>
      <c r="C432" s="676"/>
      <c r="D432" s="680"/>
      <c r="E432" s="680"/>
      <c r="F432" s="710"/>
      <c r="G432" s="680"/>
      <c r="H432" s="711"/>
      <c r="I432" s="680"/>
      <c r="J432" s="679"/>
      <c r="K432" s="680"/>
      <c r="L432" s="679"/>
      <c r="M432" s="680"/>
      <c r="N432" s="676"/>
      <c r="O432" s="680"/>
      <c r="P432" s="675"/>
      <c r="Q432" s="675"/>
      <c r="R432" s="675"/>
      <c r="S432" s="676"/>
      <c r="T432" s="714"/>
      <c r="U432" s="676"/>
      <c r="V432" s="678"/>
      <c r="W432" s="679"/>
      <c r="X432" s="679"/>
      <c r="Y432" s="679"/>
      <c r="Z432" s="679"/>
      <c r="AA432" s="679"/>
      <c r="AB432" s="679"/>
      <c r="AC432" s="678"/>
      <c r="AD432" s="678"/>
      <c r="AE432" s="680"/>
      <c r="AF432" s="680"/>
      <c r="AG432" s="680"/>
      <c r="AH432" s="680"/>
      <c r="AI432" s="680"/>
      <c r="AJ432" s="676"/>
      <c r="AK432" s="676"/>
      <c r="AL432" s="679"/>
    </row>
    <row r="433">
      <c r="A433" s="680"/>
      <c r="B433" s="680"/>
      <c r="C433" s="676"/>
      <c r="D433" s="680"/>
      <c r="E433" s="680"/>
      <c r="F433" s="710"/>
      <c r="G433" s="680"/>
      <c r="H433" s="711"/>
      <c r="I433" s="680"/>
      <c r="J433" s="679"/>
      <c r="K433" s="680"/>
      <c r="L433" s="679"/>
      <c r="M433" s="680"/>
      <c r="N433" s="676"/>
      <c r="O433" s="680"/>
      <c r="P433" s="675"/>
      <c r="Q433" s="675"/>
      <c r="R433" s="675"/>
      <c r="S433" s="676"/>
      <c r="T433" s="714"/>
      <c r="U433" s="676"/>
      <c r="V433" s="678"/>
      <c r="W433" s="679"/>
      <c r="X433" s="679"/>
      <c r="Y433" s="679"/>
      <c r="Z433" s="679"/>
      <c r="AA433" s="679"/>
      <c r="AB433" s="679"/>
      <c r="AC433" s="678"/>
      <c r="AD433" s="678"/>
      <c r="AE433" s="680"/>
      <c r="AF433" s="680"/>
      <c r="AG433" s="680"/>
      <c r="AH433" s="680"/>
      <c r="AI433" s="680"/>
      <c r="AJ433" s="676"/>
      <c r="AK433" s="676"/>
      <c r="AL433" s="679"/>
    </row>
    <row r="434">
      <c r="A434" s="680"/>
      <c r="B434" s="680"/>
      <c r="C434" s="676"/>
      <c r="D434" s="680"/>
      <c r="E434" s="680"/>
      <c r="F434" s="710"/>
      <c r="G434" s="680"/>
      <c r="H434" s="711"/>
      <c r="I434" s="680"/>
      <c r="J434" s="679"/>
      <c r="K434" s="680"/>
      <c r="L434" s="679"/>
      <c r="M434" s="680"/>
      <c r="N434" s="676"/>
      <c r="O434" s="680"/>
      <c r="P434" s="675"/>
      <c r="Q434" s="675"/>
      <c r="R434" s="675"/>
      <c r="S434" s="676"/>
      <c r="T434" s="714"/>
      <c r="U434" s="676"/>
      <c r="V434" s="678"/>
      <c r="W434" s="679"/>
      <c r="X434" s="679"/>
      <c r="Y434" s="679"/>
      <c r="Z434" s="679"/>
      <c r="AA434" s="679"/>
      <c r="AB434" s="679"/>
      <c r="AC434" s="678"/>
      <c r="AD434" s="678"/>
      <c r="AE434" s="680"/>
      <c r="AF434" s="680"/>
      <c r="AG434" s="680"/>
      <c r="AH434" s="680"/>
      <c r="AI434" s="680"/>
      <c r="AJ434" s="676"/>
      <c r="AK434" s="676"/>
      <c r="AL434" s="679"/>
    </row>
    <row r="435">
      <c r="A435" s="680"/>
      <c r="B435" s="680"/>
      <c r="C435" s="676"/>
      <c r="D435" s="680"/>
      <c r="E435" s="680"/>
      <c r="F435" s="710"/>
      <c r="G435" s="680"/>
      <c r="H435" s="711"/>
      <c r="I435" s="680"/>
      <c r="J435" s="679"/>
      <c r="K435" s="680"/>
      <c r="L435" s="679"/>
      <c r="M435" s="680"/>
      <c r="N435" s="676"/>
      <c r="O435" s="680"/>
      <c r="P435" s="675"/>
      <c r="Q435" s="675"/>
      <c r="R435" s="675"/>
      <c r="S435" s="676"/>
      <c r="T435" s="714"/>
      <c r="U435" s="676"/>
      <c r="V435" s="678"/>
      <c r="W435" s="679"/>
      <c r="X435" s="679"/>
      <c r="Y435" s="679"/>
      <c r="Z435" s="679"/>
      <c r="AA435" s="679"/>
      <c r="AB435" s="679"/>
      <c r="AC435" s="678"/>
      <c r="AD435" s="678"/>
      <c r="AE435" s="680"/>
      <c r="AF435" s="680"/>
      <c r="AG435" s="680"/>
      <c r="AH435" s="680"/>
      <c r="AI435" s="680"/>
      <c r="AJ435" s="676"/>
      <c r="AK435" s="676"/>
      <c r="AL435" s="679"/>
    </row>
    <row r="436">
      <c r="A436" s="680"/>
      <c r="B436" s="680"/>
      <c r="C436" s="676"/>
      <c r="D436" s="680"/>
      <c r="E436" s="680"/>
      <c r="F436" s="710"/>
      <c r="G436" s="680"/>
      <c r="H436" s="711"/>
      <c r="I436" s="680"/>
      <c r="J436" s="679"/>
      <c r="K436" s="680"/>
      <c r="L436" s="679"/>
      <c r="M436" s="680"/>
      <c r="N436" s="676"/>
      <c r="O436" s="680"/>
      <c r="P436" s="675"/>
      <c r="Q436" s="675"/>
      <c r="R436" s="675"/>
      <c r="S436" s="676"/>
      <c r="T436" s="714"/>
      <c r="U436" s="676"/>
      <c r="V436" s="678"/>
      <c r="W436" s="679"/>
      <c r="X436" s="679"/>
      <c r="Y436" s="679"/>
      <c r="Z436" s="679"/>
      <c r="AA436" s="679"/>
      <c r="AB436" s="679"/>
      <c r="AC436" s="678"/>
      <c r="AD436" s="678"/>
      <c r="AE436" s="680"/>
      <c r="AF436" s="680"/>
      <c r="AG436" s="680"/>
      <c r="AH436" s="680"/>
      <c r="AI436" s="680"/>
      <c r="AJ436" s="676"/>
      <c r="AK436" s="676"/>
      <c r="AL436" s="679"/>
    </row>
    <row r="437">
      <c r="A437" s="680"/>
      <c r="B437" s="680"/>
      <c r="C437" s="676"/>
      <c r="D437" s="680"/>
      <c r="E437" s="680"/>
      <c r="F437" s="710"/>
      <c r="G437" s="680"/>
      <c r="H437" s="711"/>
      <c r="I437" s="680"/>
      <c r="J437" s="679"/>
      <c r="K437" s="680"/>
      <c r="L437" s="679"/>
      <c r="M437" s="680"/>
      <c r="N437" s="676"/>
      <c r="O437" s="680"/>
      <c r="P437" s="675"/>
      <c r="Q437" s="675"/>
      <c r="R437" s="675"/>
      <c r="S437" s="676"/>
      <c r="T437" s="714"/>
      <c r="U437" s="676"/>
      <c r="V437" s="678"/>
      <c r="W437" s="679"/>
      <c r="X437" s="679"/>
      <c r="Y437" s="679"/>
      <c r="Z437" s="679"/>
      <c r="AA437" s="679"/>
      <c r="AB437" s="679"/>
      <c r="AC437" s="678"/>
      <c r="AD437" s="678"/>
      <c r="AE437" s="680"/>
      <c r="AF437" s="680"/>
      <c r="AG437" s="680"/>
      <c r="AH437" s="680"/>
      <c r="AI437" s="680"/>
      <c r="AJ437" s="676"/>
      <c r="AK437" s="676"/>
      <c r="AL437" s="679"/>
    </row>
    <row r="438">
      <c r="A438" s="680"/>
      <c r="B438" s="680"/>
      <c r="C438" s="676"/>
      <c r="D438" s="680"/>
      <c r="E438" s="680"/>
      <c r="F438" s="710"/>
      <c r="G438" s="680"/>
      <c r="H438" s="711"/>
      <c r="I438" s="680"/>
      <c r="J438" s="679"/>
      <c r="K438" s="680"/>
      <c r="L438" s="679"/>
      <c r="M438" s="680"/>
      <c r="N438" s="676"/>
      <c r="O438" s="680"/>
      <c r="P438" s="675"/>
      <c r="Q438" s="675"/>
      <c r="R438" s="675"/>
      <c r="S438" s="676"/>
      <c r="T438" s="714"/>
      <c r="U438" s="676"/>
      <c r="V438" s="678"/>
      <c r="W438" s="679"/>
      <c r="X438" s="679"/>
      <c r="Y438" s="679"/>
      <c r="Z438" s="679"/>
      <c r="AA438" s="679"/>
      <c r="AB438" s="679"/>
      <c r="AC438" s="678"/>
      <c r="AD438" s="678"/>
      <c r="AE438" s="680"/>
      <c r="AF438" s="680"/>
      <c r="AG438" s="680"/>
      <c r="AH438" s="680"/>
      <c r="AI438" s="680"/>
      <c r="AJ438" s="676"/>
      <c r="AK438" s="676"/>
      <c r="AL438" s="679"/>
    </row>
    <row r="439">
      <c r="A439" s="680"/>
      <c r="B439" s="680"/>
      <c r="C439" s="676"/>
      <c r="D439" s="680"/>
      <c r="E439" s="680"/>
      <c r="F439" s="710"/>
      <c r="G439" s="680"/>
      <c r="H439" s="711"/>
      <c r="I439" s="680"/>
      <c r="J439" s="679"/>
      <c r="K439" s="680"/>
      <c r="L439" s="679"/>
      <c r="M439" s="680"/>
      <c r="N439" s="676"/>
      <c r="O439" s="680"/>
      <c r="P439" s="675"/>
      <c r="Q439" s="675"/>
      <c r="R439" s="675"/>
      <c r="S439" s="676"/>
      <c r="T439" s="714"/>
      <c r="U439" s="676"/>
      <c r="V439" s="678"/>
      <c r="W439" s="679"/>
      <c r="X439" s="679"/>
      <c r="Y439" s="679"/>
      <c r="Z439" s="679"/>
      <c r="AA439" s="679"/>
      <c r="AB439" s="679"/>
      <c r="AC439" s="678"/>
      <c r="AD439" s="678"/>
      <c r="AE439" s="680"/>
      <c r="AF439" s="680"/>
      <c r="AG439" s="680"/>
      <c r="AH439" s="680"/>
      <c r="AI439" s="680"/>
      <c r="AJ439" s="676"/>
      <c r="AK439" s="676"/>
      <c r="AL439" s="679"/>
    </row>
    <row r="440">
      <c r="A440" s="680"/>
      <c r="B440" s="680"/>
      <c r="C440" s="676"/>
      <c r="D440" s="680"/>
      <c r="E440" s="680"/>
      <c r="F440" s="710"/>
      <c r="G440" s="680"/>
      <c r="H440" s="711"/>
      <c r="I440" s="680"/>
      <c r="J440" s="679"/>
      <c r="K440" s="680"/>
      <c r="L440" s="679"/>
      <c r="M440" s="680"/>
      <c r="N440" s="676"/>
      <c r="O440" s="680"/>
      <c r="P440" s="675"/>
      <c r="Q440" s="675"/>
      <c r="R440" s="675"/>
      <c r="S440" s="676"/>
      <c r="T440" s="714"/>
      <c r="U440" s="676"/>
      <c r="V440" s="678"/>
      <c r="W440" s="679"/>
      <c r="X440" s="679"/>
      <c r="Y440" s="679"/>
      <c r="Z440" s="679"/>
      <c r="AA440" s="679"/>
      <c r="AB440" s="679"/>
      <c r="AC440" s="678"/>
      <c r="AD440" s="678"/>
      <c r="AE440" s="680"/>
      <c r="AF440" s="680"/>
      <c r="AG440" s="680"/>
      <c r="AH440" s="680"/>
      <c r="AI440" s="680"/>
      <c r="AJ440" s="676"/>
      <c r="AK440" s="676"/>
      <c r="AL440" s="679"/>
    </row>
    <row r="441">
      <c r="A441" s="680"/>
      <c r="B441" s="680"/>
      <c r="C441" s="676"/>
      <c r="D441" s="680"/>
      <c r="E441" s="680"/>
      <c r="F441" s="710"/>
      <c r="G441" s="680"/>
      <c r="H441" s="711"/>
      <c r="I441" s="680"/>
      <c r="J441" s="679"/>
      <c r="K441" s="680"/>
      <c r="L441" s="679"/>
      <c r="M441" s="680"/>
      <c r="N441" s="676"/>
      <c r="O441" s="680"/>
      <c r="P441" s="675"/>
      <c r="Q441" s="675"/>
      <c r="R441" s="675"/>
      <c r="S441" s="676"/>
      <c r="T441" s="714"/>
      <c r="U441" s="676"/>
      <c r="V441" s="678"/>
      <c r="W441" s="679"/>
      <c r="X441" s="679"/>
      <c r="Y441" s="679"/>
      <c r="Z441" s="679"/>
      <c r="AA441" s="679"/>
      <c r="AB441" s="679"/>
      <c r="AC441" s="678"/>
      <c r="AD441" s="678"/>
      <c r="AE441" s="680"/>
      <c r="AF441" s="680"/>
      <c r="AG441" s="680"/>
      <c r="AH441" s="680"/>
      <c r="AI441" s="680"/>
      <c r="AJ441" s="676"/>
      <c r="AK441" s="676"/>
      <c r="AL441" s="679"/>
    </row>
    <row r="442">
      <c r="A442" s="680"/>
      <c r="B442" s="680"/>
      <c r="C442" s="676"/>
      <c r="D442" s="680"/>
      <c r="E442" s="680"/>
      <c r="F442" s="710"/>
      <c r="G442" s="680"/>
      <c r="H442" s="711"/>
      <c r="I442" s="680"/>
      <c r="J442" s="679"/>
      <c r="K442" s="680"/>
      <c r="L442" s="679"/>
      <c r="M442" s="680"/>
      <c r="N442" s="676"/>
      <c r="O442" s="680"/>
      <c r="P442" s="675"/>
      <c r="Q442" s="675"/>
      <c r="R442" s="675"/>
      <c r="S442" s="676"/>
      <c r="T442" s="714"/>
      <c r="U442" s="676"/>
      <c r="V442" s="678"/>
      <c r="W442" s="679"/>
      <c r="X442" s="679"/>
      <c r="Y442" s="679"/>
      <c r="Z442" s="679"/>
      <c r="AA442" s="679"/>
      <c r="AB442" s="679"/>
      <c r="AC442" s="678"/>
      <c r="AD442" s="678"/>
      <c r="AE442" s="680"/>
      <c r="AF442" s="680"/>
      <c r="AG442" s="680"/>
      <c r="AH442" s="680"/>
      <c r="AI442" s="680"/>
      <c r="AJ442" s="676"/>
      <c r="AK442" s="676"/>
      <c r="AL442" s="680"/>
    </row>
    <row r="443">
      <c r="A443" s="680"/>
      <c r="B443" s="680"/>
      <c r="C443" s="676"/>
      <c r="D443" s="680"/>
      <c r="E443" s="680"/>
      <c r="F443" s="710"/>
      <c r="G443" s="680"/>
      <c r="H443" s="711"/>
      <c r="I443" s="680"/>
      <c r="J443" s="679"/>
      <c r="K443" s="680"/>
      <c r="L443" s="679"/>
      <c r="M443" s="680"/>
      <c r="N443" s="676"/>
      <c r="O443" s="680"/>
      <c r="P443" s="675"/>
      <c r="Q443" s="675"/>
      <c r="R443" s="675"/>
      <c r="S443" s="676"/>
      <c r="T443" s="714"/>
      <c r="U443" s="676"/>
      <c r="V443" s="678"/>
      <c r="W443" s="679"/>
      <c r="X443" s="679"/>
      <c r="Y443" s="679"/>
      <c r="Z443" s="679"/>
      <c r="AA443" s="679"/>
      <c r="AB443" s="679"/>
      <c r="AC443" s="678"/>
      <c r="AD443" s="678"/>
      <c r="AE443" s="680"/>
      <c r="AF443" s="680"/>
      <c r="AG443" s="680"/>
      <c r="AH443" s="680"/>
      <c r="AI443" s="680"/>
      <c r="AJ443" s="676"/>
      <c r="AK443" s="676"/>
      <c r="AL443" s="679"/>
    </row>
    <row r="444">
      <c r="A444" s="680"/>
      <c r="B444" s="680"/>
      <c r="C444" s="676"/>
      <c r="D444" s="680"/>
      <c r="E444" s="680"/>
      <c r="F444" s="710"/>
      <c r="G444" s="680"/>
      <c r="H444" s="711"/>
      <c r="I444" s="680"/>
      <c r="J444" s="679"/>
      <c r="K444" s="680"/>
      <c r="L444" s="679"/>
      <c r="M444" s="680"/>
      <c r="N444" s="676"/>
      <c r="O444" s="680"/>
      <c r="P444" s="675"/>
      <c r="Q444" s="675"/>
      <c r="R444" s="675"/>
      <c r="S444" s="676"/>
      <c r="T444" s="713"/>
      <c r="U444" s="676"/>
      <c r="V444" s="678"/>
      <c r="W444" s="679"/>
      <c r="X444" s="679"/>
      <c r="Y444" s="679"/>
      <c r="Z444" s="679"/>
      <c r="AA444" s="679"/>
      <c r="AB444" s="679"/>
      <c r="AC444" s="678"/>
      <c r="AD444" s="678"/>
      <c r="AE444" s="680"/>
      <c r="AF444" s="680"/>
      <c r="AG444" s="680"/>
      <c r="AH444" s="680"/>
      <c r="AI444" s="680"/>
      <c r="AJ444" s="676"/>
      <c r="AK444" s="676"/>
      <c r="AL444" s="679"/>
    </row>
    <row r="445">
      <c r="A445" s="680"/>
      <c r="B445" s="680"/>
      <c r="C445" s="676"/>
      <c r="D445" s="680"/>
      <c r="E445" s="680"/>
      <c r="F445" s="710"/>
      <c r="G445" s="680"/>
      <c r="H445" s="711"/>
      <c r="I445" s="680"/>
      <c r="J445" s="679"/>
      <c r="K445" s="680"/>
      <c r="L445" s="679"/>
      <c r="M445" s="680"/>
      <c r="N445" s="676"/>
      <c r="O445" s="680"/>
      <c r="P445" s="675"/>
      <c r="Q445" s="675"/>
      <c r="R445" s="675"/>
      <c r="S445" s="676"/>
      <c r="T445" s="714"/>
      <c r="U445" s="676"/>
      <c r="V445" s="678"/>
      <c r="W445" s="679"/>
      <c r="X445" s="679"/>
      <c r="Y445" s="679"/>
      <c r="Z445" s="679"/>
      <c r="AA445" s="679"/>
      <c r="AB445" s="679"/>
      <c r="AC445" s="678"/>
      <c r="AD445" s="678"/>
      <c r="AE445" s="680"/>
      <c r="AF445" s="680"/>
      <c r="AG445" s="680"/>
      <c r="AH445" s="680"/>
      <c r="AI445" s="680"/>
      <c r="AJ445" s="676"/>
      <c r="AK445" s="676"/>
      <c r="AL445" s="679"/>
    </row>
    <row r="446">
      <c r="A446" s="680"/>
      <c r="B446" s="680"/>
      <c r="C446" s="676"/>
      <c r="D446" s="680"/>
      <c r="E446" s="680"/>
      <c r="F446" s="710"/>
      <c r="G446" s="680"/>
      <c r="H446" s="711"/>
      <c r="I446" s="680"/>
      <c r="J446" s="679"/>
      <c r="K446" s="680"/>
      <c r="L446" s="679"/>
      <c r="M446" s="680"/>
      <c r="N446" s="676"/>
      <c r="O446" s="680"/>
      <c r="P446" s="675"/>
      <c r="Q446" s="675"/>
      <c r="R446" s="675"/>
      <c r="S446" s="676"/>
      <c r="T446" s="714"/>
      <c r="U446" s="676"/>
      <c r="V446" s="678"/>
      <c r="W446" s="679"/>
      <c r="X446" s="679"/>
      <c r="Y446" s="679"/>
      <c r="Z446" s="679"/>
      <c r="AA446" s="679"/>
      <c r="AB446" s="679"/>
      <c r="AC446" s="678"/>
      <c r="AD446" s="678"/>
      <c r="AE446" s="680"/>
      <c r="AF446" s="680"/>
      <c r="AG446" s="680"/>
      <c r="AH446" s="680"/>
      <c r="AI446" s="680"/>
      <c r="AJ446" s="676"/>
      <c r="AK446" s="676"/>
      <c r="AL446" s="680"/>
    </row>
    <row r="447">
      <c r="A447" s="680"/>
      <c r="B447" s="680"/>
      <c r="C447" s="676"/>
      <c r="D447" s="680"/>
      <c r="E447" s="680"/>
      <c r="F447" s="710"/>
      <c r="G447" s="680"/>
      <c r="H447" s="711"/>
      <c r="I447" s="680"/>
      <c r="J447" s="679"/>
      <c r="K447" s="680"/>
      <c r="L447" s="679"/>
      <c r="M447" s="680"/>
      <c r="N447" s="676"/>
      <c r="O447" s="680"/>
      <c r="P447" s="675"/>
      <c r="Q447" s="675"/>
      <c r="R447" s="675"/>
      <c r="S447" s="676"/>
      <c r="T447" s="714"/>
      <c r="U447" s="676"/>
      <c r="V447" s="678"/>
      <c r="W447" s="679"/>
      <c r="X447" s="679"/>
      <c r="Y447" s="679"/>
      <c r="Z447" s="679"/>
      <c r="AA447" s="679"/>
      <c r="AB447" s="679"/>
      <c r="AC447" s="678"/>
      <c r="AD447" s="678"/>
      <c r="AE447" s="680"/>
      <c r="AF447" s="680"/>
      <c r="AG447" s="680"/>
      <c r="AH447" s="680"/>
      <c r="AI447" s="680"/>
      <c r="AJ447" s="676"/>
      <c r="AK447" s="676"/>
      <c r="AL447" s="679"/>
    </row>
    <row r="448">
      <c r="A448" s="680"/>
      <c r="B448" s="680"/>
      <c r="C448" s="676"/>
      <c r="D448" s="680"/>
      <c r="E448" s="680"/>
      <c r="F448" s="710"/>
      <c r="G448" s="680"/>
      <c r="H448" s="711"/>
      <c r="I448" s="680"/>
      <c r="J448" s="679"/>
      <c r="K448" s="680"/>
      <c r="L448" s="679"/>
      <c r="M448" s="680"/>
      <c r="N448" s="676"/>
      <c r="O448" s="680"/>
      <c r="P448" s="675"/>
      <c r="Q448" s="675"/>
      <c r="R448" s="675"/>
      <c r="S448" s="676"/>
      <c r="T448" s="714"/>
      <c r="U448" s="676"/>
      <c r="V448" s="678"/>
      <c r="W448" s="679"/>
      <c r="X448" s="679"/>
      <c r="Y448" s="679"/>
      <c r="Z448" s="679"/>
      <c r="AA448" s="679"/>
      <c r="AB448" s="679"/>
      <c r="AC448" s="678"/>
      <c r="AD448" s="678"/>
      <c r="AE448" s="680"/>
      <c r="AF448" s="680"/>
      <c r="AG448" s="680"/>
      <c r="AH448" s="680"/>
      <c r="AI448" s="680"/>
      <c r="AJ448" s="676"/>
      <c r="AK448" s="676"/>
      <c r="AL448" s="679"/>
    </row>
    <row r="449">
      <c r="A449" s="680"/>
      <c r="B449" s="680"/>
      <c r="C449" s="676"/>
      <c r="D449" s="680"/>
      <c r="E449" s="680"/>
      <c r="F449" s="710"/>
      <c r="G449" s="680"/>
      <c r="H449" s="711"/>
      <c r="I449" s="680"/>
      <c r="J449" s="679"/>
      <c r="K449" s="680"/>
      <c r="L449" s="679"/>
      <c r="M449" s="680"/>
      <c r="N449" s="676"/>
      <c r="O449" s="680"/>
      <c r="P449" s="675"/>
      <c r="Q449" s="675"/>
      <c r="R449" s="675"/>
      <c r="S449" s="676"/>
      <c r="T449" s="714"/>
      <c r="U449" s="676"/>
      <c r="V449" s="678"/>
      <c r="W449" s="679"/>
      <c r="X449" s="679"/>
      <c r="Y449" s="679"/>
      <c r="Z449" s="679"/>
      <c r="AA449" s="679"/>
      <c r="AB449" s="679"/>
      <c r="AC449" s="678"/>
      <c r="AD449" s="678"/>
      <c r="AE449" s="680"/>
      <c r="AF449" s="680"/>
      <c r="AG449" s="680"/>
      <c r="AH449" s="680"/>
      <c r="AI449" s="680"/>
      <c r="AJ449" s="676"/>
      <c r="AK449" s="676"/>
      <c r="AL449" s="680"/>
    </row>
    <row r="450">
      <c r="A450" s="680"/>
      <c r="B450" s="680"/>
      <c r="C450" s="676"/>
      <c r="D450" s="680"/>
      <c r="E450" s="680"/>
      <c r="F450" s="710"/>
      <c r="G450" s="680"/>
      <c r="H450" s="711"/>
      <c r="I450" s="680"/>
      <c r="J450" s="679"/>
      <c r="K450" s="680"/>
      <c r="L450" s="679"/>
      <c r="M450" s="680"/>
      <c r="N450" s="676"/>
      <c r="O450" s="680"/>
      <c r="P450" s="675"/>
      <c r="Q450" s="675"/>
      <c r="R450" s="675"/>
      <c r="S450" s="676"/>
      <c r="T450" s="714"/>
      <c r="U450" s="676"/>
      <c r="V450" s="678"/>
      <c r="W450" s="679"/>
      <c r="X450" s="679"/>
      <c r="Y450" s="679"/>
      <c r="Z450" s="679"/>
      <c r="AA450" s="679"/>
      <c r="AB450" s="679"/>
      <c r="AC450" s="678"/>
      <c r="AD450" s="678"/>
      <c r="AE450" s="680"/>
      <c r="AF450" s="680"/>
      <c r="AG450" s="680"/>
      <c r="AH450" s="680"/>
      <c r="AI450" s="680"/>
      <c r="AJ450" s="676"/>
      <c r="AK450" s="676"/>
      <c r="AL450" s="680"/>
    </row>
    <row r="451">
      <c r="A451" s="680"/>
      <c r="B451" s="680"/>
      <c r="C451" s="676"/>
      <c r="D451" s="680"/>
      <c r="E451" s="680"/>
      <c r="F451" s="710"/>
      <c r="G451" s="680"/>
      <c r="H451" s="711"/>
      <c r="I451" s="680"/>
      <c r="J451" s="679"/>
      <c r="K451" s="680"/>
      <c r="L451" s="679"/>
      <c r="M451" s="680"/>
      <c r="N451" s="676"/>
      <c r="O451" s="680"/>
      <c r="P451" s="675"/>
      <c r="Q451" s="675"/>
      <c r="R451" s="675"/>
      <c r="S451" s="676"/>
      <c r="T451" s="714"/>
      <c r="U451" s="676"/>
      <c r="V451" s="678"/>
      <c r="W451" s="679"/>
      <c r="X451" s="679"/>
      <c r="Y451" s="679"/>
      <c r="Z451" s="679"/>
      <c r="AA451" s="679"/>
      <c r="AB451" s="679"/>
      <c r="AC451" s="678"/>
      <c r="AD451" s="678"/>
      <c r="AE451" s="680"/>
      <c r="AF451" s="680"/>
      <c r="AG451" s="680"/>
      <c r="AH451" s="680"/>
      <c r="AI451" s="680"/>
      <c r="AJ451" s="676"/>
      <c r="AK451" s="676"/>
      <c r="AL451" s="679"/>
    </row>
    <row r="452">
      <c r="A452" s="680"/>
      <c r="B452" s="680"/>
      <c r="C452" s="676"/>
      <c r="D452" s="680"/>
      <c r="E452" s="680"/>
      <c r="F452" s="710"/>
      <c r="G452" s="680"/>
      <c r="H452" s="711"/>
      <c r="I452" s="680"/>
      <c r="J452" s="679"/>
      <c r="K452" s="680"/>
      <c r="L452" s="679"/>
      <c r="M452" s="680"/>
      <c r="N452" s="676"/>
      <c r="O452" s="680"/>
      <c r="P452" s="675"/>
      <c r="Q452" s="675"/>
      <c r="R452" s="675"/>
      <c r="S452" s="676"/>
      <c r="T452" s="714"/>
      <c r="U452" s="676"/>
      <c r="V452" s="678"/>
      <c r="W452" s="679"/>
      <c r="X452" s="679"/>
      <c r="Y452" s="679"/>
      <c r="Z452" s="679"/>
      <c r="AA452" s="679"/>
      <c r="AB452" s="679"/>
      <c r="AC452" s="678"/>
      <c r="AD452" s="678"/>
      <c r="AE452" s="680"/>
      <c r="AF452" s="680"/>
      <c r="AG452" s="680"/>
      <c r="AH452" s="680"/>
      <c r="AI452" s="680"/>
      <c r="AJ452" s="676"/>
      <c r="AK452" s="676"/>
      <c r="AL452" s="680"/>
    </row>
    <row r="453">
      <c r="A453" s="680"/>
      <c r="B453" s="680"/>
      <c r="C453" s="676"/>
      <c r="D453" s="680"/>
      <c r="E453" s="680"/>
      <c r="F453" s="710"/>
      <c r="G453" s="680"/>
      <c r="H453" s="711"/>
      <c r="I453" s="680"/>
      <c r="J453" s="679"/>
      <c r="K453" s="680"/>
      <c r="L453" s="679"/>
      <c r="M453" s="680"/>
      <c r="N453" s="676"/>
      <c r="O453" s="680"/>
      <c r="P453" s="675"/>
      <c r="Q453" s="675"/>
      <c r="R453" s="675"/>
      <c r="S453" s="676"/>
      <c r="T453" s="714"/>
      <c r="U453" s="676"/>
      <c r="V453" s="678"/>
      <c r="W453" s="679"/>
      <c r="X453" s="679"/>
      <c r="Y453" s="679"/>
      <c r="Z453" s="679"/>
      <c r="AA453" s="679"/>
      <c r="AB453" s="679"/>
      <c r="AC453" s="678"/>
      <c r="AD453" s="678"/>
      <c r="AE453" s="680"/>
      <c r="AF453" s="680"/>
      <c r="AG453" s="680"/>
      <c r="AH453" s="680"/>
      <c r="AI453" s="680"/>
      <c r="AJ453" s="676"/>
      <c r="AK453" s="676"/>
      <c r="AL453" s="679"/>
    </row>
    <row r="454">
      <c r="A454" s="680"/>
      <c r="B454" s="680"/>
      <c r="C454" s="676"/>
      <c r="D454" s="680"/>
      <c r="E454" s="680"/>
      <c r="F454" s="710"/>
      <c r="G454" s="680"/>
      <c r="H454" s="711"/>
      <c r="I454" s="680"/>
      <c r="J454" s="679"/>
      <c r="K454" s="680"/>
      <c r="L454" s="679"/>
      <c r="M454" s="680"/>
      <c r="N454" s="676"/>
      <c r="O454" s="680"/>
      <c r="P454" s="675"/>
      <c r="Q454" s="675"/>
      <c r="R454" s="675"/>
      <c r="S454" s="676"/>
      <c r="T454" s="714"/>
      <c r="U454" s="676"/>
      <c r="V454" s="678"/>
      <c r="W454" s="679"/>
      <c r="X454" s="679"/>
      <c r="Y454" s="679"/>
      <c r="Z454" s="679"/>
      <c r="AA454" s="679"/>
      <c r="AB454" s="679"/>
      <c r="AC454" s="678"/>
      <c r="AD454" s="678"/>
      <c r="AE454" s="680"/>
      <c r="AF454" s="680"/>
      <c r="AG454" s="680"/>
      <c r="AH454" s="680"/>
      <c r="AI454" s="680"/>
      <c r="AJ454" s="676"/>
      <c r="AK454" s="676"/>
      <c r="AL454" s="680"/>
    </row>
    <row r="455">
      <c r="A455" s="680"/>
      <c r="B455" s="680"/>
      <c r="C455" s="676"/>
      <c r="D455" s="680"/>
      <c r="E455" s="680"/>
      <c r="F455" s="710"/>
      <c r="G455" s="680"/>
      <c r="H455" s="711"/>
      <c r="I455" s="680"/>
      <c r="J455" s="679"/>
      <c r="K455" s="680"/>
      <c r="L455" s="679"/>
      <c r="M455" s="680"/>
      <c r="N455" s="676"/>
      <c r="O455" s="680"/>
      <c r="P455" s="675"/>
      <c r="Q455" s="675"/>
      <c r="R455" s="675"/>
      <c r="S455" s="676"/>
      <c r="T455" s="714"/>
      <c r="U455" s="676"/>
      <c r="V455" s="678"/>
      <c r="W455" s="679"/>
      <c r="X455" s="679"/>
      <c r="Y455" s="679"/>
      <c r="Z455" s="679"/>
      <c r="AA455" s="679"/>
      <c r="AB455" s="679"/>
      <c r="AC455" s="678"/>
      <c r="AD455" s="678"/>
      <c r="AE455" s="680"/>
      <c r="AF455" s="680"/>
      <c r="AG455" s="680"/>
      <c r="AH455" s="680"/>
      <c r="AI455" s="680"/>
      <c r="AJ455" s="676"/>
      <c r="AK455" s="676"/>
      <c r="AL455" s="680"/>
    </row>
    <row r="456">
      <c r="A456" s="680"/>
      <c r="B456" s="680"/>
      <c r="C456" s="676"/>
      <c r="D456" s="680"/>
      <c r="E456" s="680"/>
      <c r="F456" s="710"/>
      <c r="G456" s="680"/>
      <c r="H456" s="711"/>
      <c r="I456" s="680"/>
      <c r="J456" s="679"/>
      <c r="K456" s="680"/>
      <c r="L456" s="679"/>
      <c r="M456" s="680"/>
      <c r="N456" s="676"/>
      <c r="O456" s="680"/>
      <c r="P456" s="675"/>
      <c r="Q456" s="675"/>
      <c r="R456" s="675"/>
      <c r="S456" s="676"/>
      <c r="T456" s="714"/>
      <c r="U456" s="676"/>
      <c r="V456" s="678"/>
      <c r="W456" s="679"/>
      <c r="X456" s="679"/>
      <c r="Y456" s="679"/>
      <c r="Z456" s="679"/>
      <c r="AA456" s="679"/>
      <c r="AB456" s="679"/>
      <c r="AC456" s="678"/>
      <c r="AD456" s="678"/>
      <c r="AE456" s="680"/>
      <c r="AF456" s="680"/>
      <c r="AG456" s="680"/>
      <c r="AH456" s="680"/>
      <c r="AI456" s="680"/>
      <c r="AJ456" s="676"/>
      <c r="AK456" s="676"/>
      <c r="AL456" s="679"/>
    </row>
    <row r="457">
      <c r="A457" s="680"/>
      <c r="B457" s="680"/>
      <c r="C457" s="676"/>
      <c r="D457" s="680"/>
      <c r="E457" s="680"/>
      <c r="F457" s="710"/>
      <c r="G457" s="680"/>
      <c r="H457" s="711"/>
      <c r="I457" s="680"/>
      <c r="J457" s="679"/>
      <c r="K457" s="680"/>
      <c r="L457" s="679"/>
      <c r="M457" s="680"/>
      <c r="N457" s="676"/>
      <c r="O457" s="680"/>
      <c r="P457" s="675"/>
      <c r="Q457" s="675"/>
      <c r="R457" s="675"/>
      <c r="S457" s="676"/>
      <c r="T457" s="714"/>
      <c r="U457" s="676"/>
      <c r="V457" s="678"/>
      <c r="W457" s="679"/>
      <c r="X457" s="679"/>
      <c r="Y457" s="679"/>
      <c r="Z457" s="679"/>
      <c r="AA457" s="679"/>
      <c r="AB457" s="679"/>
      <c r="AC457" s="678"/>
      <c r="AD457" s="678"/>
      <c r="AE457" s="680"/>
      <c r="AF457" s="680"/>
      <c r="AG457" s="680"/>
      <c r="AH457" s="680"/>
      <c r="AI457" s="680"/>
      <c r="AJ457" s="676"/>
      <c r="AK457" s="676"/>
      <c r="AL457" s="679"/>
    </row>
    <row r="458">
      <c r="A458" s="680"/>
      <c r="B458" s="680"/>
      <c r="C458" s="676"/>
      <c r="D458" s="680"/>
      <c r="E458" s="680"/>
      <c r="F458" s="710"/>
      <c r="G458" s="680"/>
      <c r="H458" s="711"/>
      <c r="I458" s="680"/>
      <c r="J458" s="679"/>
      <c r="K458" s="680"/>
      <c r="L458" s="679"/>
      <c r="M458" s="680"/>
      <c r="N458" s="676"/>
      <c r="O458" s="680"/>
      <c r="P458" s="675"/>
      <c r="Q458" s="675"/>
      <c r="R458" s="675"/>
      <c r="S458" s="676"/>
      <c r="T458" s="714"/>
      <c r="U458" s="676"/>
      <c r="V458" s="678"/>
      <c r="W458" s="679"/>
      <c r="X458" s="679"/>
      <c r="Y458" s="679"/>
      <c r="Z458" s="679"/>
      <c r="AA458" s="679"/>
      <c r="AB458" s="679"/>
      <c r="AC458" s="678"/>
      <c r="AD458" s="678"/>
      <c r="AE458" s="680"/>
      <c r="AF458" s="680"/>
      <c r="AG458" s="680"/>
      <c r="AH458" s="680"/>
      <c r="AI458" s="680"/>
      <c r="AJ458" s="676"/>
      <c r="AK458" s="676"/>
      <c r="AL458" s="679"/>
    </row>
    <row r="459">
      <c r="A459" s="680"/>
      <c r="B459" s="680"/>
      <c r="C459" s="676"/>
      <c r="D459" s="680"/>
      <c r="E459" s="680"/>
      <c r="F459" s="710"/>
      <c r="G459" s="680"/>
      <c r="H459" s="711"/>
      <c r="I459" s="680"/>
      <c r="J459" s="679"/>
      <c r="K459" s="680"/>
      <c r="L459" s="679"/>
      <c r="M459" s="680"/>
      <c r="N459" s="676"/>
      <c r="O459" s="680"/>
      <c r="P459" s="675"/>
      <c r="Q459" s="675"/>
      <c r="R459" s="675"/>
      <c r="S459" s="676"/>
      <c r="T459" s="714"/>
      <c r="U459" s="676"/>
      <c r="V459" s="678"/>
      <c r="W459" s="679"/>
      <c r="X459" s="679"/>
      <c r="Y459" s="679"/>
      <c r="Z459" s="679"/>
      <c r="AA459" s="679"/>
      <c r="AB459" s="679"/>
      <c r="AC459" s="678"/>
      <c r="AD459" s="678"/>
      <c r="AE459" s="680"/>
      <c r="AF459" s="680"/>
      <c r="AG459" s="680"/>
      <c r="AH459" s="680"/>
      <c r="AI459" s="680"/>
      <c r="AJ459" s="676"/>
      <c r="AK459" s="676"/>
      <c r="AL459" s="679"/>
    </row>
    <row r="460">
      <c r="A460" s="680"/>
      <c r="B460" s="680"/>
      <c r="C460" s="676"/>
      <c r="D460" s="680"/>
      <c r="E460" s="680"/>
      <c r="F460" s="710"/>
      <c r="G460" s="680"/>
      <c r="H460" s="711"/>
      <c r="I460" s="680"/>
      <c r="J460" s="679"/>
      <c r="K460" s="680"/>
      <c r="L460" s="679"/>
      <c r="M460" s="680"/>
      <c r="N460" s="676"/>
      <c r="O460" s="680"/>
      <c r="P460" s="675"/>
      <c r="Q460" s="675"/>
      <c r="R460" s="675"/>
      <c r="S460" s="676"/>
      <c r="T460" s="714"/>
      <c r="U460" s="676"/>
      <c r="V460" s="678"/>
      <c r="W460" s="679"/>
      <c r="X460" s="679"/>
      <c r="Y460" s="679"/>
      <c r="Z460" s="679"/>
      <c r="AA460" s="679"/>
      <c r="AB460" s="679"/>
      <c r="AC460" s="678"/>
      <c r="AD460" s="678"/>
      <c r="AE460" s="680"/>
      <c r="AF460" s="680"/>
      <c r="AG460" s="680"/>
      <c r="AH460" s="680"/>
      <c r="AI460" s="680"/>
      <c r="AJ460" s="676"/>
      <c r="AK460" s="676"/>
      <c r="AL460" s="680"/>
    </row>
    <row r="461">
      <c r="A461" s="680"/>
      <c r="B461" s="680"/>
      <c r="C461" s="676"/>
      <c r="D461" s="680"/>
      <c r="E461" s="680"/>
      <c r="F461" s="710"/>
      <c r="G461" s="680"/>
      <c r="H461" s="711"/>
      <c r="I461" s="680"/>
      <c r="J461" s="679"/>
      <c r="K461" s="680"/>
      <c r="L461" s="679"/>
      <c r="M461" s="680"/>
      <c r="N461" s="676"/>
      <c r="O461" s="680"/>
      <c r="P461" s="675"/>
      <c r="Q461" s="675"/>
      <c r="R461" s="675"/>
      <c r="S461" s="676"/>
      <c r="T461" s="714"/>
      <c r="U461" s="676"/>
      <c r="V461" s="678"/>
      <c r="W461" s="679"/>
      <c r="X461" s="679"/>
      <c r="Y461" s="679"/>
      <c r="Z461" s="679"/>
      <c r="AA461" s="679"/>
      <c r="AB461" s="679"/>
      <c r="AC461" s="678"/>
      <c r="AD461" s="678"/>
      <c r="AE461" s="680"/>
      <c r="AF461" s="679"/>
      <c r="AG461" s="679"/>
      <c r="AH461" s="679"/>
      <c r="AI461" s="679"/>
      <c r="AJ461" s="676"/>
      <c r="AK461" s="676"/>
      <c r="AL461" s="680"/>
    </row>
    <row r="462">
      <c r="A462" s="680"/>
      <c r="B462" s="680"/>
      <c r="C462" s="676"/>
      <c r="D462" s="680"/>
      <c r="E462" s="680"/>
      <c r="F462" s="710"/>
      <c r="G462" s="680"/>
      <c r="H462" s="711"/>
      <c r="I462" s="680"/>
      <c r="J462" s="679"/>
      <c r="K462" s="680"/>
      <c r="L462" s="679"/>
      <c r="M462" s="680"/>
      <c r="N462" s="676"/>
      <c r="O462" s="680"/>
      <c r="P462" s="675"/>
      <c r="Q462" s="675"/>
      <c r="R462" s="675"/>
      <c r="S462" s="676"/>
      <c r="T462" s="714"/>
      <c r="U462" s="676"/>
      <c r="V462" s="678"/>
      <c r="W462" s="679"/>
      <c r="X462" s="679"/>
      <c r="Y462" s="679"/>
      <c r="Z462" s="679"/>
      <c r="AA462" s="679"/>
      <c r="AB462" s="679"/>
      <c r="AC462" s="678"/>
      <c r="AD462" s="678"/>
      <c r="AE462" s="680"/>
      <c r="AF462" s="680"/>
      <c r="AG462" s="680"/>
      <c r="AH462" s="680"/>
      <c r="AI462" s="680"/>
      <c r="AJ462" s="676"/>
      <c r="AK462" s="676"/>
      <c r="AL462" s="679"/>
    </row>
    <row r="463">
      <c r="A463" s="680"/>
      <c r="B463" s="680"/>
      <c r="C463" s="676"/>
      <c r="D463" s="680"/>
      <c r="E463" s="680"/>
      <c r="F463" s="710"/>
      <c r="G463" s="680"/>
      <c r="H463" s="711"/>
      <c r="I463" s="680"/>
      <c r="J463" s="679"/>
      <c r="K463" s="680"/>
      <c r="L463" s="679"/>
      <c r="M463" s="680"/>
      <c r="N463" s="676"/>
      <c r="O463" s="680"/>
      <c r="P463" s="675"/>
      <c r="Q463" s="675"/>
      <c r="R463" s="675"/>
      <c r="S463" s="676"/>
      <c r="T463" s="714"/>
      <c r="U463" s="676"/>
      <c r="V463" s="678"/>
      <c r="W463" s="679"/>
      <c r="X463" s="679"/>
      <c r="Y463" s="679"/>
      <c r="Z463" s="679"/>
      <c r="AA463" s="679"/>
      <c r="AB463" s="679"/>
      <c r="AC463" s="678"/>
      <c r="AD463" s="678"/>
      <c r="AE463" s="680"/>
      <c r="AF463" s="679"/>
      <c r="AG463" s="679"/>
      <c r="AH463" s="679"/>
      <c r="AI463" s="679"/>
      <c r="AJ463" s="676"/>
      <c r="AK463" s="676"/>
      <c r="AL463" s="680"/>
    </row>
    <row r="464">
      <c r="A464" s="680"/>
      <c r="B464" s="680"/>
      <c r="C464" s="676"/>
      <c r="D464" s="680"/>
      <c r="E464" s="680"/>
      <c r="F464" s="710"/>
      <c r="G464" s="680"/>
      <c r="H464" s="711"/>
      <c r="I464" s="680"/>
      <c r="J464" s="679"/>
      <c r="K464" s="680"/>
      <c r="L464" s="679"/>
      <c r="M464" s="680"/>
      <c r="N464" s="676"/>
      <c r="O464" s="680"/>
      <c r="P464" s="675"/>
      <c r="Q464" s="675"/>
      <c r="R464" s="675"/>
      <c r="S464" s="676"/>
      <c r="T464" s="714"/>
      <c r="U464" s="676"/>
      <c r="V464" s="678"/>
      <c r="W464" s="679"/>
      <c r="X464" s="679"/>
      <c r="Y464" s="679"/>
      <c r="Z464" s="679"/>
      <c r="AA464" s="679"/>
      <c r="AB464" s="679"/>
      <c r="AC464" s="678"/>
      <c r="AD464" s="678"/>
      <c r="AE464" s="680"/>
      <c r="AF464" s="679"/>
      <c r="AG464" s="679"/>
      <c r="AH464" s="679"/>
      <c r="AI464" s="679"/>
      <c r="AJ464" s="676"/>
      <c r="AK464" s="676"/>
      <c r="AL464" s="680"/>
    </row>
    <row r="465">
      <c r="A465" s="680"/>
      <c r="B465" s="680"/>
      <c r="C465" s="676"/>
      <c r="D465" s="680"/>
      <c r="E465" s="680"/>
      <c r="F465" s="710"/>
      <c r="G465" s="680"/>
      <c r="H465" s="711"/>
      <c r="I465" s="680"/>
      <c r="J465" s="679"/>
      <c r="K465" s="680"/>
      <c r="L465" s="679"/>
      <c r="M465" s="680"/>
      <c r="N465" s="676"/>
      <c r="O465" s="680"/>
      <c r="P465" s="675"/>
      <c r="Q465" s="675"/>
      <c r="R465" s="675"/>
      <c r="S465" s="676"/>
      <c r="T465" s="714"/>
      <c r="U465" s="676"/>
      <c r="V465" s="678"/>
      <c r="W465" s="679"/>
      <c r="X465" s="679"/>
      <c r="Y465" s="679"/>
      <c r="Z465" s="679"/>
      <c r="AA465" s="679"/>
      <c r="AB465" s="679"/>
      <c r="AC465" s="678"/>
      <c r="AD465" s="678"/>
      <c r="AE465" s="680"/>
      <c r="AF465" s="679"/>
      <c r="AG465" s="679"/>
      <c r="AH465" s="679"/>
      <c r="AI465" s="679"/>
      <c r="AJ465" s="676"/>
      <c r="AK465" s="676"/>
      <c r="AL465" s="680"/>
    </row>
    <row r="466">
      <c r="A466" s="680"/>
      <c r="B466" s="680"/>
      <c r="C466" s="676"/>
      <c r="D466" s="680"/>
      <c r="E466" s="680"/>
      <c r="F466" s="710"/>
      <c r="G466" s="680"/>
      <c r="H466" s="711"/>
      <c r="I466" s="680"/>
      <c r="J466" s="679"/>
      <c r="K466" s="680"/>
      <c r="L466" s="679"/>
      <c r="M466" s="680"/>
      <c r="N466" s="676"/>
      <c r="O466" s="680"/>
      <c r="P466" s="675"/>
      <c r="Q466" s="675"/>
      <c r="R466" s="675"/>
      <c r="S466" s="676"/>
      <c r="T466" s="714"/>
      <c r="U466" s="676"/>
      <c r="V466" s="678"/>
      <c r="W466" s="679"/>
      <c r="X466" s="679"/>
      <c r="Y466" s="679"/>
      <c r="Z466" s="679"/>
      <c r="AA466" s="679"/>
      <c r="AB466" s="679"/>
      <c r="AC466" s="678"/>
      <c r="AD466" s="678"/>
      <c r="AE466" s="680"/>
      <c r="AF466" s="680"/>
      <c r="AG466" s="680"/>
      <c r="AH466" s="680"/>
      <c r="AI466" s="680"/>
      <c r="AJ466" s="676"/>
      <c r="AK466" s="676"/>
      <c r="AL466" s="680"/>
    </row>
    <row r="467">
      <c r="A467" s="680"/>
      <c r="B467" s="680"/>
      <c r="C467" s="676"/>
      <c r="D467" s="680"/>
      <c r="E467" s="680"/>
      <c r="F467" s="710"/>
      <c r="G467" s="680"/>
      <c r="H467" s="711"/>
      <c r="I467" s="680"/>
      <c r="J467" s="679"/>
      <c r="K467" s="680"/>
      <c r="L467" s="679"/>
      <c r="M467" s="680"/>
      <c r="N467" s="676"/>
      <c r="O467" s="680"/>
      <c r="P467" s="675"/>
      <c r="Q467" s="675"/>
      <c r="R467" s="675"/>
      <c r="S467" s="676"/>
      <c r="T467" s="714"/>
      <c r="U467" s="676"/>
      <c r="V467" s="678"/>
      <c r="W467" s="679"/>
      <c r="X467" s="679"/>
      <c r="Y467" s="679"/>
      <c r="Z467" s="679"/>
      <c r="AA467" s="679"/>
      <c r="AB467" s="679"/>
      <c r="AC467" s="678"/>
      <c r="AD467" s="678"/>
      <c r="AE467" s="680"/>
      <c r="AF467" s="680"/>
      <c r="AG467" s="680"/>
      <c r="AH467" s="680"/>
      <c r="AI467" s="680"/>
      <c r="AJ467" s="676"/>
      <c r="AK467" s="676"/>
      <c r="AL467" s="679"/>
    </row>
    <row r="468">
      <c r="A468" s="680"/>
      <c r="B468" s="680"/>
      <c r="C468" s="676"/>
      <c r="D468" s="680"/>
      <c r="E468" s="680"/>
      <c r="F468" s="710"/>
      <c r="G468" s="680"/>
      <c r="H468" s="711"/>
      <c r="I468" s="680"/>
      <c r="J468" s="679"/>
      <c r="K468" s="680"/>
      <c r="L468" s="679"/>
      <c r="M468" s="680"/>
      <c r="N468" s="676"/>
      <c r="O468" s="680"/>
      <c r="P468" s="675"/>
      <c r="Q468" s="675"/>
      <c r="R468" s="675"/>
      <c r="S468" s="676"/>
      <c r="T468" s="714"/>
      <c r="U468" s="676"/>
      <c r="V468" s="678"/>
      <c r="W468" s="679"/>
      <c r="X468" s="679"/>
      <c r="Y468" s="679"/>
      <c r="Z468" s="679"/>
      <c r="AA468" s="679"/>
      <c r="AB468" s="679"/>
      <c r="AC468" s="678"/>
      <c r="AD468" s="678"/>
      <c r="AE468" s="680"/>
      <c r="AF468" s="680"/>
      <c r="AG468" s="680"/>
      <c r="AH468" s="680"/>
      <c r="AI468" s="680"/>
      <c r="AJ468" s="676"/>
      <c r="AK468" s="676"/>
      <c r="AL468" s="680"/>
    </row>
    <row r="469">
      <c r="A469" s="680"/>
      <c r="B469" s="680"/>
      <c r="C469" s="676"/>
      <c r="D469" s="680"/>
      <c r="E469" s="680"/>
      <c r="F469" s="710"/>
      <c r="G469" s="680"/>
      <c r="H469" s="711"/>
      <c r="I469" s="680"/>
      <c r="J469" s="679"/>
      <c r="K469" s="680"/>
      <c r="L469" s="679"/>
      <c r="M469" s="680"/>
      <c r="N469" s="676"/>
      <c r="O469" s="680"/>
      <c r="P469" s="675"/>
      <c r="Q469" s="675"/>
      <c r="R469" s="675"/>
      <c r="S469" s="676"/>
      <c r="T469" s="714"/>
      <c r="U469" s="676"/>
      <c r="V469" s="678"/>
      <c r="W469" s="679"/>
      <c r="X469" s="679"/>
      <c r="Y469" s="679"/>
      <c r="Z469" s="679"/>
      <c r="AA469" s="679"/>
      <c r="AB469" s="679"/>
      <c r="AC469" s="678"/>
      <c r="AD469" s="678"/>
      <c r="AE469" s="680"/>
      <c r="AF469" s="680"/>
      <c r="AG469" s="680"/>
      <c r="AH469" s="680"/>
      <c r="AI469" s="680"/>
      <c r="AJ469" s="676"/>
      <c r="AK469" s="676"/>
      <c r="AL469" s="679"/>
    </row>
    <row r="470">
      <c r="A470" s="680"/>
      <c r="B470" s="680"/>
      <c r="C470" s="676"/>
      <c r="D470" s="680"/>
      <c r="E470" s="680"/>
      <c r="F470" s="710"/>
      <c r="G470" s="680"/>
      <c r="H470" s="711"/>
      <c r="I470" s="680"/>
      <c r="J470" s="679"/>
      <c r="K470" s="680"/>
      <c r="L470" s="679"/>
      <c r="M470" s="680"/>
      <c r="N470" s="676"/>
      <c r="O470" s="680"/>
      <c r="P470" s="675"/>
      <c r="Q470" s="676"/>
      <c r="R470" s="675"/>
      <c r="S470" s="676"/>
      <c r="T470" s="714"/>
      <c r="U470" s="676"/>
      <c r="V470" s="678"/>
      <c r="W470" s="679"/>
      <c r="X470" s="679"/>
      <c r="Y470" s="679"/>
      <c r="Z470" s="679"/>
      <c r="AA470" s="679"/>
      <c r="AB470" s="679"/>
      <c r="AC470" s="678"/>
      <c r="AD470" s="678"/>
      <c r="AE470" s="680"/>
      <c r="AF470" s="680"/>
      <c r="AG470" s="680"/>
      <c r="AH470" s="680"/>
      <c r="AI470" s="680"/>
      <c r="AJ470" s="676"/>
      <c r="AK470" s="676"/>
      <c r="AL470" s="679"/>
    </row>
    <row r="471">
      <c r="A471" s="680"/>
      <c r="B471" s="680"/>
      <c r="C471" s="676"/>
      <c r="D471" s="680"/>
      <c r="E471" s="680"/>
      <c r="F471" s="710"/>
      <c r="G471" s="680"/>
      <c r="H471" s="711"/>
      <c r="I471" s="680"/>
      <c r="J471" s="679"/>
      <c r="K471" s="680"/>
      <c r="L471" s="679"/>
      <c r="M471" s="680"/>
      <c r="N471" s="676"/>
      <c r="O471" s="680"/>
      <c r="P471" s="675"/>
      <c r="Q471" s="676"/>
      <c r="R471" s="675"/>
      <c r="S471" s="676"/>
      <c r="T471" s="714"/>
      <c r="U471" s="676"/>
      <c r="V471" s="678"/>
      <c r="W471" s="679"/>
      <c r="X471" s="679"/>
      <c r="Y471" s="679"/>
      <c r="Z471" s="679"/>
      <c r="AA471" s="679"/>
      <c r="AB471" s="679"/>
      <c r="AC471" s="678"/>
      <c r="AD471" s="678"/>
      <c r="AE471" s="680"/>
      <c r="AF471" s="680"/>
      <c r="AG471" s="680"/>
      <c r="AH471" s="680"/>
      <c r="AI471" s="680"/>
      <c r="AJ471" s="676"/>
      <c r="AK471" s="676"/>
      <c r="AL471" s="680"/>
    </row>
    <row r="472">
      <c r="A472" s="680"/>
      <c r="B472" s="680"/>
      <c r="C472" s="676"/>
      <c r="D472" s="680"/>
      <c r="E472" s="680"/>
      <c r="F472" s="710"/>
      <c r="G472" s="680"/>
      <c r="H472" s="711"/>
      <c r="I472" s="680"/>
      <c r="J472" s="679"/>
      <c r="K472" s="680"/>
      <c r="L472" s="679"/>
      <c r="M472" s="680"/>
      <c r="N472" s="676"/>
      <c r="O472" s="680"/>
      <c r="P472" s="675"/>
      <c r="Q472" s="676"/>
      <c r="R472" s="675"/>
      <c r="S472" s="676"/>
      <c r="T472" s="714"/>
      <c r="U472" s="676"/>
      <c r="V472" s="678"/>
      <c r="W472" s="679"/>
      <c r="X472" s="679"/>
      <c r="Y472" s="679"/>
      <c r="Z472" s="679"/>
      <c r="AA472" s="679"/>
      <c r="AB472" s="679"/>
      <c r="AC472" s="678"/>
      <c r="AD472" s="678"/>
      <c r="AE472" s="680"/>
      <c r="AF472" s="680"/>
      <c r="AG472" s="680"/>
      <c r="AH472" s="680"/>
      <c r="AI472" s="680"/>
      <c r="AJ472" s="676"/>
      <c r="AK472" s="676"/>
      <c r="AL472" s="679"/>
    </row>
    <row r="473">
      <c r="A473" s="716"/>
      <c r="C473" s="716"/>
      <c r="F473" s="429"/>
    </row>
    <row r="474">
      <c r="A474" s="716"/>
      <c r="C474" s="716"/>
      <c r="F474" s="429"/>
    </row>
    <row r="475">
      <c r="A475" s="716"/>
      <c r="C475" s="716"/>
      <c r="F475" s="429"/>
    </row>
    <row r="476">
      <c r="A476" s="716"/>
      <c r="C476" s="716"/>
      <c r="F476" s="429"/>
    </row>
    <row r="477">
      <c r="A477" s="716"/>
      <c r="C477" s="716"/>
      <c r="F477" s="429"/>
    </row>
    <row r="478">
      <c r="A478" s="716"/>
      <c r="C478" s="716"/>
      <c r="F478" s="429"/>
    </row>
    <row r="479">
      <c r="A479" s="716"/>
      <c r="C479" s="716"/>
      <c r="F479" s="429"/>
    </row>
    <row r="480">
      <c r="A480" s="716"/>
      <c r="C480" s="716"/>
      <c r="F480" s="429"/>
    </row>
    <row r="481">
      <c r="A481" s="716"/>
      <c r="C481" s="716"/>
      <c r="F481" s="429"/>
    </row>
    <row r="482">
      <c r="A482" s="716"/>
      <c r="C482" s="716"/>
      <c r="F482" s="429"/>
    </row>
    <row r="483">
      <c r="A483" s="716"/>
      <c r="C483" s="716"/>
      <c r="F483" s="429"/>
    </row>
    <row r="484">
      <c r="A484" s="716"/>
      <c r="C484" s="716"/>
      <c r="F484" s="429"/>
    </row>
    <row r="485">
      <c r="A485" s="716"/>
      <c r="C485" s="716"/>
      <c r="F485" s="429"/>
    </row>
    <row r="486">
      <c r="A486" s="716"/>
      <c r="C486" s="716"/>
      <c r="F486" s="429"/>
    </row>
    <row r="487">
      <c r="A487" s="716"/>
      <c r="C487" s="716"/>
      <c r="F487" s="429"/>
    </row>
    <row r="488">
      <c r="A488" s="716"/>
      <c r="C488" s="716"/>
      <c r="F488" s="429"/>
    </row>
    <row r="489">
      <c r="A489" s="716"/>
      <c r="C489" s="716"/>
      <c r="F489" s="429"/>
    </row>
    <row r="490">
      <c r="A490" s="716"/>
      <c r="C490" s="716"/>
      <c r="F490" s="429"/>
    </row>
    <row r="491">
      <c r="A491" s="716"/>
      <c r="C491" s="716"/>
      <c r="F491" s="429"/>
    </row>
    <row r="492">
      <c r="A492" s="716"/>
      <c r="C492" s="716"/>
      <c r="F492" s="429"/>
    </row>
    <row r="493">
      <c r="A493" s="716"/>
      <c r="C493" s="716"/>
      <c r="F493" s="429"/>
    </row>
    <row r="494">
      <c r="A494" s="716"/>
      <c r="C494" s="716"/>
      <c r="F494" s="429"/>
    </row>
    <row r="495">
      <c r="A495" s="716"/>
      <c r="C495" s="716"/>
      <c r="F495" s="429"/>
    </row>
    <row r="496">
      <c r="A496" s="716"/>
      <c r="C496" s="716"/>
      <c r="F496" s="429"/>
    </row>
    <row r="497">
      <c r="A497" s="716"/>
      <c r="C497" s="716"/>
      <c r="F497" s="429"/>
    </row>
    <row r="498">
      <c r="A498" s="716"/>
      <c r="C498" s="716"/>
      <c r="F498" s="429"/>
    </row>
    <row r="499">
      <c r="A499" s="716"/>
      <c r="C499" s="716"/>
      <c r="F499" s="429"/>
    </row>
    <row r="500">
      <c r="A500" s="716"/>
      <c r="C500" s="716"/>
      <c r="F500" s="429"/>
    </row>
    <row r="501">
      <c r="A501" s="716"/>
      <c r="C501" s="716"/>
      <c r="F501" s="429"/>
    </row>
    <row r="502">
      <c r="A502" s="716"/>
      <c r="C502" s="716"/>
      <c r="F502" s="429"/>
    </row>
    <row r="503">
      <c r="A503" s="716"/>
      <c r="C503" s="716"/>
      <c r="F503" s="429"/>
    </row>
    <row r="504">
      <c r="A504" s="716"/>
      <c r="C504" s="716"/>
      <c r="F504" s="429"/>
    </row>
    <row r="505">
      <c r="A505" s="716"/>
      <c r="C505" s="716"/>
      <c r="F505" s="429"/>
    </row>
    <row r="506">
      <c r="A506" s="716"/>
      <c r="C506" s="716"/>
      <c r="F506" s="429"/>
    </row>
    <row r="507">
      <c r="A507" s="716"/>
      <c r="C507" s="716"/>
      <c r="F507" s="429"/>
    </row>
    <row r="508">
      <c r="A508" s="716"/>
      <c r="C508" s="716"/>
      <c r="F508" s="429"/>
    </row>
    <row r="509">
      <c r="A509" s="716"/>
      <c r="C509" s="716"/>
      <c r="F509" s="429"/>
    </row>
    <row r="510">
      <c r="A510" s="716"/>
      <c r="C510" s="716"/>
      <c r="F510" s="429"/>
    </row>
    <row r="511">
      <c r="A511" s="716"/>
      <c r="C511" s="716"/>
      <c r="F511" s="429"/>
    </row>
    <row r="512">
      <c r="A512" s="716"/>
      <c r="C512" s="716"/>
      <c r="F512" s="429"/>
    </row>
    <row r="513">
      <c r="A513" s="716"/>
      <c r="C513" s="716"/>
      <c r="F513" s="429"/>
    </row>
    <row r="514">
      <c r="A514" s="716"/>
      <c r="C514" s="716"/>
      <c r="F514" s="429"/>
    </row>
    <row r="515">
      <c r="A515" s="716"/>
      <c r="C515" s="716"/>
      <c r="F515" s="429"/>
    </row>
    <row r="516">
      <c r="A516" s="716"/>
      <c r="C516" s="716"/>
      <c r="F516" s="429"/>
    </row>
    <row r="517">
      <c r="A517" s="716"/>
      <c r="C517" s="716"/>
      <c r="F517" s="429"/>
    </row>
    <row r="518">
      <c r="A518" s="716"/>
      <c r="C518" s="716"/>
      <c r="F518" s="429"/>
    </row>
    <row r="519">
      <c r="A519" s="716"/>
      <c r="C519" s="716"/>
      <c r="F519" s="429"/>
    </row>
    <row r="520">
      <c r="A520" s="716"/>
      <c r="C520" s="716"/>
      <c r="F520" s="429"/>
    </row>
    <row r="521">
      <c r="A521" s="716"/>
      <c r="C521" s="716"/>
      <c r="F521" s="429"/>
    </row>
    <row r="522">
      <c r="A522" s="716"/>
      <c r="C522" s="716"/>
      <c r="F522" s="429"/>
    </row>
    <row r="523">
      <c r="A523" s="716"/>
      <c r="C523" s="716"/>
      <c r="F523" s="429"/>
    </row>
    <row r="524">
      <c r="A524" s="716"/>
      <c r="C524" s="716"/>
      <c r="F524" s="429"/>
    </row>
    <row r="525">
      <c r="A525" s="716"/>
      <c r="C525" s="716"/>
      <c r="F525" s="429"/>
    </row>
    <row r="526">
      <c r="A526" s="716"/>
      <c r="C526" s="716"/>
      <c r="F526" s="429"/>
    </row>
    <row r="527">
      <c r="A527" s="716"/>
      <c r="C527" s="716"/>
      <c r="F527" s="429"/>
    </row>
    <row r="528">
      <c r="A528" s="716"/>
      <c r="C528" s="716"/>
      <c r="F528" s="429"/>
    </row>
    <row r="529">
      <c r="A529" s="716"/>
      <c r="C529" s="716"/>
      <c r="F529" s="429"/>
    </row>
    <row r="530">
      <c r="A530" s="716"/>
      <c r="C530" s="716"/>
      <c r="F530" s="429"/>
    </row>
    <row r="531">
      <c r="A531" s="716"/>
      <c r="C531" s="716"/>
      <c r="F531" s="429"/>
    </row>
    <row r="532">
      <c r="A532" s="716"/>
      <c r="C532" s="716"/>
      <c r="F532" s="429"/>
    </row>
    <row r="533">
      <c r="A533" s="716"/>
      <c r="C533" s="716"/>
      <c r="F533" s="429"/>
    </row>
    <row r="534">
      <c r="A534" s="716"/>
      <c r="C534" s="716"/>
      <c r="F534" s="429"/>
    </row>
    <row r="535">
      <c r="A535" s="716"/>
      <c r="C535" s="716"/>
      <c r="F535" s="429"/>
    </row>
    <row r="536">
      <c r="A536" s="716"/>
      <c r="C536" s="716"/>
      <c r="F536" s="429"/>
    </row>
    <row r="537">
      <c r="A537" s="716"/>
      <c r="C537" s="716"/>
      <c r="F537" s="429"/>
    </row>
    <row r="538">
      <c r="A538" s="716"/>
      <c r="C538" s="716"/>
      <c r="F538" s="429"/>
    </row>
    <row r="539">
      <c r="A539" s="716"/>
      <c r="C539" s="716"/>
      <c r="F539" s="429"/>
    </row>
    <row r="540">
      <c r="A540" s="716"/>
      <c r="C540" s="716"/>
      <c r="F540" s="429"/>
    </row>
    <row r="541">
      <c r="A541" s="716"/>
      <c r="C541" s="716"/>
      <c r="F541" s="429"/>
    </row>
    <row r="542">
      <c r="A542" s="716"/>
      <c r="C542" s="716"/>
      <c r="F542" s="429"/>
    </row>
    <row r="543">
      <c r="A543" s="716"/>
      <c r="C543" s="716"/>
      <c r="F543" s="429"/>
    </row>
    <row r="544">
      <c r="A544" s="716"/>
      <c r="C544" s="716"/>
      <c r="F544" s="429"/>
    </row>
    <row r="545">
      <c r="A545" s="716"/>
      <c r="C545" s="716"/>
      <c r="F545" s="429"/>
    </row>
    <row r="546">
      <c r="A546" s="716"/>
      <c r="C546" s="716"/>
      <c r="F546" s="429"/>
    </row>
    <row r="547">
      <c r="A547" s="716"/>
      <c r="C547" s="716"/>
      <c r="F547" s="429"/>
    </row>
    <row r="548">
      <c r="A548" s="716"/>
      <c r="C548" s="716"/>
      <c r="F548" s="429"/>
    </row>
    <row r="549">
      <c r="A549" s="716"/>
      <c r="C549" s="716"/>
      <c r="F549" s="429"/>
    </row>
    <row r="550">
      <c r="A550" s="716"/>
      <c r="C550" s="716"/>
      <c r="F550" s="429"/>
    </row>
    <row r="551">
      <c r="A551" s="716"/>
      <c r="C551" s="716"/>
      <c r="F551" s="429"/>
    </row>
    <row r="552">
      <c r="A552" s="716"/>
      <c r="C552" s="716"/>
      <c r="F552" s="429"/>
    </row>
    <row r="553">
      <c r="A553" s="716"/>
      <c r="C553" s="716"/>
      <c r="F553" s="429"/>
    </row>
    <row r="554">
      <c r="A554" s="716"/>
      <c r="C554" s="716"/>
      <c r="F554" s="429"/>
    </row>
    <row r="555">
      <c r="A555" s="716"/>
      <c r="C555" s="716"/>
      <c r="F555" s="429"/>
    </row>
    <row r="556">
      <c r="A556" s="716"/>
      <c r="C556" s="716"/>
      <c r="F556" s="429"/>
    </row>
    <row r="557">
      <c r="A557" s="716"/>
      <c r="C557" s="716"/>
      <c r="F557" s="429"/>
    </row>
    <row r="558">
      <c r="A558" s="716"/>
      <c r="C558" s="716"/>
      <c r="F558" s="429"/>
    </row>
    <row r="559">
      <c r="A559" s="716"/>
      <c r="C559" s="716"/>
      <c r="F559" s="429"/>
    </row>
    <row r="560">
      <c r="A560" s="716"/>
      <c r="C560" s="716"/>
      <c r="F560" s="429"/>
    </row>
    <row r="561">
      <c r="A561" s="716"/>
      <c r="C561" s="716"/>
      <c r="F561" s="429"/>
    </row>
    <row r="562">
      <c r="A562" s="716"/>
      <c r="C562" s="716"/>
      <c r="F562" s="429"/>
    </row>
    <row r="563">
      <c r="A563" s="716"/>
      <c r="C563" s="716"/>
      <c r="F563" s="429"/>
    </row>
    <row r="564">
      <c r="A564" s="716"/>
      <c r="C564" s="716"/>
      <c r="F564" s="429"/>
    </row>
    <row r="565">
      <c r="A565" s="716"/>
      <c r="C565" s="716"/>
      <c r="F565" s="429"/>
    </row>
    <row r="566">
      <c r="A566" s="716"/>
      <c r="C566" s="716"/>
      <c r="F566" s="429"/>
    </row>
    <row r="567">
      <c r="A567" s="716"/>
      <c r="C567" s="716"/>
      <c r="F567" s="429"/>
    </row>
    <row r="568">
      <c r="A568" s="716"/>
      <c r="C568" s="716"/>
      <c r="F568" s="429"/>
    </row>
    <row r="569">
      <c r="A569" s="716"/>
      <c r="C569" s="716"/>
      <c r="F569" s="429"/>
    </row>
    <row r="570">
      <c r="A570" s="716"/>
      <c r="C570" s="716"/>
      <c r="F570" s="429"/>
    </row>
    <row r="571">
      <c r="A571" s="716"/>
      <c r="C571" s="716"/>
      <c r="F571" s="429"/>
    </row>
    <row r="572">
      <c r="A572" s="716"/>
      <c r="C572" s="716"/>
      <c r="F572" s="429"/>
    </row>
    <row r="573">
      <c r="A573" s="716"/>
      <c r="C573" s="716"/>
      <c r="F573" s="429"/>
    </row>
    <row r="574">
      <c r="A574" s="716"/>
      <c r="C574" s="716"/>
      <c r="F574" s="429"/>
    </row>
    <row r="575">
      <c r="A575" s="716"/>
      <c r="C575" s="716"/>
      <c r="F575" s="429"/>
    </row>
    <row r="576">
      <c r="A576" s="716"/>
      <c r="C576" s="716"/>
      <c r="F576" s="429"/>
    </row>
    <row r="577">
      <c r="A577" s="716"/>
      <c r="C577" s="716"/>
      <c r="F577" s="429"/>
    </row>
    <row r="578">
      <c r="A578" s="716"/>
      <c r="C578" s="716"/>
      <c r="F578" s="429"/>
    </row>
    <row r="579">
      <c r="A579" s="716"/>
      <c r="C579" s="716"/>
      <c r="F579" s="429"/>
    </row>
    <row r="580">
      <c r="A580" s="716"/>
      <c r="C580" s="716"/>
      <c r="F580" s="429"/>
    </row>
    <row r="581">
      <c r="A581" s="716"/>
      <c r="C581" s="716"/>
      <c r="F581" s="429"/>
    </row>
    <row r="582">
      <c r="A582" s="716"/>
      <c r="C582" s="716"/>
      <c r="F582" s="429"/>
    </row>
    <row r="583">
      <c r="A583" s="716"/>
      <c r="C583" s="716"/>
      <c r="F583" s="429"/>
    </row>
    <row r="584">
      <c r="A584" s="716"/>
      <c r="C584" s="716"/>
      <c r="F584" s="429"/>
    </row>
    <row r="585">
      <c r="A585" s="716"/>
      <c r="C585" s="716"/>
      <c r="F585" s="429"/>
    </row>
    <row r="586">
      <c r="A586" s="716"/>
      <c r="C586" s="716"/>
      <c r="F586" s="429"/>
    </row>
    <row r="587">
      <c r="A587" s="716"/>
      <c r="C587" s="716"/>
      <c r="F587" s="429"/>
    </row>
    <row r="588">
      <c r="A588" s="716"/>
      <c r="C588" s="716"/>
      <c r="F588" s="429"/>
    </row>
    <row r="589">
      <c r="A589" s="716"/>
      <c r="C589" s="716"/>
      <c r="F589" s="429"/>
    </row>
    <row r="590">
      <c r="A590" s="716"/>
      <c r="C590" s="716"/>
      <c r="F590" s="429"/>
    </row>
    <row r="591">
      <c r="A591" s="716"/>
      <c r="C591" s="716"/>
      <c r="F591" s="429"/>
    </row>
    <row r="592">
      <c r="A592" s="716"/>
      <c r="C592" s="716"/>
      <c r="F592" s="429"/>
    </row>
    <row r="593">
      <c r="A593" s="716"/>
      <c r="C593" s="716"/>
      <c r="F593" s="429"/>
    </row>
    <row r="594">
      <c r="A594" s="716"/>
      <c r="C594" s="716"/>
      <c r="F594" s="429"/>
    </row>
    <row r="595">
      <c r="A595" s="716"/>
      <c r="C595" s="716"/>
      <c r="F595" s="429"/>
    </row>
    <row r="596">
      <c r="A596" s="716"/>
      <c r="C596" s="716"/>
      <c r="F596" s="429"/>
    </row>
    <row r="597">
      <c r="A597" s="716"/>
      <c r="C597" s="716"/>
      <c r="F597" s="429"/>
    </row>
    <row r="598">
      <c r="A598" s="716"/>
      <c r="C598" s="716"/>
      <c r="F598" s="429"/>
    </row>
    <row r="599">
      <c r="A599" s="716"/>
      <c r="C599" s="716"/>
      <c r="F599" s="429"/>
    </row>
    <row r="600">
      <c r="A600" s="716"/>
      <c r="C600" s="716"/>
      <c r="F600" s="429"/>
    </row>
    <row r="601">
      <c r="A601" s="716"/>
      <c r="C601" s="716"/>
      <c r="F601" s="429"/>
    </row>
    <row r="602">
      <c r="A602" s="716"/>
      <c r="C602" s="716"/>
      <c r="F602" s="429"/>
    </row>
    <row r="603">
      <c r="A603" s="716"/>
      <c r="C603" s="716"/>
      <c r="F603" s="429"/>
    </row>
    <row r="604">
      <c r="A604" s="716"/>
      <c r="C604" s="716"/>
      <c r="F604" s="429"/>
    </row>
    <row r="605">
      <c r="A605" s="716"/>
      <c r="C605" s="716"/>
      <c r="F605" s="429"/>
    </row>
    <row r="606">
      <c r="A606" s="716"/>
      <c r="C606" s="716"/>
      <c r="F606" s="429"/>
    </row>
    <row r="607">
      <c r="A607" s="716"/>
      <c r="C607" s="716"/>
      <c r="F607" s="429"/>
    </row>
    <row r="608">
      <c r="A608" s="716"/>
      <c r="C608" s="716"/>
      <c r="F608" s="429"/>
    </row>
    <row r="609">
      <c r="A609" s="716"/>
      <c r="C609" s="716"/>
      <c r="F609" s="429"/>
    </row>
    <row r="610">
      <c r="A610" s="716"/>
      <c r="C610" s="716"/>
      <c r="F610" s="429"/>
    </row>
    <row r="611">
      <c r="A611" s="716"/>
      <c r="C611" s="716"/>
      <c r="F611" s="429"/>
    </row>
    <row r="612">
      <c r="A612" s="716"/>
      <c r="C612" s="716"/>
      <c r="F612" s="429"/>
    </row>
    <row r="613">
      <c r="A613" s="716"/>
      <c r="C613" s="716"/>
      <c r="F613" s="429"/>
    </row>
    <row r="614">
      <c r="A614" s="716"/>
      <c r="C614" s="716"/>
      <c r="F614" s="429"/>
    </row>
    <row r="615">
      <c r="A615" s="716"/>
      <c r="C615" s="716"/>
      <c r="F615" s="429"/>
    </row>
    <row r="616">
      <c r="A616" s="716"/>
      <c r="C616" s="716"/>
      <c r="F616" s="429"/>
    </row>
    <row r="617">
      <c r="A617" s="716"/>
      <c r="C617" s="716"/>
      <c r="F617" s="429"/>
    </row>
    <row r="618">
      <c r="A618" s="716"/>
      <c r="C618" s="716"/>
      <c r="F618" s="429"/>
    </row>
    <row r="619">
      <c r="A619" s="716"/>
      <c r="C619" s="716"/>
      <c r="F619" s="429"/>
    </row>
    <row r="620">
      <c r="A620" s="716"/>
      <c r="C620" s="716"/>
      <c r="F620" s="429"/>
    </row>
    <row r="621">
      <c r="A621" s="716"/>
      <c r="C621" s="716"/>
      <c r="F621" s="429"/>
    </row>
    <row r="622">
      <c r="A622" s="716"/>
      <c r="C622" s="716"/>
      <c r="F622" s="429"/>
    </row>
    <row r="623">
      <c r="A623" s="716"/>
      <c r="C623" s="716"/>
      <c r="F623" s="429"/>
    </row>
    <row r="624">
      <c r="A624" s="716"/>
      <c r="C624" s="716"/>
      <c r="F624" s="429"/>
    </row>
    <row r="625">
      <c r="A625" s="716"/>
      <c r="C625" s="716"/>
      <c r="F625" s="429"/>
    </row>
    <row r="626">
      <c r="A626" s="716"/>
      <c r="C626" s="716"/>
      <c r="F626" s="429"/>
    </row>
    <row r="627">
      <c r="A627" s="716"/>
      <c r="C627" s="716"/>
      <c r="F627" s="429"/>
    </row>
    <row r="628">
      <c r="A628" s="716"/>
      <c r="C628" s="716"/>
      <c r="F628" s="429"/>
    </row>
    <row r="629">
      <c r="A629" s="716"/>
      <c r="C629" s="716"/>
      <c r="F629" s="429"/>
    </row>
    <row r="630">
      <c r="A630" s="716"/>
      <c r="C630" s="716"/>
      <c r="F630" s="429"/>
    </row>
    <row r="631">
      <c r="A631" s="716"/>
      <c r="C631" s="716"/>
      <c r="F631" s="429"/>
    </row>
    <row r="632">
      <c r="A632" s="716"/>
      <c r="C632" s="716"/>
      <c r="F632" s="429"/>
    </row>
    <row r="633">
      <c r="A633" s="716"/>
      <c r="C633" s="716"/>
      <c r="F633" s="429"/>
    </row>
    <row r="634">
      <c r="A634" s="716"/>
      <c r="C634" s="716"/>
      <c r="F634" s="429"/>
    </row>
    <row r="635">
      <c r="A635" s="716"/>
      <c r="C635" s="716"/>
      <c r="F635" s="429"/>
    </row>
    <row r="636">
      <c r="A636" s="716"/>
      <c r="C636" s="716"/>
      <c r="F636" s="429"/>
    </row>
    <row r="637">
      <c r="A637" s="716"/>
      <c r="C637" s="716"/>
      <c r="F637" s="429"/>
    </row>
    <row r="638">
      <c r="A638" s="716"/>
      <c r="C638" s="716"/>
      <c r="F638" s="429"/>
    </row>
    <row r="639">
      <c r="A639" s="716"/>
      <c r="C639" s="716"/>
      <c r="F639" s="429"/>
    </row>
    <row r="640">
      <c r="A640" s="716"/>
      <c r="C640" s="716"/>
      <c r="F640" s="429"/>
    </row>
    <row r="641">
      <c r="A641" s="716"/>
      <c r="C641" s="716"/>
      <c r="F641" s="429"/>
    </row>
    <row r="642">
      <c r="A642" s="716"/>
      <c r="C642" s="716"/>
      <c r="F642" s="429"/>
    </row>
    <row r="643">
      <c r="A643" s="716"/>
      <c r="C643" s="716"/>
      <c r="F643" s="429"/>
    </row>
    <row r="644">
      <c r="A644" s="716"/>
      <c r="C644" s="716"/>
      <c r="F644" s="429"/>
    </row>
    <row r="645">
      <c r="A645" s="716"/>
      <c r="C645" s="716"/>
      <c r="F645" s="429"/>
    </row>
    <row r="646">
      <c r="A646" s="716"/>
      <c r="C646" s="716"/>
      <c r="F646" s="429"/>
    </row>
    <row r="647">
      <c r="A647" s="716"/>
      <c r="C647" s="716"/>
      <c r="F647" s="429"/>
    </row>
    <row r="648">
      <c r="A648" s="716"/>
      <c r="C648" s="716"/>
      <c r="F648" s="429"/>
    </row>
    <row r="649">
      <c r="A649" s="716"/>
      <c r="C649" s="716"/>
      <c r="F649" s="429"/>
    </row>
    <row r="650">
      <c r="A650" s="716"/>
      <c r="C650" s="716"/>
      <c r="F650" s="429"/>
    </row>
    <row r="651">
      <c r="A651" s="716"/>
      <c r="C651" s="716"/>
      <c r="F651" s="429"/>
    </row>
    <row r="652">
      <c r="A652" s="716"/>
      <c r="C652" s="716"/>
      <c r="F652" s="429"/>
    </row>
    <row r="653">
      <c r="A653" s="716"/>
      <c r="C653" s="716"/>
      <c r="F653" s="429"/>
    </row>
    <row r="654">
      <c r="A654" s="716"/>
      <c r="C654" s="716"/>
      <c r="F654" s="429"/>
    </row>
    <row r="655">
      <c r="A655" s="716"/>
      <c r="C655" s="716"/>
      <c r="F655" s="429"/>
    </row>
    <row r="656">
      <c r="A656" s="716"/>
      <c r="C656" s="716"/>
      <c r="F656" s="429"/>
    </row>
    <row r="657">
      <c r="A657" s="716"/>
      <c r="C657" s="716"/>
      <c r="F657" s="429"/>
    </row>
    <row r="658">
      <c r="A658" s="716"/>
      <c r="C658" s="716"/>
      <c r="F658" s="429"/>
    </row>
    <row r="659">
      <c r="A659" s="716"/>
      <c r="C659" s="716"/>
      <c r="F659" s="429"/>
    </row>
    <row r="660">
      <c r="A660" s="716"/>
      <c r="C660" s="716"/>
      <c r="F660" s="429"/>
    </row>
    <row r="661">
      <c r="A661" s="716"/>
      <c r="C661" s="716"/>
      <c r="F661" s="429"/>
    </row>
    <row r="662">
      <c r="A662" s="716"/>
      <c r="C662" s="716"/>
      <c r="F662" s="429"/>
    </row>
    <row r="663">
      <c r="A663" s="716"/>
      <c r="C663" s="716"/>
      <c r="F663" s="429"/>
    </row>
    <row r="664">
      <c r="A664" s="716"/>
      <c r="C664" s="716"/>
      <c r="F664" s="429"/>
    </row>
    <row r="665">
      <c r="A665" s="716"/>
      <c r="C665" s="716"/>
      <c r="F665" s="429"/>
    </row>
    <row r="666">
      <c r="A666" s="716"/>
      <c r="C666" s="716"/>
      <c r="F666" s="429"/>
    </row>
    <row r="667">
      <c r="A667" s="716"/>
      <c r="C667" s="716"/>
      <c r="F667" s="429"/>
    </row>
    <row r="668">
      <c r="A668" s="716"/>
      <c r="C668" s="716"/>
      <c r="F668" s="429"/>
    </row>
    <row r="669">
      <c r="A669" s="716"/>
      <c r="C669" s="716"/>
      <c r="F669" s="429"/>
    </row>
    <row r="670">
      <c r="A670" s="716"/>
      <c r="C670" s="716"/>
      <c r="F670" s="429"/>
    </row>
    <row r="671">
      <c r="A671" s="716"/>
      <c r="C671" s="716"/>
      <c r="F671" s="429"/>
    </row>
    <row r="672">
      <c r="A672" s="716"/>
      <c r="C672" s="716"/>
      <c r="F672" s="429"/>
    </row>
    <row r="673">
      <c r="A673" s="716"/>
      <c r="C673" s="716"/>
      <c r="F673" s="429"/>
    </row>
    <row r="674">
      <c r="A674" s="716"/>
      <c r="C674" s="716"/>
      <c r="F674" s="429"/>
    </row>
    <row r="675">
      <c r="A675" s="716"/>
      <c r="C675" s="716"/>
      <c r="F675" s="429"/>
    </row>
    <row r="676">
      <c r="A676" s="716"/>
      <c r="C676" s="716"/>
      <c r="F676" s="429"/>
    </row>
    <row r="677">
      <c r="A677" s="716"/>
      <c r="C677" s="716"/>
      <c r="F677" s="429"/>
    </row>
    <row r="678">
      <c r="A678" s="716"/>
      <c r="C678" s="716"/>
      <c r="F678" s="429"/>
    </row>
    <row r="679">
      <c r="A679" s="716"/>
      <c r="C679" s="716"/>
      <c r="F679" s="429"/>
    </row>
    <row r="680">
      <c r="A680" s="716"/>
      <c r="C680" s="716"/>
      <c r="F680" s="429"/>
    </row>
    <row r="681">
      <c r="A681" s="716"/>
      <c r="C681" s="716"/>
      <c r="F681" s="429"/>
    </row>
    <row r="682">
      <c r="A682" s="716"/>
      <c r="C682" s="716"/>
      <c r="F682" s="429"/>
    </row>
    <row r="683">
      <c r="A683" s="716"/>
      <c r="C683" s="716"/>
      <c r="F683" s="429"/>
    </row>
    <row r="684">
      <c r="A684" s="716"/>
      <c r="C684" s="716"/>
      <c r="F684" s="429"/>
    </row>
    <row r="685">
      <c r="A685" s="716"/>
      <c r="C685" s="716"/>
      <c r="F685" s="429"/>
    </row>
    <row r="686">
      <c r="A686" s="716"/>
      <c r="C686" s="716"/>
      <c r="F686" s="429"/>
    </row>
    <row r="687">
      <c r="A687" s="716"/>
      <c r="C687" s="716"/>
      <c r="F687" s="429"/>
    </row>
    <row r="688">
      <c r="A688" s="716"/>
      <c r="C688" s="716"/>
      <c r="F688" s="429"/>
    </row>
    <row r="689">
      <c r="A689" s="716"/>
      <c r="C689" s="716"/>
      <c r="F689" s="429"/>
    </row>
    <row r="690">
      <c r="A690" s="716"/>
      <c r="C690" s="716"/>
      <c r="F690" s="429"/>
    </row>
    <row r="691">
      <c r="A691" s="716"/>
      <c r="C691" s="716"/>
      <c r="F691" s="429"/>
    </row>
    <row r="692">
      <c r="A692" s="716"/>
      <c r="C692" s="716"/>
      <c r="F692" s="429"/>
    </row>
    <row r="693">
      <c r="A693" s="716"/>
      <c r="C693" s="716"/>
      <c r="F693" s="429"/>
    </row>
    <row r="694">
      <c r="A694" s="716"/>
      <c r="C694" s="716"/>
      <c r="F694" s="429"/>
    </row>
    <row r="695">
      <c r="A695" s="716"/>
      <c r="C695" s="716"/>
      <c r="F695" s="429"/>
    </row>
    <row r="696">
      <c r="A696" s="716"/>
      <c r="C696" s="716"/>
      <c r="F696" s="429"/>
    </row>
    <row r="697">
      <c r="A697" s="716"/>
      <c r="C697" s="716"/>
      <c r="F697" s="429"/>
    </row>
    <row r="698">
      <c r="A698" s="716"/>
      <c r="C698" s="716"/>
      <c r="F698" s="429"/>
    </row>
    <row r="699">
      <c r="A699" s="716"/>
      <c r="C699" s="716"/>
      <c r="F699" s="429"/>
    </row>
    <row r="700">
      <c r="A700" s="716"/>
      <c r="C700" s="716"/>
      <c r="F700" s="429"/>
    </row>
    <row r="701">
      <c r="A701" s="716"/>
      <c r="C701" s="716"/>
      <c r="F701" s="429"/>
    </row>
    <row r="702">
      <c r="A702" s="716"/>
      <c r="C702" s="716"/>
      <c r="F702" s="429"/>
    </row>
    <row r="703">
      <c r="A703" s="716"/>
      <c r="C703" s="716"/>
      <c r="F703" s="429"/>
    </row>
    <row r="704">
      <c r="A704" s="716"/>
      <c r="C704" s="716"/>
      <c r="F704" s="429"/>
    </row>
    <row r="705">
      <c r="A705" s="716"/>
      <c r="C705" s="716"/>
      <c r="F705" s="429"/>
    </row>
    <row r="706">
      <c r="A706" s="716"/>
      <c r="C706" s="716"/>
      <c r="F706" s="429"/>
    </row>
    <row r="707">
      <c r="A707" s="716"/>
      <c r="C707" s="716"/>
      <c r="F707" s="429"/>
    </row>
    <row r="708">
      <c r="A708" s="716"/>
      <c r="C708" s="716"/>
      <c r="F708" s="429"/>
    </row>
    <row r="709">
      <c r="A709" s="716"/>
      <c r="C709" s="716"/>
      <c r="F709" s="429"/>
    </row>
    <row r="710">
      <c r="A710" s="716"/>
      <c r="C710" s="716"/>
      <c r="F710" s="429"/>
    </row>
    <row r="711">
      <c r="A711" s="716"/>
      <c r="C711" s="716"/>
      <c r="F711" s="429"/>
    </row>
    <row r="712">
      <c r="A712" s="716"/>
      <c r="C712" s="716"/>
      <c r="F712" s="429"/>
    </row>
    <row r="713">
      <c r="A713" s="716"/>
      <c r="C713" s="716"/>
      <c r="F713" s="429"/>
    </row>
    <row r="714">
      <c r="A714" s="716"/>
      <c r="C714" s="716"/>
      <c r="F714" s="429"/>
    </row>
    <row r="715">
      <c r="A715" s="716"/>
      <c r="C715" s="716"/>
      <c r="F715" s="429"/>
    </row>
    <row r="716">
      <c r="A716" s="716"/>
      <c r="C716" s="716"/>
      <c r="F716" s="429"/>
    </row>
    <row r="717">
      <c r="A717" s="716"/>
      <c r="C717" s="716"/>
      <c r="F717" s="429"/>
    </row>
    <row r="718">
      <c r="A718" s="716"/>
      <c r="C718" s="716"/>
      <c r="F718" s="429"/>
    </row>
    <row r="719">
      <c r="A719" s="716"/>
      <c r="C719" s="716"/>
      <c r="F719" s="429"/>
    </row>
    <row r="720">
      <c r="A720" s="716"/>
      <c r="C720" s="716"/>
      <c r="F720" s="429"/>
    </row>
    <row r="721">
      <c r="A721" s="716"/>
      <c r="C721" s="716"/>
      <c r="F721" s="429"/>
    </row>
    <row r="722">
      <c r="A722" s="716"/>
      <c r="C722" s="716"/>
      <c r="F722" s="429"/>
    </row>
    <row r="723">
      <c r="A723" s="716"/>
      <c r="C723" s="716"/>
      <c r="F723" s="429"/>
    </row>
    <row r="724">
      <c r="A724" s="716"/>
      <c r="C724" s="716"/>
      <c r="F724" s="429"/>
    </row>
    <row r="725">
      <c r="A725" s="716"/>
      <c r="C725" s="716"/>
      <c r="F725" s="429"/>
    </row>
    <row r="726">
      <c r="A726" s="716"/>
      <c r="C726" s="716"/>
      <c r="F726" s="429"/>
    </row>
    <row r="727">
      <c r="A727" s="716"/>
      <c r="C727" s="716"/>
      <c r="F727" s="429"/>
    </row>
    <row r="728">
      <c r="A728" s="716"/>
      <c r="C728" s="716"/>
      <c r="F728" s="429"/>
    </row>
    <row r="729">
      <c r="A729" s="716"/>
      <c r="C729" s="716"/>
      <c r="F729" s="429"/>
    </row>
    <row r="730">
      <c r="A730" s="716"/>
      <c r="C730" s="716"/>
      <c r="F730" s="429"/>
    </row>
    <row r="731">
      <c r="A731" s="716"/>
      <c r="C731" s="716"/>
      <c r="F731" s="429"/>
    </row>
    <row r="732">
      <c r="A732" s="716"/>
      <c r="C732" s="716"/>
      <c r="F732" s="429"/>
    </row>
    <row r="733">
      <c r="A733" s="716"/>
      <c r="C733" s="716"/>
      <c r="F733" s="429"/>
    </row>
    <row r="734">
      <c r="A734" s="716"/>
      <c r="C734" s="716"/>
      <c r="F734" s="429"/>
    </row>
    <row r="735">
      <c r="A735" s="716"/>
      <c r="C735" s="716"/>
      <c r="F735" s="429"/>
    </row>
    <row r="736">
      <c r="A736" s="716"/>
      <c r="C736" s="716"/>
      <c r="F736" s="429"/>
    </row>
    <row r="737">
      <c r="A737" s="716"/>
      <c r="C737" s="716"/>
      <c r="F737" s="429"/>
    </row>
    <row r="738">
      <c r="A738" s="716"/>
      <c r="C738" s="716"/>
      <c r="F738" s="429"/>
    </row>
    <row r="739">
      <c r="A739" s="716"/>
      <c r="C739" s="716"/>
      <c r="F739" s="429"/>
    </row>
    <row r="740">
      <c r="A740" s="716"/>
      <c r="C740" s="716"/>
      <c r="F740" s="429"/>
    </row>
    <row r="741">
      <c r="A741" s="716"/>
      <c r="C741" s="716"/>
      <c r="F741" s="429"/>
    </row>
    <row r="742">
      <c r="A742" s="716"/>
      <c r="C742" s="716"/>
      <c r="F742" s="429"/>
    </row>
    <row r="743">
      <c r="A743" s="716"/>
      <c r="C743" s="716"/>
      <c r="F743" s="429"/>
    </row>
    <row r="744">
      <c r="A744" s="716"/>
      <c r="C744" s="716"/>
      <c r="F744" s="429"/>
    </row>
    <row r="745">
      <c r="A745" s="716"/>
      <c r="C745" s="716"/>
      <c r="F745" s="429"/>
    </row>
    <row r="746">
      <c r="A746" s="716"/>
      <c r="C746" s="716"/>
      <c r="F746" s="429"/>
    </row>
    <row r="747">
      <c r="A747" s="716"/>
      <c r="C747" s="716"/>
      <c r="F747" s="429"/>
    </row>
    <row r="748">
      <c r="A748" s="716"/>
      <c r="C748" s="716"/>
      <c r="F748" s="429"/>
    </row>
    <row r="749">
      <c r="A749" s="716"/>
      <c r="C749" s="716"/>
      <c r="F749" s="429"/>
    </row>
    <row r="750">
      <c r="A750" s="716"/>
      <c r="C750" s="716"/>
      <c r="F750" s="429"/>
    </row>
    <row r="751">
      <c r="A751" s="716"/>
      <c r="C751" s="716"/>
      <c r="F751" s="429"/>
    </row>
    <row r="752">
      <c r="A752" s="716"/>
      <c r="C752" s="716"/>
      <c r="F752" s="429"/>
    </row>
    <row r="753">
      <c r="A753" s="716"/>
      <c r="C753" s="716"/>
      <c r="F753" s="429"/>
    </row>
    <row r="754">
      <c r="A754" s="716"/>
      <c r="C754" s="716"/>
      <c r="F754" s="429"/>
    </row>
    <row r="755">
      <c r="A755" s="716"/>
      <c r="C755" s="716"/>
      <c r="F755" s="429"/>
    </row>
    <row r="756">
      <c r="A756" s="716"/>
      <c r="C756" s="716"/>
      <c r="F756" s="429"/>
    </row>
    <row r="757">
      <c r="A757" s="716"/>
      <c r="C757" s="716"/>
      <c r="F757" s="429"/>
    </row>
    <row r="758">
      <c r="A758" s="716"/>
      <c r="C758" s="716"/>
      <c r="F758" s="429"/>
    </row>
    <row r="759">
      <c r="A759" s="716"/>
      <c r="C759" s="716"/>
      <c r="F759" s="429"/>
    </row>
    <row r="760">
      <c r="A760" s="716"/>
      <c r="C760" s="716"/>
      <c r="F760" s="429"/>
    </row>
    <row r="761">
      <c r="A761" s="716"/>
      <c r="C761" s="716"/>
      <c r="F761" s="429"/>
    </row>
    <row r="762">
      <c r="A762" s="716"/>
      <c r="C762" s="716"/>
      <c r="F762" s="429"/>
    </row>
    <row r="763">
      <c r="A763" s="716"/>
      <c r="C763" s="716"/>
      <c r="F763" s="429"/>
    </row>
    <row r="764">
      <c r="A764" s="716"/>
      <c r="C764" s="716"/>
      <c r="F764" s="429"/>
    </row>
    <row r="765">
      <c r="A765" s="716"/>
      <c r="C765" s="716"/>
      <c r="F765" s="429"/>
    </row>
    <row r="766">
      <c r="A766" s="716"/>
      <c r="C766" s="716"/>
      <c r="F766" s="429"/>
    </row>
    <row r="767">
      <c r="A767" s="716"/>
      <c r="C767" s="716"/>
      <c r="F767" s="429"/>
    </row>
    <row r="768">
      <c r="A768" s="716"/>
      <c r="C768" s="716"/>
      <c r="F768" s="429"/>
    </row>
    <row r="769">
      <c r="A769" s="716"/>
      <c r="C769" s="716"/>
      <c r="F769" s="429"/>
    </row>
    <row r="770">
      <c r="A770" s="716"/>
      <c r="C770" s="716"/>
      <c r="F770" s="429"/>
    </row>
    <row r="771">
      <c r="A771" s="716"/>
      <c r="C771" s="716"/>
      <c r="F771" s="429"/>
    </row>
    <row r="772">
      <c r="A772" s="716"/>
      <c r="C772" s="716"/>
      <c r="F772" s="429"/>
    </row>
    <row r="773">
      <c r="A773" s="716"/>
      <c r="C773" s="716"/>
      <c r="F773" s="429"/>
    </row>
    <row r="774">
      <c r="A774" s="716"/>
      <c r="C774" s="716"/>
      <c r="F774" s="429"/>
    </row>
    <row r="775">
      <c r="A775" s="716"/>
      <c r="C775" s="716"/>
      <c r="F775" s="429"/>
    </row>
    <row r="776">
      <c r="A776" s="716"/>
      <c r="C776" s="716"/>
      <c r="F776" s="429"/>
    </row>
    <row r="777">
      <c r="A777" s="716"/>
      <c r="C777" s="716"/>
      <c r="F777" s="429"/>
    </row>
    <row r="778">
      <c r="A778" s="716"/>
      <c r="C778" s="716"/>
      <c r="F778" s="429"/>
    </row>
    <row r="779">
      <c r="A779" s="716"/>
      <c r="C779" s="716"/>
      <c r="F779" s="429"/>
    </row>
    <row r="780">
      <c r="A780" s="716"/>
      <c r="C780" s="716"/>
      <c r="F780" s="429"/>
    </row>
    <row r="781">
      <c r="A781" s="716"/>
      <c r="C781" s="716"/>
      <c r="F781" s="429"/>
    </row>
    <row r="782">
      <c r="A782" s="716"/>
      <c r="C782" s="716"/>
      <c r="F782" s="429"/>
    </row>
    <row r="783">
      <c r="A783" s="716"/>
      <c r="C783" s="716"/>
      <c r="F783" s="429"/>
    </row>
    <row r="784">
      <c r="A784" s="716"/>
      <c r="C784" s="716"/>
      <c r="F784" s="429"/>
    </row>
    <row r="785">
      <c r="A785" s="716"/>
      <c r="C785" s="716"/>
      <c r="F785" s="429"/>
    </row>
    <row r="786">
      <c r="A786" s="716"/>
      <c r="C786" s="716"/>
      <c r="F786" s="429"/>
    </row>
    <row r="787">
      <c r="A787" s="716"/>
      <c r="C787" s="716"/>
      <c r="F787" s="429"/>
    </row>
    <row r="788">
      <c r="A788" s="716"/>
      <c r="C788" s="716"/>
      <c r="F788" s="429"/>
    </row>
    <row r="789">
      <c r="A789" s="716"/>
      <c r="C789" s="716"/>
      <c r="F789" s="429"/>
    </row>
    <row r="790">
      <c r="A790" s="716"/>
      <c r="C790" s="716"/>
      <c r="F790" s="429"/>
    </row>
    <row r="791">
      <c r="A791" s="716"/>
      <c r="C791" s="716"/>
      <c r="F791" s="429"/>
    </row>
    <row r="792">
      <c r="A792" s="716"/>
      <c r="C792" s="716"/>
      <c r="F792" s="429"/>
    </row>
    <row r="793">
      <c r="A793" s="716"/>
      <c r="C793" s="716"/>
      <c r="F793" s="429"/>
    </row>
    <row r="794">
      <c r="A794" s="716"/>
      <c r="C794" s="716"/>
      <c r="F794" s="429"/>
    </row>
    <row r="795">
      <c r="A795" s="716"/>
      <c r="C795" s="716"/>
      <c r="F795" s="429"/>
    </row>
    <row r="796">
      <c r="A796" s="716"/>
      <c r="C796" s="716"/>
      <c r="F796" s="429"/>
    </row>
    <row r="797">
      <c r="A797" s="716"/>
      <c r="C797" s="716"/>
      <c r="F797" s="429"/>
    </row>
    <row r="798">
      <c r="A798" s="716"/>
      <c r="C798" s="716"/>
      <c r="F798" s="429"/>
    </row>
    <row r="799">
      <c r="A799" s="716"/>
      <c r="C799" s="716"/>
      <c r="F799" s="429"/>
    </row>
    <row r="800">
      <c r="A800" s="716"/>
      <c r="C800" s="716"/>
      <c r="F800" s="429"/>
    </row>
    <row r="801">
      <c r="A801" s="716"/>
      <c r="C801" s="716"/>
      <c r="F801" s="429"/>
    </row>
    <row r="802">
      <c r="A802" s="716"/>
      <c r="C802" s="716"/>
      <c r="F802" s="429"/>
    </row>
    <row r="803">
      <c r="A803" s="716"/>
      <c r="C803" s="716"/>
      <c r="F803" s="429"/>
    </row>
    <row r="804">
      <c r="A804" s="716"/>
      <c r="C804" s="716"/>
      <c r="F804" s="429"/>
    </row>
    <row r="805">
      <c r="A805" s="716"/>
      <c r="C805" s="716"/>
      <c r="F805" s="429"/>
    </row>
    <row r="806">
      <c r="A806" s="716"/>
      <c r="C806" s="716"/>
      <c r="F806" s="429"/>
    </row>
    <row r="807">
      <c r="A807" s="716"/>
      <c r="C807" s="716"/>
      <c r="F807" s="429"/>
    </row>
    <row r="808">
      <c r="A808" s="716"/>
      <c r="C808" s="716"/>
      <c r="F808" s="429"/>
    </row>
    <row r="809">
      <c r="A809" s="716"/>
      <c r="C809" s="716"/>
      <c r="F809" s="429"/>
    </row>
    <row r="810">
      <c r="A810" s="716"/>
      <c r="C810" s="716"/>
      <c r="F810" s="429"/>
    </row>
    <row r="811">
      <c r="A811" s="716"/>
      <c r="C811" s="716"/>
      <c r="F811" s="429"/>
    </row>
    <row r="812">
      <c r="A812" s="716"/>
      <c r="C812" s="716"/>
      <c r="F812" s="429"/>
    </row>
    <row r="813">
      <c r="A813" s="716"/>
      <c r="C813" s="716"/>
      <c r="F813" s="429"/>
    </row>
    <row r="814">
      <c r="A814" s="716"/>
      <c r="C814" s="716"/>
      <c r="F814" s="429"/>
    </row>
    <row r="815">
      <c r="A815" s="716"/>
      <c r="C815" s="716"/>
      <c r="F815" s="429"/>
    </row>
    <row r="816">
      <c r="A816" s="716"/>
      <c r="C816" s="716"/>
      <c r="F816" s="429"/>
    </row>
    <row r="817">
      <c r="A817" s="716"/>
      <c r="C817" s="716"/>
      <c r="F817" s="429"/>
    </row>
    <row r="818">
      <c r="A818" s="716"/>
      <c r="C818" s="716"/>
      <c r="F818" s="429"/>
    </row>
    <row r="819">
      <c r="A819" s="716"/>
      <c r="C819" s="716"/>
      <c r="F819" s="429"/>
    </row>
    <row r="820">
      <c r="A820" s="716"/>
      <c r="C820" s="716"/>
      <c r="F820" s="429"/>
    </row>
    <row r="821">
      <c r="A821" s="716"/>
      <c r="C821" s="716"/>
      <c r="F821" s="429"/>
    </row>
    <row r="822">
      <c r="A822" s="716"/>
      <c r="C822" s="716"/>
      <c r="F822" s="429"/>
    </row>
    <row r="823">
      <c r="A823" s="716"/>
      <c r="C823" s="716"/>
      <c r="F823" s="429"/>
    </row>
    <row r="824">
      <c r="A824" s="716"/>
      <c r="C824" s="716"/>
      <c r="F824" s="429"/>
    </row>
    <row r="825">
      <c r="A825" s="716"/>
      <c r="C825" s="716"/>
      <c r="F825" s="429"/>
    </row>
    <row r="826">
      <c r="A826" s="716"/>
      <c r="C826" s="716"/>
      <c r="F826" s="429"/>
    </row>
    <row r="827">
      <c r="A827" s="716"/>
      <c r="C827" s="716"/>
      <c r="F827" s="429"/>
    </row>
    <row r="828">
      <c r="A828" s="716"/>
      <c r="C828" s="716"/>
      <c r="F828" s="429"/>
    </row>
    <row r="829">
      <c r="A829" s="716"/>
      <c r="C829" s="716"/>
      <c r="F829" s="429"/>
    </row>
    <row r="830">
      <c r="A830" s="716"/>
      <c r="C830" s="716"/>
      <c r="F830" s="429"/>
    </row>
    <row r="831">
      <c r="A831" s="716"/>
      <c r="C831" s="716"/>
      <c r="F831" s="429"/>
    </row>
    <row r="832">
      <c r="A832" s="716"/>
      <c r="C832" s="716"/>
      <c r="F832" s="429"/>
    </row>
    <row r="833">
      <c r="A833" s="716"/>
      <c r="C833" s="716"/>
      <c r="F833" s="429"/>
    </row>
    <row r="834">
      <c r="A834" s="716"/>
      <c r="C834" s="716"/>
      <c r="F834" s="429"/>
    </row>
    <row r="835">
      <c r="A835" s="716"/>
      <c r="C835" s="716"/>
      <c r="F835" s="429"/>
    </row>
    <row r="836">
      <c r="A836" s="716"/>
      <c r="C836" s="716"/>
      <c r="F836" s="429"/>
    </row>
    <row r="837">
      <c r="A837" s="716"/>
      <c r="C837" s="716"/>
      <c r="F837" s="429"/>
    </row>
    <row r="838">
      <c r="A838" s="716"/>
      <c r="C838" s="716"/>
      <c r="F838" s="429"/>
    </row>
    <row r="839">
      <c r="A839" s="716"/>
      <c r="C839" s="716"/>
      <c r="F839" s="429"/>
    </row>
    <row r="840">
      <c r="A840" s="716"/>
      <c r="C840" s="716"/>
      <c r="F840" s="429"/>
    </row>
    <row r="841">
      <c r="A841" s="716"/>
      <c r="C841" s="716"/>
      <c r="F841" s="429"/>
    </row>
    <row r="842">
      <c r="A842" s="716"/>
      <c r="C842" s="716"/>
      <c r="F842" s="429"/>
    </row>
    <row r="843">
      <c r="A843" s="716"/>
      <c r="C843" s="716"/>
      <c r="F843" s="429"/>
    </row>
    <row r="844">
      <c r="A844" s="716"/>
      <c r="C844" s="716"/>
      <c r="F844" s="429"/>
    </row>
    <row r="845">
      <c r="A845" s="716"/>
      <c r="C845" s="716"/>
      <c r="F845" s="429"/>
    </row>
    <row r="846">
      <c r="A846" s="716"/>
      <c r="C846" s="716"/>
      <c r="F846" s="429"/>
    </row>
    <row r="847">
      <c r="A847" s="716"/>
      <c r="C847" s="716"/>
      <c r="F847" s="429"/>
    </row>
    <row r="848">
      <c r="A848" s="716"/>
      <c r="C848" s="716"/>
      <c r="F848" s="429"/>
    </row>
    <row r="849">
      <c r="A849" s="716"/>
      <c r="C849" s="716"/>
      <c r="F849" s="429"/>
    </row>
    <row r="850">
      <c r="A850" s="716"/>
      <c r="C850" s="716"/>
      <c r="F850" s="429"/>
    </row>
    <row r="851">
      <c r="A851" s="716"/>
      <c r="C851" s="716"/>
      <c r="F851" s="429"/>
    </row>
    <row r="852">
      <c r="A852" s="716"/>
      <c r="C852" s="716"/>
      <c r="F852" s="429"/>
    </row>
    <row r="853">
      <c r="A853" s="716"/>
      <c r="C853" s="716"/>
      <c r="F853" s="429"/>
    </row>
    <row r="854">
      <c r="A854" s="716"/>
      <c r="C854" s="716"/>
      <c r="F854" s="429"/>
    </row>
    <row r="855">
      <c r="A855" s="716"/>
      <c r="C855" s="716"/>
      <c r="F855" s="429"/>
    </row>
    <row r="856">
      <c r="A856" s="716"/>
      <c r="C856" s="716"/>
      <c r="F856" s="429"/>
    </row>
    <row r="857">
      <c r="A857" s="716"/>
      <c r="C857" s="716"/>
      <c r="F857" s="429"/>
    </row>
    <row r="858">
      <c r="A858" s="716"/>
      <c r="C858" s="716"/>
      <c r="F858" s="429"/>
    </row>
    <row r="859">
      <c r="A859" s="716"/>
      <c r="C859" s="716"/>
      <c r="F859" s="429"/>
    </row>
    <row r="860">
      <c r="A860" s="716"/>
      <c r="C860" s="716"/>
      <c r="F860" s="429"/>
    </row>
    <row r="861">
      <c r="A861" s="716"/>
      <c r="C861" s="716"/>
      <c r="F861" s="429"/>
    </row>
    <row r="862">
      <c r="A862" s="716"/>
      <c r="C862" s="716"/>
      <c r="F862" s="429"/>
    </row>
    <row r="863">
      <c r="A863" s="716"/>
      <c r="C863" s="716"/>
      <c r="F863" s="429"/>
    </row>
    <row r="864">
      <c r="A864" s="716"/>
      <c r="C864" s="716"/>
      <c r="F864" s="429"/>
    </row>
    <row r="865">
      <c r="A865" s="716"/>
      <c r="C865" s="716"/>
      <c r="F865" s="429"/>
    </row>
    <row r="866">
      <c r="A866" s="716"/>
      <c r="C866" s="716"/>
      <c r="F866" s="429"/>
    </row>
    <row r="867">
      <c r="A867" s="716"/>
      <c r="C867" s="716"/>
      <c r="F867" s="429"/>
    </row>
    <row r="868">
      <c r="A868" s="716"/>
      <c r="C868" s="716"/>
      <c r="F868" s="429"/>
    </row>
    <row r="869">
      <c r="A869" s="716"/>
      <c r="C869" s="716"/>
      <c r="F869" s="429"/>
    </row>
    <row r="870">
      <c r="A870" s="716"/>
      <c r="C870" s="716"/>
      <c r="F870" s="429"/>
    </row>
    <row r="871">
      <c r="A871" s="716"/>
      <c r="C871" s="716"/>
      <c r="F871" s="429"/>
    </row>
    <row r="872">
      <c r="A872" s="716"/>
      <c r="C872" s="716"/>
      <c r="F872" s="429"/>
    </row>
    <row r="873">
      <c r="A873" s="716"/>
      <c r="C873" s="716"/>
      <c r="F873" s="429"/>
    </row>
    <row r="874">
      <c r="A874" s="716"/>
      <c r="C874" s="716"/>
      <c r="F874" s="429"/>
    </row>
    <row r="875">
      <c r="A875" s="716"/>
      <c r="C875" s="716"/>
      <c r="F875" s="429"/>
    </row>
    <row r="876">
      <c r="A876" s="716"/>
      <c r="C876" s="716"/>
      <c r="F876" s="429"/>
    </row>
    <row r="877">
      <c r="A877" s="716"/>
      <c r="C877" s="716"/>
      <c r="F877" s="429"/>
    </row>
    <row r="878">
      <c r="A878" s="716"/>
      <c r="C878" s="716"/>
      <c r="F878" s="429"/>
    </row>
    <row r="879">
      <c r="A879" s="716"/>
      <c r="C879" s="716"/>
      <c r="F879" s="429"/>
    </row>
    <row r="880">
      <c r="A880" s="716"/>
      <c r="C880" s="716"/>
      <c r="F880" s="429"/>
    </row>
    <row r="881">
      <c r="A881" s="716"/>
      <c r="C881" s="716"/>
      <c r="F881" s="429"/>
    </row>
    <row r="882">
      <c r="A882" s="716"/>
      <c r="C882" s="716"/>
      <c r="F882" s="429"/>
    </row>
    <row r="883">
      <c r="A883" s="716"/>
      <c r="C883" s="716"/>
      <c r="F883" s="429"/>
    </row>
    <row r="884">
      <c r="A884" s="716"/>
      <c r="C884" s="716"/>
      <c r="F884" s="429"/>
    </row>
    <row r="885">
      <c r="A885" s="716"/>
      <c r="C885" s="716"/>
      <c r="F885" s="429"/>
    </row>
    <row r="886">
      <c r="A886" s="716"/>
      <c r="C886" s="716"/>
      <c r="F886" s="429"/>
    </row>
    <row r="887">
      <c r="A887" s="716"/>
      <c r="C887" s="716"/>
      <c r="F887" s="429"/>
    </row>
    <row r="888">
      <c r="A888" s="716"/>
      <c r="C888" s="716"/>
      <c r="F888" s="429"/>
    </row>
    <row r="889">
      <c r="A889" s="716"/>
      <c r="C889" s="716"/>
      <c r="F889" s="429"/>
    </row>
    <row r="890">
      <c r="A890" s="716"/>
      <c r="C890" s="716"/>
      <c r="F890" s="429"/>
    </row>
    <row r="891">
      <c r="A891" s="716"/>
      <c r="C891" s="716"/>
      <c r="F891" s="429"/>
    </row>
    <row r="892">
      <c r="A892" s="716"/>
      <c r="C892" s="716"/>
      <c r="F892" s="429"/>
    </row>
    <row r="893">
      <c r="A893" s="716"/>
      <c r="C893" s="716"/>
      <c r="F893" s="429"/>
    </row>
    <row r="894">
      <c r="A894" s="716"/>
      <c r="C894" s="716"/>
      <c r="F894" s="429"/>
    </row>
    <row r="895">
      <c r="A895" s="716"/>
      <c r="C895" s="716"/>
      <c r="F895" s="429"/>
    </row>
    <row r="896">
      <c r="A896" s="716"/>
      <c r="C896" s="716"/>
      <c r="F896" s="429"/>
    </row>
    <row r="897">
      <c r="A897" s="716"/>
      <c r="C897" s="716"/>
      <c r="F897" s="429"/>
    </row>
    <row r="898">
      <c r="A898" s="716"/>
      <c r="C898" s="716"/>
      <c r="F898" s="429"/>
    </row>
    <row r="899">
      <c r="A899" s="716"/>
      <c r="C899" s="716"/>
      <c r="F899" s="429"/>
    </row>
    <row r="900">
      <c r="A900" s="716"/>
      <c r="C900" s="716"/>
      <c r="F900" s="429"/>
    </row>
    <row r="901">
      <c r="A901" s="716"/>
      <c r="C901" s="716"/>
      <c r="F901" s="429"/>
    </row>
    <row r="902">
      <c r="A902" s="716"/>
      <c r="C902" s="716"/>
      <c r="F902" s="429"/>
    </row>
    <row r="903">
      <c r="A903" s="716"/>
      <c r="C903" s="716"/>
      <c r="F903" s="429"/>
    </row>
    <row r="904">
      <c r="A904" s="716"/>
      <c r="C904" s="716"/>
      <c r="F904" s="429"/>
    </row>
    <row r="905">
      <c r="A905" s="716"/>
      <c r="C905" s="716"/>
      <c r="F905" s="429"/>
    </row>
    <row r="906">
      <c r="A906" s="716"/>
      <c r="C906" s="716"/>
      <c r="F906" s="429"/>
    </row>
    <row r="907">
      <c r="A907" s="716"/>
      <c r="C907" s="716"/>
      <c r="F907" s="429"/>
    </row>
    <row r="908">
      <c r="A908" s="716"/>
      <c r="C908" s="716"/>
      <c r="F908" s="429"/>
    </row>
    <row r="909">
      <c r="A909" s="716"/>
      <c r="C909" s="716"/>
      <c r="F909" s="429"/>
    </row>
    <row r="910">
      <c r="A910" s="716"/>
      <c r="C910" s="716"/>
      <c r="F910" s="429"/>
    </row>
    <row r="911">
      <c r="A911" s="716"/>
      <c r="C911" s="716"/>
      <c r="F911" s="429"/>
    </row>
    <row r="912">
      <c r="A912" s="716"/>
      <c r="C912" s="716"/>
      <c r="F912" s="429"/>
    </row>
    <row r="913">
      <c r="A913" s="716"/>
      <c r="C913" s="716"/>
      <c r="F913" s="429"/>
    </row>
    <row r="914">
      <c r="A914" s="716"/>
      <c r="C914" s="716"/>
      <c r="F914" s="429"/>
    </row>
    <row r="915">
      <c r="A915" s="716"/>
      <c r="C915" s="716"/>
      <c r="F915" s="429"/>
    </row>
    <row r="916">
      <c r="A916" s="716"/>
      <c r="C916" s="716"/>
      <c r="F916" s="429"/>
    </row>
    <row r="917">
      <c r="A917" s="716"/>
      <c r="C917" s="716"/>
      <c r="F917" s="429"/>
    </row>
    <row r="918">
      <c r="A918" s="716"/>
      <c r="C918" s="716"/>
      <c r="F918" s="429"/>
    </row>
    <row r="919">
      <c r="A919" s="716"/>
      <c r="C919" s="716"/>
      <c r="F919" s="429"/>
    </row>
    <row r="920">
      <c r="A920" s="716"/>
      <c r="C920" s="716"/>
      <c r="F920" s="429"/>
    </row>
    <row r="921">
      <c r="A921" s="716"/>
      <c r="C921" s="716"/>
      <c r="F921" s="429"/>
    </row>
    <row r="922">
      <c r="A922" s="716"/>
      <c r="C922" s="716"/>
      <c r="F922" s="429"/>
    </row>
    <row r="923">
      <c r="A923" s="716"/>
      <c r="C923" s="716"/>
      <c r="F923" s="429"/>
    </row>
    <row r="924">
      <c r="A924" s="716"/>
      <c r="C924" s="716"/>
      <c r="F924" s="429"/>
    </row>
    <row r="925">
      <c r="A925" s="716"/>
      <c r="C925" s="716"/>
      <c r="F925" s="429"/>
    </row>
    <row r="926">
      <c r="A926" s="716"/>
      <c r="C926" s="716"/>
      <c r="F926" s="429"/>
    </row>
    <row r="927">
      <c r="A927" s="716"/>
      <c r="C927" s="716"/>
      <c r="F927" s="429"/>
    </row>
    <row r="928">
      <c r="A928" s="716"/>
      <c r="C928" s="716"/>
      <c r="F928" s="429"/>
    </row>
    <row r="929">
      <c r="A929" s="716"/>
      <c r="C929" s="716"/>
      <c r="F929" s="429"/>
    </row>
    <row r="930">
      <c r="A930" s="716"/>
      <c r="C930" s="716"/>
      <c r="F930" s="429"/>
    </row>
    <row r="931">
      <c r="A931" s="716"/>
      <c r="C931" s="716"/>
      <c r="F931" s="429"/>
    </row>
    <row r="932">
      <c r="A932" s="716"/>
      <c r="C932" s="716"/>
      <c r="F932" s="429"/>
    </row>
    <row r="933">
      <c r="A933" s="716"/>
      <c r="C933" s="716"/>
      <c r="F933" s="429"/>
    </row>
    <row r="934">
      <c r="A934" s="716"/>
      <c r="C934" s="716"/>
      <c r="F934" s="429"/>
    </row>
    <row r="935">
      <c r="A935" s="716"/>
      <c r="C935" s="716"/>
      <c r="F935" s="429"/>
    </row>
    <row r="936">
      <c r="A936" s="716"/>
      <c r="C936" s="716"/>
      <c r="F936" s="429"/>
    </row>
    <row r="937">
      <c r="A937" s="716"/>
      <c r="C937" s="716"/>
      <c r="F937" s="429"/>
    </row>
    <row r="938">
      <c r="A938" s="716"/>
      <c r="C938" s="716"/>
      <c r="F938" s="429"/>
    </row>
    <row r="939">
      <c r="A939" s="716"/>
      <c r="C939" s="716"/>
      <c r="F939" s="429"/>
    </row>
    <row r="940">
      <c r="A940" s="716"/>
      <c r="C940" s="716"/>
      <c r="F940" s="429"/>
    </row>
    <row r="941">
      <c r="A941" s="716"/>
      <c r="C941" s="716"/>
      <c r="F941" s="429"/>
    </row>
    <row r="942">
      <c r="A942" s="716"/>
      <c r="C942" s="716"/>
      <c r="F942" s="429"/>
    </row>
    <row r="943">
      <c r="A943" s="716"/>
      <c r="C943" s="716"/>
      <c r="F943" s="429"/>
    </row>
    <row r="944">
      <c r="A944" s="716"/>
      <c r="C944" s="716"/>
      <c r="F944" s="429"/>
    </row>
    <row r="945">
      <c r="A945" s="716"/>
      <c r="C945" s="716"/>
      <c r="F945" s="429"/>
    </row>
    <row r="946">
      <c r="A946" s="716"/>
      <c r="C946" s="716"/>
      <c r="F946" s="429"/>
    </row>
    <row r="947">
      <c r="A947" s="716"/>
      <c r="C947" s="716"/>
      <c r="F947" s="429"/>
    </row>
    <row r="948">
      <c r="A948" s="716"/>
      <c r="C948" s="716"/>
      <c r="F948" s="429"/>
    </row>
    <row r="949">
      <c r="A949" s="716"/>
      <c r="C949" s="716"/>
      <c r="F949" s="429"/>
    </row>
    <row r="950">
      <c r="A950" s="716"/>
      <c r="C950" s="716"/>
      <c r="F950" s="429"/>
    </row>
    <row r="951">
      <c r="A951" s="716"/>
      <c r="C951" s="716"/>
      <c r="F951" s="429"/>
    </row>
    <row r="952">
      <c r="A952" s="716"/>
      <c r="C952" s="716"/>
      <c r="F952" s="429"/>
    </row>
    <row r="953">
      <c r="A953" s="716"/>
      <c r="C953" s="716"/>
      <c r="F953" s="429"/>
    </row>
    <row r="954">
      <c r="A954" s="716"/>
      <c r="C954" s="716"/>
      <c r="F954" s="429"/>
    </row>
    <row r="955">
      <c r="A955" s="716"/>
      <c r="C955" s="716"/>
      <c r="F955" s="429"/>
    </row>
    <row r="956">
      <c r="A956" s="716"/>
      <c r="C956" s="716"/>
      <c r="F956" s="429"/>
    </row>
    <row r="957">
      <c r="A957" s="716"/>
      <c r="C957" s="716"/>
      <c r="F957" s="429"/>
    </row>
    <row r="958">
      <c r="A958" s="716"/>
      <c r="C958" s="716"/>
      <c r="F958" s="429"/>
    </row>
    <row r="959">
      <c r="A959" s="716"/>
      <c r="C959" s="716"/>
      <c r="F959" s="429"/>
    </row>
    <row r="960">
      <c r="A960" s="716"/>
      <c r="C960" s="716"/>
      <c r="F960" s="429"/>
    </row>
    <row r="961">
      <c r="A961" s="716"/>
      <c r="C961" s="716"/>
      <c r="F961" s="429"/>
    </row>
    <row r="962">
      <c r="A962" s="716"/>
      <c r="C962" s="716"/>
      <c r="F962" s="429"/>
    </row>
    <row r="963">
      <c r="A963" s="716"/>
      <c r="C963" s="716"/>
      <c r="F963" s="429"/>
    </row>
    <row r="964">
      <c r="A964" s="716"/>
      <c r="C964" s="716"/>
      <c r="F964" s="429"/>
    </row>
    <row r="965">
      <c r="A965" s="716"/>
      <c r="C965" s="716"/>
      <c r="F965" s="429"/>
    </row>
    <row r="966">
      <c r="A966" s="716"/>
      <c r="C966" s="716"/>
      <c r="F966" s="429"/>
    </row>
    <row r="967">
      <c r="A967" s="716"/>
      <c r="C967" s="716"/>
      <c r="F967" s="429"/>
    </row>
    <row r="968">
      <c r="A968" s="716"/>
      <c r="C968" s="716"/>
      <c r="F968" s="429"/>
    </row>
    <row r="969">
      <c r="A969" s="716"/>
      <c r="C969" s="716"/>
      <c r="F969" s="429"/>
    </row>
    <row r="970">
      <c r="A970" s="716"/>
      <c r="C970" s="716"/>
      <c r="F970" s="429"/>
    </row>
    <row r="971">
      <c r="A971" s="716"/>
      <c r="C971" s="716"/>
      <c r="F971" s="429"/>
    </row>
    <row r="972">
      <c r="A972" s="716"/>
      <c r="C972" s="716"/>
      <c r="F972" s="429"/>
    </row>
    <row r="973">
      <c r="A973" s="716"/>
      <c r="C973" s="716"/>
      <c r="F973" s="429"/>
    </row>
    <row r="974">
      <c r="A974" s="716"/>
      <c r="C974" s="716"/>
      <c r="F974" s="429"/>
    </row>
    <row r="975">
      <c r="A975" s="716"/>
      <c r="C975" s="716"/>
      <c r="F975" s="429"/>
    </row>
    <row r="976">
      <c r="A976" s="716"/>
      <c r="C976" s="716"/>
      <c r="F976" s="429"/>
    </row>
    <row r="977">
      <c r="A977" s="716"/>
      <c r="C977" s="716"/>
      <c r="F977" s="429"/>
    </row>
    <row r="978">
      <c r="A978" s="716"/>
      <c r="C978" s="716"/>
      <c r="F978" s="429"/>
    </row>
    <row r="979">
      <c r="A979" s="716"/>
      <c r="C979" s="716"/>
      <c r="F979" s="429"/>
    </row>
    <row r="980">
      <c r="A980" s="716"/>
      <c r="C980" s="716"/>
      <c r="F980" s="429"/>
    </row>
    <row r="981">
      <c r="A981" s="716"/>
      <c r="C981" s="716"/>
      <c r="F981" s="429"/>
    </row>
    <row r="982">
      <c r="A982" s="716"/>
      <c r="C982" s="716"/>
      <c r="F982" s="429"/>
    </row>
    <row r="983">
      <c r="A983" s="716"/>
      <c r="C983" s="716"/>
      <c r="F983" s="429"/>
    </row>
    <row r="984">
      <c r="A984" s="716"/>
      <c r="C984" s="716"/>
      <c r="F984" s="429"/>
    </row>
    <row r="985">
      <c r="A985" s="716"/>
      <c r="C985" s="716"/>
      <c r="F985" s="429"/>
    </row>
    <row r="986">
      <c r="A986" s="716"/>
      <c r="C986" s="716"/>
      <c r="F986" s="429"/>
    </row>
    <row r="987">
      <c r="A987" s="716"/>
      <c r="C987" s="716"/>
      <c r="F987" s="429"/>
    </row>
    <row r="988">
      <c r="A988" s="716"/>
      <c r="C988" s="716"/>
      <c r="F988" s="429"/>
    </row>
    <row r="989">
      <c r="A989" s="716"/>
      <c r="C989" s="716"/>
      <c r="F989" s="429"/>
    </row>
    <row r="990">
      <c r="A990" s="716"/>
      <c r="C990" s="716"/>
      <c r="F990" s="429"/>
    </row>
    <row r="991">
      <c r="A991" s="716"/>
      <c r="C991" s="716"/>
      <c r="F991" s="429"/>
    </row>
    <row r="992">
      <c r="A992" s="716"/>
      <c r="C992" s="716"/>
      <c r="F992" s="429"/>
    </row>
    <row r="993">
      <c r="A993" s="716"/>
      <c r="C993" s="716"/>
      <c r="F993" s="429"/>
    </row>
    <row r="994">
      <c r="A994" s="716"/>
      <c r="C994" s="716"/>
      <c r="F994" s="429"/>
    </row>
    <row r="995">
      <c r="A995" s="716"/>
      <c r="C995" s="716"/>
      <c r="F995" s="429"/>
    </row>
    <row r="996">
      <c r="A996" s="716"/>
      <c r="C996" s="716"/>
      <c r="F996" s="429"/>
    </row>
    <row r="997">
      <c r="A997" s="716"/>
      <c r="C997" s="716"/>
      <c r="F997" s="429"/>
    </row>
    <row r="998">
      <c r="A998" s="716"/>
      <c r="C998" s="716"/>
      <c r="F998" s="429"/>
    </row>
    <row r="999">
      <c r="A999" s="716"/>
      <c r="C999" s="716"/>
      <c r="F999" s="429"/>
    </row>
    <row r="1000">
      <c r="A1000" s="716"/>
      <c r="C1000" s="716"/>
      <c r="F1000" s="429"/>
    </row>
  </sheetData>
  <mergeCells count="4">
    <mergeCell ref="B2:J2"/>
    <mergeCell ref="K2:O2"/>
    <mergeCell ref="B3:J3"/>
    <mergeCell ref="K3:O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5.75"/>
    <col customWidth="1" min="3" max="3" width="45.88"/>
  </cols>
  <sheetData>
    <row r="1">
      <c r="A1" s="695"/>
      <c r="B1" s="696"/>
      <c r="C1" s="696"/>
      <c r="D1" s="697"/>
      <c r="E1" s="696"/>
      <c r="F1" s="698"/>
      <c r="G1" s="699"/>
      <c r="H1" s="696"/>
      <c r="I1" s="696"/>
      <c r="J1" s="696"/>
      <c r="K1" s="696"/>
      <c r="L1" s="700"/>
    </row>
    <row r="2">
      <c r="A2" s="668"/>
      <c r="B2" s="701" t="s">
        <v>1365</v>
      </c>
      <c r="C2" s="702"/>
      <c r="D2" s="702"/>
      <c r="E2" s="702"/>
      <c r="F2" s="702"/>
      <c r="G2" s="702"/>
      <c r="H2" s="702"/>
      <c r="I2" s="702"/>
      <c r="J2" s="703"/>
      <c r="K2" s="704"/>
    </row>
    <row r="3">
      <c r="A3" s="668"/>
      <c r="B3" s="705" t="s">
        <v>1366</v>
      </c>
      <c r="C3" s="702"/>
      <c r="D3" s="702"/>
      <c r="E3" s="702"/>
      <c r="F3" s="702"/>
      <c r="G3" s="702"/>
      <c r="H3" s="702"/>
      <c r="I3" s="702"/>
      <c r="J3" s="703"/>
      <c r="K3" s="674" t="s">
        <v>1367</v>
      </c>
    </row>
    <row r="4">
      <c r="A4" s="682" t="s">
        <v>1368</v>
      </c>
      <c r="B4" s="682" t="s">
        <v>1369</v>
      </c>
      <c r="C4" s="682" t="s">
        <v>1370</v>
      </c>
      <c r="D4" s="682" t="s">
        <v>235</v>
      </c>
      <c r="E4" s="682" t="s">
        <v>1371</v>
      </c>
      <c r="F4" s="682" t="s">
        <v>1196</v>
      </c>
      <c r="G4" s="682" t="s">
        <v>1372</v>
      </c>
      <c r="H4" s="682" t="s">
        <v>1373</v>
      </c>
      <c r="I4" s="682" t="s">
        <v>1197</v>
      </c>
      <c r="J4" s="682" t="s">
        <v>1374</v>
      </c>
      <c r="K4" s="682" t="s">
        <v>1375</v>
      </c>
      <c r="L4" s="682" t="s">
        <v>1376</v>
      </c>
      <c r="M4" s="682" t="s">
        <v>1377</v>
      </c>
      <c r="N4" s="682" t="s">
        <v>1378</v>
      </c>
      <c r="O4" s="682" t="s">
        <v>1379</v>
      </c>
      <c r="P4" s="682" t="s">
        <v>1380</v>
      </c>
      <c r="Q4" s="682" t="s">
        <v>1381</v>
      </c>
      <c r="R4" s="682" t="s">
        <v>1382</v>
      </c>
      <c r="S4" s="682" t="s">
        <v>1383</v>
      </c>
      <c r="T4" s="682" t="s">
        <v>1384</v>
      </c>
      <c r="U4" s="684" t="s">
        <v>1385</v>
      </c>
    </row>
    <row r="5">
      <c r="A5" s="685" t="s">
        <v>1388</v>
      </c>
      <c r="B5" s="685" t="s">
        <v>1389</v>
      </c>
      <c r="C5" s="685" t="s">
        <v>1390</v>
      </c>
      <c r="D5" s="685" t="s">
        <v>1391</v>
      </c>
      <c r="E5" s="686">
        <v>1490.0</v>
      </c>
      <c r="F5" s="692" t="s">
        <v>1037</v>
      </c>
      <c r="G5" s="693"/>
      <c r="H5" s="687"/>
      <c r="I5" s="685" t="s">
        <v>1392</v>
      </c>
      <c r="J5" s="689">
        <v>8.0</v>
      </c>
      <c r="K5" s="689">
        <v>0.0</v>
      </c>
      <c r="L5" s="689">
        <v>0.0</v>
      </c>
      <c r="M5" s="689">
        <v>0.0</v>
      </c>
      <c r="N5" s="686">
        <v>1114.0</v>
      </c>
      <c r="O5" s="686">
        <v>8912.0</v>
      </c>
      <c r="P5" s="686">
        <v>5570.0</v>
      </c>
      <c r="Q5" s="686">
        <v>2228.0</v>
      </c>
      <c r="R5" s="686">
        <v>0.0</v>
      </c>
      <c r="S5" s="686">
        <v>0.0</v>
      </c>
      <c r="T5" s="686">
        <v>0.0</v>
      </c>
      <c r="U5" s="690">
        <v>1114.0</v>
      </c>
    </row>
    <row r="6">
      <c r="A6" s="685" t="s">
        <v>1388</v>
      </c>
      <c r="B6" s="685" t="s">
        <v>1389</v>
      </c>
      <c r="C6" s="685" t="s">
        <v>1390</v>
      </c>
      <c r="D6" s="685" t="s">
        <v>1391</v>
      </c>
      <c r="E6" s="686">
        <v>1490.0</v>
      </c>
      <c r="F6" s="692" t="s">
        <v>1046</v>
      </c>
      <c r="G6" s="693"/>
      <c r="H6" s="687"/>
      <c r="I6" s="685" t="s">
        <v>1393</v>
      </c>
      <c r="J6" s="689">
        <v>6.0</v>
      </c>
      <c r="K6" s="689">
        <v>0.0</v>
      </c>
      <c r="L6" s="689">
        <v>0.0</v>
      </c>
      <c r="M6" s="689">
        <v>0.0</v>
      </c>
      <c r="N6" s="686">
        <v>1114.0</v>
      </c>
      <c r="O6" s="686">
        <v>6684.0</v>
      </c>
      <c r="P6" s="686">
        <v>1114.0</v>
      </c>
      <c r="Q6" s="686">
        <v>2228.0</v>
      </c>
      <c r="R6" s="686">
        <v>0.0</v>
      </c>
      <c r="S6" s="686">
        <v>2228.0</v>
      </c>
      <c r="T6" s="686">
        <v>0.0</v>
      </c>
      <c r="U6" s="690">
        <v>1114.0</v>
      </c>
    </row>
    <row r="7">
      <c r="A7" s="685" t="s">
        <v>1388</v>
      </c>
      <c r="B7" s="685" t="s">
        <v>1389</v>
      </c>
      <c r="C7" s="685" t="s">
        <v>1390</v>
      </c>
      <c r="D7" s="685" t="s">
        <v>1391</v>
      </c>
      <c r="E7" s="686">
        <v>4290.0</v>
      </c>
      <c r="F7" s="692" t="s">
        <v>1064</v>
      </c>
      <c r="G7" s="693"/>
      <c r="H7" s="687"/>
      <c r="I7" s="685" t="s">
        <v>1895</v>
      </c>
      <c r="J7" s="689">
        <v>1.0</v>
      </c>
      <c r="K7" s="689">
        <v>0.0</v>
      </c>
      <c r="L7" s="689">
        <v>0.0</v>
      </c>
      <c r="M7" s="689">
        <v>0.0</v>
      </c>
      <c r="N7" s="686">
        <v>3207.0</v>
      </c>
      <c r="O7" s="686">
        <v>3207.0</v>
      </c>
      <c r="P7" s="686">
        <v>3207.0</v>
      </c>
      <c r="Q7" s="686">
        <v>0.0</v>
      </c>
      <c r="R7" s="686">
        <v>0.0</v>
      </c>
      <c r="S7" s="686">
        <v>0.0</v>
      </c>
      <c r="T7" s="686">
        <v>0.0</v>
      </c>
      <c r="U7" s="690">
        <v>0.0</v>
      </c>
    </row>
    <row r="8">
      <c r="A8" s="685" t="s">
        <v>1388</v>
      </c>
      <c r="B8" s="685" t="s">
        <v>1389</v>
      </c>
      <c r="C8" s="685" t="s">
        <v>1390</v>
      </c>
      <c r="D8" s="685" t="s">
        <v>1391</v>
      </c>
      <c r="E8" s="686">
        <v>4290.0</v>
      </c>
      <c r="F8" s="692" t="s">
        <v>1054</v>
      </c>
      <c r="G8" s="693"/>
      <c r="H8" s="687"/>
      <c r="I8" s="685" t="s">
        <v>1394</v>
      </c>
      <c r="J8" s="689">
        <v>3.0</v>
      </c>
      <c r="K8" s="689">
        <v>0.0</v>
      </c>
      <c r="L8" s="689">
        <v>0.0</v>
      </c>
      <c r="M8" s="689">
        <v>0.0</v>
      </c>
      <c r="N8" s="686">
        <v>3207.0</v>
      </c>
      <c r="O8" s="686">
        <v>9621.0</v>
      </c>
      <c r="P8" s="686">
        <v>9621.0</v>
      </c>
      <c r="Q8" s="686">
        <v>0.0</v>
      </c>
      <c r="R8" s="686">
        <v>0.0</v>
      </c>
      <c r="S8" s="686">
        <v>0.0</v>
      </c>
      <c r="T8" s="686">
        <v>0.0</v>
      </c>
      <c r="U8" s="690">
        <v>0.0</v>
      </c>
    </row>
    <row r="9">
      <c r="A9" s="685" t="s">
        <v>1388</v>
      </c>
      <c r="B9" s="685" t="s">
        <v>1389</v>
      </c>
      <c r="C9" s="685" t="s">
        <v>1390</v>
      </c>
      <c r="D9" s="685" t="s">
        <v>1391</v>
      </c>
      <c r="E9" s="686">
        <v>5990.0</v>
      </c>
      <c r="F9" s="692" t="s">
        <v>1156</v>
      </c>
      <c r="G9" s="693"/>
      <c r="H9" s="687"/>
      <c r="I9" s="685" t="s">
        <v>1395</v>
      </c>
      <c r="J9" s="689">
        <v>6.0</v>
      </c>
      <c r="K9" s="689">
        <v>0.0</v>
      </c>
      <c r="L9" s="689">
        <v>0.0</v>
      </c>
      <c r="M9" s="689">
        <v>0.0</v>
      </c>
      <c r="N9" s="686">
        <v>4479.0</v>
      </c>
      <c r="O9" s="686">
        <v>26874.0</v>
      </c>
      <c r="P9" s="686">
        <v>8958.0</v>
      </c>
      <c r="Q9" s="686">
        <v>0.0</v>
      </c>
      <c r="R9" s="686">
        <v>0.0</v>
      </c>
      <c r="S9" s="686">
        <v>0.0</v>
      </c>
      <c r="T9" s="686">
        <v>0.0</v>
      </c>
      <c r="U9" s="690">
        <v>17916.0</v>
      </c>
    </row>
    <row r="10">
      <c r="A10" s="685" t="s">
        <v>1388</v>
      </c>
      <c r="B10" s="685" t="s">
        <v>1389</v>
      </c>
      <c r="C10" s="685" t="s">
        <v>1390</v>
      </c>
      <c r="D10" s="685" t="s">
        <v>1391</v>
      </c>
      <c r="E10" s="686">
        <v>5990.0</v>
      </c>
      <c r="F10" s="692" t="s">
        <v>1158</v>
      </c>
      <c r="G10" s="693"/>
      <c r="H10" s="687"/>
      <c r="I10" s="685" t="s">
        <v>1396</v>
      </c>
      <c r="J10" s="689">
        <v>4.0</v>
      </c>
      <c r="K10" s="689">
        <v>0.0</v>
      </c>
      <c r="L10" s="689">
        <v>0.0</v>
      </c>
      <c r="M10" s="689">
        <v>0.0</v>
      </c>
      <c r="N10" s="686">
        <v>4479.0</v>
      </c>
      <c r="O10" s="686">
        <v>17916.0</v>
      </c>
      <c r="P10" s="686">
        <v>8958.0</v>
      </c>
      <c r="Q10" s="686">
        <v>8958.0</v>
      </c>
      <c r="R10" s="686">
        <v>0.0</v>
      </c>
      <c r="S10" s="686">
        <v>0.0</v>
      </c>
      <c r="T10" s="686">
        <v>0.0</v>
      </c>
      <c r="U10" s="690">
        <v>0.0</v>
      </c>
    </row>
    <row r="11">
      <c r="A11" s="685" t="s">
        <v>1388</v>
      </c>
      <c r="B11" s="685" t="s">
        <v>1389</v>
      </c>
      <c r="C11" s="685" t="s">
        <v>1390</v>
      </c>
      <c r="D11" s="685" t="s">
        <v>1391</v>
      </c>
      <c r="E11" s="686">
        <v>7990.0</v>
      </c>
      <c r="F11" s="692" t="s">
        <v>1162</v>
      </c>
      <c r="G11" s="693"/>
      <c r="H11" s="687"/>
      <c r="I11" s="685" t="s">
        <v>1398</v>
      </c>
      <c r="J11" s="689">
        <v>9.0</v>
      </c>
      <c r="K11" s="689">
        <v>0.0</v>
      </c>
      <c r="L11" s="689">
        <v>0.0</v>
      </c>
      <c r="M11" s="689">
        <v>0.0</v>
      </c>
      <c r="N11" s="686">
        <v>5974.0</v>
      </c>
      <c r="O11" s="686">
        <v>53766.0</v>
      </c>
      <c r="P11" s="686">
        <v>17922.0</v>
      </c>
      <c r="Q11" s="686">
        <v>29870.0</v>
      </c>
      <c r="R11" s="686">
        <v>5974.0</v>
      </c>
      <c r="S11" s="686">
        <v>0.0</v>
      </c>
      <c r="T11" s="686">
        <v>0.0</v>
      </c>
      <c r="U11" s="690">
        <v>0.0</v>
      </c>
    </row>
    <row r="12">
      <c r="A12" s="685" t="s">
        <v>1388</v>
      </c>
      <c r="B12" s="685" t="s">
        <v>1389</v>
      </c>
      <c r="C12" s="685" t="s">
        <v>1390</v>
      </c>
      <c r="D12" s="685" t="s">
        <v>1391</v>
      </c>
      <c r="E12" s="686">
        <v>7990.0</v>
      </c>
      <c r="F12" s="692" t="s">
        <v>1165</v>
      </c>
      <c r="G12" s="693"/>
      <c r="H12" s="687"/>
      <c r="I12" s="685" t="s">
        <v>1399</v>
      </c>
      <c r="J12" s="689">
        <v>4.0</v>
      </c>
      <c r="K12" s="689">
        <v>0.0</v>
      </c>
      <c r="L12" s="689">
        <v>0.0</v>
      </c>
      <c r="M12" s="689">
        <v>0.0</v>
      </c>
      <c r="N12" s="686">
        <v>5974.0</v>
      </c>
      <c r="O12" s="686">
        <v>23896.0</v>
      </c>
      <c r="P12" s="686">
        <v>0.0</v>
      </c>
      <c r="Q12" s="686">
        <v>0.0</v>
      </c>
      <c r="R12" s="686">
        <v>0.0</v>
      </c>
      <c r="S12" s="686">
        <v>0.0</v>
      </c>
      <c r="T12" s="686">
        <v>23896.0</v>
      </c>
      <c r="U12" s="690">
        <v>0.0</v>
      </c>
    </row>
    <row r="13">
      <c r="A13" s="685" t="s">
        <v>1388</v>
      </c>
      <c r="B13" s="685" t="s">
        <v>1400</v>
      </c>
      <c r="C13" s="685" t="s">
        <v>1401</v>
      </c>
      <c r="D13" s="685" t="s">
        <v>1402</v>
      </c>
      <c r="E13" s="686">
        <v>899.0</v>
      </c>
      <c r="F13" s="692" t="s">
        <v>1897</v>
      </c>
      <c r="G13" s="691" t="s">
        <v>1403</v>
      </c>
      <c r="H13" s="687"/>
      <c r="I13" s="685" t="s">
        <v>1404</v>
      </c>
      <c r="J13" s="689">
        <v>2.0</v>
      </c>
      <c r="K13" s="689">
        <v>0.0</v>
      </c>
      <c r="L13" s="689">
        <v>0.0</v>
      </c>
      <c r="M13" s="689">
        <v>0.0</v>
      </c>
      <c r="N13" s="686">
        <v>485.98</v>
      </c>
      <c r="O13" s="686">
        <v>971.96</v>
      </c>
      <c r="P13" s="686">
        <v>0.0</v>
      </c>
      <c r="Q13" s="686">
        <v>0.0</v>
      </c>
      <c r="R13" s="686">
        <v>0.0</v>
      </c>
      <c r="S13" s="686">
        <v>0.0</v>
      </c>
      <c r="T13" s="686">
        <v>0.0</v>
      </c>
      <c r="U13" s="690">
        <v>971.96</v>
      </c>
    </row>
    <row r="14">
      <c r="A14" s="685" t="s">
        <v>1388</v>
      </c>
      <c r="B14" s="685" t="s">
        <v>1400</v>
      </c>
      <c r="C14" s="685" t="s">
        <v>1401</v>
      </c>
      <c r="D14" s="685" t="s">
        <v>1402</v>
      </c>
      <c r="E14" s="686">
        <v>899.0</v>
      </c>
      <c r="F14" s="692" t="s">
        <v>1405</v>
      </c>
      <c r="G14" s="685" t="s">
        <v>1406</v>
      </c>
      <c r="H14" s="687"/>
      <c r="I14" s="685" t="s">
        <v>1407</v>
      </c>
      <c r="J14" s="689">
        <v>2.0</v>
      </c>
      <c r="K14" s="689">
        <v>0.0</v>
      </c>
      <c r="L14" s="689">
        <v>0.0</v>
      </c>
      <c r="M14" s="689">
        <v>0.0</v>
      </c>
      <c r="N14" s="686">
        <v>522.71</v>
      </c>
      <c r="O14" s="686">
        <v>1045.42</v>
      </c>
      <c r="P14" s="686">
        <v>0.0</v>
      </c>
      <c r="Q14" s="686">
        <v>0.0</v>
      </c>
      <c r="R14" s="686">
        <v>0.0</v>
      </c>
      <c r="S14" s="686">
        <v>0.0</v>
      </c>
      <c r="T14" s="686">
        <v>0.0</v>
      </c>
      <c r="U14" s="690">
        <v>1045.42</v>
      </c>
    </row>
    <row r="15">
      <c r="A15" s="685" t="s">
        <v>1408</v>
      </c>
      <c r="B15" s="685" t="s">
        <v>1409</v>
      </c>
      <c r="C15" s="685" t="s">
        <v>1410</v>
      </c>
      <c r="D15" s="685" t="s">
        <v>1391</v>
      </c>
      <c r="E15" s="686">
        <v>7490.0</v>
      </c>
      <c r="F15" s="692" t="s">
        <v>1002</v>
      </c>
      <c r="G15" s="687"/>
      <c r="H15" s="687"/>
      <c r="I15" s="685" t="s">
        <v>1411</v>
      </c>
      <c r="J15" s="689">
        <v>10.0</v>
      </c>
      <c r="K15" s="689">
        <v>0.0</v>
      </c>
      <c r="L15" s="689">
        <v>0.0</v>
      </c>
      <c r="M15" s="689">
        <v>0.0</v>
      </c>
      <c r="N15" s="686">
        <v>6090.0</v>
      </c>
      <c r="O15" s="686">
        <v>60900.0</v>
      </c>
      <c r="P15" s="686">
        <v>36540.0</v>
      </c>
      <c r="Q15" s="686">
        <v>24360.0</v>
      </c>
      <c r="R15" s="686">
        <v>0.0</v>
      </c>
      <c r="S15" s="686">
        <v>0.0</v>
      </c>
      <c r="T15" s="686">
        <v>0.0</v>
      </c>
      <c r="U15" s="690">
        <v>0.0</v>
      </c>
    </row>
    <row r="16">
      <c r="A16" s="685" t="s">
        <v>1408</v>
      </c>
      <c r="B16" s="685" t="s">
        <v>1409</v>
      </c>
      <c r="C16" s="685" t="s">
        <v>1410</v>
      </c>
      <c r="D16" s="685" t="s">
        <v>1391</v>
      </c>
      <c r="E16" s="686">
        <v>8490.0</v>
      </c>
      <c r="F16" s="692" t="s">
        <v>1134</v>
      </c>
      <c r="G16" s="687"/>
      <c r="H16" s="687"/>
      <c r="I16" s="685" t="s">
        <v>1412</v>
      </c>
      <c r="J16" s="689">
        <v>3.0</v>
      </c>
      <c r="K16" s="689">
        <v>0.0</v>
      </c>
      <c r="L16" s="689">
        <v>0.0</v>
      </c>
      <c r="M16" s="689">
        <v>0.0</v>
      </c>
      <c r="N16" s="686">
        <v>6903.0</v>
      </c>
      <c r="O16" s="686">
        <v>20709.0</v>
      </c>
      <c r="P16" s="686">
        <v>13806.0</v>
      </c>
      <c r="Q16" s="686">
        <v>0.0</v>
      </c>
      <c r="R16" s="686">
        <v>6903.0</v>
      </c>
      <c r="S16" s="686">
        <v>0.0</v>
      </c>
      <c r="T16" s="686">
        <v>0.0</v>
      </c>
      <c r="U16" s="690">
        <v>0.0</v>
      </c>
    </row>
    <row r="17">
      <c r="A17" s="685" t="s">
        <v>1408</v>
      </c>
      <c r="B17" s="685" t="s">
        <v>1409</v>
      </c>
      <c r="C17" s="685" t="s">
        <v>1410</v>
      </c>
      <c r="D17" s="685" t="s">
        <v>1391</v>
      </c>
      <c r="E17" s="686">
        <v>10490.0</v>
      </c>
      <c r="F17" s="692" t="s">
        <v>1127</v>
      </c>
      <c r="G17" s="693"/>
      <c r="H17" s="687"/>
      <c r="I17" s="685" t="s">
        <v>1413</v>
      </c>
      <c r="J17" s="689">
        <v>6.0</v>
      </c>
      <c r="K17" s="689">
        <v>0.0</v>
      </c>
      <c r="L17" s="689">
        <v>0.0</v>
      </c>
      <c r="M17" s="689">
        <v>0.0</v>
      </c>
      <c r="N17" s="686">
        <v>8529.0</v>
      </c>
      <c r="O17" s="686">
        <v>51174.0</v>
      </c>
      <c r="P17" s="686">
        <v>0.0</v>
      </c>
      <c r="Q17" s="686">
        <v>0.0</v>
      </c>
      <c r="R17" s="686">
        <v>17058.0</v>
      </c>
      <c r="S17" s="686">
        <v>34116.0</v>
      </c>
      <c r="T17" s="686">
        <v>0.0</v>
      </c>
      <c r="U17" s="690">
        <v>0.0</v>
      </c>
    </row>
    <row r="18">
      <c r="A18" s="685" t="s">
        <v>1408</v>
      </c>
      <c r="B18" s="685" t="s">
        <v>1409</v>
      </c>
      <c r="C18" s="685" t="s">
        <v>1414</v>
      </c>
      <c r="D18" s="685" t="s">
        <v>1391</v>
      </c>
      <c r="E18" s="686">
        <v>12990.0</v>
      </c>
      <c r="F18" s="692" t="s">
        <v>907</v>
      </c>
      <c r="G18" s="693"/>
      <c r="H18" s="687"/>
      <c r="I18" s="685" t="s">
        <v>1415</v>
      </c>
      <c r="J18" s="689">
        <v>11.0</v>
      </c>
      <c r="K18" s="689">
        <v>0.0</v>
      </c>
      <c r="L18" s="689">
        <v>0.0</v>
      </c>
      <c r="M18" s="689">
        <v>0.0</v>
      </c>
      <c r="N18" s="686">
        <v>10562.0</v>
      </c>
      <c r="O18" s="686">
        <v>116182.0</v>
      </c>
      <c r="P18" s="686">
        <v>52810.0</v>
      </c>
      <c r="Q18" s="686">
        <v>63372.0</v>
      </c>
      <c r="R18" s="686">
        <v>0.0</v>
      </c>
      <c r="S18" s="686">
        <v>0.0</v>
      </c>
      <c r="T18" s="686">
        <v>0.0</v>
      </c>
      <c r="U18" s="690">
        <v>0.0</v>
      </c>
    </row>
    <row r="19">
      <c r="A19" s="685" t="s">
        <v>1408</v>
      </c>
      <c r="B19" s="685" t="s">
        <v>1409</v>
      </c>
      <c r="C19" s="685" t="s">
        <v>1414</v>
      </c>
      <c r="D19" s="685" t="s">
        <v>1391</v>
      </c>
      <c r="E19" s="686">
        <v>16990.0</v>
      </c>
      <c r="F19" s="692" t="s">
        <v>885</v>
      </c>
      <c r="G19" s="687"/>
      <c r="H19" s="687"/>
      <c r="I19" s="685" t="s">
        <v>1417</v>
      </c>
      <c r="J19" s="689">
        <v>2.0</v>
      </c>
      <c r="K19" s="689">
        <v>0.0</v>
      </c>
      <c r="L19" s="689">
        <v>0.0</v>
      </c>
      <c r="M19" s="689">
        <v>0.0</v>
      </c>
      <c r="N19" s="686">
        <v>13814.0</v>
      </c>
      <c r="O19" s="686">
        <v>27628.0</v>
      </c>
      <c r="P19" s="686">
        <v>27628.0</v>
      </c>
      <c r="Q19" s="686">
        <v>0.0</v>
      </c>
      <c r="R19" s="686">
        <v>0.0</v>
      </c>
      <c r="S19" s="686">
        <v>0.0</v>
      </c>
      <c r="T19" s="686">
        <v>0.0</v>
      </c>
      <c r="U19" s="690">
        <v>0.0</v>
      </c>
    </row>
    <row r="20">
      <c r="A20" s="685" t="s">
        <v>1408</v>
      </c>
      <c r="B20" s="685" t="s">
        <v>1409</v>
      </c>
      <c r="C20" s="685" t="s">
        <v>1414</v>
      </c>
      <c r="D20" s="685" t="s">
        <v>1391</v>
      </c>
      <c r="E20" s="686">
        <v>19900.0</v>
      </c>
      <c r="F20" s="692" t="s">
        <v>1419</v>
      </c>
      <c r="G20" s="687"/>
      <c r="H20" s="687"/>
      <c r="I20" s="685" t="s">
        <v>1420</v>
      </c>
      <c r="J20" s="689">
        <v>1.0</v>
      </c>
      <c r="K20" s="689">
        <v>0.0</v>
      </c>
      <c r="L20" s="689">
        <v>0.0</v>
      </c>
      <c r="M20" s="689">
        <v>0.0</v>
      </c>
      <c r="N20" s="686">
        <v>16180.0</v>
      </c>
      <c r="O20" s="686">
        <v>16180.0</v>
      </c>
      <c r="P20" s="686">
        <v>16180.0</v>
      </c>
      <c r="Q20" s="686">
        <v>0.0</v>
      </c>
      <c r="R20" s="686">
        <v>0.0</v>
      </c>
      <c r="S20" s="686">
        <v>0.0</v>
      </c>
      <c r="T20" s="686">
        <v>0.0</v>
      </c>
      <c r="U20" s="690">
        <v>0.0</v>
      </c>
    </row>
    <row r="21">
      <c r="A21" s="685" t="s">
        <v>1408</v>
      </c>
      <c r="B21" s="685" t="s">
        <v>1409</v>
      </c>
      <c r="C21" s="685" t="s">
        <v>1414</v>
      </c>
      <c r="D21" s="685" t="s">
        <v>1391</v>
      </c>
      <c r="E21" s="686">
        <v>19900.0</v>
      </c>
      <c r="F21" s="692" t="s">
        <v>867</v>
      </c>
      <c r="G21" s="693"/>
      <c r="H21" s="687"/>
      <c r="I21" s="685" t="s">
        <v>1901</v>
      </c>
      <c r="J21" s="689">
        <v>1.0</v>
      </c>
      <c r="K21" s="689">
        <v>0.0</v>
      </c>
      <c r="L21" s="689">
        <v>0.0</v>
      </c>
      <c r="M21" s="689">
        <v>0.0</v>
      </c>
      <c r="N21" s="686">
        <v>14554.0</v>
      </c>
      <c r="O21" s="686">
        <v>14554.0</v>
      </c>
      <c r="P21" s="686">
        <v>0.0</v>
      </c>
      <c r="Q21" s="686">
        <v>0.0</v>
      </c>
      <c r="R21" s="686">
        <v>0.0</v>
      </c>
      <c r="S21" s="686">
        <v>0.0</v>
      </c>
      <c r="T21" s="686">
        <v>0.0</v>
      </c>
      <c r="U21" s="690">
        <v>14554.0</v>
      </c>
    </row>
    <row r="22">
      <c r="A22" s="685" t="s">
        <v>1408</v>
      </c>
      <c r="B22" s="685" t="s">
        <v>1409</v>
      </c>
      <c r="C22" s="685" t="s">
        <v>1414</v>
      </c>
      <c r="D22" s="685" t="s">
        <v>1391</v>
      </c>
      <c r="E22" s="686">
        <v>28900.0</v>
      </c>
      <c r="F22" s="692" t="s">
        <v>790</v>
      </c>
      <c r="G22" s="693"/>
      <c r="H22" s="687"/>
      <c r="I22" s="685" t="s">
        <v>1425</v>
      </c>
      <c r="J22" s="689">
        <v>1.0</v>
      </c>
      <c r="K22" s="689">
        <v>0.0</v>
      </c>
      <c r="L22" s="689">
        <v>0.0</v>
      </c>
      <c r="M22" s="689">
        <v>0.0</v>
      </c>
      <c r="N22" s="686">
        <v>23498.0</v>
      </c>
      <c r="O22" s="686">
        <v>23498.0</v>
      </c>
      <c r="P22" s="686">
        <v>23498.0</v>
      </c>
      <c r="Q22" s="686">
        <v>0.0</v>
      </c>
      <c r="R22" s="686">
        <v>0.0</v>
      </c>
      <c r="S22" s="686">
        <v>0.0</v>
      </c>
      <c r="T22" s="686">
        <v>0.0</v>
      </c>
      <c r="U22" s="690">
        <v>0.0</v>
      </c>
    </row>
    <row r="23">
      <c r="A23" s="685" t="s">
        <v>1408</v>
      </c>
      <c r="B23" s="685" t="s">
        <v>1409</v>
      </c>
      <c r="C23" s="685" t="s">
        <v>1414</v>
      </c>
      <c r="D23" s="685" t="s">
        <v>1391</v>
      </c>
      <c r="E23" s="686">
        <v>48900.0</v>
      </c>
      <c r="F23" s="692" t="s">
        <v>722</v>
      </c>
      <c r="G23" s="693"/>
      <c r="H23" s="687"/>
      <c r="I23" s="685" t="s">
        <v>1426</v>
      </c>
      <c r="J23" s="689">
        <v>2.0</v>
      </c>
      <c r="K23" s="689">
        <v>0.0</v>
      </c>
      <c r="L23" s="689">
        <v>0.0</v>
      </c>
      <c r="M23" s="689">
        <v>0.0</v>
      </c>
      <c r="N23" s="686">
        <v>39760.0</v>
      </c>
      <c r="O23" s="686">
        <v>79520.0</v>
      </c>
      <c r="P23" s="686">
        <v>0.0</v>
      </c>
      <c r="Q23" s="686">
        <v>0.0</v>
      </c>
      <c r="R23" s="686">
        <v>0.0</v>
      </c>
      <c r="S23" s="686">
        <v>0.0</v>
      </c>
      <c r="T23" s="686">
        <v>79520.0</v>
      </c>
      <c r="U23" s="690">
        <v>0.0</v>
      </c>
    </row>
    <row r="24">
      <c r="A24" s="685" t="s">
        <v>1427</v>
      </c>
      <c r="B24" s="685" t="s">
        <v>1428</v>
      </c>
      <c r="C24" s="685" t="s">
        <v>1429</v>
      </c>
      <c r="D24" s="685" t="s">
        <v>1391</v>
      </c>
      <c r="E24" s="686">
        <v>7990.0</v>
      </c>
      <c r="F24" s="692" t="s">
        <v>1430</v>
      </c>
      <c r="G24" s="693"/>
      <c r="H24" s="687"/>
      <c r="I24" s="685" t="s">
        <v>1431</v>
      </c>
      <c r="J24" s="689">
        <v>1.0</v>
      </c>
      <c r="K24" s="689">
        <v>0.0</v>
      </c>
      <c r="L24" s="689">
        <v>0.0</v>
      </c>
      <c r="M24" s="689">
        <v>0.0</v>
      </c>
      <c r="N24" s="686">
        <v>3105.0</v>
      </c>
      <c r="O24" s="686">
        <v>3105.0</v>
      </c>
      <c r="P24" s="686">
        <v>0.0</v>
      </c>
      <c r="Q24" s="686">
        <v>0.0</v>
      </c>
      <c r="R24" s="686">
        <v>0.0</v>
      </c>
      <c r="S24" s="686">
        <v>3105.0</v>
      </c>
      <c r="T24" s="686">
        <v>0.0</v>
      </c>
      <c r="U24" s="690">
        <v>0.0</v>
      </c>
    </row>
    <row r="25">
      <c r="A25" s="685" t="s">
        <v>1432</v>
      </c>
      <c r="B25" s="685" t="s">
        <v>1433</v>
      </c>
      <c r="C25" s="685" t="s">
        <v>1903</v>
      </c>
      <c r="D25" s="685" t="s">
        <v>1904</v>
      </c>
      <c r="E25" s="686">
        <v>899.0</v>
      </c>
      <c r="F25" s="692" t="s">
        <v>1905</v>
      </c>
      <c r="G25" s="693"/>
      <c r="H25" s="687"/>
      <c r="I25" s="685" t="s">
        <v>1906</v>
      </c>
      <c r="J25" s="689">
        <v>1.0</v>
      </c>
      <c r="K25" s="689">
        <v>0.0</v>
      </c>
      <c r="L25" s="689">
        <v>0.0</v>
      </c>
      <c r="M25" s="689">
        <v>0.0</v>
      </c>
      <c r="N25" s="686">
        <v>588.13</v>
      </c>
      <c r="O25" s="686">
        <v>588.13</v>
      </c>
      <c r="P25" s="686">
        <v>0.0</v>
      </c>
      <c r="Q25" s="686">
        <v>0.0</v>
      </c>
      <c r="R25" s="686">
        <v>0.0</v>
      </c>
      <c r="S25" s="686">
        <v>0.0</v>
      </c>
      <c r="T25" s="686">
        <v>0.0</v>
      </c>
      <c r="U25" s="690">
        <v>588.13</v>
      </c>
    </row>
    <row r="26">
      <c r="A26" s="685" t="s">
        <v>1432</v>
      </c>
      <c r="B26" s="685" t="s">
        <v>1433</v>
      </c>
      <c r="C26" s="685" t="s">
        <v>1903</v>
      </c>
      <c r="D26" s="685" t="s">
        <v>1904</v>
      </c>
      <c r="E26" s="686">
        <v>899.0</v>
      </c>
      <c r="F26" s="692" t="s">
        <v>1908</v>
      </c>
      <c r="G26" s="693"/>
      <c r="H26" s="687"/>
      <c r="I26" s="685" t="s">
        <v>1909</v>
      </c>
      <c r="J26" s="689">
        <v>1.0</v>
      </c>
      <c r="K26" s="689">
        <v>0.0</v>
      </c>
      <c r="L26" s="689">
        <v>0.0</v>
      </c>
      <c r="M26" s="689">
        <v>0.0</v>
      </c>
      <c r="N26" s="686">
        <v>588.13</v>
      </c>
      <c r="O26" s="686">
        <v>588.13</v>
      </c>
      <c r="P26" s="686">
        <v>0.0</v>
      </c>
      <c r="Q26" s="686">
        <v>0.0</v>
      </c>
      <c r="R26" s="686">
        <v>0.0</v>
      </c>
      <c r="S26" s="686">
        <v>0.0</v>
      </c>
      <c r="T26" s="686">
        <v>0.0</v>
      </c>
      <c r="U26" s="690">
        <v>588.13</v>
      </c>
    </row>
    <row r="27">
      <c r="A27" s="685" t="s">
        <v>1432</v>
      </c>
      <c r="B27" s="685" t="s">
        <v>1433</v>
      </c>
      <c r="C27" s="685" t="s">
        <v>1437</v>
      </c>
      <c r="D27" s="685" t="s">
        <v>1438</v>
      </c>
      <c r="E27" s="686">
        <v>689.0</v>
      </c>
      <c r="F27" s="692" t="s">
        <v>1911</v>
      </c>
      <c r="G27" s="693"/>
      <c r="H27" s="687"/>
      <c r="I27" s="685" t="s">
        <v>1443</v>
      </c>
      <c r="J27" s="689">
        <v>2.0</v>
      </c>
      <c r="K27" s="689">
        <v>0.0</v>
      </c>
      <c r="L27" s="689">
        <v>0.0</v>
      </c>
      <c r="M27" s="689">
        <v>0.0</v>
      </c>
      <c r="N27" s="686">
        <v>483.18</v>
      </c>
      <c r="O27" s="686">
        <v>966.36</v>
      </c>
      <c r="P27" s="686">
        <v>0.0</v>
      </c>
      <c r="Q27" s="686">
        <v>0.0</v>
      </c>
      <c r="R27" s="686">
        <v>966.36</v>
      </c>
      <c r="S27" s="686">
        <v>0.0</v>
      </c>
      <c r="T27" s="686">
        <v>0.0</v>
      </c>
      <c r="U27" s="690">
        <v>0.0</v>
      </c>
    </row>
    <row r="28">
      <c r="A28" s="685" t="s">
        <v>1432</v>
      </c>
      <c r="B28" s="685" t="s">
        <v>1433</v>
      </c>
      <c r="C28" s="685" t="s">
        <v>1437</v>
      </c>
      <c r="D28" s="685" t="s">
        <v>1438</v>
      </c>
      <c r="E28" s="686">
        <v>689.0</v>
      </c>
      <c r="F28" s="692" t="s">
        <v>1912</v>
      </c>
      <c r="G28" s="693"/>
      <c r="H28" s="687"/>
      <c r="I28" s="685" t="s">
        <v>1444</v>
      </c>
      <c r="J28" s="689">
        <v>4.0</v>
      </c>
      <c r="K28" s="689">
        <v>0.0</v>
      </c>
      <c r="L28" s="689">
        <v>0.0</v>
      </c>
      <c r="M28" s="689">
        <v>0.0</v>
      </c>
      <c r="N28" s="686">
        <v>465.42</v>
      </c>
      <c r="O28" s="686">
        <v>1861.68</v>
      </c>
      <c r="P28" s="686">
        <v>0.0</v>
      </c>
      <c r="Q28" s="686">
        <v>0.0</v>
      </c>
      <c r="R28" s="686">
        <v>966.36</v>
      </c>
      <c r="S28" s="686">
        <v>0.0</v>
      </c>
      <c r="T28" s="686">
        <v>0.0</v>
      </c>
      <c r="U28" s="690">
        <v>895.32</v>
      </c>
    </row>
    <row r="29">
      <c r="A29" s="685" t="s">
        <v>1432</v>
      </c>
      <c r="B29" s="685" t="s">
        <v>1433</v>
      </c>
      <c r="C29" s="685" t="s">
        <v>1437</v>
      </c>
      <c r="D29" s="685" t="s">
        <v>1438</v>
      </c>
      <c r="E29" s="686">
        <v>689.0</v>
      </c>
      <c r="F29" s="692" t="s">
        <v>1445</v>
      </c>
      <c r="G29" s="693"/>
      <c r="H29" s="687"/>
      <c r="I29" s="685" t="s">
        <v>1446</v>
      </c>
      <c r="J29" s="689">
        <v>2.0</v>
      </c>
      <c r="K29" s="689">
        <v>0.0</v>
      </c>
      <c r="L29" s="689">
        <v>0.0</v>
      </c>
      <c r="M29" s="689">
        <v>0.0</v>
      </c>
      <c r="N29" s="686">
        <v>483.18</v>
      </c>
      <c r="O29" s="686">
        <v>966.36</v>
      </c>
      <c r="P29" s="686">
        <v>0.0</v>
      </c>
      <c r="Q29" s="686">
        <v>0.0</v>
      </c>
      <c r="R29" s="686">
        <v>966.36</v>
      </c>
      <c r="S29" s="686">
        <v>0.0</v>
      </c>
      <c r="T29" s="686">
        <v>0.0</v>
      </c>
      <c r="U29" s="690">
        <v>0.0</v>
      </c>
    </row>
    <row r="30">
      <c r="A30" s="685" t="s">
        <v>1447</v>
      </c>
      <c r="B30" s="685" t="s">
        <v>1448</v>
      </c>
      <c r="C30" s="685" t="s">
        <v>1449</v>
      </c>
      <c r="D30" s="685" t="s">
        <v>1450</v>
      </c>
      <c r="E30" s="686">
        <v>1090.0</v>
      </c>
      <c r="F30" s="692" t="s">
        <v>1913</v>
      </c>
      <c r="G30" s="693"/>
      <c r="H30" s="687"/>
      <c r="I30" s="685" t="s">
        <v>1451</v>
      </c>
      <c r="J30" s="689">
        <v>1.0</v>
      </c>
      <c r="K30" s="689">
        <v>0.0</v>
      </c>
      <c r="L30" s="689">
        <v>0.0</v>
      </c>
      <c r="M30" s="689">
        <v>0.0</v>
      </c>
      <c r="N30" s="686">
        <v>611.22</v>
      </c>
      <c r="O30" s="686">
        <v>611.22</v>
      </c>
      <c r="P30" s="686">
        <v>0.0</v>
      </c>
      <c r="Q30" s="686">
        <v>0.0</v>
      </c>
      <c r="R30" s="686">
        <v>0.0</v>
      </c>
      <c r="S30" s="686">
        <v>0.0</v>
      </c>
      <c r="T30" s="686">
        <v>0.0</v>
      </c>
      <c r="U30" s="690">
        <v>611.22</v>
      </c>
    </row>
    <row r="31">
      <c r="A31" s="685" t="s">
        <v>1447</v>
      </c>
      <c r="B31" s="685" t="s">
        <v>1448</v>
      </c>
      <c r="C31" s="685" t="s">
        <v>1449</v>
      </c>
      <c r="D31" s="685" t="s">
        <v>1450</v>
      </c>
      <c r="E31" s="686">
        <v>1090.0</v>
      </c>
      <c r="F31" s="692" t="s">
        <v>1914</v>
      </c>
      <c r="G31" s="687"/>
      <c r="H31" s="687"/>
      <c r="I31" s="685" t="s">
        <v>1452</v>
      </c>
      <c r="J31" s="689">
        <v>1.0</v>
      </c>
      <c r="K31" s="689">
        <v>0.0</v>
      </c>
      <c r="L31" s="689">
        <v>0.0</v>
      </c>
      <c r="M31" s="689">
        <v>0.0</v>
      </c>
      <c r="N31" s="686">
        <v>611.22</v>
      </c>
      <c r="O31" s="686">
        <v>611.22</v>
      </c>
      <c r="P31" s="686">
        <v>0.0</v>
      </c>
      <c r="Q31" s="686">
        <v>0.0</v>
      </c>
      <c r="R31" s="686">
        <v>0.0</v>
      </c>
      <c r="S31" s="686">
        <v>0.0</v>
      </c>
      <c r="T31" s="686">
        <v>0.0</v>
      </c>
      <c r="U31" s="690">
        <v>611.22</v>
      </c>
    </row>
    <row r="32">
      <c r="A32" s="685" t="s">
        <v>1447</v>
      </c>
      <c r="B32" s="685" t="s">
        <v>1461</v>
      </c>
      <c r="C32" s="685" t="s">
        <v>1462</v>
      </c>
      <c r="D32" s="685" t="s">
        <v>1463</v>
      </c>
      <c r="E32" s="686">
        <v>1090.0</v>
      </c>
      <c r="F32" s="692" t="s">
        <v>1916</v>
      </c>
      <c r="G32" s="691" t="s">
        <v>1464</v>
      </c>
      <c r="H32" s="687"/>
      <c r="I32" s="685" t="s">
        <v>1465</v>
      </c>
      <c r="J32" s="689">
        <v>2.0</v>
      </c>
      <c r="K32" s="689">
        <v>0.0</v>
      </c>
      <c r="L32" s="689">
        <v>0.0</v>
      </c>
      <c r="M32" s="689">
        <v>0.0</v>
      </c>
      <c r="N32" s="686">
        <v>413.55</v>
      </c>
      <c r="O32" s="686">
        <v>827.1</v>
      </c>
      <c r="P32" s="686">
        <v>0.0</v>
      </c>
      <c r="Q32" s="686">
        <v>827.1</v>
      </c>
      <c r="R32" s="686">
        <v>0.0</v>
      </c>
      <c r="S32" s="686">
        <v>0.0</v>
      </c>
      <c r="T32" s="686">
        <v>0.0</v>
      </c>
      <c r="U32" s="690">
        <v>0.0</v>
      </c>
    </row>
    <row r="33">
      <c r="A33" s="685" t="s">
        <v>1447</v>
      </c>
      <c r="B33" s="685" t="s">
        <v>1461</v>
      </c>
      <c r="C33" s="685" t="s">
        <v>1462</v>
      </c>
      <c r="D33" s="685" t="s">
        <v>1463</v>
      </c>
      <c r="E33" s="686">
        <v>1090.0</v>
      </c>
      <c r="F33" s="692" t="s">
        <v>1917</v>
      </c>
      <c r="G33" s="691" t="s">
        <v>1466</v>
      </c>
      <c r="H33" s="687"/>
      <c r="I33" s="685" t="s">
        <v>1467</v>
      </c>
      <c r="J33" s="689">
        <v>3.0</v>
      </c>
      <c r="K33" s="689">
        <v>0.0</v>
      </c>
      <c r="L33" s="689">
        <v>0.0</v>
      </c>
      <c r="M33" s="689">
        <v>0.0</v>
      </c>
      <c r="N33" s="686">
        <v>413.55</v>
      </c>
      <c r="O33" s="686">
        <v>1240.65</v>
      </c>
      <c r="P33" s="686">
        <v>0.0</v>
      </c>
      <c r="Q33" s="686">
        <v>1240.65</v>
      </c>
      <c r="R33" s="686">
        <v>0.0</v>
      </c>
      <c r="S33" s="686">
        <v>0.0</v>
      </c>
      <c r="T33" s="686">
        <v>0.0</v>
      </c>
      <c r="U33" s="690">
        <v>0.0</v>
      </c>
    </row>
    <row r="34">
      <c r="A34" s="685" t="s">
        <v>1447</v>
      </c>
      <c r="B34" s="685" t="s">
        <v>1461</v>
      </c>
      <c r="C34" s="685" t="s">
        <v>1462</v>
      </c>
      <c r="D34" s="685" t="s">
        <v>1468</v>
      </c>
      <c r="E34" s="686">
        <v>390.0</v>
      </c>
      <c r="F34" s="692" t="s">
        <v>1918</v>
      </c>
      <c r="G34" s="691" t="s">
        <v>1469</v>
      </c>
      <c r="H34" s="687"/>
      <c r="I34" s="685" t="s">
        <v>1470</v>
      </c>
      <c r="J34" s="689">
        <v>5.0</v>
      </c>
      <c r="K34" s="689">
        <v>0.0</v>
      </c>
      <c r="L34" s="689">
        <v>0.0</v>
      </c>
      <c r="M34" s="689">
        <v>0.0</v>
      </c>
      <c r="N34" s="686">
        <v>148.78</v>
      </c>
      <c r="O34" s="686">
        <v>743.9</v>
      </c>
      <c r="P34" s="686">
        <v>0.0</v>
      </c>
      <c r="Q34" s="686">
        <v>743.9</v>
      </c>
      <c r="R34" s="686">
        <v>0.0</v>
      </c>
      <c r="S34" s="686">
        <v>0.0</v>
      </c>
      <c r="T34" s="686">
        <v>0.0</v>
      </c>
      <c r="U34" s="690">
        <v>0.0</v>
      </c>
    </row>
    <row r="35">
      <c r="A35" s="685" t="s">
        <v>1447</v>
      </c>
      <c r="B35" s="685" t="s">
        <v>1461</v>
      </c>
      <c r="C35" s="685" t="s">
        <v>1462</v>
      </c>
      <c r="D35" s="685" t="s">
        <v>1391</v>
      </c>
      <c r="E35" s="686">
        <v>490.0</v>
      </c>
      <c r="F35" s="692" t="s">
        <v>1471</v>
      </c>
      <c r="G35" s="693"/>
      <c r="H35" s="687"/>
      <c r="I35" s="685" t="s">
        <v>1472</v>
      </c>
      <c r="J35" s="689">
        <v>6.0</v>
      </c>
      <c r="K35" s="689">
        <v>0.0</v>
      </c>
      <c r="L35" s="689">
        <v>0.0</v>
      </c>
      <c r="M35" s="689">
        <v>0.0</v>
      </c>
      <c r="N35" s="686">
        <v>343.0</v>
      </c>
      <c r="O35" s="686">
        <v>2058.0</v>
      </c>
      <c r="P35" s="686">
        <v>0.0</v>
      </c>
      <c r="Q35" s="686">
        <v>2058.0</v>
      </c>
      <c r="R35" s="686">
        <v>0.0</v>
      </c>
      <c r="S35" s="686">
        <v>0.0</v>
      </c>
      <c r="T35" s="686">
        <v>0.0</v>
      </c>
      <c r="U35" s="690">
        <v>0.0</v>
      </c>
    </row>
    <row r="36">
      <c r="A36" s="685" t="s">
        <v>1447</v>
      </c>
      <c r="B36" s="685" t="s">
        <v>1461</v>
      </c>
      <c r="C36" s="685" t="s">
        <v>1462</v>
      </c>
      <c r="D36" s="685" t="s">
        <v>1391</v>
      </c>
      <c r="E36" s="686">
        <v>490.0</v>
      </c>
      <c r="F36" s="692" t="s">
        <v>1473</v>
      </c>
      <c r="G36" s="693"/>
      <c r="H36" s="687"/>
      <c r="I36" s="685" t="s">
        <v>1474</v>
      </c>
      <c r="J36" s="689">
        <v>15.0</v>
      </c>
      <c r="K36" s="689">
        <v>0.0</v>
      </c>
      <c r="L36" s="689">
        <v>0.0</v>
      </c>
      <c r="M36" s="689">
        <v>0.0</v>
      </c>
      <c r="N36" s="686">
        <v>343.0</v>
      </c>
      <c r="O36" s="686">
        <v>5145.0</v>
      </c>
      <c r="P36" s="686">
        <v>0.0</v>
      </c>
      <c r="Q36" s="686">
        <v>5145.0</v>
      </c>
      <c r="R36" s="686">
        <v>0.0</v>
      </c>
      <c r="S36" s="686">
        <v>0.0</v>
      </c>
      <c r="T36" s="686">
        <v>0.0</v>
      </c>
      <c r="U36" s="690">
        <v>0.0</v>
      </c>
    </row>
    <row r="37">
      <c r="A37" s="685" t="s">
        <v>1447</v>
      </c>
      <c r="B37" s="685" t="s">
        <v>1475</v>
      </c>
      <c r="C37" s="685" t="s">
        <v>1920</v>
      </c>
      <c r="D37" s="685" t="s">
        <v>1477</v>
      </c>
      <c r="E37" s="686">
        <v>190.0</v>
      </c>
      <c r="F37" s="692" t="s">
        <v>1921</v>
      </c>
      <c r="G37" s="693"/>
      <c r="H37" s="687"/>
      <c r="I37" s="685" t="s">
        <v>1922</v>
      </c>
      <c r="J37" s="689">
        <v>3.0</v>
      </c>
      <c r="K37" s="689">
        <v>0.0</v>
      </c>
      <c r="L37" s="689">
        <v>0.0</v>
      </c>
      <c r="M37" s="689">
        <v>0.0</v>
      </c>
      <c r="N37" s="686">
        <v>106.54</v>
      </c>
      <c r="O37" s="686">
        <v>319.62</v>
      </c>
      <c r="P37" s="686">
        <v>0.0</v>
      </c>
      <c r="Q37" s="686">
        <v>0.0</v>
      </c>
      <c r="R37" s="686">
        <v>0.0</v>
      </c>
      <c r="S37" s="686">
        <v>0.0</v>
      </c>
      <c r="T37" s="686">
        <v>0.0</v>
      </c>
      <c r="U37" s="690">
        <v>319.62</v>
      </c>
    </row>
    <row r="38">
      <c r="A38" s="685" t="s">
        <v>1447</v>
      </c>
      <c r="B38" s="685" t="s">
        <v>1475</v>
      </c>
      <c r="C38" s="685" t="s">
        <v>1476</v>
      </c>
      <c r="D38" s="685" t="s">
        <v>1477</v>
      </c>
      <c r="E38" s="686">
        <v>190.0</v>
      </c>
      <c r="F38" s="692" t="s">
        <v>1924</v>
      </c>
      <c r="G38" s="693"/>
      <c r="H38" s="687"/>
      <c r="I38" s="685" t="s">
        <v>1478</v>
      </c>
      <c r="J38" s="689">
        <v>2.0</v>
      </c>
      <c r="K38" s="689">
        <v>0.0</v>
      </c>
      <c r="L38" s="689">
        <v>0.0</v>
      </c>
      <c r="M38" s="689">
        <v>0.0</v>
      </c>
      <c r="N38" s="686">
        <v>106.54</v>
      </c>
      <c r="O38" s="686">
        <v>213.08</v>
      </c>
      <c r="P38" s="686">
        <v>0.0</v>
      </c>
      <c r="Q38" s="686">
        <v>0.0</v>
      </c>
      <c r="R38" s="686">
        <v>0.0</v>
      </c>
      <c r="S38" s="686">
        <v>0.0</v>
      </c>
      <c r="T38" s="686">
        <v>0.0</v>
      </c>
      <c r="U38" s="690">
        <v>213.08</v>
      </c>
    </row>
    <row r="39">
      <c r="A39" s="685" t="s">
        <v>1447</v>
      </c>
      <c r="B39" s="685" t="s">
        <v>1475</v>
      </c>
      <c r="C39" s="685" t="s">
        <v>1476</v>
      </c>
      <c r="D39" s="685" t="s">
        <v>1391</v>
      </c>
      <c r="E39" s="686">
        <v>690.0</v>
      </c>
      <c r="F39" s="692" t="s">
        <v>1487</v>
      </c>
      <c r="G39" s="693"/>
      <c r="H39" s="687"/>
      <c r="I39" s="685" t="s">
        <v>1488</v>
      </c>
      <c r="J39" s="689">
        <v>2.0</v>
      </c>
      <c r="K39" s="689">
        <v>0.0</v>
      </c>
      <c r="L39" s="689">
        <v>0.0</v>
      </c>
      <c r="M39" s="689">
        <v>0.0</v>
      </c>
      <c r="N39" s="686">
        <v>451.0</v>
      </c>
      <c r="O39" s="686">
        <v>902.0</v>
      </c>
      <c r="P39" s="686">
        <v>0.0</v>
      </c>
      <c r="Q39" s="686">
        <v>0.0</v>
      </c>
      <c r="R39" s="686">
        <v>0.0</v>
      </c>
      <c r="S39" s="686">
        <v>0.0</v>
      </c>
      <c r="T39" s="686">
        <v>0.0</v>
      </c>
      <c r="U39" s="690">
        <v>902.0</v>
      </c>
    </row>
    <row r="40">
      <c r="A40" s="685" t="s">
        <v>1447</v>
      </c>
      <c r="B40" s="685" t="s">
        <v>1475</v>
      </c>
      <c r="C40" s="685" t="s">
        <v>1489</v>
      </c>
      <c r="D40" s="685" t="s">
        <v>1391</v>
      </c>
      <c r="E40" s="686">
        <v>690.0</v>
      </c>
      <c r="F40" s="692" t="s">
        <v>1490</v>
      </c>
      <c r="G40" s="693"/>
      <c r="H40" s="687"/>
      <c r="I40" s="685" t="s">
        <v>1491</v>
      </c>
      <c r="J40" s="689">
        <v>1.0</v>
      </c>
      <c r="K40" s="689">
        <v>0.0</v>
      </c>
      <c r="L40" s="689">
        <v>0.0</v>
      </c>
      <c r="M40" s="689">
        <v>0.0</v>
      </c>
      <c r="N40" s="686">
        <v>451.0</v>
      </c>
      <c r="O40" s="686">
        <v>451.0</v>
      </c>
      <c r="P40" s="686">
        <v>0.0</v>
      </c>
      <c r="Q40" s="686">
        <v>0.0</v>
      </c>
      <c r="R40" s="686">
        <v>0.0</v>
      </c>
      <c r="S40" s="686">
        <v>0.0</v>
      </c>
      <c r="T40" s="686">
        <v>0.0</v>
      </c>
      <c r="U40" s="690">
        <v>451.0</v>
      </c>
    </row>
    <row r="41">
      <c r="A41" s="685" t="s">
        <v>1447</v>
      </c>
      <c r="B41" s="685" t="s">
        <v>1475</v>
      </c>
      <c r="C41" s="685" t="s">
        <v>1489</v>
      </c>
      <c r="D41" s="685" t="s">
        <v>1391</v>
      </c>
      <c r="E41" s="686">
        <v>490.0</v>
      </c>
      <c r="F41" s="692" t="s">
        <v>1492</v>
      </c>
      <c r="G41" s="693"/>
      <c r="H41" s="687"/>
      <c r="I41" s="685" t="s">
        <v>1493</v>
      </c>
      <c r="J41" s="689">
        <v>2.0</v>
      </c>
      <c r="K41" s="689">
        <v>0.0</v>
      </c>
      <c r="L41" s="689">
        <v>0.0</v>
      </c>
      <c r="M41" s="689">
        <v>0.0</v>
      </c>
      <c r="N41" s="686">
        <v>321.0</v>
      </c>
      <c r="O41" s="686">
        <v>642.0</v>
      </c>
      <c r="P41" s="686">
        <v>0.0</v>
      </c>
      <c r="Q41" s="686">
        <v>0.0</v>
      </c>
      <c r="R41" s="686">
        <v>0.0</v>
      </c>
      <c r="S41" s="686">
        <v>0.0</v>
      </c>
      <c r="T41" s="686">
        <v>0.0</v>
      </c>
      <c r="U41" s="690">
        <v>642.0</v>
      </c>
    </row>
    <row r="42">
      <c r="A42" s="685" t="s">
        <v>1447</v>
      </c>
      <c r="B42" s="685" t="s">
        <v>1475</v>
      </c>
      <c r="C42" s="685" t="s">
        <v>1489</v>
      </c>
      <c r="D42" s="685" t="s">
        <v>1391</v>
      </c>
      <c r="E42" s="686">
        <v>690.0</v>
      </c>
      <c r="F42" s="692" t="s">
        <v>1926</v>
      </c>
      <c r="G42" s="693"/>
      <c r="H42" s="687"/>
      <c r="I42" s="685" t="s">
        <v>1927</v>
      </c>
      <c r="J42" s="689">
        <v>1.0</v>
      </c>
      <c r="K42" s="689">
        <v>0.0</v>
      </c>
      <c r="L42" s="689">
        <v>0.0</v>
      </c>
      <c r="M42" s="689">
        <v>0.0</v>
      </c>
      <c r="N42" s="686">
        <v>451.0</v>
      </c>
      <c r="O42" s="686">
        <v>451.0</v>
      </c>
      <c r="P42" s="686">
        <v>0.0</v>
      </c>
      <c r="Q42" s="686">
        <v>0.0</v>
      </c>
      <c r="R42" s="686">
        <v>0.0</v>
      </c>
      <c r="S42" s="686">
        <v>0.0</v>
      </c>
      <c r="T42" s="686">
        <v>0.0</v>
      </c>
      <c r="U42" s="690">
        <v>451.0</v>
      </c>
    </row>
    <row r="43">
      <c r="A43" s="685" t="s">
        <v>1447</v>
      </c>
      <c r="B43" s="685" t="s">
        <v>1475</v>
      </c>
      <c r="C43" s="685" t="s">
        <v>1489</v>
      </c>
      <c r="D43" s="685" t="s">
        <v>1391</v>
      </c>
      <c r="E43" s="686">
        <v>390.0</v>
      </c>
      <c r="F43" s="692" t="s">
        <v>1494</v>
      </c>
      <c r="G43" s="693"/>
      <c r="H43" s="687"/>
      <c r="I43" s="685" t="s">
        <v>1495</v>
      </c>
      <c r="J43" s="689">
        <v>1.0</v>
      </c>
      <c r="K43" s="689">
        <v>0.0</v>
      </c>
      <c r="L43" s="689">
        <v>0.0</v>
      </c>
      <c r="M43" s="689">
        <v>0.0</v>
      </c>
      <c r="N43" s="686">
        <v>255.0</v>
      </c>
      <c r="O43" s="686">
        <v>255.0</v>
      </c>
      <c r="P43" s="686">
        <v>0.0</v>
      </c>
      <c r="Q43" s="686">
        <v>0.0</v>
      </c>
      <c r="R43" s="686">
        <v>0.0</v>
      </c>
      <c r="S43" s="686">
        <v>0.0</v>
      </c>
      <c r="T43" s="686">
        <v>0.0</v>
      </c>
      <c r="U43" s="690">
        <v>255.0</v>
      </c>
    </row>
    <row r="44">
      <c r="A44" s="685" t="s">
        <v>1447</v>
      </c>
      <c r="B44" s="685" t="s">
        <v>1475</v>
      </c>
      <c r="C44" s="685" t="s">
        <v>1496</v>
      </c>
      <c r="D44" s="685" t="s">
        <v>1391</v>
      </c>
      <c r="E44" s="686">
        <v>1290.0</v>
      </c>
      <c r="F44" s="692" t="s">
        <v>1497</v>
      </c>
      <c r="G44" s="693"/>
      <c r="H44" s="687"/>
      <c r="I44" s="685" t="s">
        <v>1498</v>
      </c>
      <c r="J44" s="689">
        <v>3.0</v>
      </c>
      <c r="K44" s="689">
        <v>0.0</v>
      </c>
      <c r="L44" s="689">
        <v>0.0</v>
      </c>
      <c r="M44" s="689">
        <v>0.0</v>
      </c>
      <c r="N44" s="686">
        <v>844.0</v>
      </c>
      <c r="O44" s="686">
        <v>2532.0</v>
      </c>
      <c r="P44" s="686">
        <v>0.0</v>
      </c>
      <c r="Q44" s="686">
        <v>2532.0</v>
      </c>
      <c r="R44" s="686">
        <v>0.0</v>
      </c>
      <c r="S44" s="686">
        <v>0.0</v>
      </c>
      <c r="T44" s="686">
        <v>0.0</v>
      </c>
      <c r="U44" s="690">
        <v>0.0</v>
      </c>
    </row>
    <row r="45">
      <c r="A45" s="685" t="s">
        <v>1447</v>
      </c>
      <c r="B45" s="685" t="s">
        <v>1475</v>
      </c>
      <c r="C45" s="685" t="s">
        <v>1496</v>
      </c>
      <c r="D45" s="685" t="s">
        <v>1391</v>
      </c>
      <c r="E45" s="686">
        <v>1290.0</v>
      </c>
      <c r="F45" s="685" t="s">
        <v>1499</v>
      </c>
      <c r="G45" s="687"/>
      <c r="H45" s="687"/>
      <c r="I45" s="685" t="s">
        <v>1500</v>
      </c>
      <c r="J45" s="689">
        <v>3.0</v>
      </c>
      <c r="K45" s="689">
        <v>0.0</v>
      </c>
      <c r="L45" s="689">
        <v>0.0</v>
      </c>
      <c r="M45" s="689">
        <v>0.0</v>
      </c>
      <c r="N45" s="686">
        <v>844.0</v>
      </c>
      <c r="O45" s="686">
        <v>2532.0</v>
      </c>
      <c r="P45" s="686">
        <v>0.0</v>
      </c>
      <c r="Q45" s="686">
        <v>2532.0</v>
      </c>
      <c r="R45" s="686">
        <v>0.0</v>
      </c>
      <c r="S45" s="686">
        <v>0.0</v>
      </c>
      <c r="T45" s="686">
        <v>0.0</v>
      </c>
      <c r="U45" s="690">
        <v>0.0</v>
      </c>
    </row>
    <row r="46">
      <c r="A46" s="685" t="s">
        <v>1447</v>
      </c>
      <c r="B46" s="685" t="s">
        <v>1475</v>
      </c>
      <c r="C46" s="685" t="s">
        <v>1496</v>
      </c>
      <c r="D46" s="685" t="s">
        <v>1391</v>
      </c>
      <c r="E46" s="686">
        <v>1290.0</v>
      </c>
      <c r="F46" s="685" t="s">
        <v>1501</v>
      </c>
      <c r="G46" s="687"/>
      <c r="H46" s="687"/>
      <c r="I46" s="685" t="s">
        <v>1502</v>
      </c>
      <c r="J46" s="689">
        <v>1.0</v>
      </c>
      <c r="K46" s="689">
        <v>0.0</v>
      </c>
      <c r="L46" s="689">
        <v>0.0</v>
      </c>
      <c r="M46" s="689">
        <v>0.0</v>
      </c>
      <c r="N46" s="686">
        <v>844.0</v>
      </c>
      <c r="O46" s="686">
        <v>844.0</v>
      </c>
      <c r="P46" s="686">
        <v>0.0</v>
      </c>
      <c r="Q46" s="686">
        <v>844.0</v>
      </c>
      <c r="R46" s="686">
        <v>0.0</v>
      </c>
      <c r="S46" s="686">
        <v>0.0</v>
      </c>
      <c r="T46" s="686">
        <v>0.0</v>
      </c>
      <c r="U46" s="690">
        <v>0.0</v>
      </c>
    </row>
    <row r="47">
      <c r="A47" s="685" t="s">
        <v>1447</v>
      </c>
      <c r="B47" s="685" t="s">
        <v>1475</v>
      </c>
      <c r="C47" s="685" t="s">
        <v>1496</v>
      </c>
      <c r="D47" s="685" t="s">
        <v>1391</v>
      </c>
      <c r="E47" s="686">
        <v>1290.0</v>
      </c>
      <c r="F47" s="692" t="s">
        <v>1503</v>
      </c>
      <c r="G47" s="693"/>
      <c r="H47" s="687"/>
      <c r="I47" s="685" t="s">
        <v>1504</v>
      </c>
      <c r="J47" s="689">
        <v>2.0</v>
      </c>
      <c r="K47" s="689">
        <v>0.0</v>
      </c>
      <c r="L47" s="689">
        <v>0.0</v>
      </c>
      <c r="M47" s="689">
        <v>0.0</v>
      </c>
      <c r="N47" s="686">
        <v>844.0</v>
      </c>
      <c r="O47" s="686">
        <v>1688.0</v>
      </c>
      <c r="P47" s="686">
        <v>0.0</v>
      </c>
      <c r="Q47" s="686">
        <v>1688.0</v>
      </c>
      <c r="R47" s="686">
        <v>0.0</v>
      </c>
      <c r="S47" s="686">
        <v>0.0</v>
      </c>
      <c r="T47" s="686">
        <v>0.0</v>
      </c>
      <c r="U47" s="690">
        <v>0.0</v>
      </c>
    </row>
    <row r="48">
      <c r="A48" s="685" t="s">
        <v>1447</v>
      </c>
      <c r="B48" s="685" t="s">
        <v>1475</v>
      </c>
      <c r="C48" s="685" t="s">
        <v>1496</v>
      </c>
      <c r="D48" s="685" t="s">
        <v>1391</v>
      </c>
      <c r="E48" s="686">
        <v>1290.0</v>
      </c>
      <c r="F48" s="692" t="s">
        <v>1505</v>
      </c>
      <c r="G48" s="693"/>
      <c r="H48" s="687"/>
      <c r="I48" s="685" t="s">
        <v>1506</v>
      </c>
      <c r="J48" s="689">
        <v>1.0</v>
      </c>
      <c r="K48" s="689">
        <v>0.0</v>
      </c>
      <c r="L48" s="689">
        <v>0.0</v>
      </c>
      <c r="M48" s="689">
        <v>0.0</v>
      </c>
      <c r="N48" s="686">
        <v>844.0</v>
      </c>
      <c r="O48" s="686">
        <v>844.0</v>
      </c>
      <c r="P48" s="686">
        <v>0.0</v>
      </c>
      <c r="Q48" s="686">
        <v>844.0</v>
      </c>
      <c r="R48" s="686">
        <v>0.0</v>
      </c>
      <c r="S48" s="686">
        <v>0.0</v>
      </c>
      <c r="T48" s="686">
        <v>0.0</v>
      </c>
      <c r="U48" s="690">
        <v>0.0</v>
      </c>
    </row>
    <row r="49">
      <c r="A49" s="685" t="s">
        <v>1447</v>
      </c>
      <c r="B49" s="685" t="s">
        <v>1475</v>
      </c>
      <c r="C49" s="685" t="s">
        <v>1496</v>
      </c>
      <c r="D49" s="685" t="s">
        <v>1391</v>
      </c>
      <c r="E49" s="686">
        <v>1290.0</v>
      </c>
      <c r="F49" s="692" t="s">
        <v>1507</v>
      </c>
      <c r="G49" s="693"/>
      <c r="H49" s="687"/>
      <c r="I49" s="685" t="s">
        <v>1508</v>
      </c>
      <c r="J49" s="689">
        <v>2.0</v>
      </c>
      <c r="K49" s="689">
        <v>0.0</v>
      </c>
      <c r="L49" s="689">
        <v>0.0</v>
      </c>
      <c r="M49" s="689">
        <v>0.0</v>
      </c>
      <c r="N49" s="686">
        <v>844.0</v>
      </c>
      <c r="O49" s="686">
        <v>1688.0</v>
      </c>
      <c r="P49" s="686">
        <v>0.0</v>
      </c>
      <c r="Q49" s="686">
        <v>1688.0</v>
      </c>
      <c r="R49" s="686">
        <v>0.0</v>
      </c>
      <c r="S49" s="686">
        <v>0.0</v>
      </c>
      <c r="T49" s="686">
        <v>0.0</v>
      </c>
      <c r="U49" s="690">
        <v>0.0</v>
      </c>
    </row>
    <row r="50">
      <c r="A50" s="685" t="s">
        <v>1447</v>
      </c>
      <c r="B50" s="685" t="s">
        <v>1475</v>
      </c>
      <c r="C50" s="685" t="s">
        <v>1496</v>
      </c>
      <c r="D50" s="685" t="s">
        <v>1391</v>
      </c>
      <c r="E50" s="686">
        <v>1290.0</v>
      </c>
      <c r="F50" s="692" t="s">
        <v>1509</v>
      </c>
      <c r="G50" s="693"/>
      <c r="H50" s="687"/>
      <c r="I50" s="685" t="s">
        <v>1510</v>
      </c>
      <c r="J50" s="689">
        <v>1.0</v>
      </c>
      <c r="K50" s="689">
        <v>0.0</v>
      </c>
      <c r="L50" s="689">
        <v>0.0</v>
      </c>
      <c r="M50" s="689">
        <v>0.0</v>
      </c>
      <c r="N50" s="686">
        <v>844.0</v>
      </c>
      <c r="O50" s="686">
        <v>844.0</v>
      </c>
      <c r="P50" s="686">
        <v>0.0</v>
      </c>
      <c r="Q50" s="686">
        <v>844.0</v>
      </c>
      <c r="R50" s="686">
        <v>0.0</v>
      </c>
      <c r="S50" s="686">
        <v>0.0</v>
      </c>
      <c r="T50" s="686">
        <v>0.0</v>
      </c>
      <c r="U50" s="690">
        <v>0.0</v>
      </c>
    </row>
    <row r="51">
      <c r="A51" s="685" t="s">
        <v>1447</v>
      </c>
      <c r="B51" s="685" t="s">
        <v>1475</v>
      </c>
      <c r="C51" s="685" t="s">
        <v>1496</v>
      </c>
      <c r="D51" s="685" t="s">
        <v>1391</v>
      </c>
      <c r="E51" s="686">
        <v>890.0</v>
      </c>
      <c r="F51" s="692" t="s">
        <v>1931</v>
      </c>
      <c r="G51" s="693"/>
      <c r="H51" s="687"/>
      <c r="I51" s="685" t="s">
        <v>1932</v>
      </c>
      <c r="J51" s="689">
        <v>2.0</v>
      </c>
      <c r="K51" s="689">
        <v>0.0</v>
      </c>
      <c r="L51" s="689">
        <v>0.0</v>
      </c>
      <c r="M51" s="689">
        <v>0.0</v>
      </c>
      <c r="N51" s="686">
        <v>582.0</v>
      </c>
      <c r="O51" s="686">
        <v>1164.0</v>
      </c>
      <c r="P51" s="686">
        <v>0.0</v>
      </c>
      <c r="Q51" s="686">
        <v>1164.0</v>
      </c>
      <c r="R51" s="686">
        <v>0.0</v>
      </c>
      <c r="S51" s="686">
        <v>0.0</v>
      </c>
      <c r="T51" s="686">
        <v>0.0</v>
      </c>
      <c r="U51" s="690">
        <v>0.0</v>
      </c>
    </row>
    <row r="52">
      <c r="A52" s="685" t="s">
        <v>1447</v>
      </c>
      <c r="B52" s="685" t="s">
        <v>1475</v>
      </c>
      <c r="C52" s="685" t="s">
        <v>1496</v>
      </c>
      <c r="D52" s="685" t="s">
        <v>1391</v>
      </c>
      <c r="E52" s="686">
        <v>590.0</v>
      </c>
      <c r="F52" s="692" t="s">
        <v>1511</v>
      </c>
      <c r="G52" s="693"/>
      <c r="H52" s="687"/>
      <c r="I52" s="685" t="s">
        <v>1512</v>
      </c>
      <c r="J52" s="689">
        <v>1.0</v>
      </c>
      <c r="K52" s="689">
        <v>0.0</v>
      </c>
      <c r="L52" s="689">
        <v>0.0</v>
      </c>
      <c r="M52" s="689">
        <v>0.0</v>
      </c>
      <c r="N52" s="686">
        <v>386.0</v>
      </c>
      <c r="O52" s="686">
        <v>386.0</v>
      </c>
      <c r="P52" s="686">
        <v>0.0</v>
      </c>
      <c r="Q52" s="686">
        <v>386.0</v>
      </c>
      <c r="R52" s="686">
        <v>0.0</v>
      </c>
      <c r="S52" s="686">
        <v>0.0</v>
      </c>
      <c r="T52" s="686">
        <v>0.0</v>
      </c>
      <c r="U52" s="690">
        <v>0.0</v>
      </c>
    </row>
    <row r="53">
      <c r="A53" s="685" t="s">
        <v>1447</v>
      </c>
      <c r="B53" s="685" t="s">
        <v>1475</v>
      </c>
      <c r="C53" s="685" t="s">
        <v>1513</v>
      </c>
      <c r="D53" s="685" t="s">
        <v>1391</v>
      </c>
      <c r="E53" s="686">
        <v>1290.0</v>
      </c>
      <c r="F53" s="692" t="s">
        <v>1514</v>
      </c>
      <c r="G53" s="693"/>
      <c r="H53" s="687"/>
      <c r="I53" s="685" t="s">
        <v>1515</v>
      </c>
      <c r="J53" s="689">
        <v>1.0</v>
      </c>
      <c r="K53" s="689">
        <v>0.0</v>
      </c>
      <c r="L53" s="689">
        <v>0.0</v>
      </c>
      <c r="M53" s="689">
        <v>0.0</v>
      </c>
      <c r="N53" s="686">
        <v>844.0</v>
      </c>
      <c r="O53" s="686">
        <v>844.0</v>
      </c>
      <c r="P53" s="686">
        <v>0.0</v>
      </c>
      <c r="Q53" s="686">
        <v>844.0</v>
      </c>
      <c r="R53" s="686">
        <v>0.0</v>
      </c>
      <c r="S53" s="686">
        <v>0.0</v>
      </c>
      <c r="T53" s="686">
        <v>0.0</v>
      </c>
      <c r="U53" s="690">
        <v>0.0</v>
      </c>
    </row>
    <row r="54">
      <c r="A54" s="685" t="s">
        <v>1447</v>
      </c>
      <c r="B54" s="685" t="s">
        <v>1475</v>
      </c>
      <c r="C54" s="685" t="s">
        <v>1513</v>
      </c>
      <c r="D54" s="685" t="s">
        <v>1391</v>
      </c>
      <c r="E54" s="686">
        <v>1790.0</v>
      </c>
      <c r="F54" s="692" t="s">
        <v>1516</v>
      </c>
      <c r="G54" s="693"/>
      <c r="H54" s="687"/>
      <c r="I54" s="685" t="s">
        <v>1517</v>
      </c>
      <c r="J54" s="689">
        <v>3.0</v>
      </c>
      <c r="K54" s="689">
        <v>0.0</v>
      </c>
      <c r="L54" s="689">
        <v>0.0</v>
      </c>
      <c r="M54" s="689">
        <v>0.0</v>
      </c>
      <c r="N54" s="686">
        <v>1171.0</v>
      </c>
      <c r="O54" s="686">
        <v>3513.0</v>
      </c>
      <c r="P54" s="686">
        <v>0.0</v>
      </c>
      <c r="Q54" s="686">
        <v>3513.0</v>
      </c>
      <c r="R54" s="686">
        <v>0.0</v>
      </c>
      <c r="S54" s="686">
        <v>0.0</v>
      </c>
      <c r="T54" s="686">
        <v>0.0</v>
      </c>
      <c r="U54" s="690">
        <v>0.0</v>
      </c>
    </row>
    <row r="55">
      <c r="A55" s="685" t="s">
        <v>1447</v>
      </c>
      <c r="B55" s="685" t="s">
        <v>1475</v>
      </c>
      <c r="C55" s="685" t="s">
        <v>1513</v>
      </c>
      <c r="D55" s="685" t="s">
        <v>1391</v>
      </c>
      <c r="E55" s="686">
        <v>1790.0</v>
      </c>
      <c r="F55" s="692" t="s">
        <v>1518</v>
      </c>
      <c r="G55" s="693"/>
      <c r="H55" s="687"/>
      <c r="I55" s="685" t="s">
        <v>1519</v>
      </c>
      <c r="J55" s="689">
        <v>1.0</v>
      </c>
      <c r="K55" s="689">
        <v>0.0</v>
      </c>
      <c r="L55" s="689">
        <v>0.0</v>
      </c>
      <c r="M55" s="689">
        <v>0.0</v>
      </c>
      <c r="N55" s="686">
        <v>1171.0</v>
      </c>
      <c r="O55" s="686">
        <v>1171.0</v>
      </c>
      <c r="P55" s="686">
        <v>0.0</v>
      </c>
      <c r="Q55" s="686">
        <v>1171.0</v>
      </c>
      <c r="R55" s="686">
        <v>0.0</v>
      </c>
      <c r="S55" s="686">
        <v>0.0</v>
      </c>
      <c r="T55" s="686">
        <v>0.0</v>
      </c>
      <c r="U55" s="690">
        <v>0.0</v>
      </c>
    </row>
    <row r="56">
      <c r="A56" s="685" t="s">
        <v>1447</v>
      </c>
      <c r="B56" s="685" t="s">
        <v>1475</v>
      </c>
      <c r="C56" s="685" t="s">
        <v>1513</v>
      </c>
      <c r="D56" s="685" t="s">
        <v>1391</v>
      </c>
      <c r="E56" s="686">
        <v>1790.0</v>
      </c>
      <c r="F56" s="692" t="s">
        <v>1520</v>
      </c>
      <c r="G56" s="693"/>
      <c r="H56" s="687"/>
      <c r="I56" s="685" t="s">
        <v>1521</v>
      </c>
      <c r="J56" s="689">
        <v>5.0</v>
      </c>
      <c r="K56" s="689">
        <v>0.0</v>
      </c>
      <c r="L56" s="689">
        <v>0.0</v>
      </c>
      <c r="M56" s="689">
        <v>0.0</v>
      </c>
      <c r="N56" s="686">
        <v>1171.0</v>
      </c>
      <c r="O56" s="686">
        <v>5855.0</v>
      </c>
      <c r="P56" s="686">
        <v>0.0</v>
      </c>
      <c r="Q56" s="686">
        <v>5855.0</v>
      </c>
      <c r="R56" s="686">
        <v>0.0</v>
      </c>
      <c r="S56" s="686">
        <v>0.0</v>
      </c>
      <c r="T56" s="686">
        <v>0.0</v>
      </c>
      <c r="U56" s="690">
        <v>0.0</v>
      </c>
    </row>
    <row r="57">
      <c r="A57" s="685" t="s">
        <v>1447</v>
      </c>
      <c r="B57" s="685" t="s">
        <v>1475</v>
      </c>
      <c r="C57" s="685" t="s">
        <v>1513</v>
      </c>
      <c r="D57" s="685" t="s">
        <v>1391</v>
      </c>
      <c r="E57" s="686">
        <v>1790.0</v>
      </c>
      <c r="F57" s="692" t="s">
        <v>1522</v>
      </c>
      <c r="G57" s="693"/>
      <c r="H57" s="687"/>
      <c r="I57" s="685" t="s">
        <v>1523</v>
      </c>
      <c r="J57" s="689">
        <v>1.0</v>
      </c>
      <c r="K57" s="689">
        <v>0.0</v>
      </c>
      <c r="L57" s="689">
        <v>0.0</v>
      </c>
      <c r="M57" s="689">
        <v>0.0</v>
      </c>
      <c r="N57" s="686">
        <v>1171.0</v>
      </c>
      <c r="O57" s="686">
        <v>1171.0</v>
      </c>
      <c r="P57" s="686">
        <v>0.0</v>
      </c>
      <c r="Q57" s="686">
        <v>1171.0</v>
      </c>
      <c r="R57" s="686">
        <v>0.0</v>
      </c>
      <c r="S57" s="686">
        <v>0.0</v>
      </c>
      <c r="T57" s="686">
        <v>0.0</v>
      </c>
      <c r="U57" s="690">
        <v>0.0</v>
      </c>
    </row>
    <row r="58">
      <c r="A58" s="685" t="s">
        <v>1447</v>
      </c>
      <c r="B58" s="685" t="s">
        <v>1475</v>
      </c>
      <c r="C58" s="685" t="s">
        <v>1513</v>
      </c>
      <c r="D58" s="685" t="s">
        <v>1391</v>
      </c>
      <c r="E58" s="686">
        <v>2390.0</v>
      </c>
      <c r="F58" s="692" t="s">
        <v>1524</v>
      </c>
      <c r="G58" s="693"/>
      <c r="H58" s="687"/>
      <c r="I58" s="685" t="s">
        <v>1525</v>
      </c>
      <c r="J58" s="689">
        <v>2.0</v>
      </c>
      <c r="K58" s="689">
        <v>0.0</v>
      </c>
      <c r="L58" s="689">
        <v>0.0</v>
      </c>
      <c r="M58" s="689">
        <v>0.0</v>
      </c>
      <c r="N58" s="686">
        <v>1564.0</v>
      </c>
      <c r="O58" s="686">
        <v>3128.0</v>
      </c>
      <c r="P58" s="686">
        <v>0.0</v>
      </c>
      <c r="Q58" s="686">
        <v>3128.0</v>
      </c>
      <c r="R58" s="686">
        <v>0.0</v>
      </c>
      <c r="S58" s="686">
        <v>0.0</v>
      </c>
      <c r="T58" s="686">
        <v>0.0</v>
      </c>
      <c r="U58" s="690">
        <v>0.0</v>
      </c>
    </row>
    <row r="59">
      <c r="A59" s="685" t="s">
        <v>1447</v>
      </c>
      <c r="B59" s="685" t="s">
        <v>1475</v>
      </c>
      <c r="C59" s="685" t="s">
        <v>1513</v>
      </c>
      <c r="D59" s="685" t="s">
        <v>1391</v>
      </c>
      <c r="E59" s="686">
        <v>2390.0</v>
      </c>
      <c r="F59" s="692" t="s">
        <v>1528</v>
      </c>
      <c r="G59" s="693"/>
      <c r="H59" s="687"/>
      <c r="I59" s="685" t="s">
        <v>1529</v>
      </c>
      <c r="J59" s="689">
        <v>1.0</v>
      </c>
      <c r="K59" s="689">
        <v>0.0</v>
      </c>
      <c r="L59" s="689">
        <v>0.0</v>
      </c>
      <c r="M59" s="689">
        <v>0.0</v>
      </c>
      <c r="N59" s="686">
        <v>1564.0</v>
      </c>
      <c r="O59" s="686">
        <v>1564.0</v>
      </c>
      <c r="P59" s="686">
        <v>0.0</v>
      </c>
      <c r="Q59" s="686">
        <v>1564.0</v>
      </c>
      <c r="R59" s="686">
        <v>0.0</v>
      </c>
      <c r="S59" s="686">
        <v>0.0</v>
      </c>
      <c r="T59" s="686">
        <v>0.0</v>
      </c>
      <c r="U59" s="690">
        <v>0.0</v>
      </c>
    </row>
    <row r="60">
      <c r="A60" s="685" t="s">
        <v>1447</v>
      </c>
      <c r="B60" s="685" t="s">
        <v>1475</v>
      </c>
      <c r="C60" s="685" t="s">
        <v>1513</v>
      </c>
      <c r="D60" s="685" t="s">
        <v>1391</v>
      </c>
      <c r="E60" s="686">
        <v>890.0</v>
      </c>
      <c r="F60" s="692" t="s">
        <v>1530</v>
      </c>
      <c r="G60" s="693"/>
      <c r="H60" s="687"/>
      <c r="I60" s="685" t="s">
        <v>1531</v>
      </c>
      <c r="J60" s="689">
        <v>3.0</v>
      </c>
      <c r="K60" s="689">
        <v>0.0</v>
      </c>
      <c r="L60" s="689">
        <v>0.0</v>
      </c>
      <c r="M60" s="689">
        <v>0.0</v>
      </c>
      <c r="N60" s="686">
        <v>582.0</v>
      </c>
      <c r="O60" s="686">
        <v>1746.0</v>
      </c>
      <c r="P60" s="686">
        <v>0.0</v>
      </c>
      <c r="Q60" s="686">
        <v>1746.0</v>
      </c>
      <c r="R60" s="686">
        <v>0.0</v>
      </c>
      <c r="S60" s="686">
        <v>0.0</v>
      </c>
      <c r="T60" s="686">
        <v>0.0</v>
      </c>
      <c r="U60" s="690">
        <v>0.0</v>
      </c>
    </row>
    <row r="61">
      <c r="A61" s="685" t="s">
        <v>1447</v>
      </c>
      <c r="B61" s="685" t="s">
        <v>1475</v>
      </c>
      <c r="C61" s="685" t="s">
        <v>1536</v>
      </c>
      <c r="D61" s="685" t="s">
        <v>1391</v>
      </c>
      <c r="E61" s="686">
        <v>1290.0</v>
      </c>
      <c r="F61" s="692" t="s">
        <v>1537</v>
      </c>
      <c r="G61" s="693"/>
      <c r="H61" s="687"/>
      <c r="I61" s="685" t="s">
        <v>1538</v>
      </c>
      <c r="J61" s="689">
        <v>2.0</v>
      </c>
      <c r="K61" s="689">
        <v>0.0</v>
      </c>
      <c r="L61" s="689">
        <v>0.0</v>
      </c>
      <c r="M61" s="689">
        <v>0.0</v>
      </c>
      <c r="N61" s="686">
        <v>844.0</v>
      </c>
      <c r="O61" s="686">
        <v>1688.0</v>
      </c>
      <c r="P61" s="686">
        <v>0.0</v>
      </c>
      <c r="Q61" s="686">
        <v>1688.0</v>
      </c>
      <c r="R61" s="686">
        <v>0.0</v>
      </c>
      <c r="S61" s="686">
        <v>0.0</v>
      </c>
      <c r="T61" s="686">
        <v>0.0</v>
      </c>
      <c r="U61" s="690">
        <v>0.0</v>
      </c>
    </row>
    <row r="62">
      <c r="A62" s="685" t="s">
        <v>1447</v>
      </c>
      <c r="B62" s="685" t="s">
        <v>1475</v>
      </c>
      <c r="C62" s="685" t="s">
        <v>1536</v>
      </c>
      <c r="D62" s="685" t="s">
        <v>1391</v>
      </c>
      <c r="E62" s="686">
        <v>1790.0</v>
      </c>
      <c r="F62" s="692" t="s">
        <v>1539</v>
      </c>
      <c r="G62" s="693"/>
      <c r="H62" s="687"/>
      <c r="I62" s="685" t="s">
        <v>1540</v>
      </c>
      <c r="J62" s="689">
        <v>3.0</v>
      </c>
      <c r="K62" s="689">
        <v>0.0</v>
      </c>
      <c r="L62" s="689">
        <v>0.0</v>
      </c>
      <c r="M62" s="689">
        <v>0.0</v>
      </c>
      <c r="N62" s="686">
        <v>1171.0</v>
      </c>
      <c r="O62" s="686">
        <v>3513.0</v>
      </c>
      <c r="P62" s="686">
        <v>0.0</v>
      </c>
      <c r="Q62" s="686">
        <v>3513.0</v>
      </c>
      <c r="R62" s="686">
        <v>0.0</v>
      </c>
      <c r="S62" s="686">
        <v>0.0</v>
      </c>
      <c r="T62" s="686">
        <v>0.0</v>
      </c>
      <c r="U62" s="690">
        <v>0.0</v>
      </c>
    </row>
    <row r="63">
      <c r="A63" s="685" t="s">
        <v>1447</v>
      </c>
      <c r="B63" s="685" t="s">
        <v>1475</v>
      </c>
      <c r="C63" s="685" t="s">
        <v>1536</v>
      </c>
      <c r="D63" s="685" t="s">
        <v>1391</v>
      </c>
      <c r="E63" s="686">
        <v>1790.0</v>
      </c>
      <c r="F63" s="692" t="s">
        <v>1541</v>
      </c>
      <c r="G63" s="693"/>
      <c r="H63" s="687"/>
      <c r="I63" s="685" t="s">
        <v>1542</v>
      </c>
      <c r="J63" s="689">
        <v>2.0</v>
      </c>
      <c r="K63" s="689">
        <v>0.0</v>
      </c>
      <c r="L63" s="689">
        <v>0.0</v>
      </c>
      <c r="M63" s="689">
        <v>0.0</v>
      </c>
      <c r="N63" s="686">
        <v>1171.0</v>
      </c>
      <c r="O63" s="686">
        <v>2342.0</v>
      </c>
      <c r="P63" s="686">
        <v>0.0</v>
      </c>
      <c r="Q63" s="686">
        <v>2342.0</v>
      </c>
      <c r="R63" s="686">
        <v>0.0</v>
      </c>
      <c r="S63" s="686">
        <v>0.0</v>
      </c>
      <c r="T63" s="686">
        <v>0.0</v>
      </c>
      <c r="U63" s="690">
        <v>0.0</v>
      </c>
    </row>
    <row r="64">
      <c r="A64" s="685" t="s">
        <v>1447</v>
      </c>
      <c r="B64" s="685" t="s">
        <v>1475</v>
      </c>
      <c r="C64" s="685" t="s">
        <v>1536</v>
      </c>
      <c r="D64" s="685" t="s">
        <v>1391</v>
      </c>
      <c r="E64" s="686">
        <v>1790.0</v>
      </c>
      <c r="F64" s="692" t="s">
        <v>1937</v>
      </c>
      <c r="G64" s="693"/>
      <c r="H64" s="687"/>
      <c r="I64" s="685" t="s">
        <v>1938</v>
      </c>
      <c r="J64" s="689">
        <v>1.0</v>
      </c>
      <c r="K64" s="689">
        <v>0.0</v>
      </c>
      <c r="L64" s="689">
        <v>0.0</v>
      </c>
      <c r="M64" s="689">
        <v>0.0</v>
      </c>
      <c r="N64" s="686">
        <v>1171.0</v>
      </c>
      <c r="O64" s="686">
        <v>1171.0</v>
      </c>
      <c r="P64" s="686">
        <v>0.0</v>
      </c>
      <c r="Q64" s="686">
        <v>1171.0</v>
      </c>
      <c r="R64" s="686">
        <v>0.0</v>
      </c>
      <c r="S64" s="686">
        <v>0.0</v>
      </c>
      <c r="T64" s="686">
        <v>0.0</v>
      </c>
      <c r="U64" s="690">
        <v>0.0</v>
      </c>
    </row>
    <row r="65">
      <c r="A65" s="685" t="s">
        <v>1447</v>
      </c>
      <c r="B65" s="685" t="s">
        <v>1475</v>
      </c>
      <c r="C65" s="685" t="s">
        <v>1536</v>
      </c>
      <c r="D65" s="685" t="s">
        <v>1391</v>
      </c>
      <c r="E65" s="686">
        <v>2390.0</v>
      </c>
      <c r="F65" s="692" t="s">
        <v>1543</v>
      </c>
      <c r="G65" s="693"/>
      <c r="H65" s="687"/>
      <c r="I65" s="685" t="s">
        <v>1544</v>
      </c>
      <c r="J65" s="689">
        <v>2.0</v>
      </c>
      <c r="K65" s="689">
        <v>0.0</v>
      </c>
      <c r="L65" s="689">
        <v>0.0</v>
      </c>
      <c r="M65" s="689">
        <v>0.0</v>
      </c>
      <c r="N65" s="686">
        <v>1564.0</v>
      </c>
      <c r="O65" s="686">
        <v>3128.0</v>
      </c>
      <c r="P65" s="686">
        <v>0.0</v>
      </c>
      <c r="Q65" s="686">
        <v>3128.0</v>
      </c>
      <c r="R65" s="686">
        <v>0.0</v>
      </c>
      <c r="S65" s="686">
        <v>0.0</v>
      </c>
      <c r="T65" s="686">
        <v>0.0</v>
      </c>
      <c r="U65" s="690">
        <v>0.0</v>
      </c>
    </row>
    <row r="66">
      <c r="A66" s="685" t="s">
        <v>1447</v>
      </c>
      <c r="B66" s="685" t="s">
        <v>1475</v>
      </c>
      <c r="C66" s="685" t="s">
        <v>1536</v>
      </c>
      <c r="D66" s="685" t="s">
        <v>1391</v>
      </c>
      <c r="E66" s="686">
        <v>2390.0</v>
      </c>
      <c r="F66" s="692" t="s">
        <v>1545</v>
      </c>
      <c r="G66" s="693"/>
      <c r="H66" s="687"/>
      <c r="I66" s="685" t="s">
        <v>1546</v>
      </c>
      <c r="J66" s="689">
        <v>2.0</v>
      </c>
      <c r="K66" s="689">
        <v>0.0</v>
      </c>
      <c r="L66" s="689">
        <v>0.0</v>
      </c>
      <c r="M66" s="689">
        <v>0.0</v>
      </c>
      <c r="N66" s="686">
        <v>1564.0</v>
      </c>
      <c r="O66" s="686">
        <v>3128.0</v>
      </c>
      <c r="P66" s="686">
        <v>0.0</v>
      </c>
      <c r="Q66" s="686">
        <v>3128.0</v>
      </c>
      <c r="R66" s="686">
        <v>0.0</v>
      </c>
      <c r="S66" s="686">
        <v>0.0</v>
      </c>
      <c r="T66" s="686">
        <v>0.0</v>
      </c>
      <c r="U66" s="690">
        <v>0.0</v>
      </c>
    </row>
    <row r="67">
      <c r="A67" s="685" t="s">
        <v>1447</v>
      </c>
      <c r="B67" s="685" t="s">
        <v>1475</v>
      </c>
      <c r="C67" s="685" t="s">
        <v>1536</v>
      </c>
      <c r="D67" s="685" t="s">
        <v>1391</v>
      </c>
      <c r="E67" s="686">
        <v>2390.0</v>
      </c>
      <c r="F67" s="692" t="s">
        <v>1547</v>
      </c>
      <c r="G67" s="693"/>
      <c r="H67" s="687"/>
      <c r="I67" s="685" t="s">
        <v>1548</v>
      </c>
      <c r="J67" s="689">
        <v>1.0</v>
      </c>
      <c r="K67" s="689">
        <v>0.0</v>
      </c>
      <c r="L67" s="689">
        <v>0.0</v>
      </c>
      <c r="M67" s="689">
        <v>0.0</v>
      </c>
      <c r="N67" s="686">
        <v>1564.0</v>
      </c>
      <c r="O67" s="686">
        <v>1564.0</v>
      </c>
      <c r="P67" s="686">
        <v>0.0</v>
      </c>
      <c r="Q67" s="686">
        <v>1564.0</v>
      </c>
      <c r="R67" s="686">
        <v>0.0</v>
      </c>
      <c r="S67" s="686">
        <v>0.0</v>
      </c>
      <c r="T67" s="686">
        <v>0.0</v>
      </c>
      <c r="U67" s="690">
        <v>0.0</v>
      </c>
    </row>
    <row r="68">
      <c r="A68" s="685" t="s">
        <v>1447</v>
      </c>
      <c r="B68" s="685" t="s">
        <v>1475</v>
      </c>
      <c r="C68" s="685" t="s">
        <v>1536</v>
      </c>
      <c r="D68" s="685" t="s">
        <v>1391</v>
      </c>
      <c r="E68" s="686">
        <v>890.0</v>
      </c>
      <c r="F68" s="692" t="s">
        <v>1549</v>
      </c>
      <c r="G68" s="693"/>
      <c r="H68" s="687"/>
      <c r="I68" s="685" t="s">
        <v>1550</v>
      </c>
      <c r="J68" s="689">
        <v>2.0</v>
      </c>
      <c r="K68" s="689">
        <v>0.0</v>
      </c>
      <c r="L68" s="689">
        <v>0.0</v>
      </c>
      <c r="M68" s="689">
        <v>0.0</v>
      </c>
      <c r="N68" s="686">
        <v>582.0</v>
      </c>
      <c r="O68" s="686">
        <v>1164.0</v>
      </c>
      <c r="P68" s="686">
        <v>0.0</v>
      </c>
      <c r="Q68" s="686">
        <v>1164.0</v>
      </c>
      <c r="R68" s="686">
        <v>0.0</v>
      </c>
      <c r="S68" s="686">
        <v>0.0</v>
      </c>
      <c r="T68" s="686">
        <v>0.0</v>
      </c>
      <c r="U68" s="690">
        <v>0.0</v>
      </c>
    </row>
    <row r="69">
      <c r="A69" s="685" t="s">
        <v>1447</v>
      </c>
      <c r="B69" s="685" t="s">
        <v>1475</v>
      </c>
      <c r="C69" s="685" t="s">
        <v>1536</v>
      </c>
      <c r="D69" s="685" t="s">
        <v>1391</v>
      </c>
      <c r="E69" s="686">
        <v>590.0</v>
      </c>
      <c r="F69" s="692" t="s">
        <v>1551</v>
      </c>
      <c r="G69" s="693"/>
      <c r="H69" s="687"/>
      <c r="I69" s="685" t="s">
        <v>1552</v>
      </c>
      <c r="J69" s="689">
        <v>1.0</v>
      </c>
      <c r="K69" s="689">
        <v>0.0</v>
      </c>
      <c r="L69" s="689">
        <v>0.0</v>
      </c>
      <c r="M69" s="689">
        <v>0.0</v>
      </c>
      <c r="N69" s="686">
        <v>386.0</v>
      </c>
      <c r="O69" s="686">
        <v>386.0</v>
      </c>
      <c r="P69" s="686">
        <v>0.0</v>
      </c>
      <c r="Q69" s="686">
        <v>386.0</v>
      </c>
      <c r="R69" s="686">
        <v>0.0</v>
      </c>
      <c r="S69" s="686">
        <v>0.0</v>
      </c>
      <c r="T69" s="686">
        <v>0.0</v>
      </c>
      <c r="U69" s="690">
        <v>0.0</v>
      </c>
    </row>
    <row r="70">
      <c r="A70" s="685" t="s">
        <v>1447</v>
      </c>
      <c r="B70" s="685" t="s">
        <v>1475</v>
      </c>
      <c r="C70" s="685" t="s">
        <v>1536</v>
      </c>
      <c r="D70" s="685" t="s">
        <v>1391</v>
      </c>
      <c r="E70" s="686">
        <v>2390.0</v>
      </c>
      <c r="F70" s="692" t="s">
        <v>1553</v>
      </c>
      <c r="G70" s="693"/>
      <c r="H70" s="687"/>
      <c r="I70" s="685" t="s">
        <v>1554</v>
      </c>
      <c r="J70" s="689">
        <v>1.0</v>
      </c>
      <c r="K70" s="689">
        <v>0.0</v>
      </c>
      <c r="L70" s="689">
        <v>0.0</v>
      </c>
      <c r="M70" s="689">
        <v>0.0</v>
      </c>
      <c r="N70" s="686">
        <v>1564.0</v>
      </c>
      <c r="O70" s="686">
        <v>1564.0</v>
      </c>
      <c r="P70" s="686">
        <v>0.0</v>
      </c>
      <c r="Q70" s="686">
        <v>1564.0</v>
      </c>
      <c r="R70" s="686">
        <v>0.0</v>
      </c>
      <c r="S70" s="686">
        <v>0.0</v>
      </c>
      <c r="T70" s="686">
        <v>0.0</v>
      </c>
      <c r="U70" s="690">
        <v>0.0</v>
      </c>
    </row>
    <row r="71">
      <c r="A71" s="685" t="s">
        <v>1447</v>
      </c>
      <c r="B71" s="685" t="s">
        <v>1475</v>
      </c>
      <c r="C71" s="685" t="s">
        <v>1536</v>
      </c>
      <c r="D71" s="685" t="s">
        <v>1391</v>
      </c>
      <c r="E71" s="686">
        <v>1490.0</v>
      </c>
      <c r="F71" s="692" t="s">
        <v>1555</v>
      </c>
      <c r="G71" s="693"/>
      <c r="H71" s="687"/>
      <c r="I71" s="685" t="s">
        <v>1556</v>
      </c>
      <c r="J71" s="689">
        <v>1.0</v>
      </c>
      <c r="K71" s="689">
        <v>0.0</v>
      </c>
      <c r="L71" s="689">
        <v>0.0</v>
      </c>
      <c r="M71" s="689">
        <v>0.0</v>
      </c>
      <c r="N71" s="686">
        <v>975.0</v>
      </c>
      <c r="O71" s="686">
        <v>975.0</v>
      </c>
      <c r="P71" s="686">
        <v>0.0</v>
      </c>
      <c r="Q71" s="686">
        <v>975.0</v>
      </c>
      <c r="R71" s="686">
        <v>0.0</v>
      </c>
      <c r="S71" s="686">
        <v>0.0</v>
      </c>
      <c r="T71" s="686">
        <v>0.0</v>
      </c>
      <c r="U71" s="690">
        <v>0.0</v>
      </c>
    </row>
    <row r="72">
      <c r="A72" s="685" t="s">
        <v>1447</v>
      </c>
      <c r="B72" s="685" t="s">
        <v>1475</v>
      </c>
      <c r="C72" s="685" t="s">
        <v>1557</v>
      </c>
      <c r="D72" s="685" t="s">
        <v>1391</v>
      </c>
      <c r="E72" s="686">
        <v>890.0</v>
      </c>
      <c r="F72" s="692" t="s">
        <v>1558</v>
      </c>
      <c r="G72" s="693"/>
      <c r="H72" s="687"/>
      <c r="I72" s="685" t="s">
        <v>1559</v>
      </c>
      <c r="J72" s="689">
        <v>3.0</v>
      </c>
      <c r="K72" s="689">
        <v>0.0</v>
      </c>
      <c r="L72" s="689">
        <v>0.0</v>
      </c>
      <c r="M72" s="689">
        <v>0.0</v>
      </c>
      <c r="N72" s="686">
        <v>582.0</v>
      </c>
      <c r="O72" s="686">
        <v>1746.0</v>
      </c>
      <c r="P72" s="686">
        <v>1746.0</v>
      </c>
      <c r="Q72" s="686">
        <v>0.0</v>
      </c>
      <c r="R72" s="686">
        <v>0.0</v>
      </c>
      <c r="S72" s="686">
        <v>0.0</v>
      </c>
      <c r="T72" s="686">
        <v>0.0</v>
      </c>
      <c r="U72" s="690">
        <v>0.0</v>
      </c>
    </row>
    <row r="73">
      <c r="A73" s="685" t="s">
        <v>1447</v>
      </c>
      <c r="B73" s="685" t="s">
        <v>1475</v>
      </c>
      <c r="C73" s="685" t="s">
        <v>1557</v>
      </c>
      <c r="D73" s="685" t="s">
        <v>1391</v>
      </c>
      <c r="E73" s="686">
        <v>1090.0</v>
      </c>
      <c r="F73" s="692" t="s">
        <v>1560</v>
      </c>
      <c r="G73" s="693"/>
      <c r="H73" s="687"/>
      <c r="I73" s="685" t="s">
        <v>1561</v>
      </c>
      <c r="J73" s="689">
        <v>3.0</v>
      </c>
      <c r="K73" s="689">
        <v>0.0</v>
      </c>
      <c r="L73" s="689">
        <v>0.0</v>
      </c>
      <c r="M73" s="689">
        <v>0.0</v>
      </c>
      <c r="N73" s="686">
        <v>713.0</v>
      </c>
      <c r="O73" s="686">
        <v>2139.0</v>
      </c>
      <c r="P73" s="686">
        <v>2139.0</v>
      </c>
      <c r="Q73" s="686">
        <v>0.0</v>
      </c>
      <c r="R73" s="686">
        <v>0.0</v>
      </c>
      <c r="S73" s="686">
        <v>0.0</v>
      </c>
      <c r="T73" s="686">
        <v>0.0</v>
      </c>
      <c r="U73" s="690">
        <v>0.0</v>
      </c>
    </row>
    <row r="74">
      <c r="A74" s="685" t="s">
        <v>1447</v>
      </c>
      <c r="B74" s="685" t="s">
        <v>1475</v>
      </c>
      <c r="C74" s="685" t="s">
        <v>1557</v>
      </c>
      <c r="D74" s="685" t="s">
        <v>1391</v>
      </c>
      <c r="E74" s="686">
        <v>1090.0</v>
      </c>
      <c r="F74" s="692" t="s">
        <v>1562</v>
      </c>
      <c r="G74" s="693"/>
      <c r="H74" s="687"/>
      <c r="I74" s="685" t="s">
        <v>1563</v>
      </c>
      <c r="J74" s="689">
        <v>3.0</v>
      </c>
      <c r="K74" s="689">
        <v>0.0</v>
      </c>
      <c r="L74" s="689">
        <v>0.0</v>
      </c>
      <c r="M74" s="689">
        <v>0.0</v>
      </c>
      <c r="N74" s="686">
        <v>713.0</v>
      </c>
      <c r="O74" s="686">
        <v>2139.0</v>
      </c>
      <c r="P74" s="686">
        <v>2139.0</v>
      </c>
      <c r="Q74" s="686">
        <v>0.0</v>
      </c>
      <c r="R74" s="686">
        <v>0.0</v>
      </c>
      <c r="S74" s="686">
        <v>0.0</v>
      </c>
      <c r="T74" s="686">
        <v>0.0</v>
      </c>
      <c r="U74" s="690">
        <v>0.0</v>
      </c>
    </row>
    <row r="75">
      <c r="A75" s="685" t="s">
        <v>1447</v>
      </c>
      <c r="B75" s="685" t="s">
        <v>1475</v>
      </c>
      <c r="C75" s="685" t="s">
        <v>1557</v>
      </c>
      <c r="D75" s="685" t="s">
        <v>1391</v>
      </c>
      <c r="E75" s="686">
        <v>1090.0</v>
      </c>
      <c r="F75" s="692" t="s">
        <v>1564</v>
      </c>
      <c r="G75" s="693"/>
      <c r="H75" s="687"/>
      <c r="I75" s="685" t="s">
        <v>1565</v>
      </c>
      <c r="J75" s="689">
        <v>1.0</v>
      </c>
      <c r="K75" s="689">
        <v>0.0</v>
      </c>
      <c r="L75" s="689">
        <v>0.0</v>
      </c>
      <c r="M75" s="689">
        <v>0.0</v>
      </c>
      <c r="N75" s="686">
        <v>713.0</v>
      </c>
      <c r="O75" s="686">
        <v>713.0</v>
      </c>
      <c r="P75" s="686">
        <v>713.0</v>
      </c>
      <c r="Q75" s="686">
        <v>0.0</v>
      </c>
      <c r="R75" s="686">
        <v>0.0</v>
      </c>
      <c r="S75" s="686">
        <v>0.0</v>
      </c>
      <c r="T75" s="686">
        <v>0.0</v>
      </c>
      <c r="U75" s="690">
        <v>0.0</v>
      </c>
    </row>
    <row r="76">
      <c r="A76" s="685" t="s">
        <v>1447</v>
      </c>
      <c r="B76" s="685" t="s">
        <v>1475</v>
      </c>
      <c r="C76" s="685" t="s">
        <v>1557</v>
      </c>
      <c r="D76" s="685" t="s">
        <v>1391</v>
      </c>
      <c r="E76" s="686">
        <v>1090.0</v>
      </c>
      <c r="F76" s="692" t="s">
        <v>1566</v>
      </c>
      <c r="G76" s="693"/>
      <c r="H76" s="687"/>
      <c r="I76" s="685" t="s">
        <v>1567</v>
      </c>
      <c r="J76" s="689">
        <v>1.0</v>
      </c>
      <c r="K76" s="689">
        <v>0.0</v>
      </c>
      <c r="L76" s="689">
        <v>0.0</v>
      </c>
      <c r="M76" s="689">
        <v>0.0</v>
      </c>
      <c r="N76" s="686">
        <v>713.0</v>
      </c>
      <c r="O76" s="686">
        <v>713.0</v>
      </c>
      <c r="P76" s="686">
        <v>713.0</v>
      </c>
      <c r="Q76" s="686">
        <v>0.0</v>
      </c>
      <c r="R76" s="686">
        <v>0.0</v>
      </c>
      <c r="S76" s="686">
        <v>0.0</v>
      </c>
      <c r="T76" s="686">
        <v>0.0</v>
      </c>
      <c r="U76" s="690">
        <v>0.0</v>
      </c>
    </row>
    <row r="77">
      <c r="A77" s="685" t="s">
        <v>1447</v>
      </c>
      <c r="B77" s="685" t="s">
        <v>1475</v>
      </c>
      <c r="C77" s="685" t="s">
        <v>1557</v>
      </c>
      <c r="D77" s="685" t="s">
        <v>1391</v>
      </c>
      <c r="E77" s="686">
        <v>590.0</v>
      </c>
      <c r="F77" s="692" t="s">
        <v>1568</v>
      </c>
      <c r="G77" s="693"/>
      <c r="H77" s="687"/>
      <c r="I77" s="685" t="s">
        <v>1569</v>
      </c>
      <c r="J77" s="689">
        <v>5.0</v>
      </c>
      <c r="K77" s="689">
        <v>0.0</v>
      </c>
      <c r="L77" s="689">
        <v>0.0</v>
      </c>
      <c r="M77" s="689">
        <v>0.0</v>
      </c>
      <c r="N77" s="686">
        <v>386.0</v>
      </c>
      <c r="O77" s="686">
        <v>1930.0</v>
      </c>
      <c r="P77" s="686">
        <v>1930.0</v>
      </c>
      <c r="Q77" s="686">
        <v>0.0</v>
      </c>
      <c r="R77" s="686">
        <v>0.0</v>
      </c>
      <c r="S77" s="686">
        <v>0.0</v>
      </c>
      <c r="T77" s="686">
        <v>0.0</v>
      </c>
      <c r="U77" s="690">
        <v>0.0</v>
      </c>
    </row>
    <row r="78">
      <c r="A78" s="685" t="s">
        <v>1447</v>
      </c>
      <c r="B78" s="685" t="s">
        <v>1475</v>
      </c>
      <c r="C78" s="685" t="s">
        <v>1557</v>
      </c>
      <c r="D78" s="685" t="s">
        <v>1391</v>
      </c>
      <c r="E78" s="686">
        <v>1390.0</v>
      </c>
      <c r="F78" s="692" t="s">
        <v>1570</v>
      </c>
      <c r="G78" s="693"/>
      <c r="H78" s="687"/>
      <c r="I78" s="685" t="s">
        <v>1571</v>
      </c>
      <c r="J78" s="689">
        <v>2.0</v>
      </c>
      <c r="K78" s="689">
        <v>0.0</v>
      </c>
      <c r="L78" s="689">
        <v>0.0</v>
      </c>
      <c r="M78" s="689">
        <v>0.0</v>
      </c>
      <c r="N78" s="686">
        <v>909.0</v>
      </c>
      <c r="O78" s="686">
        <v>1818.0</v>
      </c>
      <c r="P78" s="686">
        <v>1818.0</v>
      </c>
      <c r="Q78" s="686">
        <v>0.0</v>
      </c>
      <c r="R78" s="686">
        <v>0.0</v>
      </c>
      <c r="S78" s="686">
        <v>0.0</v>
      </c>
      <c r="T78" s="686">
        <v>0.0</v>
      </c>
      <c r="U78" s="690">
        <v>0.0</v>
      </c>
    </row>
    <row r="79">
      <c r="A79" s="685" t="s">
        <v>1447</v>
      </c>
      <c r="B79" s="685" t="s">
        <v>1475</v>
      </c>
      <c r="C79" s="685" t="s">
        <v>1557</v>
      </c>
      <c r="D79" s="685" t="s">
        <v>1391</v>
      </c>
      <c r="E79" s="686">
        <v>1390.0</v>
      </c>
      <c r="F79" s="692" t="s">
        <v>1572</v>
      </c>
      <c r="G79" s="693"/>
      <c r="H79" s="687"/>
      <c r="I79" s="685" t="s">
        <v>1573</v>
      </c>
      <c r="J79" s="689">
        <v>2.0</v>
      </c>
      <c r="K79" s="689">
        <v>0.0</v>
      </c>
      <c r="L79" s="689">
        <v>0.0</v>
      </c>
      <c r="M79" s="689">
        <v>0.0</v>
      </c>
      <c r="N79" s="686">
        <v>909.0</v>
      </c>
      <c r="O79" s="686">
        <v>1818.0</v>
      </c>
      <c r="P79" s="686">
        <v>1818.0</v>
      </c>
      <c r="Q79" s="686">
        <v>0.0</v>
      </c>
      <c r="R79" s="686">
        <v>0.0</v>
      </c>
      <c r="S79" s="686">
        <v>0.0</v>
      </c>
      <c r="T79" s="686">
        <v>0.0</v>
      </c>
      <c r="U79" s="690">
        <v>0.0</v>
      </c>
    </row>
    <row r="80">
      <c r="A80" s="685" t="s">
        <v>1447</v>
      </c>
      <c r="B80" s="685" t="s">
        <v>1475</v>
      </c>
      <c r="C80" s="685" t="s">
        <v>1557</v>
      </c>
      <c r="D80" s="685" t="s">
        <v>1391</v>
      </c>
      <c r="E80" s="686">
        <v>1390.0</v>
      </c>
      <c r="F80" s="692" t="s">
        <v>1574</v>
      </c>
      <c r="G80" s="693"/>
      <c r="H80" s="687"/>
      <c r="I80" s="685" t="s">
        <v>1575</v>
      </c>
      <c r="J80" s="689">
        <v>1.0</v>
      </c>
      <c r="K80" s="689">
        <v>0.0</v>
      </c>
      <c r="L80" s="689">
        <v>0.0</v>
      </c>
      <c r="M80" s="689">
        <v>0.0</v>
      </c>
      <c r="N80" s="686">
        <v>909.0</v>
      </c>
      <c r="O80" s="686">
        <v>909.0</v>
      </c>
      <c r="P80" s="686">
        <v>909.0</v>
      </c>
      <c r="Q80" s="686">
        <v>0.0</v>
      </c>
      <c r="R80" s="686">
        <v>0.0</v>
      </c>
      <c r="S80" s="686">
        <v>0.0</v>
      </c>
      <c r="T80" s="686">
        <v>0.0</v>
      </c>
      <c r="U80" s="690">
        <v>0.0</v>
      </c>
    </row>
    <row r="81">
      <c r="A81" s="685" t="s">
        <v>1447</v>
      </c>
      <c r="B81" s="685" t="s">
        <v>1475</v>
      </c>
      <c r="C81" s="685" t="s">
        <v>1576</v>
      </c>
      <c r="D81" s="685" t="s">
        <v>1391</v>
      </c>
      <c r="E81" s="686">
        <v>690.0</v>
      </c>
      <c r="F81" s="692" t="s">
        <v>1944</v>
      </c>
      <c r="G81" s="693"/>
      <c r="H81" s="687"/>
      <c r="I81" s="685" t="s">
        <v>1945</v>
      </c>
      <c r="J81" s="689">
        <v>1.0</v>
      </c>
      <c r="K81" s="689">
        <v>0.0</v>
      </c>
      <c r="L81" s="689">
        <v>0.0</v>
      </c>
      <c r="M81" s="689">
        <v>0.0</v>
      </c>
      <c r="N81" s="686">
        <v>451.0</v>
      </c>
      <c r="O81" s="686">
        <v>451.0</v>
      </c>
      <c r="P81" s="686">
        <v>0.0</v>
      </c>
      <c r="Q81" s="686">
        <v>0.0</v>
      </c>
      <c r="R81" s="686">
        <v>0.0</v>
      </c>
      <c r="S81" s="686">
        <v>0.0</v>
      </c>
      <c r="T81" s="686">
        <v>0.0</v>
      </c>
      <c r="U81" s="690">
        <v>451.0</v>
      </c>
    </row>
    <row r="82">
      <c r="A82" s="685" t="s">
        <v>1447</v>
      </c>
      <c r="B82" s="685" t="s">
        <v>1475</v>
      </c>
      <c r="C82" s="685" t="s">
        <v>1579</v>
      </c>
      <c r="D82" s="685" t="s">
        <v>1477</v>
      </c>
      <c r="E82" s="686">
        <v>190.0</v>
      </c>
      <c r="F82" s="692" t="s">
        <v>1946</v>
      </c>
      <c r="G82" s="693"/>
      <c r="H82" s="687"/>
      <c r="I82" s="685" t="s">
        <v>1580</v>
      </c>
      <c r="J82" s="689">
        <v>5.0</v>
      </c>
      <c r="K82" s="689">
        <v>0.0</v>
      </c>
      <c r="L82" s="689">
        <v>0.0</v>
      </c>
      <c r="M82" s="689">
        <v>0.0</v>
      </c>
      <c r="N82" s="686">
        <v>106.54</v>
      </c>
      <c r="O82" s="686">
        <v>532.7</v>
      </c>
      <c r="P82" s="686">
        <v>0.0</v>
      </c>
      <c r="Q82" s="686">
        <v>0.0</v>
      </c>
      <c r="R82" s="686">
        <v>0.0</v>
      </c>
      <c r="S82" s="686">
        <v>0.0</v>
      </c>
      <c r="T82" s="686">
        <v>0.0</v>
      </c>
      <c r="U82" s="690">
        <v>532.7</v>
      </c>
    </row>
    <row r="83">
      <c r="A83" s="685" t="s">
        <v>1447</v>
      </c>
      <c r="B83" s="685" t="s">
        <v>1475</v>
      </c>
      <c r="C83" s="685" t="s">
        <v>1579</v>
      </c>
      <c r="D83" s="685" t="s">
        <v>1391</v>
      </c>
      <c r="E83" s="686">
        <v>1190.0</v>
      </c>
      <c r="F83" s="692" t="s">
        <v>1581</v>
      </c>
      <c r="G83" s="693"/>
      <c r="H83" s="687"/>
      <c r="I83" s="685" t="s">
        <v>1582</v>
      </c>
      <c r="J83" s="689">
        <v>1.0</v>
      </c>
      <c r="K83" s="689">
        <v>0.0</v>
      </c>
      <c r="L83" s="689">
        <v>0.0</v>
      </c>
      <c r="M83" s="689">
        <v>0.0</v>
      </c>
      <c r="N83" s="686">
        <v>779.0</v>
      </c>
      <c r="O83" s="686">
        <v>779.0</v>
      </c>
      <c r="P83" s="686">
        <v>0.0</v>
      </c>
      <c r="Q83" s="686">
        <v>0.0</v>
      </c>
      <c r="R83" s="686">
        <v>0.0</v>
      </c>
      <c r="S83" s="686">
        <v>0.0</v>
      </c>
      <c r="T83" s="686">
        <v>0.0</v>
      </c>
      <c r="U83" s="690">
        <v>779.0</v>
      </c>
    </row>
    <row r="84">
      <c r="A84" s="685" t="s">
        <v>1447</v>
      </c>
      <c r="B84" s="685" t="s">
        <v>1475</v>
      </c>
      <c r="C84" s="685" t="s">
        <v>1579</v>
      </c>
      <c r="D84" s="685" t="s">
        <v>1391</v>
      </c>
      <c r="E84" s="686">
        <v>1190.0</v>
      </c>
      <c r="F84" s="692" t="s">
        <v>1948</v>
      </c>
      <c r="G84" s="693"/>
      <c r="H84" s="687"/>
      <c r="I84" s="685" t="s">
        <v>1949</v>
      </c>
      <c r="J84" s="689">
        <v>2.0</v>
      </c>
      <c r="K84" s="689">
        <v>0.0</v>
      </c>
      <c r="L84" s="689">
        <v>0.0</v>
      </c>
      <c r="M84" s="689">
        <v>0.0</v>
      </c>
      <c r="N84" s="686">
        <v>779.0</v>
      </c>
      <c r="O84" s="686">
        <v>1558.0</v>
      </c>
      <c r="P84" s="686">
        <v>0.0</v>
      </c>
      <c r="Q84" s="686">
        <v>0.0</v>
      </c>
      <c r="R84" s="686">
        <v>0.0</v>
      </c>
      <c r="S84" s="686">
        <v>0.0</v>
      </c>
      <c r="T84" s="686">
        <v>0.0</v>
      </c>
      <c r="U84" s="690">
        <v>1558.0</v>
      </c>
    </row>
    <row r="85">
      <c r="A85" s="685" t="s">
        <v>1447</v>
      </c>
      <c r="B85" s="685" t="s">
        <v>1475</v>
      </c>
      <c r="C85" s="685" t="s">
        <v>1579</v>
      </c>
      <c r="D85" s="685" t="s">
        <v>1391</v>
      </c>
      <c r="E85" s="686">
        <v>1190.0</v>
      </c>
      <c r="F85" s="692" t="s">
        <v>1583</v>
      </c>
      <c r="G85" s="693"/>
      <c r="H85" s="687"/>
      <c r="I85" s="685" t="s">
        <v>1584</v>
      </c>
      <c r="J85" s="689">
        <v>4.0</v>
      </c>
      <c r="K85" s="689">
        <v>0.0</v>
      </c>
      <c r="L85" s="689">
        <v>0.0</v>
      </c>
      <c r="M85" s="689">
        <v>0.0</v>
      </c>
      <c r="N85" s="686">
        <v>779.0</v>
      </c>
      <c r="O85" s="686">
        <v>3116.0</v>
      </c>
      <c r="P85" s="686">
        <v>0.0</v>
      </c>
      <c r="Q85" s="686">
        <v>0.0</v>
      </c>
      <c r="R85" s="686">
        <v>0.0</v>
      </c>
      <c r="S85" s="686">
        <v>0.0</v>
      </c>
      <c r="T85" s="686">
        <v>0.0</v>
      </c>
      <c r="U85" s="690">
        <v>3116.0</v>
      </c>
    </row>
    <row r="86">
      <c r="A86" s="685" t="s">
        <v>1447</v>
      </c>
      <c r="B86" s="685" t="s">
        <v>1475</v>
      </c>
      <c r="C86" s="685" t="s">
        <v>1579</v>
      </c>
      <c r="D86" s="685" t="s">
        <v>1391</v>
      </c>
      <c r="E86" s="686">
        <v>2190.0</v>
      </c>
      <c r="F86" s="692" t="s">
        <v>1950</v>
      </c>
      <c r="G86" s="693"/>
      <c r="H86" s="687"/>
      <c r="I86" s="685" t="s">
        <v>1951</v>
      </c>
      <c r="J86" s="689">
        <v>1.0</v>
      </c>
      <c r="K86" s="689">
        <v>0.0</v>
      </c>
      <c r="L86" s="689">
        <v>0.0</v>
      </c>
      <c r="M86" s="689">
        <v>0.0</v>
      </c>
      <c r="N86" s="686">
        <v>1433.0</v>
      </c>
      <c r="O86" s="686">
        <v>1433.0</v>
      </c>
      <c r="P86" s="686">
        <v>0.0</v>
      </c>
      <c r="Q86" s="686">
        <v>0.0</v>
      </c>
      <c r="R86" s="686">
        <v>0.0</v>
      </c>
      <c r="S86" s="686">
        <v>0.0</v>
      </c>
      <c r="T86" s="686">
        <v>0.0</v>
      </c>
      <c r="U86" s="690">
        <v>1433.0</v>
      </c>
    </row>
    <row r="87">
      <c r="A87" s="685" t="s">
        <v>1447</v>
      </c>
      <c r="B87" s="685" t="s">
        <v>1475</v>
      </c>
      <c r="C87" s="685" t="s">
        <v>1579</v>
      </c>
      <c r="D87" s="685" t="s">
        <v>1391</v>
      </c>
      <c r="E87" s="686">
        <v>1190.0</v>
      </c>
      <c r="F87" s="692" t="s">
        <v>1953</v>
      </c>
      <c r="G87" s="693"/>
      <c r="H87" s="687"/>
      <c r="I87" s="685" t="s">
        <v>1954</v>
      </c>
      <c r="J87" s="689">
        <v>1.0</v>
      </c>
      <c r="K87" s="689">
        <v>0.0</v>
      </c>
      <c r="L87" s="689">
        <v>0.0</v>
      </c>
      <c r="M87" s="689">
        <v>0.0</v>
      </c>
      <c r="N87" s="686">
        <v>779.0</v>
      </c>
      <c r="O87" s="686">
        <v>779.0</v>
      </c>
      <c r="P87" s="686">
        <v>0.0</v>
      </c>
      <c r="Q87" s="686">
        <v>0.0</v>
      </c>
      <c r="R87" s="686">
        <v>0.0</v>
      </c>
      <c r="S87" s="686">
        <v>0.0</v>
      </c>
      <c r="T87" s="686">
        <v>0.0</v>
      </c>
      <c r="U87" s="690">
        <v>779.0</v>
      </c>
    </row>
    <row r="88">
      <c r="A88" s="685" t="s">
        <v>1447</v>
      </c>
      <c r="B88" s="685" t="s">
        <v>1475</v>
      </c>
      <c r="C88" s="685" t="s">
        <v>1579</v>
      </c>
      <c r="D88" s="685" t="s">
        <v>1391</v>
      </c>
      <c r="E88" s="686">
        <v>2190.0</v>
      </c>
      <c r="F88" s="692" t="s">
        <v>1585</v>
      </c>
      <c r="G88" s="693"/>
      <c r="H88" s="687"/>
      <c r="I88" s="685" t="s">
        <v>1586</v>
      </c>
      <c r="J88" s="689">
        <v>2.0</v>
      </c>
      <c r="K88" s="689">
        <v>0.0</v>
      </c>
      <c r="L88" s="689">
        <v>0.0</v>
      </c>
      <c r="M88" s="689">
        <v>0.0</v>
      </c>
      <c r="N88" s="686">
        <v>1433.0</v>
      </c>
      <c r="O88" s="686">
        <v>2866.0</v>
      </c>
      <c r="P88" s="686">
        <v>0.0</v>
      </c>
      <c r="Q88" s="686">
        <v>0.0</v>
      </c>
      <c r="R88" s="686">
        <v>0.0</v>
      </c>
      <c r="S88" s="686">
        <v>0.0</v>
      </c>
      <c r="T88" s="686">
        <v>0.0</v>
      </c>
      <c r="U88" s="690">
        <v>2866.0</v>
      </c>
    </row>
    <row r="89">
      <c r="A89" s="685" t="s">
        <v>1447</v>
      </c>
      <c r="B89" s="685" t="s">
        <v>1475</v>
      </c>
      <c r="C89" s="685" t="s">
        <v>1587</v>
      </c>
      <c r="D89" s="685" t="s">
        <v>1477</v>
      </c>
      <c r="E89" s="686">
        <v>390.0</v>
      </c>
      <c r="F89" s="692" t="s">
        <v>1955</v>
      </c>
      <c r="G89" s="693"/>
      <c r="H89" s="687"/>
      <c r="I89" s="685" t="s">
        <v>1588</v>
      </c>
      <c r="J89" s="689">
        <v>5.0</v>
      </c>
      <c r="K89" s="689">
        <v>0.0</v>
      </c>
      <c r="L89" s="689">
        <v>0.0</v>
      </c>
      <c r="M89" s="689">
        <v>0.0</v>
      </c>
      <c r="N89" s="686">
        <v>218.69</v>
      </c>
      <c r="O89" s="686">
        <v>1093.45</v>
      </c>
      <c r="P89" s="686">
        <v>0.0</v>
      </c>
      <c r="Q89" s="686">
        <v>0.0</v>
      </c>
      <c r="R89" s="686">
        <v>0.0</v>
      </c>
      <c r="S89" s="686">
        <v>0.0</v>
      </c>
      <c r="T89" s="686">
        <v>0.0</v>
      </c>
      <c r="U89" s="690">
        <v>1093.45</v>
      </c>
    </row>
    <row r="90">
      <c r="A90" s="685" t="s">
        <v>1447</v>
      </c>
      <c r="B90" s="685" t="s">
        <v>1475</v>
      </c>
      <c r="C90" s="685" t="s">
        <v>1587</v>
      </c>
      <c r="D90" s="685" t="s">
        <v>1391</v>
      </c>
      <c r="E90" s="686">
        <v>1790.0</v>
      </c>
      <c r="F90" s="692" t="s">
        <v>1589</v>
      </c>
      <c r="G90" s="693"/>
      <c r="H90" s="687"/>
      <c r="I90" s="685" t="s">
        <v>1590</v>
      </c>
      <c r="J90" s="689">
        <v>1.0</v>
      </c>
      <c r="K90" s="689">
        <v>0.0</v>
      </c>
      <c r="L90" s="689">
        <v>0.0</v>
      </c>
      <c r="M90" s="689">
        <v>0.0</v>
      </c>
      <c r="N90" s="686">
        <v>1171.0</v>
      </c>
      <c r="O90" s="686">
        <v>1171.0</v>
      </c>
      <c r="P90" s="686">
        <v>0.0</v>
      </c>
      <c r="Q90" s="686">
        <v>0.0</v>
      </c>
      <c r="R90" s="686">
        <v>0.0</v>
      </c>
      <c r="S90" s="686">
        <v>0.0</v>
      </c>
      <c r="T90" s="686">
        <v>0.0</v>
      </c>
      <c r="U90" s="690">
        <v>1171.0</v>
      </c>
    </row>
    <row r="91">
      <c r="A91" s="685" t="s">
        <v>1447</v>
      </c>
      <c r="B91" s="685" t="s">
        <v>1475</v>
      </c>
      <c r="C91" s="685" t="s">
        <v>1587</v>
      </c>
      <c r="D91" s="685" t="s">
        <v>1391</v>
      </c>
      <c r="E91" s="686">
        <v>2190.0</v>
      </c>
      <c r="F91" s="692" t="s">
        <v>1591</v>
      </c>
      <c r="G91" s="693"/>
      <c r="H91" s="687"/>
      <c r="I91" s="685" t="s">
        <v>1592</v>
      </c>
      <c r="J91" s="689">
        <v>2.0</v>
      </c>
      <c r="K91" s="689">
        <v>0.0</v>
      </c>
      <c r="L91" s="689">
        <v>0.0</v>
      </c>
      <c r="M91" s="689">
        <v>0.0</v>
      </c>
      <c r="N91" s="686">
        <v>1433.0</v>
      </c>
      <c r="O91" s="686">
        <v>2866.0</v>
      </c>
      <c r="P91" s="686">
        <v>0.0</v>
      </c>
      <c r="Q91" s="686">
        <v>0.0</v>
      </c>
      <c r="R91" s="686">
        <v>0.0</v>
      </c>
      <c r="S91" s="686">
        <v>0.0</v>
      </c>
      <c r="T91" s="686">
        <v>0.0</v>
      </c>
      <c r="U91" s="690">
        <v>2866.0</v>
      </c>
    </row>
    <row r="92">
      <c r="A92" s="685" t="s">
        <v>1447</v>
      </c>
      <c r="B92" s="685" t="s">
        <v>1475</v>
      </c>
      <c r="C92" s="685" t="s">
        <v>1587</v>
      </c>
      <c r="D92" s="685" t="s">
        <v>1391</v>
      </c>
      <c r="E92" s="686">
        <v>2190.0</v>
      </c>
      <c r="F92" s="692" t="s">
        <v>1957</v>
      </c>
      <c r="G92" s="693"/>
      <c r="H92" s="687"/>
      <c r="I92" s="685" t="s">
        <v>1958</v>
      </c>
      <c r="J92" s="689">
        <v>1.0</v>
      </c>
      <c r="K92" s="689">
        <v>0.0</v>
      </c>
      <c r="L92" s="689">
        <v>0.0</v>
      </c>
      <c r="M92" s="689">
        <v>0.0</v>
      </c>
      <c r="N92" s="686">
        <v>1433.0</v>
      </c>
      <c r="O92" s="686">
        <v>1433.0</v>
      </c>
      <c r="P92" s="686">
        <v>0.0</v>
      </c>
      <c r="Q92" s="686">
        <v>0.0</v>
      </c>
      <c r="R92" s="686">
        <v>0.0</v>
      </c>
      <c r="S92" s="686">
        <v>0.0</v>
      </c>
      <c r="T92" s="686">
        <v>0.0</v>
      </c>
      <c r="U92" s="690">
        <v>1433.0</v>
      </c>
    </row>
    <row r="93">
      <c r="A93" s="685" t="s">
        <v>1447</v>
      </c>
      <c r="B93" s="685" t="s">
        <v>1475</v>
      </c>
      <c r="C93" s="685" t="s">
        <v>1708</v>
      </c>
      <c r="D93" s="685" t="s">
        <v>1391</v>
      </c>
      <c r="E93" s="686">
        <v>590.0</v>
      </c>
      <c r="F93" s="692" t="s">
        <v>1959</v>
      </c>
      <c r="G93" s="693"/>
      <c r="H93" s="687"/>
      <c r="I93" s="685" t="s">
        <v>1961</v>
      </c>
      <c r="J93" s="689">
        <v>3.0</v>
      </c>
      <c r="K93" s="689">
        <v>0.0</v>
      </c>
      <c r="L93" s="689">
        <v>0.0</v>
      </c>
      <c r="M93" s="689">
        <v>0.0</v>
      </c>
      <c r="N93" s="686">
        <v>386.0</v>
      </c>
      <c r="O93" s="686">
        <v>1158.0</v>
      </c>
      <c r="P93" s="686">
        <v>0.0</v>
      </c>
      <c r="Q93" s="686">
        <v>0.0</v>
      </c>
      <c r="R93" s="686">
        <v>0.0</v>
      </c>
      <c r="S93" s="686">
        <v>0.0</v>
      </c>
      <c r="T93" s="686">
        <v>0.0</v>
      </c>
      <c r="U93" s="690">
        <v>1158.0</v>
      </c>
    </row>
    <row r="94">
      <c r="A94" s="685" t="s">
        <v>1447</v>
      </c>
      <c r="B94" s="685" t="s">
        <v>1475</v>
      </c>
      <c r="C94" s="685" t="s">
        <v>1593</v>
      </c>
      <c r="D94" s="685" t="s">
        <v>1594</v>
      </c>
      <c r="E94" s="686">
        <v>2090.0</v>
      </c>
      <c r="F94" s="692" t="s">
        <v>1962</v>
      </c>
      <c r="G94" s="693"/>
      <c r="H94" s="687"/>
      <c r="I94" s="685" t="s">
        <v>1963</v>
      </c>
      <c r="J94" s="689">
        <v>1.0</v>
      </c>
      <c r="K94" s="689">
        <v>0.0</v>
      </c>
      <c r="L94" s="689">
        <v>0.0</v>
      </c>
      <c r="M94" s="689">
        <v>0.0</v>
      </c>
      <c r="N94" s="686">
        <v>1367.29</v>
      </c>
      <c r="O94" s="686">
        <v>1367.29</v>
      </c>
      <c r="P94" s="686">
        <v>1367.29</v>
      </c>
      <c r="Q94" s="686">
        <v>0.0</v>
      </c>
      <c r="R94" s="686">
        <v>0.0</v>
      </c>
      <c r="S94" s="686">
        <v>0.0</v>
      </c>
      <c r="T94" s="686">
        <v>0.0</v>
      </c>
      <c r="U94" s="690">
        <v>0.0</v>
      </c>
    </row>
    <row r="95">
      <c r="A95" s="685" t="s">
        <v>1447</v>
      </c>
      <c r="B95" s="685" t="s">
        <v>1475</v>
      </c>
      <c r="C95" s="685" t="s">
        <v>1593</v>
      </c>
      <c r="D95" s="685" t="s">
        <v>1477</v>
      </c>
      <c r="E95" s="686">
        <v>290.0</v>
      </c>
      <c r="F95" s="692" t="s">
        <v>1605</v>
      </c>
      <c r="G95" s="693"/>
      <c r="H95" s="687"/>
      <c r="I95" s="685" t="s">
        <v>1606</v>
      </c>
      <c r="J95" s="689">
        <v>4.0</v>
      </c>
      <c r="K95" s="689">
        <v>0.0</v>
      </c>
      <c r="L95" s="689">
        <v>0.0</v>
      </c>
      <c r="M95" s="689">
        <v>0.0</v>
      </c>
      <c r="N95" s="686">
        <v>162.62</v>
      </c>
      <c r="O95" s="686">
        <v>650.48</v>
      </c>
      <c r="P95" s="686">
        <v>0.0</v>
      </c>
      <c r="Q95" s="686">
        <v>0.0</v>
      </c>
      <c r="R95" s="686">
        <v>0.0</v>
      </c>
      <c r="S95" s="686">
        <v>0.0</v>
      </c>
      <c r="T95" s="686">
        <v>0.0</v>
      </c>
      <c r="U95" s="690">
        <v>650.48</v>
      </c>
    </row>
    <row r="96">
      <c r="A96" s="685" t="s">
        <v>1447</v>
      </c>
      <c r="B96" s="685" t="s">
        <v>1475</v>
      </c>
      <c r="C96" s="685" t="s">
        <v>1593</v>
      </c>
      <c r="D96" s="685" t="s">
        <v>1477</v>
      </c>
      <c r="E96" s="686">
        <v>290.0</v>
      </c>
      <c r="F96" s="692" t="s">
        <v>1607</v>
      </c>
      <c r="G96" s="693"/>
      <c r="H96" s="687"/>
      <c r="I96" s="685" t="s">
        <v>1608</v>
      </c>
      <c r="J96" s="689">
        <v>2.0</v>
      </c>
      <c r="K96" s="689">
        <v>0.0</v>
      </c>
      <c r="L96" s="689">
        <v>0.0</v>
      </c>
      <c r="M96" s="689">
        <v>0.0</v>
      </c>
      <c r="N96" s="686">
        <v>162.62</v>
      </c>
      <c r="O96" s="686">
        <v>325.24</v>
      </c>
      <c r="P96" s="686">
        <v>0.0</v>
      </c>
      <c r="Q96" s="686">
        <v>0.0</v>
      </c>
      <c r="R96" s="686">
        <v>0.0</v>
      </c>
      <c r="S96" s="686">
        <v>0.0</v>
      </c>
      <c r="T96" s="686">
        <v>0.0</v>
      </c>
      <c r="U96" s="690">
        <v>325.24</v>
      </c>
    </row>
    <row r="97">
      <c r="A97" s="685" t="s">
        <v>1447</v>
      </c>
      <c r="B97" s="685" t="s">
        <v>1475</v>
      </c>
      <c r="C97" s="685" t="s">
        <v>1593</v>
      </c>
      <c r="D97" s="685" t="s">
        <v>1477</v>
      </c>
      <c r="E97" s="686">
        <v>290.0</v>
      </c>
      <c r="F97" s="692" t="s">
        <v>1609</v>
      </c>
      <c r="G97" s="693"/>
      <c r="H97" s="687"/>
      <c r="I97" s="685" t="s">
        <v>1610</v>
      </c>
      <c r="J97" s="689">
        <v>5.0</v>
      </c>
      <c r="K97" s="689">
        <v>0.0</v>
      </c>
      <c r="L97" s="689">
        <v>0.0</v>
      </c>
      <c r="M97" s="689">
        <v>0.0</v>
      </c>
      <c r="N97" s="686">
        <v>162.62</v>
      </c>
      <c r="O97" s="686">
        <v>813.1</v>
      </c>
      <c r="P97" s="686">
        <v>0.0</v>
      </c>
      <c r="Q97" s="686">
        <v>0.0</v>
      </c>
      <c r="R97" s="686">
        <v>0.0</v>
      </c>
      <c r="S97" s="686">
        <v>0.0</v>
      </c>
      <c r="T97" s="686">
        <v>0.0</v>
      </c>
      <c r="U97" s="690">
        <v>813.1</v>
      </c>
    </row>
    <row r="98">
      <c r="A98" s="685" t="s">
        <v>1447</v>
      </c>
      <c r="B98" s="685" t="s">
        <v>1475</v>
      </c>
      <c r="C98" s="685" t="s">
        <v>1593</v>
      </c>
      <c r="D98" s="685" t="s">
        <v>1391</v>
      </c>
      <c r="E98" s="686">
        <v>1090.0</v>
      </c>
      <c r="F98" s="692" t="s">
        <v>1611</v>
      </c>
      <c r="G98" s="693"/>
      <c r="H98" s="687"/>
      <c r="I98" s="685" t="s">
        <v>1612</v>
      </c>
      <c r="J98" s="689">
        <v>1.0</v>
      </c>
      <c r="K98" s="689">
        <v>0.0</v>
      </c>
      <c r="L98" s="689">
        <v>0.0</v>
      </c>
      <c r="M98" s="689">
        <v>0.0</v>
      </c>
      <c r="N98" s="686">
        <v>713.0</v>
      </c>
      <c r="O98" s="686">
        <v>713.0</v>
      </c>
      <c r="P98" s="686">
        <v>0.0</v>
      </c>
      <c r="Q98" s="686">
        <v>0.0</v>
      </c>
      <c r="R98" s="686">
        <v>0.0</v>
      </c>
      <c r="S98" s="686">
        <v>0.0</v>
      </c>
      <c r="T98" s="686">
        <v>0.0</v>
      </c>
      <c r="U98" s="690">
        <v>713.0</v>
      </c>
    </row>
    <row r="99">
      <c r="A99" s="685" t="s">
        <v>1447</v>
      </c>
      <c r="B99" s="685" t="s">
        <v>1475</v>
      </c>
      <c r="C99" s="685" t="s">
        <v>1593</v>
      </c>
      <c r="D99" s="685" t="s">
        <v>1391</v>
      </c>
      <c r="E99" s="686">
        <v>1290.0</v>
      </c>
      <c r="F99" s="692" t="s">
        <v>1613</v>
      </c>
      <c r="G99" s="693"/>
      <c r="H99" s="687"/>
      <c r="I99" s="685" t="s">
        <v>1614</v>
      </c>
      <c r="J99" s="689">
        <v>2.0</v>
      </c>
      <c r="K99" s="689">
        <v>0.0</v>
      </c>
      <c r="L99" s="689">
        <v>0.0</v>
      </c>
      <c r="M99" s="689">
        <v>0.0</v>
      </c>
      <c r="N99" s="686">
        <v>844.0</v>
      </c>
      <c r="O99" s="686">
        <v>1688.0</v>
      </c>
      <c r="P99" s="686">
        <v>0.0</v>
      </c>
      <c r="Q99" s="686">
        <v>0.0</v>
      </c>
      <c r="R99" s="686">
        <v>0.0</v>
      </c>
      <c r="S99" s="686">
        <v>0.0</v>
      </c>
      <c r="T99" s="686">
        <v>0.0</v>
      </c>
      <c r="U99" s="690">
        <v>1688.0</v>
      </c>
    </row>
    <row r="100">
      <c r="A100" s="685" t="s">
        <v>1447</v>
      </c>
      <c r="B100" s="685" t="s">
        <v>1475</v>
      </c>
      <c r="C100" s="685" t="s">
        <v>1593</v>
      </c>
      <c r="D100" s="685" t="s">
        <v>1391</v>
      </c>
      <c r="E100" s="686">
        <v>1290.0</v>
      </c>
      <c r="F100" s="692" t="s">
        <v>1615</v>
      </c>
      <c r="G100" s="693"/>
      <c r="H100" s="687"/>
      <c r="I100" s="685" t="s">
        <v>1616</v>
      </c>
      <c r="J100" s="689">
        <v>1.0</v>
      </c>
      <c r="K100" s="689">
        <v>0.0</v>
      </c>
      <c r="L100" s="689">
        <v>0.0</v>
      </c>
      <c r="M100" s="689">
        <v>0.0</v>
      </c>
      <c r="N100" s="686">
        <v>844.0</v>
      </c>
      <c r="O100" s="686">
        <v>844.0</v>
      </c>
      <c r="P100" s="686">
        <v>0.0</v>
      </c>
      <c r="Q100" s="686">
        <v>0.0</v>
      </c>
      <c r="R100" s="686">
        <v>0.0</v>
      </c>
      <c r="S100" s="686">
        <v>0.0</v>
      </c>
      <c r="T100" s="686">
        <v>0.0</v>
      </c>
      <c r="U100" s="690">
        <v>844.0</v>
      </c>
    </row>
    <row r="101">
      <c r="A101" s="685" t="s">
        <v>1447</v>
      </c>
      <c r="B101" s="685" t="s">
        <v>1475</v>
      </c>
      <c r="C101" s="685" t="s">
        <v>1593</v>
      </c>
      <c r="D101" s="685" t="s">
        <v>1391</v>
      </c>
      <c r="E101" s="686">
        <v>1290.0</v>
      </c>
      <c r="F101" s="692" t="s">
        <v>1619</v>
      </c>
      <c r="G101" s="693"/>
      <c r="H101" s="687"/>
      <c r="I101" s="685" t="s">
        <v>1620</v>
      </c>
      <c r="J101" s="689">
        <v>2.0</v>
      </c>
      <c r="K101" s="689">
        <v>0.0</v>
      </c>
      <c r="L101" s="689">
        <v>0.0</v>
      </c>
      <c r="M101" s="689">
        <v>0.0</v>
      </c>
      <c r="N101" s="686">
        <v>844.0</v>
      </c>
      <c r="O101" s="686">
        <v>1688.0</v>
      </c>
      <c r="P101" s="686">
        <v>0.0</v>
      </c>
      <c r="Q101" s="686">
        <v>0.0</v>
      </c>
      <c r="R101" s="686">
        <v>0.0</v>
      </c>
      <c r="S101" s="686">
        <v>0.0</v>
      </c>
      <c r="T101" s="686">
        <v>0.0</v>
      </c>
      <c r="U101" s="690">
        <v>1688.0</v>
      </c>
    </row>
    <row r="102">
      <c r="A102" s="685" t="s">
        <v>1447</v>
      </c>
      <c r="B102" s="685" t="s">
        <v>1475</v>
      </c>
      <c r="C102" s="685" t="s">
        <v>1593</v>
      </c>
      <c r="D102" s="685" t="s">
        <v>1391</v>
      </c>
      <c r="E102" s="686">
        <v>1290.0</v>
      </c>
      <c r="F102" s="692" t="s">
        <v>1621</v>
      </c>
      <c r="G102" s="693"/>
      <c r="H102" s="687"/>
      <c r="I102" s="685" t="s">
        <v>1622</v>
      </c>
      <c r="J102" s="689">
        <v>1.0</v>
      </c>
      <c r="K102" s="689">
        <v>0.0</v>
      </c>
      <c r="L102" s="689">
        <v>0.0</v>
      </c>
      <c r="M102" s="689">
        <v>0.0</v>
      </c>
      <c r="N102" s="686">
        <v>844.0</v>
      </c>
      <c r="O102" s="686">
        <v>844.0</v>
      </c>
      <c r="P102" s="686">
        <v>0.0</v>
      </c>
      <c r="Q102" s="686">
        <v>0.0</v>
      </c>
      <c r="R102" s="686">
        <v>0.0</v>
      </c>
      <c r="S102" s="686">
        <v>0.0</v>
      </c>
      <c r="T102" s="686">
        <v>0.0</v>
      </c>
      <c r="U102" s="690">
        <v>844.0</v>
      </c>
    </row>
    <row r="103">
      <c r="A103" s="685" t="s">
        <v>1447</v>
      </c>
      <c r="B103" s="685" t="s">
        <v>1475</v>
      </c>
      <c r="C103" s="685" t="s">
        <v>1593</v>
      </c>
      <c r="D103" s="685" t="s">
        <v>1391</v>
      </c>
      <c r="E103" s="686">
        <v>1290.0</v>
      </c>
      <c r="F103" s="692" t="s">
        <v>1623</v>
      </c>
      <c r="G103" s="693"/>
      <c r="H103" s="687"/>
      <c r="I103" s="685" t="s">
        <v>1624</v>
      </c>
      <c r="J103" s="689">
        <v>1.0</v>
      </c>
      <c r="K103" s="689">
        <v>0.0</v>
      </c>
      <c r="L103" s="689">
        <v>0.0</v>
      </c>
      <c r="M103" s="689">
        <v>0.0</v>
      </c>
      <c r="N103" s="686">
        <v>844.0</v>
      </c>
      <c r="O103" s="686">
        <v>844.0</v>
      </c>
      <c r="P103" s="686">
        <v>0.0</v>
      </c>
      <c r="Q103" s="686">
        <v>0.0</v>
      </c>
      <c r="R103" s="686">
        <v>0.0</v>
      </c>
      <c r="S103" s="686">
        <v>0.0</v>
      </c>
      <c r="T103" s="686">
        <v>0.0</v>
      </c>
      <c r="U103" s="690">
        <v>844.0</v>
      </c>
    </row>
    <row r="104">
      <c r="A104" s="685" t="s">
        <v>1447</v>
      </c>
      <c r="B104" s="685" t="s">
        <v>1475</v>
      </c>
      <c r="C104" s="685" t="s">
        <v>1593</v>
      </c>
      <c r="D104" s="685" t="s">
        <v>1391</v>
      </c>
      <c r="E104" s="686">
        <v>1290.0</v>
      </c>
      <c r="F104" s="692" t="s">
        <v>1625</v>
      </c>
      <c r="G104" s="693"/>
      <c r="H104" s="687"/>
      <c r="I104" s="685" t="s">
        <v>1626</v>
      </c>
      <c r="J104" s="689">
        <v>1.0</v>
      </c>
      <c r="K104" s="689">
        <v>0.0</v>
      </c>
      <c r="L104" s="689">
        <v>0.0</v>
      </c>
      <c r="M104" s="689">
        <v>0.0</v>
      </c>
      <c r="N104" s="686">
        <v>844.0</v>
      </c>
      <c r="O104" s="686">
        <v>844.0</v>
      </c>
      <c r="P104" s="686">
        <v>0.0</v>
      </c>
      <c r="Q104" s="686">
        <v>0.0</v>
      </c>
      <c r="R104" s="686">
        <v>0.0</v>
      </c>
      <c r="S104" s="686">
        <v>0.0</v>
      </c>
      <c r="T104" s="686">
        <v>0.0</v>
      </c>
      <c r="U104" s="690">
        <v>844.0</v>
      </c>
    </row>
    <row r="105">
      <c r="A105" s="685" t="s">
        <v>1447</v>
      </c>
      <c r="B105" s="685" t="s">
        <v>1475</v>
      </c>
      <c r="C105" s="685" t="s">
        <v>1593</v>
      </c>
      <c r="D105" s="685" t="s">
        <v>1391</v>
      </c>
      <c r="E105" s="686">
        <v>1290.0</v>
      </c>
      <c r="F105" s="692" t="s">
        <v>1967</v>
      </c>
      <c r="G105" s="693"/>
      <c r="H105" s="687"/>
      <c r="I105" s="685" t="s">
        <v>1968</v>
      </c>
      <c r="J105" s="689">
        <v>1.0</v>
      </c>
      <c r="K105" s="689">
        <v>0.0</v>
      </c>
      <c r="L105" s="689">
        <v>0.0</v>
      </c>
      <c r="M105" s="689">
        <v>0.0</v>
      </c>
      <c r="N105" s="686">
        <v>844.0</v>
      </c>
      <c r="O105" s="686">
        <v>844.0</v>
      </c>
      <c r="P105" s="686">
        <v>0.0</v>
      </c>
      <c r="Q105" s="686">
        <v>0.0</v>
      </c>
      <c r="R105" s="686">
        <v>0.0</v>
      </c>
      <c r="S105" s="686">
        <v>0.0</v>
      </c>
      <c r="T105" s="686">
        <v>0.0</v>
      </c>
      <c r="U105" s="690">
        <v>844.0</v>
      </c>
    </row>
    <row r="106">
      <c r="A106" s="685" t="s">
        <v>1447</v>
      </c>
      <c r="B106" s="685" t="s">
        <v>1475</v>
      </c>
      <c r="C106" s="685" t="s">
        <v>1593</v>
      </c>
      <c r="D106" s="685" t="s">
        <v>1391</v>
      </c>
      <c r="E106" s="686">
        <v>2190.0</v>
      </c>
      <c r="F106" s="692" t="s">
        <v>1627</v>
      </c>
      <c r="G106" s="693"/>
      <c r="H106" s="687"/>
      <c r="I106" s="685" t="s">
        <v>1628</v>
      </c>
      <c r="J106" s="689">
        <v>1.0</v>
      </c>
      <c r="K106" s="689">
        <v>0.0</v>
      </c>
      <c r="L106" s="689">
        <v>0.0</v>
      </c>
      <c r="M106" s="689">
        <v>0.0</v>
      </c>
      <c r="N106" s="686">
        <v>1433.0</v>
      </c>
      <c r="O106" s="686">
        <v>1433.0</v>
      </c>
      <c r="P106" s="686">
        <v>0.0</v>
      </c>
      <c r="Q106" s="686">
        <v>0.0</v>
      </c>
      <c r="R106" s="686">
        <v>0.0</v>
      </c>
      <c r="S106" s="686">
        <v>0.0</v>
      </c>
      <c r="T106" s="686">
        <v>1433.0</v>
      </c>
      <c r="U106" s="690">
        <v>0.0</v>
      </c>
    </row>
    <row r="107">
      <c r="A107" s="685" t="s">
        <v>1447</v>
      </c>
      <c r="B107" s="685" t="s">
        <v>1475</v>
      </c>
      <c r="C107" s="685" t="s">
        <v>1593</v>
      </c>
      <c r="D107" s="685" t="s">
        <v>1391</v>
      </c>
      <c r="E107" s="686">
        <v>2190.0</v>
      </c>
      <c r="F107" s="692" t="s">
        <v>1629</v>
      </c>
      <c r="G107" s="693"/>
      <c r="H107" s="687"/>
      <c r="I107" s="685" t="s">
        <v>1630</v>
      </c>
      <c r="J107" s="689">
        <v>1.0</v>
      </c>
      <c r="K107" s="689">
        <v>0.0</v>
      </c>
      <c r="L107" s="689">
        <v>0.0</v>
      </c>
      <c r="M107" s="689">
        <v>0.0</v>
      </c>
      <c r="N107" s="686">
        <v>1433.0</v>
      </c>
      <c r="O107" s="686">
        <v>1433.0</v>
      </c>
      <c r="P107" s="686">
        <v>0.0</v>
      </c>
      <c r="Q107" s="686">
        <v>0.0</v>
      </c>
      <c r="R107" s="686">
        <v>0.0</v>
      </c>
      <c r="S107" s="686">
        <v>0.0</v>
      </c>
      <c r="T107" s="686">
        <v>1433.0</v>
      </c>
      <c r="U107" s="690">
        <v>0.0</v>
      </c>
    </row>
    <row r="108">
      <c r="A108" s="685" t="s">
        <v>1447</v>
      </c>
      <c r="B108" s="685" t="s">
        <v>1475</v>
      </c>
      <c r="C108" s="685" t="s">
        <v>1593</v>
      </c>
      <c r="D108" s="685" t="s">
        <v>1391</v>
      </c>
      <c r="E108" s="686">
        <v>2190.0</v>
      </c>
      <c r="F108" s="692" t="s">
        <v>1631</v>
      </c>
      <c r="G108" s="693"/>
      <c r="H108" s="687"/>
      <c r="I108" s="685" t="s">
        <v>1632</v>
      </c>
      <c r="J108" s="689">
        <v>1.0</v>
      </c>
      <c r="K108" s="689">
        <v>0.0</v>
      </c>
      <c r="L108" s="689">
        <v>0.0</v>
      </c>
      <c r="M108" s="689">
        <v>0.0</v>
      </c>
      <c r="N108" s="686">
        <v>1433.0</v>
      </c>
      <c r="O108" s="686">
        <v>1433.0</v>
      </c>
      <c r="P108" s="686">
        <v>0.0</v>
      </c>
      <c r="Q108" s="686">
        <v>0.0</v>
      </c>
      <c r="R108" s="686">
        <v>0.0</v>
      </c>
      <c r="S108" s="686">
        <v>0.0</v>
      </c>
      <c r="T108" s="686">
        <v>1433.0</v>
      </c>
      <c r="U108" s="690">
        <v>0.0</v>
      </c>
    </row>
    <row r="109">
      <c r="A109" s="685" t="s">
        <v>1447</v>
      </c>
      <c r="B109" s="685" t="s">
        <v>1475</v>
      </c>
      <c r="C109" s="685" t="s">
        <v>1593</v>
      </c>
      <c r="D109" s="685" t="s">
        <v>1391</v>
      </c>
      <c r="E109" s="686">
        <v>2190.0</v>
      </c>
      <c r="F109" s="692" t="s">
        <v>1970</v>
      </c>
      <c r="G109" s="693"/>
      <c r="H109" s="687"/>
      <c r="I109" s="685" t="s">
        <v>1971</v>
      </c>
      <c r="J109" s="689">
        <v>1.0</v>
      </c>
      <c r="K109" s="689">
        <v>0.0</v>
      </c>
      <c r="L109" s="689">
        <v>0.0</v>
      </c>
      <c r="M109" s="689">
        <v>0.0</v>
      </c>
      <c r="N109" s="686">
        <v>1433.0</v>
      </c>
      <c r="O109" s="686">
        <v>1433.0</v>
      </c>
      <c r="P109" s="686">
        <v>0.0</v>
      </c>
      <c r="Q109" s="686">
        <v>0.0</v>
      </c>
      <c r="R109" s="686">
        <v>0.0</v>
      </c>
      <c r="S109" s="686">
        <v>0.0</v>
      </c>
      <c r="T109" s="686">
        <v>1433.0</v>
      </c>
      <c r="U109" s="690">
        <v>0.0</v>
      </c>
    </row>
    <row r="110">
      <c r="A110" s="685" t="s">
        <v>1447</v>
      </c>
      <c r="B110" s="685" t="s">
        <v>1475</v>
      </c>
      <c r="C110" s="685" t="s">
        <v>1593</v>
      </c>
      <c r="D110" s="685" t="s">
        <v>1391</v>
      </c>
      <c r="E110" s="686">
        <v>2190.0</v>
      </c>
      <c r="F110" s="692" t="s">
        <v>1633</v>
      </c>
      <c r="G110" s="693"/>
      <c r="H110" s="687"/>
      <c r="I110" s="685" t="s">
        <v>1634</v>
      </c>
      <c r="J110" s="689">
        <v>1.0</v>
      </c>
      <c r="K110" s="689">
        <v>0.0</v>
      </c>
      <c r="L110" s="689">
        <v>0.0</v>
      </c>
      <c r="M110" s="689">
        <v>0.0</v>
      </c>
      <c r="N110" s="686">
        <v>1433.0</v>
      </c>
      <c r="O110" s="686">
        <v>1433.0</v>
      </c>
      <c r="P110" s="686">
        <v>0.0</v>
      </c>
      <c r="Q110" s="686">
        <v>0.0</v>
      </c>
      <c r="R110" s="686">
        <v>0.0</v>
      </c>
      <c r="S110" s="686">
        <v>0.0</v>
      </c>
      <c r="T110" s="686">
        <v>1433.0</v>
      </c>
      <c r="U110" s="690">
        <v>0.0</v>
      </c>
    </row>
    <row r="111">
      <c r="A111" s="685" t="s">
        <v>1447</v>
      </c>
      <c r="B111" s="685" t="s">
        <v>1475</v>
      </c>
      <c r="C111" s="685" t="s">
        <v>1593</v>
      </c>
      <c r="D111" s="685" t="s">
        <v>1391</v>
      </c>
      <c r="E111" s="686">
        <v>2190.0</v>
      </c>
      <c r="F111" s="692" t="s">
        <v>1973</v>
      </c>
      <c r="G111" s="693"/>
      <c r="H111" s="687"/>
      <c r="I111" s="685" t="s">
        <v>1974</v>
      </c>
      <c r="J111" s="689">
        <v>2.0</v>
      </c>
      <c r="K111" s="689">
        <v>0.0</v>
      </c>
      <c r="L111" s="689">
        <v>0.0</v>
      </c>
      <c r="M111" s="689">
        <v>0.0</v>
      </c>
      <c r="N111" s="686">
        <v>1433.0</v>
      </c>
      <c r="O111" s="686">
        <v>2866.0</v>
      </c>
      <c r="P111" s="686">
        <v>0.0</v>
      </c>
      <c r="Q111" s="686">
        <v>0.0</v>
      </c>
      <c r="R111" s="686">
        <v>0.0</v>
      </c>
      <c r="S111" s="686">
        <v>0.0</v>
      </c>
      <c r="T111" s="686">
        <v>2866.0</v>
      </c>
      <c r="U111" s="690">
        <v>0.0</v>
      </c>
    </row>
    <row r="112">
      <c r="A112" s="685" t="s">
        <v>1447</v>
      </c>
      <c r="B112" s="685" t="s">
        <v>1475</v>
      </c>
      <c r="C112" s="685" t="s">
        <v>1593</v>
      </c>
      <c r="D112" s="685" t="s">
        <v>1391</v>
      </c>
      <c r="E112" s="686">
        <v>2190.0</v>
      </c>
      <c r="F112" s="692" t="s">
        <v>1975</v>
      </c>
      <c r="G112" s="693"/>
      <c r="H112" s="687"/>
      <c r="I112" s="685" t="s">
        <v>1976</v>
      </c>
      <c r="J112" s="689">
        <v>1.0</v>
      </c>
      <c r="K112" s="689">
        <v>0.0</v>
      </c>
      <c r="L112" s="689">
        <v>0.0</v>
      </c>
      <c r="M112" s="689">
        <v>0.0</v>
      </c>
      <c r="N112" s="686">
        <v>1433.0</v>
      </c>
      <c r="O112" s="686">
        <v>1433.0</v>
      </c>
      <c r="P112" s="686">
        <v>0.0</v>
      </c>
      <c r="Q112" s="686">
        <v>0.0</v>
      </c>
      <c r="R112" s="686">
        <v>0.0</v>
      </c>
      <c r="S112" s="686">
        <v>0.0</v>
      </c>
      <c r="T112" s="686">
        <v>1433.0</v>
      </c>
      <c r="U112" s="690">
        <v>0.0</v>
      </c>
    </row>
    <row r="113">
      <c r="A113" s="685" t="s">
        <v>1447</v>
      </c>
      <c r="B113" s="685" t="s">
        <v>1475</v>
      </c>
      <c r="C113" s="685" t="s">
        <v>1593</v>
      </c>
      <c r="D113" s="685" t="s">
        <v>1391</v>
      </c>
      <c r="E113" s="686">
        <v>2190.0</v>
      </c>
      <c r="F113" s="692" t="s">
        <v>1977</v>
      </c>
      <c r="G113" s="693"/>
      <c r="H113" s="687"/>
      <c r="I113" s="685" t="s">
        <v>1978</v>
      </c>
      <c r="J113" s="689">
        <v>1.0</v>
      </c>
      <c r="K113" s="689">
        <v>0.0</v>
      </c>
      <c r="L113" s="689">
        <v>0.0</v>
      </c>
      <c r="M113" s="689">
        <v>0.0</v>
      </c>
      <c r="N113" s="686">
        <v>1433.0</v>
      </c>
      <c r="O113" s="686">
        <v>1433.0</v>
      </c>
      <c r="P113" s="686">
        <v>0.0</v>
      </c>
      <c r="Q113" s="686">
        <v>0.0</v>
      </c>
      <c r="R113" s="686">
        <v>0.0</v>
      </c>
      <c r="S113" s="686">
        <v>0.0</v>
      </c>
      <c r="T113" s="686">
        <v>1433.0</v>
      </c>
      <c r="U113" s="690">
        <v>0.0</v>
      </c>
    </row>
    <row r="114">
      <c r="A114" s="685" t="s">
        <v>1447</v>
      </c>
      <c r="B114" s="685" t="s">
        <v>1475</v>
      </c>
      <c r="C114" s="685" t="s">
        <v>1593</v>
      </c>
      <c r="D114" s="685" t="s">
        <v>1391</v>
      </c>
      <c r="E114" s="686">
        <v>590.0</v>
      </c>
      <c r="F114" s="692" t="s">
        <v>1637</v>
      </c>
      <c r="G114" s="693"/>
      <c r="H114" s="687"/>
      <c r="I114" s="685" t="s">
        <v>1638</v>
      </c>
      <c r="J114" s="689">
        <v>2.0</v>
      </c>
      <c r="K114" s="689">
        <v>0.0</v>
      </c>
      <c r="L114" s="689">
        <v>0.0</v>
      </c>
      <c r="M114" s="689">
        <v>0.0</v>
      </c>
      <c r="N114" s="686">
        <v>386.0</v>
      </c>
      <c r="O114" s="686">
        <v>772.0</v>
      </c>
      <c r="P114" s="686">
        <v>0.0</v>
      </c>
      <c r="Q114" s="686">
        <v>0.0</v>
      </c>
      <c r="R114" s="686">
        <v>0.0</v>
      </c>
      <c r="S114" s="686">
        <v>0.0</v>
      </c>
      <c r="T114" s="686">
        <v>0.0</v>
      </c>
      <c r="U114" s="690">
        <v>772.0</v>
      </c>
    </row>
    <row r="115">
      <c r="A115" s="685" t="s">
        <v>1447</v>
      </c>
      <c r="B115" s="685" t="s">
        <v>1475</v>
      </c>
      <c r="C115" s="685" t="s">
        <v>1593</v>
      </c>
      <c r="D115" s="685" t="s">
        <v>1391</v>
      </c>
      <c r="E115" s="686">
        <v>590.0</v>
      </c>
      <c r="F115" s="692" t="s">
        <v>1639</v>
      </c>
      <c r="G115" s="693"/>
      <c r="H115" s="687"/>
      <c r="I115" s="685" t="s">
        <v>1640</v>
      </c>
      <c r="J115" s="689">
        <v>6.0</v>
      </c>
      <c r="K115" s="689">
        <v>0.0</v>
      </c>
      <c r="L115" s="689">
        <v>0.0</v>
      </c>
      <c r="M115" s="689">
        <v>0.0</v>
      </c>
      <c r="N115" s="686">
        <v>386.0</v>
      </c>
      <c r="O115" s="686">
        <v>2316.0</v>
      </c>
      <c r="P115" s="686">
        <v>0.0</v>
      </c>
      <c r="Q115" s="686">
        <v>0.0</v>
      </c>
      <c r="R115" s="686">
        <v>0.0</v>
      </c>
      <c r="S115" s="686">
        <v>0.0</v>
      </c>
      <c r="T115" s="686">
        <v>0.0</v>
      </c>
      <c r="U115" s="690">
        <v>2316.0</v>
      </c>
    </row>
    <row r="116">
      <c r="A116" s="685" t="s">
        <v>1447</v>
      </c>
      <c r="B116" s="685" t="s">
        <v>1475</v>
      </c>
      <c r="C116" s="685" t="s">
        <v>1593</v>
      </c>
      <c r="D116" s="685" t="s">
        <v>1391</v>
      </c>
      <c r="E116" s="686">
        <v>1790.0</v>
      </c>
      <c r="F116" s="692" t="s">
        <v>1980</v>
      </c>
      <c r="G116" s="693"/>
      <c r="H116" s="687"/>
      <c r="I116" s="685" t="s">
        <v>1981</v>
      </c>
      <c r="J116" s="689">
        <v>1.0</v>
      </c>
      <c r="K116" s="689">
        <v>0.0</v>
      </c>
      <c r="L116" s="689">
        <v>0.0</v>
      </c>
      <c r="M116" s="689">
        <v>0.0</v>
      </c>
      <c r="N116" s="686">
        <v>1171.0</v>
      </c>
      <c r="O116" s="686">
        <v>1171.0</v>
      </c>
      <c r="P116" s="686">
        <v>0.0</v>
      </c>
      <c r="Q116" s="686">
        <v>0.0</v>
      </c>
      <c r="R116" s="686">
        <v>0.0</v>
      </c>
      <c r="S116" s="686">
        <v>0.0</v>
      </c>
      <c r="T116" s="686">
        <v>0.0</v>
      </c>
      <c r="U116" s="690">
        <v>1171.0</v>
      </c>
    </row>
    <row r="117">
      <c r="A117" s="685" t="s">
        <v>1447</v>
      </c>
      <c r="B117" s="685" t="s">
        <v>1475</v>
      </c>
      <c r="C117" s="685" t="s">
        <v>1593</v>
      </c>
      <c r="D117" s="685" t="s">
        <v>1391</v>
      </c>
      <c r="E117" s="686">
        <v>1790.0</v>
      </c>
      <c r="F117" s="692" t="s">
        <v>1641</v>
      </c>
      <c r="G117" s="693"/>
      <c r="H117" s="687"/>
      <c r="I117" s="685" t="s">
        <v>1642</v>
      </c>
      <c r="J117" s="689">
        <v>1.0</v>
      </c>
      <c r="K117" s="689">
        <v>0.0</v>
      </c>
      <c r="L117" s="689">
        <v>0.0</v>
      </c>
      <c r="M117" s="689">
        <v>0.0</v>
      </c>
      <c r="N117" s="686">
        <v>1171.0</v>
      </c>
      <c r="O117" s="686">
        <v>1171.0</v>
      </c>
      <c r="P117" s="686">
        <v>0.0</v>
      </c>
      <c r="Q117" s="686">
        <v>0.0</v>
      </c>
      <c r="R117" s="686">
        <v>0.0</v>
      </c>
      <c r="S117" s="686">
        <v>0.0</v>
      </c>
      <c r="T117" s="686">
        <v>0.0</v>
      </c>
      <c r="U117" s="690">
        <v>1171.0</v>
      </c>
    </row>
    <row r="118">
      <c r="A118" s="685" t="s">
        <v>1447</v>
      </c>
      <c r="B118" s="685" t="s">
        <v>1475</v>
      </c>
      <c r="C118" s="685" t="s">
        <v>1593</v>
      </c>
      <c r="D118" s="685" t="s">
        <v>1391</v>
      </c>
      <c r="E118" s="686">
        <v>1590.0</v>
      </c>
      <c r="F118" s="692" t="s">
        <v>1643</v>
      </c>
      <c r="G118" s="693"/>
      <c r="H118" s="687"/>
      <c r="I118" s="685" t="s">
        <v>1644</v>
      </c>
      <c r="J118" s="689">
        <v>2.0</v>
      </c>
      <c r="K118" s="689">
        <v>0.0</v>
      </c>
      <c r="L118" s="689">
        <v>0.0</v>
      </c>
      <c r="M118" s="689">
        <v>0.0</v>
      </c>
      <c r="N118" s="686">
        <v>1040.0</v>
      </c>
      <c r="O118" s="686">
        <v>2080.0</v>
      </c>
      <c r="P118" s="686">
        <v>0.0</v>
      </c>
      <c r="Q118" s="686">
        <v>0.0</v>
      </c>
      <c r="R118" s="686">
        <v>0.0</v>
      </c>
      <c r="S118" s="686">
        <v>0.0</v>
      </c>
      <c r="T118" s="686">
        <v>0.0</v>
      </c>
      <c r="U118" s="690">
        <v>2080.0</v>
      </c>
    </row>
    <row r="119">
      <c r="A119" s="685" t="s">
        <v>1447</v>
      </c>
      <c r="B119" s="685" t="s">
        <v>1475</v>
      </c>
      <c r="C119" s="685" t="s">
        <v>1593</v>
      </c>
      <c r="D119" s="685" t="s">
        <v>1391</v>
      </c>
      <c r="E119" s="686">
        <v>1590.0</v>
      </c>
      <c r="F119" s="692" t="s">
        <v>1645</v>
      </c>
      <c r="G119" s="693"/>
      <c r="H119" s="687"/>
      <c r="I119" s="685" t="s">
        <v>1646</v>
      </c>
      <c r="J119" s="689">
        <v>1.0</v>
      </c>
      <c r="K119" s="689">
        <v>0.0</v>
      </c>
      <c r="L119" s="689">
        <v>0.0</v>
      </c>
      <c r="M119" s="689">
        <v>0.0</v>
      </c>
      <c r="N119" s="686">
        <v>1040.0</v>
      </c>
      <c r="O119" s="686">
        <v>1040.0</v>
      </c>
      <c r="P119" s="686">
        <v>0.0</v>
      </c>
      <c r="Q119" s="686">
        <v>0.0</v>
      </c>
      <c r="R119" s="686">
        <v>0.0</v>
      </c>
      <c r="S119" s="686">
        <v>0.0</v>
      </c>
      <c r="T119" s="686">
        <v>0.0</v>
      </c>
      <c r="U119" s="690">
        <v>1040.0</v>
      </c>
    </row>
    <row r="120">
      <c r="A120" s="685" t="s">
        <v>1447</v>
      </c>
      <c r="B120" s="685" t="s">
        <v>1475</v>
      </c>
      <c r="C120" s="685" t="s">
        <v>1593</v>
      </c>
      <c r="D120" s="685" t="s">
        <v>1391</v>
      </c>
      <c r="E120" s="686">
        <v>1590.0</v>
      </c>
      <c r="F120" s="692" t="s">
        <v>1647</v>
      </c>
      <c r="G120" s="693"/>
      <c r="H120" s="687"/>
      <c r="I120" s="685" t="s">
        <v>1648</v>
      </c>
      <c r="J120" s="689">
        <v>1.0</v>
      </c>
      <c r="K120" s="689">
        <v>0.0</v>
      </c>
      <c r="L120" s="689">
        <v>0.0</v>
      </c>
      <c r="M120" s="689">
        <v>0.0</v>
      </c>
      <c r="N120" s="686">
        <v>1040.0</v>
      </c>
      <c r="O120" s="686">
        <v>1040.0</v>
      </c>
      <c r="P120" s="686">
        <v>0.0</v>
      </c>
      <c r="Q120" s="686">
        <v>0.0</v>
      </c>
      <c r="R120" s="686">
        <v>0.0</v>
      </c>
      <c r="S120" s="686">
        <v>0.0</v>
      </c>
      <c r="T120" s="686">
        <v>0.0</v>
      </c>
      <c r="U120" s="690">
        <v>1040.0</v>
      </c>
    </row>
    <row r="121">
      <c r="A121" s="685" t="s">
        <v>1447</v>
      </c>
      <c r="B121" s="685" t="s">
        <v>1475</v>
      </c>
      <c r="C121" s="685" t="s">
        <v>1593</v>
      </c>
      <c r="D121" s="685" t="s">
        <v>1391</v>
      </c>
      <c r="E121" s="686">
        <v>1590.0</v>
      </c>
      <c r="F121" s="692" t="s">
        <v>1652</v>
      </c>
      <c r="G121" s="693"/>
      <c r="H121" s="687"/>
      <c r="I121" s="685" t="s">
        <v>1653</v>
      </c>
      <c r="J121" s="689">
        <v>1.0</v>
      </c>
      <c r="K121" s="689">
        <v>0.0</v>
      </c>
      <c r="L121" s="689">
        <v>0.0</v>
      </c>
      <c r="M121" s="689">
        <v>0.0</v>
      </c>
      <c r="N121" s="686">
        <v>1040.0</v>
      </c>
      <c r="O121" s="686">
        <v>1040.0</v>
      </c>
      <c r="P121" s="686">
        <v>0.0</v>
      </c>
      <c r="Q121" s="686">
        <v>0.0</v>
      </c>
      <c r="R121" s="686">
        <v>0.0</v>
      </c>
      <c r="S121" s="686">
        <v>0.0</v>
      </c>
      <c r="T121" s="686">
        <v>0.0</v>
      </c>
      <c r="U121" s="690">
        <v>1040.0</v>
      </c>
    </row>
    <row r="122">
      <c r="A122" s="685" t="s">
        <v>1447</v>
      </c>
      <c r="B122" s="685" t="s">
        <v>1475</v>
      </c>
      <c r="C122" s="685" t="s">
        <v>1593</v>
      </c>
      <c r="D122" s="685" t="s">
        <v>1391</v>
      </c>
      <c r="E122" s="686">
        <v>1590.0</v>
      </c>
      <c r="F122" s="692" t="s">
        <v>1984</v>
      </c>
      <c r="G122" s="693"/>
      <c r="H122" s="687"/>
      <c r="I122" s="685" t="s">
        <v>1985</v>
      </c>
      <c r="J122" s="689">
        <v>1.0</v>
      </c>
      <c r="K122" s="689">
        <v>0.0</v>
      </c>
      <c r="L122" s="689">
        <v>0.0</v>
      </c>
      <c r="M122" s="689">
        <v>0.0</v>
      </c>
      <c r="N122" s="686">
        <v>1040.0</v>
      </c>
      <c r="O122" s="686">
        <v>1040.0</v>
      </c>
      <c r="P122" s="686">
        <v>0.0</v>
      </c>
      <c r="Q122" s="686">
        <v>0.0</v>
      </c>
      <c r="R122" s="686">
        <v>0.0</v>
      </c>
      <c r="S122" s="686">
        <v>0.0</v>
      </c>
      <c r="T122" s="686">
        <v>0.0</v>
      </c>
      <c r="U122" s="690">
        <v>1040.0</v>
      </c>
    </row>
    <row r="123">
      <c r="A123" s="685" t="s">
        <v>1447</v>
      </c>
      <c r="B123" s="685" t="s">
        <v>1475</v>
      </c>
      <c r="C123" s="685" t="s">
        <v>1593</v>
      </c>
      <c r="D123" s="685" t="s">
        <v>1391</v>
      </c>
      <c r="E123" s="686">
        <v>1590.0</v>
      </c>
      <c r="F123" s="692" t="s">
        <v>1654</v>
      </c>
      <c r="G123" s="693"/>
      <c r="H123" s="687"/>
      <c r="I123" s="685" t="s">
        <v>1655</v>
      </c>
      <c r="J123" s="689">
        <v>1.0</v>
      </c>
      <c r="K123" s="689">
        <v>0.0</v>
      </c>
      <c r="L123" s="689">
        <v>0.0</v>
      </c>
      <c r="M123" s="689">
        <v>0.0</v>
      </c>
      <c r="N123" s="686">
        <v>1040.0</v>
      </c>
      <c r="O123" s="686">
        <v>1040.0</v>
      </c>
      <c r="P123" s="686">
        <v>0.0</v>
      </c>
      <c r="Q123" s="686">
        <v>0.0</v>
      </c>
      <c r="R123" s="686">
        <v>0.0</v>
      </c>
      <c r="S123" s="686">
        <v>0.0</v>
      </c>
      <c r="T123" s="686">
        <v>0.0</v>
      </c>
      <c r="U123" s="690">
        <v>1040.0</v>
      </c>
    </row>
    <row r="124">
      <c r="A124" s="685" t="s">
        <v>1447</v>
      </c>
      <c r="B124" s="685" t="s">
        <v>1475</v>
      </c>
      <c r="C124" s="685" t="s">
        <v>1593</v>
      </c>
      <c r="D124" s="685" t="s">
        <v>1391</v>
      </c>
      <c r="E124" s="686">
        <v>1590.0</v>
      </c>
      <c r="F124" s="692" t="s">
        <v>1656</v>
      </c>
      <c r="G124" s="693"/>
      <c r="H124" s="687"/>
      <c r="I124" s="685" t="s">
        <v>1657</v>
      </c>
      <c r="J124" s="689">
        <v>2.0</v>
      </c>
      <c r="K124" s="689">
        <v>0.0</v>
      </c>
      <c r="L124" s="689">
        <v>0.0</v>
      </c>
      <c r="M124" s="689">
        <v>0.0</v>
      </c>
      <c r="N124" s="686">
        <v>1040.0</v>
      </c>
      <c r="O124" s="686">
        <v>2080.0</v>
      </c>
      <c r="P124" s="686">
        <v>0.0</v>
      </c>
      <c r="Q124" s="686">
        <v>0.0</v>
      </c>
      <c r="R124" s="686">
        <v>0.0</v>
      </c>
      <c r="S124" s="686">
        <v>0.0</v>
      </c>
      <c r="T124" s="686">
        <v>0.0</v>
      </c>
      <c r="U124" s="690">
        <v>2080.0</v>
      </c>
    </row>
    <row r="125">
      <c r="A125" s="685" t="s">
        <v>1447</v>
      </c>
      <c r="B125" s="685" t="s">
        <v>1475</v>
      </c>
      <c r="C125" s="685" t="s">
        <v>1593</v>
      </c>
      <c r="D125" s="685" t="s">
        <v>1391</v>
      </c>
      <c r="E125" s="686">
        <v>1590.0</v>
      </c>
      <c r="F125" s="692" t="s">
        <v>1658</v>
      </c>
      <c r="G125" s="693"/>
      <c r="H125" s="687"/>
      <c r="I125" s="685" t="s">
        <v>1659</v>
      </c>
      <c r="J125" s="689">
        <v>1.0</v>
      </c>
      <c r="K125" s="689">
        <v>0.0</v>
      </c>
      <c r="L125" s="689">
        <v>0.0</v>
      </c>
      <c r="M125" s="689">
        <v>0.0</v>
      </c>
      <c r="N125" s="686">
        <v>1040.0</v>
      </c>
      <c r="O125" s="686">
        <v>1040.0</v>
      </c>
      <c r="P125" s="686">
        <v>0.0</v>
      </c>
      <c r="Q125" s="686">
        <v>0.0</v>
      </c>
      <c r="R125" s="686">
        <v>0.0</v>
      </c>
      <c r="S125" s="686">
        <v>0.0</v>
      </c>
      <c r="T125" s="686">
        <v>0.0</v>
      </c>
      <c r="U125" s="690">
        <v>1040.0</v>
      </c>
    </row>
    <row r="126">
      <c r="A126" s="685" t="s">
        <v>1447</v>
      </c>
      <c r="B126" s="685" t="s">
        <v>1475</v>
      </c>
      <c r="C126" s="685" t="s">
        <v>1593</v>
      </c>
      <c r="D126" s="685" t="s">
        <v>1391</v>
      </c>
      <c r="E126" s="686">
        <v>1590.0</v>
      </c>
      <c r="F126" s="692" t="s">
        <v>1987</v>
      </c>
      <c r="G126" s="693"/>
      <c r="H126" s="687"/>
      <c r="I126" s="685" t="s">
        <v>1988</v>
      </c>
      <c r="J126" s="689">
        <v>1.0</v>
      </c>
      <c r="K126" s="689">
        <v>0.0</v>
      </c>
      <c r="L126" s="689">
        <v>0.0</v>
      </c>
      <c r="M126" s="689">
        <v>0.0</v>
      </c>
      <c r="N126" s="686">
        <v>1040.0</v>
      </c>
      <c r="O126" s="686">
        <v>1040.0</v>
      </c>
      <c r="P126" s="686">
        <v>0.0</v>
      </c>
      <c r="Q126" s="686">
        <v>0.0</v>
      </c>
      <c r="R126" s="686">
        <v>0.0</v>
      </c>
      <c r="S126" s="686">
        <v>0.0</v>
      </c>
      <c r="T126" s="686">
        <v>0.0</v>
      </c>
      <c r="U126" s="690">
        <v>1040.0</v>
      </c>
    </row>
    <row r="127">
      <c r="A127" s="685" t="s">
        <v>1447</v>
      </c>
      <c r="B127" s="685" t="s">
        <v>1475</v>
      </c>
      <c r="C127" s="685" t="s">
        <v>1593</v>
      </c>
      <c r="D127" s="685" t="s">
        <v>1391</v>
      </c>
      <c r="E127" s="686">
        <v>1590.0</v>
      </c>
      <c r="F127" s="692" t="s">
        <v>1660</v>
      </c>
      <c r="G127" s="693"/>
      <c r="H127" s="687"/>
      <c r="I127" s="685" t="s">
        <v>1661</v>
      </c>
      <c r="J127" s="689">
        <v>1.0</v>
      </c>
      <c r="K127" s="689">
        <v>0.0</v>
      </c>
      <c r="L127" s="689">
        <v>0.0</v>
      </c>
      <c r="M127" s="689">
        <v>0.0</v>
      </c>
      <c r="N127" s="686">
        <v>1040.0</v>
      </c>
      <c r="O127" s="686">
        <v>1040.0</v>
      </c>
      <c r="P127" s="686">
        <v>0.0</v>
      </c>
      <c r="Q127" s="686">
        <v>0.0</v>
      </c>
      <c r="R127" s="686">
        <v>0.0</v>
      </c>
      <c r="S127" s="686">
        <v>0.0</v>
      </c>
      <c r="T127" s="686">
        <v>0.0</v>
      </c>
      <c r="U127" s="690">
        <v>1040.0</v>
      </c>
    </row>
    <row r="128">
      <c r="A128" s="685" t="s">
        <v>1447</v>
      </c>
      <c r="B128" s="685" t="s">
        <v>1475</v>
      </c>
      <c r="C128" s="685" t="s">
        <v>1593</v>
      </c>
      <c r="D128" s="685" t="s">
        <v>1391</v>
      </c>
      <c r="E128" s="686">
        <v>1590.0</v>
      </c>
      <c r="F128" s="692" t="s">
        <v>1662</v>
      </c>
      <c r="G128" s="693"/>
      <c r="H128" s="687"/>
      <c r="I128" s="685" t="s">
        <v>1663</v>
      </c>
      <c r="J128" s="689">
        <v>3.0</v>
      </c>
      <c r="K128" s="689">
        <v>0.0</v>
      </c>
      <c r="L128" s="689">
        <v>0.0</v>
      </c>
      <c r="M128" s="689">
        <v>0.0</v>
      </c>
      <c r="N128" s="686">
        <v>1040.0</v>
      </c>
      <c r="O128" s="686">
        <v>3120.0</v>
      </c>
      <c r="P128" s="686">
        <v>0.0</v>
      </c>
      <c r="Q128" s="686">
        <v>0.0</v>
      </c>
      <c r="R128" s="686">
        <v>0.0</v>
      </c>
      <c r="S128" s="686">
        <v>0.0</v>
      </c>
      <c r="T128" s="686">
        <v>0.0</v>
      </c>
      <c r="U128" s="690">
        <v>3120.0</v>
      </c>
    </row>
    <row r="129">
      <c r="A129" s="685" t="s">
        <v>1447</v>
      </c>
      <c r="B129" s="685" t="s">
        <v>1475</v>
      </c>
      <c r="C129" s="685" t="s">
        <v>1990</v>
      </c>
      <c r="D129" s="685" t="s">
        <v>1391</v>
      </c>
      <c r="E129" s="686">
        <v>590.0</v>
      </c>
      <c r="F129" s="692" t="s">
        <v>1991</v>
      </c>
      <c r="G129" s="693"/>
      <c r="H129" s="687"/>
      <c r="I129" s="685" t="s">
        <v>1992</v>
      </c>
      <c r="J129" s="689">
        <v>3.0</v>
      </c>
      <c r="K129" s="689">
        <v>0.0</v>
      </c>
      <c r="L129" s="689">
        <v>0.0</v>
      </c>
      <c r="M129" s="689">
        <v>0.0</v>
      </c>
      <c r="N129" s="686">
        <v>386.0</v>
      </c>
      <c r="O129" s="686">
        <v>1158.0</v>
      </c>
      <c r="P129" s="686">
        <v>0.0</v>
      </c>
      <c r="Q129" s="686">
        <v>0.0</v>
      </c>
      <c r="R129" s="686">
        <v>0.0</v>
      </c>
      <c r="S129" s="686">
        <v>0.0</v>
      </c>
      <c r="T129" s="686">
        <v>0.0</v>
      </c>
      <c r="U129" s="690">
        <v>1158.0</v>
      </c>
    </row>
    <row r="130">
      <c r="A130" s="685" t="s">
        <v>1447</v>
      </c>
      <c r="B130" s="685" t="s">
        <v>1668</v>
      </c>
      <c r="C130" s="685" t="s">
        <v>1669</v>
      </c>
      <c r="D130" s="685" t="s">
        <v>1391</v>
      </c>
      <c r="E130" s="686">
        <v>1990.0</v>
      </c>
      <c r="F130" s="692" t="s">
        <v>1670</v>
      </c>
      <c r="G130" s="693"/>
      <c r="H130" s="687"/>
      <c r="I130" s="685" t="s">
        <v>1671</v>
      </c>
      <c r="J130" s="689">
        <v>5.0</v>
      </c>
      <c r="K130" s="689">
        <v>0.0</v>
      </c>
      <c r="L130" s="689">
        <v>0.0</v>
      </c>
      <c r="M130" s="689">
        <v>0.0</v>
      </c>
      <c r="N130" s="686">
        <v>1302.0</v>
      </c>
      <c r="O130" s="686">
        <v>6510.0</v>
      </c>
      <c r="P130" s="686">
        <v>0.0</v>
      </c>
      <c r="Q130" s="686">
        <v>0.0</v>
      </c>
      <c r="R130" s="686">
        <v>0.0</v>
      </c>
      <c r="S130" s="686">
        <v>0.0</v>
      </c>
      <c r="T130" s="686">
        <v>5208.0</v>
      </c>
      <c r="U130" s="690">
        <v>1302.0</v>
      </c>
    </row>
    <row r="131">
      <c r="A131" s="685" t="s">
        <v>1447</v>
      </c>
      <c r="B131" s="685" t="s">
        <v>1668</v>
      </c>
      <c r="C131" s="685" t="s">
        <v>1674</v>
      </c>
      <c r="D131" s="685" t="s">
        <v>1391</v>
      </c>
      <c r="E131" s="686">
        <v>3490.0</v>
      </c>
      <c r="F131" s="692" t="s">
        <v>1993</v>
      </c>
      <c r="G131" s="693"/>
      <c r="H131" s="687"/>
      <c r="I131" s="685" t="s">
        <v>1995</v>
      </c>
      <c r="J131" s="689">
        <v>1.0</v>
      </c>
      <c r="K131" s="689">
        <v>0.0</v>
      </c>
      <c r="L131" s="689">
        <v>0.0</v>
      </c>
      <c r="M131" s="689">
        <v>0.0</v>
      </c>
      <c r="N131" s="686">
        <v>2283.0</v>
      </c>
      <c r="O131" s="686">
        <v>2283.0</v>
      </c>
      <c r="P131" s="686">
        <v>0.0</v>
      </c>
      <c r="Q131" s="686">
        <v>0.0</v>
      </c>
      <c r="R131" s="686">
        <v>0.0</v>
      </c>
      <c r="S131" s="686">
        <v>0.0</v>
      </c>
      <c r="T131" s="686">
        <v>0.0</v>
      </c>
      <c r="U131" s="690">
        <v>2283.0</v>
      </c>
    </row>
    <row r="132">
      <c r="A132" s="685" t="s">
        <v>1447</v>
      </c>
      <c r="B132" s="685" t="s">
        <v>1668</v>
      </c>
      <c r="C132" s="685" t="s">
        <v>1674</v>
      </c>
      <c r="D132" s="685" t="s">
        <v>1391</v>
      </c>
      <c r="E132" s="686">
        <v>4990.0</v>
      </c>
      <c r="F132" s="692" t="s">
        <v>1677</v>
      </c>
      <c r="G132" s="693"/>
      <c r="H132" s="687"/>
      <c r="I132" s="685" t="s">
        <v>1678</v>
      </c>
      <c r="J132" s="689">
        <v>1.0</v>
      </c>
      <c r="K132" s="689">
        <v>0.0</v>
      </c>
      <c r="L132" s="689">
        <v>0.0</v>
      </c>
      <c r="M132" s="689">
        <v>0.0</v>
      </c>
      <c r="N132" s="686">
        <v>3264.0</v>
      </c>
      <c r="O132" s="686">
        <v>3264.0</v>
      </c>
      <c r="P132" s="686">
        <v>3264.0</v>
      </c>
      <c r="Q132" s="686">
        <v>0.0</v>
      </c>
      <c r="R132" s="686">
        <v>0.0</v>
      </c>
      <c r="S132" s="686">
        <v>0.0</v>
      </c>
      <c r="T132" s="686">
        <v>0.0</v>
      </c>
      <c r="U132" s="690">
        <v>0.0</v>
      </c>
    </row>
    <row r="133">
      <c r="A133" s="685" t="s">
        <v>1447</v>
      </c>
      <c r="B133" s="685" t="s">
        <v>1668</v>
      </c>
      <c r="C133" s="685" t="s">
        <v>1679</v>
      </c>
      <c r="D133" s="685" t="s">
        <v>1594</v>
      </c>
      <c r="E133" s="686">
        <v>690.0</v>
      </c>
      <c r="F133" s="692" t="s">
        <v>629</v>
      </c>
      <c r="G133" s="693"/>
      <c r="H133" s="687"/>
      <c r="I133" s="685" t="s">
        <v>1680</v>
      </c>
      <c r="J133" s="689">
        <v>2.0</v>
      </c>
      <c r="K133" s="689">
        <v>0.0</v>
      </c>
      <c r="L133" s="689">
        <v>0.0</v>
      </c>
      <c r="M133" s="689">
        <v>0.0</v>
      </c>
      <c r="N133" s="686">
        <v>386.92</v>
      </c>
      <c r="O133" s="686">
        <v>773.84</v>
      </c>
      <c r="P133" s="686">
        <v>0.0</v>
      </c>
      <c r="Q133" s="686">
        <v>0.0</v>
      </c>
      <c r="R133" s="686">
        <v>0.0</v>
      </c>
      <c r="S133" s="686">
        <v>0.0</v>
      </c>
      <c r="T133" s="686">
        <v>773.84</v>
      </c>
      <c r="U133" s="690">
        <v>0.0</v>
      </c>
    </row>
    <row r="134">
      <c r="A134" s="685" t="s">
        <v>1447</v>
      </c>
      <c r="B134" s="685" t="s">
        <v>1681</v>
      </c>
      <c r="C134" s="685" t="s">
        <v>1682</v>
      </c>
      <c r="D134" s="685" t="s">
        <v>1450</v>
      </c>
      <c r="E134" s="686">
        <v>999.0</v>
      </c>
      <c r="F134" s="692" t="s">
        <v>1330</v>
      </c>
      <c r="G134" s="693"/>
      <c r="H134" s="687"/>
      <c r="I134" s="685" t="s">
        <v>1329</v>
      </c>
      <c r="J134" s="689">
        <v>2.0</v>
      </c>
      <c r="K134" s="689">
        <v>0.0</v>
      </c>
      <c r="L134" s="689">
        <v>0.0</v>
      </c>
      <c r="M134" s="689">
        <v>0.0</v>
      </c>
      <c r="N134" s="686">
        <v>560.75</v>
      </c>
      <c r="O134" s="686">
        <v>1121.5</v>
      </c>
      <c r="P134" s="686">
        <v>0.0</v>
      </c>
      <c r="Q134" s="686">
        <v>560.75</v>
      </c>
      <c r="R134" s="686">
        <v>0.0</v>
      </c>
      <c r="S134" s="686">
        <v>0.0</v>
      </c>
      <c r="T134" s="686">
        <v>0.0</v>
      </c>
      <c r="U134" s="690">
        <v>560.75</v>
      </c>
    </row>
    <row r="135">
      <c r="A135" s="685" t="s">
        <v>1447</v>
      </c>
      <c r="B135" s="685" t="s">
        <v>1681</v>
      </c>
      <c r="C135" s="685" t="s">
        <v>1682</v>
      </c>
      <c r="D135" s="685" t="s">
        <v>1450</v>
      </c>
      <c r="E135" s="686">
        <v>399.0</v>
      </c>
      <c r="F135" s="692" t="s">
        <v>1334</v>
      </c>
      <c r="G135" s="693"/>
      <c r="H135" s="687"/>
      <c r="I135" s="685" t="s">
        <v>1333</v>
      </c>
      <c r="J135" s="689">
        <v>9.0</v>
      </c>
      <c r="K135" s="689">
        <v>0.0</v>
      </c>
      <c r="L135" s="689">
        <v>0.0</v>
      </c>
      <c r="M135" s="689">
        <v>0.0</v>
      </c>
      <c r="N135" s="686">
        <v>205.61</v>
      </c>
      <c r="O135" s="686">
        <v>1850.49</v>
      </c>
      <c r="P135" s="686">
        <v>0.0</v>
      </c>
      <c r="Q135" s="686">
        <v>0.0</v>
      </c>
      <c r="R135" s="686">
        <v>205.61</v>
      </c>
      <c r="S135" s="686">
        <v>0.0</v>
      </c>
      <c r="T135" s="686">
        <v>1644.88</v>
      </c>
      <c r="U135" s="690">
        <v>0.0</v>
      </c>
    </row>
    <row r="136">
      <c r="A136" s="685" t="s">
        <v>1447</v>
      </c>
      <c r="B136" s="685" t="s">
        <v>1681</v>
      </c>
      <c r="C136" s="685" t="s">
        <v>1682</v>
      </c>
      <c r="D136" s="685" t="s">
        <v>1450</v>
      </c>
      <c r="E136" s="686">
        <v>599.0</v>
      </c>
      <c r="F136" s="692" t="s">
        <v>1338</v>
      </c>
      <c r="G136" s="693"/>
      <c r="H136" s="687"/>
      <c r="I136" s="685" t="s">
        <v>1337</v>
      </c>
      <c r="J136" s="689">
        <v>10.0</v>
      </c>
      <c r="K136" s="689">
        <v>0.0</v>
      </c>
      <c r="L136" s="689">
        <v>0.0</v>
      </c>
      <c r="M136" s="689">
        <v>0.0</v>
      </c>
      <c r="N136" s="686">
        <v>308.41</v>
      </c>
      <c r="O136" s="686">
        <v>3084.1</v>
      </c>
      <c r="P136" s="686">
        <v>0.0</v>
      </c>
      <c r="Q136" s="686">
        <v>308.41</v>
      </c>
      <c r="R136" s="686">
        <v>0.0</v>
      </c>
      <c r="S136" s="686">
        <v>0.0</v>
      </c>
      <c r="T136" s="686">
        <v>925.23</v>
      </c>
      <c r="U136" s="690">
        <v>1850.46</v>
      </c>
    </row>
    <row r="137">
      <c r="A137" s="685" t="s">
        <v>1447</v>
      </c>
      <c r="B137" s="685" t="s">
        <v>1681</v>
      </c>
      <c r="C137" s="685" t="s">
        <v>1682</v>
      </c>
      <c r="D137" s="685" t="s">
        <v>1391</v>
      </c>
      <c r="E137" s="686">
        <v>690.0</v>
      </c>
      <c r="F137" s="692" t="s">
        <v>1342</v>
      </c>
      <c r="G137" s="693"/>
      <c r="H137" s="687"/>
      <c r="I137" s="685" t="s">
        <v>1341</v>
      </c>
      <c r="J137" s="689">
        <v>36.0</v>
      </c>
      <c r="K137" s="689">
        <v>0.0</v>
      </c>
      <c r="L137" s="689">
        <v>0.0</v>
      </c>
      <c r="M137" s="689">
        <v>0.0</v>
      </c>
      <c r="N137" s="686">
        <v>451.0</v>
      </c>
      <c r="O137" s="686">
        <v>16236.0</v>
      </c>
      <c r="P137" s="686">
        <v>0.0</v>
      </c>
      <c r="Q137" s="686">
        <v>0.0</v>
      </c>
      <c r="R137" s="686">
        <v>0.0</v>
      </c>
      <c r="S137" s="686">
        <v>4510.0</v>
      </c>
      <c r="T137" s="686">
        <v>0.0</v>
      </c>
      <c r="U137" s="690">
        <v>11726.0</v>
      </c>
    </row>
    <row r="138">
      <c r="A138" s="685" t="s">
        <v>1447</v>
      </c>
      <c r="B138" s="685" t="s">
        <v>1681</v>
      </c>
      <c r="C138" s="685" t="s">
        <v>1682</v>
      </c>
      <c r="D138" s="685" t="s">
        <v>1391</v>
      </c>
      <c r="E138" s="686">
        <v>690.0</v>
      </c>
      <c r="F138" s="692" t="s">
        <v>1345</v>
      </c>
      <c r="G138" s="693"/>
      <c r="H138" s="687"/>
      <c r="I138" s="685" t="s">
        <v>1344</v>
      </c>
      <c r="J138" s="689">
        <v>31.0</v>
      </c>
      <c r="K138" s="689">
        <v>0.0</v>
      </c>
      <c r="L138" s="689">
        <v>0.0</v>
      </c>
      <c r="M138" s="689">
        <v>0.0</v>
      </c>
      <c r="N138" s="686">
        <v>451.0</v>
      </c>
      <c r="O138" s="686">
        <v>13981.0</v>
      </c>
      <c r="P138" s="686">
        <v>0.0</v>
      </c>
      <c r="Q138" s="686">
        <v>0.0</v>
      </c>
      <c r="R138" s="686">
        <v>13981.0</v>
      </c>
      <c r="S138" s="686">
        <v>0.0</v>
      </c>
      <c r="T138" s="686">
        <v>0.0</v>
      </c>
      <c r="U138" s="690">
        <v>0.0</v>
      </c>
    </row>
    <row r="139">
      <c r="A139" s="685" t="s">
        <v>1447</v>
      </c>
      <c r="B139" s="685" t="s">
        <v>1681</v>
      </c>
      <c r="C139" s="685" t="s">
        <v>1682</v>
      </c>
      <c r="D139" s="685" t="s">
        <v>1391</v>
      </c>
      <c r="E139" s="686">
        <v>1290.0</v>
      </c>
      <c r="F139" s="692" t="s">
        <v>1164</v>
      </c>
      <c r="G139" s="693"/>
      <c r="H139" s="687"/>
      <c r="I139" s="685" t="s">
        <v>1348</v>
      </c>
      <c r="J139" s="689">
        <v>1.0</v>
      </c>
      <c r="K139" s="689">
        <v>0.0</v>
      </c>
      <c r="L139" s="689">
        <v>0.0</v>
      </c>
      <c r="M139" s="689">
        <v>0.0</v>
      </c>
      <c r="N139" s="686">
        <v>844.0</v>
      </c>
      <c r="O139" s="686">
        <v>844.0</v>
      </c>
      <c r="P139" s="686">
        <v>0.0</v>
      </c>
      <c r="Q139" s="686">
        <v>0.0</v>
      </c>
      <c r="R139" s="686">
        <v>844.0</v>
      </c>
      <c r="S139" s="686">
        <v>0.0</v>
      </c>
      <c r="T139" s="686">
        <v>0.0</v>
      </c>
      <c r="U139" s="690">
        <v>0.0</v>
      </c>
    </row>
    <row r="140">
      <c r="A140" s="685" t="s">
        <v>1447</v>
      </c>
      <c r="B140" s="685" t="s">
        <v>1681</v>
      </c>
      <c r="C140" s="685" t="s">
        <v>1682</v>
      </c>
      <c r="D140" s="685" t="s">
        <v>1391</v>
      </c>
      <c r="E140" s="686">
        <v>690.0</v>
      </c>
      <c r="F140" s="692" t="s">
        <v>1998</v>
      </c>
      <c r="G140" s="693"/>
      <c r="H140" s="687"/>
      <c r="I140" s="685" t="s">
        <v>1999</v>
      </c>
      <c r="J140" s="689">
        <v>3.0</v>
      </c>
      <c r="K140" s="689">
        <v>0.0</v>
      </c>
      <c r="L140" s="689">
        <v>0.0</v>
      </c>
      <c r="M140" s="689">
        <v>0.0</v>
      </c>
      <c r="N140" s="686">
        <v>485.98</v>
      </c>
      <c r="O140" s="686">
        <v>1457.94</v>
      </c>
      <c r="P140" s="686">
        <v>0.0</v>
      </c>
      <c r="Q140" s="686">
        <v>0.0</v>
      </c>
      <c r="R140" s="686">
        <v>0.0</v>
      </c>
      <c r="S140" s="686">
        <v>0.0</v>
      </c>
      <c r="T140" s="686">
        <v>0.0</v>
      </c>
      <c r="U140" s="690">
        <v>1457.94</v>
      </c>
    </row>
    <row r="141">
      <c r="A141" s="685" t="s">
        <v>1447</v>
      </c>
      <c r="B141" s="685" t="s">
        <v>1681</v>
      </c>
      <c r="C141" s="685" t="s">
        <v>1682</v>
      </c>
      <c r="D141" s="685" t="s">
        <v>1391</v>
      </c>
      <c r="E141" s="686">
        <v>690.0</v>
      </c>
      <c r="F141" s="692" t="s">
        <v>2000</v>
      </c>
      <c r="G141" s="693"/>
      <c r="H141" s="687"/>
      <c r="I141" s="685" t="s">
        <v>2001</v>
      </c>
      <c r="J141" s="689">
        <v>14.0</v>
      </c>
      <c r="K141" s="689">
        <v>0.0</v>
      </c>
      <c r="L141" s="689">
        <v>0.0</v>
      </c>
      <c r="M141" s="689">
        <v>0.0</v>
      </c>
      <c r="N141" s="686">
        <v>465.0</v>
      </c>
      <c r="O141" s="686">
        <v>6510.0</v>
      </c>
      <c r="P141" s="686">
        <v>0.0</v>
      </c>
      <c r="Q141" s="686">
        <v>0.0</v>
      </c>
      <c r="R141" s="686">
        <v>0.0</v>
      </c>
      <c r="S141" s="686">
        <v>0.0</v>
      </c>
      <c r="T141" s="686">
        <v>0.0</v>
      </c>
      <c r="U141" s="690">
        <v>6510.0</v>
      </c>
    </row>
    <row r="142">
      <c r="A142" s="685" t="s">
        <v>1447</v>
      </c>
      <c r="B142" s="685" t="s">
        <v>1681</v>
      </c>
      <c r="C142" s="685" t="s">
        <v>1682</v>
      </c>
      <c r="D142" s="685" t="s">
        <v>1391</v>
      </c>
      <c r="E142" s="686">
        <v>690.0</v>
      </c>
      <c r="F142" s="692" t="s">
        <v>2003</v>
      </c>
      <c r="G142" s="693"/>
      <c r="H142" s="687"/>
      <c r="I142" s="685" t="s">
        <v>2004</v>
      </c>
      <c r="J142" s="689">
        <v>2.0</v>
      </c>
      <c r="K142" s="689">
        <v>0.0</v>
      </c>
      <c r="L142" s="689">
        <v>0.0</v>
      </c>
      <c r="M142" s="689">
        <v>0.0</v>
      </c>
      <c r="N142" s="686">
        <v>484.0</v>
      </c>
      <c r="O142" s="686">
        <v>968.0</v>
      </c>
      <c r="P142" s="686">
        <v>0.0</v>
      </c>
      <c r="Q142" s="686">
        <v>0.0</v>
      </c>
      <c r="R142" s="686">
        <v>968.0</v>
      </c>
      <c r="S142" s="686">
        <v>0.0</v>
      </c>
      <c r="T142" s="686">
        <v>0.0</v>
      </c>
      <c r="U142" s="690">
        <v>0.0</v>
      </c>
    </row>
    <row r="143">
      <c r="A143" s="685" t="s">
        <v>1447</v>
      </c>
      <c r="B143" s="685" t="s">
        <v>1681</v>
      </c>
      <c r="C143" s="685" t="s">
        <v>1682</v>
      </c>
      <c r="D143" s="685" t="s">
        <v>1391</v>
      </c>
      <c r="E143" s="686">
        <v>1290.0</v>
      </c>
      <c r="F143" s="692" t="s">
        <v>1167</v>
      </c>
      <c r="G143" s="693"/>
      <c r="H143" s="687"/>
      <c r="I143" s="685" t="s">
        <v>1351</v>
      </c>
      <c r="J143" s="689">
        <v>25.0</v>
      </c>
      <c r="K143" s="689">
        <v>0.0</v>
      </c>
      <c r="L143" s="689">
        <v>0.0</v>
      </c>
      <c r="M143" s="689">
        <v>0.0</v>
      </c>
      <c r="N143" s="686">
        <v>904.0</v>
      </c>
      <c r="O143" s="686">
        <v>22600.0</v>
      </c>
      <c r="P143" s="686">
        <v>22600.0</v>
      </c>
      <c r="Q143" s="686">
        <v>0.0</v>
      </c>
      <c r="R143" s="686">
        <v>0.0</v>
      </c>
      <c r="S143" s="686">
        <v>0.0</v>
      </c>
      <c r="T143" s="686">
        <v>0.0</v>
      </c>
      <c r="U143" s="690">
        <v>0.0</v>
      </c>
    </row>
    <row r="144">
      <c r="A144" s="685" t="s">
        <v>1447</v>
      </c>
      <c r="B144" s="685" t="s">
        <v>1681</v>
      </c>
      <c r="C144" s="685" t="s">
        <v>1684</v>
      </c>
      <c r="D144" s="685" t="s">
        <v>1391</v>
      </c>
      <c r="E144" s="686">
        <v>1090.0</v>
      </c>
      <c r="F144" s="692" t="s">
        <v>2005</v>
      </c>
      <c r="G144" s="693"/>
      <c r="H144" s="687"/>
      <c r="I144" s="685" t="s">
        <v>2006</v>
      </c>
      <c r="J144" s="689">
        <v>2.0</v>
      </c>
      <c r="K144" s="689">
        <v>0.0</v>
      </c>
      <c r="L144" s="689">
        <v>0.0</v>
      </c>
      <c r="M144" s="689">
        <v>0.0</v>
      </c>
      <c r="N144" s="686">
        <v>713.0</v>
      </c>
      <c r="O144" s="686">
        <v>1426.0</v>
      </c>
      <c r="P144" s="686">
        <v>0.0</v>
      </c>
      <c r="Q144" s="686">
        <v>0.0</v>
      </c>
      <c r="R144" s="686">
        <v>0.0</v>
      </c>
      <c r="S144" s="686">
        <v>0.0</v>
      </c>
      <c r="T144" s="686">
        <v>0.0</v>
      </c>
      <c r="U144" s="690">
        <v>1426.0</v>
      </c>
    </row>
    <row r="145">
      <c r="A145" s="685" t="s">
        <v>1447</v>
      </c>
      <c r="B145" s="685" t="s">
        <v>1681</v>
      </c>
      <c r="C145" s="685" t="s">
        <v>1684</v>
      </c>
      <c r="D145" s="685" t="s">
        <v>1391</v>
      </c>
      <c r="E145" s="686">
        <v>1090.0</v>
      </c>
      <c r="F145" s="692" t="s">
        <v>1355</v>
      </c>
      <c r="G145" s="693"/>
      <c r="H145" s="687"/>
      <c r="I145" s="685" t="s">
        <v>1354</v>
      </c>
      <c r="J145" s="689">
        <v>21.0</v>
      </c>
      <c r="K145" s="689">
        <v>0.0</v>
      </c>
      <c r="L145" s="689">
        <v>0.0</v>
      </c>
      <c r="M145" s="689">
        <v>0.0</v>
      </c>
      <c r="N145" s="686">
        <v>713.0</v>
      </c>
      <c r="O145" s="686">
        <v>14973.0</v>
      </c>
      <c r="P145" s="686">
        <v>713.0</v>
      </c>
      <c r="Q145" s="686">
        <v>0.0</v>
      </c>
      <c r="R145" s="686">
        <v>7130.0</v>
      </c>
      <c r="S145" s="686">
        <v>3565.0</v>
      </c>
      <c r="T145" s="686">
        <v>0.0</v>
      </c>
      <c r="U145" s="690">
        <v>3565.0</v>
      </c>
    </row>
    <row r="146">
      <c r="A146" s="685" t="s">
        <v>1447</v>
      </c>
      <c r="B146" s="685" t="s">
        <v>1681</v>
      </c>
      <c r="C146" s="685" t="s">
        <v>1684</v>
      </c>
      <c r="D146" s="685" t="s">
        <v>1391</v>
      </c>
      <c r="E146" s="686">
        <v>1490.0</v>
      </c>
      <c r="F146" s="692" t="s">
        <v>1358</v>
      </c>
      <c r="G146" s="693"/>
      <c r="H146" s="687"/>
      <c r="I146" s="685" t="s">
        <v>1357</v>
      </c>
      <c r="J146" s="689">
        <v>9.0</v>
      </c>
      <c r="K146" s="689">
        <v>0.0</v>
      </c>
      <c r="L146" s="689">
        <v>0.0</v>
      </c>
      <c r="M146" s="689">
        <v>0.0</v>
      </c>
      <c r="N146" s="686">
        <v>975.0</v>
      </c>
      <c r="O146" s="686">
        <v>8775.0</v>
      </c>
      <c r="P146" s="686">
        <v>0.0</v>
      </c>
      <c r="Q146" s="686">
        <v>0.0</v>
      </c>
      <c r="R146" s="686">
        <v>0.0</v>
      </c>
      <c r="S146" s="686">
        <v>8775.0</v>
      </c>
      <c r="T146" s="686">
        <v>0.0</v>
      </c>
      <c r="U146" s="690">
        <v>0.0</v>
      </c>
    </row>
    <row r="147">
      <c r="A147" s="685" t="s">
        <v>1447</v>
      </c>
      <c r="B147" s="685" t="s">
        <v>1681</v>
      </c>
      <c r="C147" s="685" t="s">
        <v>1684</v>
      </c>
      <c r="D147" s="685" t="s">
        <v>1391</v>
      </c>
      <c r="E147" s="686">
        <v>790.0</v>
      </c>
      <c r="F147" s="692" t="s">
        <v>2008</v>
      </c>
      <c r="G147" s="693"/>
      <c r="H147" s="687"/>
      <c r="I147" s="685" t="s">
        <v>2009</v>
      </c>
      <c r="J147" s="689">
        <v>1.0</v>
      </c>
      <c r="K147" s="689">
        <v>0.0</v>
      </c>
      <c r="L147" s="689">
        <v>0.0</v>
      </c>
      <c r="M147" s="689">
        <v>0.0</v>
      </c>
      <c r="N147" s="686">
        <v>517.0</v>
      </c>
      <c r="O147" s="686">
        <v>517.0</v>
      </c>
      <c r="P147" s="686">
        <v>0.0</v>
      </c>
      <c r="Q147" s="686">
        <v>0.0</v>
      </c>
      <c r="R147" s="686">
        <v>0.0</v>
      </c>
      <c r="S147" s="686">
        <v>0.0</v>
      </c>
      <c r="T147" s="686">
        <v>0.0</v>
      </c>
      <c r="U147" s="690">
        <v>517.0</v>
      </c>
    </row>
    <row r="148">
      <c r="A148" s="685" t="s">
        <v>1447</v>
      </c>
      <c r="B148" s="685" t="s">
        <v>1685</v>
      </c>
      <c r="C148" s="685" t="s">
        <v>1708</v>
      </c>
      <c r="D148" s="685" t="s">
        <v>1594</v>
      </c>
      <c r="E148" s="686">
        <v>590.0</v>
      </c>
      <c r="F148" s="692" t="s">
        <v>573</v>
      </c>
      <c r="G148" s="693"/>
      <c r="H148" s="687"/>
      <c r="I148" s="685" t="s">
        <v>2011</v>
      </c>
      <c r="J148" s="689">
        <v>1.0</v>
      </c>
      <c r="K148" s="689">
        <v>0.0</v>
      </c>
      <c r="L148" s="689">
        <v>0.0</v>
      </c>
      <c r="M148" s="689">
        <v>0.0</v>
      </c>
      <c r="N148" s="686">
        <v>352.9</v>
      </c>
      <c r="O148" s="686">
        <v>352.9</v>
      </c>
      <c r="P148" s="686">
        <v>352.9</v>
      </c>
      <c r="Q148" s="686">
        <v>0.0</v>
      </c>
      <c r="R148" s="686">
        <v>0.0</v>
      </c>
      <c r="S148" s="686">
        <v>0.0</v>
      </c>
      <c r="T148" s="686">
        <v>0.0</v>
      </c>
      <c r="U148" s="690">
        <v>0.0</v>
      </c>
    </row>
    <row r="149">
      <c r="A149" s="685" t="s">
        <v>1447</v>
      </c>
      <c r="B149" s="685" t="s">
        <v>1685</v>
      </c>
      <c r="C149" s="685" t="s">
        <v>1593</v>
      </c>
      <c r="D149" s="685" t="s">
        <v>1594</v>
      </c>
      <c r="E149" s="686">
        <v>590.0</v>
      </c>
      <c r="F149" s="692" t="s">
        <v>1686</v>
      </c>
      <c r="G149" s="693"/>
      <c r="H149" s="687"/>
      <c r="I149" s="685" t="s">
        <v>1687</v>
      </c>
      <c r="J149" s="689">
        <v>6.0</v>
      </c>
      <c r="K149" s="689">
        <v>0.0</v>
      </c>
      <c r="L149" s="689">
        <v>0.0</v>
      </c>
      <c r="M149" s="689">
        <v>0.0</v>
      </c>
      <c r="N149" s="686">
        <v>352.9</v>
      </c>
      <c r="O149" s="686">
        <v>2117.4</v>
      </c>
      <c r="P149" s="686">
        <v>0.0</v>
      </c>
      <c r="Q149" s="686">
        <v>0.0</v>
      </c>
      <c r="R149" s="686">
        <v>0.0</v>
      </c>
      <c r="S149" s="686">
        <v>0.0</v>
      </c>
      <c r="T149" s="686">
        <v>2117.4</v>
      </c>
      <c r="U149" s="690">
        <v>0.0</v>
      </c>
    </row>
    <row r="150">
      <c r="A150" s="685" t="s">
        <v>1447</v>
      </c>
      <c r="B150" s="685" t="s">
        <v>1685</v>
      </c>
      <c r="C150" s="685" t="s">
        <v>1593</v>
      </c>
      <c r="D150" s="685" t="s">
        <v>1594</v>
      </c>
      <c r="E150" s="686">
        <v>590.0</v>
      </c>
      <c r="F150" s="692" t="s">
        <v>1688</v>
      </c>
      <c r="G150" s="693"/>
      <c r="H150" s="687"/>
      <c r="I150" s="685" t="s">
        <v>1689</v>
      </c>
      <c r="J150" s="689">
        <v>10.0</v>
      </c>
      <c r="K150" s="689">
        <v>0.0</v>
      </c>
      <c r="L150" s="689">
        <v>0.0</v>
      </c>
      <c r="M150" s="689">
        <v>0.0</v>
      </c>
      <c r="N150" s="686">
        <v>352.9</v>
      </c>
      <c r="O150" s="686">
        <v>3529.0</v>
      </c>
      <c r="P150" s="686">
        <v>0.0</v>
      </c>
      <c r="Q150" s="686">
        <v>0.0</v>
      </c>
      <c r="R150" s="686">
        <v>0.0</v>
      </c>
      <c r="S150" s="686">
        <v>0.0</v>
      </c>
      <c r="T150" s="686">
        <v>0.0</v>
      </c>
      <c r="U150" s="690">
        <v>3529.0</v>
      </c>
    </row>
    <row r="151">
      <c r="A151" s="685" t="s">
        <v>1447</v>
      </c>
      <c r="B151" s="685" t="s">
        <v>1685</v>
      </c>
      <c r="C151" s="685" t="s">
        <v>1593</v>
      </c>
      <c r="D151" s="685" t="s">
        <v>723</v>
      </c>
      <c r="E151" s="686">
        <v>690.0</v>
      </c>
      <c r="F151" s="692" t="s">
        <v>1690</v>
      </c>
      <c r="G151" s="693"/>
      <c r="H151" s="687"/>
      <c r="I151" s="685" t="s">
        <v>1691</v>
      </c>
      <c r="J151" s="689">
        <v>10.0</v>
      </c>
      <c r="K151" s="689">
        <v>0.0</v>
      </c>
      <c r="L151" s="689">
        <v>0.0</v>
      </c>
      <c r="M151" s="689">
        <v>0.0</v>
      </c>
      <c r="N151" s="686">
        <v>386.92</v>
      </c>
      <c r="O151" s="686">
        <v>3869.2</v>
      </c>
      <c r="P151" s="686">
        <v>0.0</v>
      </c>
      <c r="Q151" s="686">
        <v>1934.6</v>
      </c>
      <c r="R151" s="686">
        <v>0.0</v>
      </c>
      <c r="S151" s="686">
        <v>1934.6</v>
      </c>
      <c r="T151" s="686">
        <v>0.0</v>
      </c>
      <c r="U151" s="690">
        <v>0.0</v>
      </c>
    </row>
    <row r="152">
      <c r="A152" s="685" t="s">
        <v>1447</v>
      </c>
      <c r="B152" s="685" t="s">
        <v>1685</v>
      </c>
      <c r="C152" s="685" t="s">
        <v>1593</v>
      </c>
      <c r="D152" s="685" t="s">
        <v>723</v>
      </c>
      <c r="E152" s="686">
        <v>690.0</v>
      </c>
      <c r="F152" s="692" t="s">
        <v>1692</v>
      </c>
      <c r="G152" s="693"/>
      <c r="H152" s="687"/>
      <c r="I152" s="685" t="s">
        <v>1693</v>
      </c>
      <c r="J152" s="689">
        <v>5.0</v>
      </c>
      <c r="K152" s="689">
        <v>0.0</v>
      </c>
      <c r="L152" s="689">
        <v>0.0</v>
      </c>
      <c r="M152" s="689">
        <v>0.0</v>
      </c>
      <c r="N152" s="686">
        <v>386.92</v>
      </c>
      <c r="O152" s="686">
        <v>1934.6</v>
      </c>
      <c r="P152" s="686">
        <v>0.0</v>
      </c>
      <c r="Q152" s="686">
        <v>1934.6</v>
      </c>
      <c r="R152" s="686">
        <v>0.0</v>
      </c>
      <c r="S152" s="686">
        <v>0.0</v>
      </c>
      <c r="T152" s="686">
        <v>0.0</v>
      </c>
      <c r="U152" s="690">
        <v>0.0</v>
      </c>
    </row>
    <row r="153">
      <c r="A153" s="685" t="s">
        <v>1447</v>
      </c>
      <c r="B153" s="685" t="s">
        <v>1685</v>
      </c>
      <c r="C153" s="685" t="s">
        <v>1741</v>
      </c>
      <c r="D153" s="685" t="s">
        <v>723</v>
      </c>
      <c r="E153" s="686">
        <v>390.0</v>
      </c>
      <c r="F153" s="692" t="s">
        <v>838</v>
      </c>
      <c r="G153" s="693"/>
      <c r="H153" s="687"/>
      <c r="I153" s="685" t="s">
        <v>839</v>
      </c>
      <c r="J153" s="689">
        <v>2.0</v>
      </c>
      <c r="K153" s="689">
        <v>0.0</v>
      </c>
      <c r="L153" s="689">
        <v>0.0</v>
      </c>
      <c r="M153" s="689">
        <v>0.0</v>
      </c>
      <c r="N153" s="686">
        <v>182.24</v>
      </c>
      <c r="O153" s="686">
        <v>364.48</v>
      </c>
      <c r="P153" s="686">
        <v>0.0</v>
      </c>
      <c r="Q153" s="686">
        <v>364.48</v>
      </c>
      <c r="R153" s="686">
        <v>0.0</v>
      </c>
      <c r="S153" s="686">
        <v>0.0</v>
      </c>
      <c r="T153" s="686">
        <v>0.0</v>
      </c>
      <c r="U153" s="690">
        <v>0.0</v>
      </c>
    </row>
    <row r="154">
      <c r="A154" s="685" t="s">
        <v>1447</v>
      </c>
      <c r="B154" s="685" t="s">
        <v>1685</v>
      </c>
      <c r="C154" s="685" t="s">
        <v>1694</v>
      </c>
      <c r="D154" s="685" t="s">
        <v>1594</v>
      </c>
      <c r="E154" s="686">
        <v>350.0</v>
      </c>
      <c r="F154" s="692" t="s">
        <v>1695</v>
      </c>
      <c r="G154" s="693"/>
      <c r="H154" s="687"/>
      <c r="I154" s="685" t="s">
        <v>1696</v>
      </c>
      <c r="J154" s="689">
        <v>3.0</v>
      </c>
      <c r="K154" s="689">
        <v>0.0</v>
      </c>
      <c r="L154" s="689">
        <v>0.0</v>
      </c>
      <c r="M154" s="689">
        <v>0.0</v>
      </c>
      <c r="N154" s="686">
        <v>196.26</v>
      </c>
      <c r="O154" s="686">
        <v>588.78</v>
      </c>
      <c r="P154" s="686">
        <v>0.0</v>
      </c>
      <c r="Q154" s="686">
        <v>588.78</v>
      </c>
      <c r="R154" s="686">
        <v>0.0</v>
      </c>
      <c r="S154" s="686">
        <v>0.0</v>
      </c>
      <c r="T154" s="686">
        <v>0.0</v>
      </c>
      <c r="U154" s="690">
        <v>0.0</v>
      </c>
    </row>
    <row r="155">
      <c r="A155" s="685" t="s">
        <v>1447</v>
      </c>
      <c r="B155" s="685" t="s">
        <v>1685</v>
      </c>
      <c r="C155" s="685" t="s">
        <v>2020</v>
      </c>
      <c r="D155" s="685" t="s">
        <v>723</v>
      </c>
      <c r="E155" s="686">
        <v>490.0</v>
      </c>
      <c r="F155" s="692" t="s">
        <v>843</v>
      </c>
      <c r="G155" s="693"/>
      <c r="H155" s="687"/>
      <c r="I155" s="685" t="s">
        <v>844</v>
      </c>
      <c r="J155" s="689">
        <v>2.0</v>
      </c>
      <c r="K155" s="689">
        <v>0.0</v>
      </c>
      <c r="L155" s="689">
        <v>0.0</v>
      </c>
      <c r="M155" s="689">
        <v>0.0</v>
      </c>
      <c r="N155" s="686">
        <v>228.97</v>
      </c>
      <c r="O155" s="686">
        <v>457.94</v>
      </c>
      <c r="P155" s="686">
        <v>0.0</v>
      </c>
      <c r="Q155" s="686">
        <v>457.94</v>
      </c>
      <c r="R155" s="686">
        <v>0.0</v>
      </c>
      <c r="S155" s="686">
        <v>0.0</v>
      </c>
      <c r="T155" s="686">
        <v>0.0</v>
      </c>
      <c r="U155" s="690">
        <v>0.0</v>
      </c>
    </row>
    <row r="156">
      <c r="A156" s="685" t="s">
        <v>1447</v>
      </c>
      <c r="B156" s="685" t="s">
        <v>1685</v>
      </c>
      <c r="C156" s="685" t="s">
        <v>2020</v>
      </c>
      <c r="D156" s="685" t="s">
        <v>723</v>
      </c>
      <c r="E156" s="686">
        <v>490.0</v>
      </c>
      <c r="F156" s="692" t="s">
        <v>845</v>
      </c>
      <c r="G156" s="693"/>
      <c r="H156" s="687"/>
      <c r="I156" s="685" t="s">
        <v>846</v>
      </c>
      <c r="J156" s="689">
        <v>2.0</v>
      </c>
      <c r="K156" s="689">
        <v>0.0</v>
      </c>
      <c r="L156" s="689">
        <v>0.0</v>
      </c>
      <c r="M156" s="689">
        <v>0.0</v>
      </c>
      <c r="N156" s="686">
        <v>228.97</v>
      </c>
      <c r="O156" s="686">
        <v>457.94</v>
      </c>
      <c r="P156" s="686">
        <v>0.0</v>
      </c>
      <c r="Q156" s="686">
        <v>457.94</v>
      </c>
      <c r="R156" s="686">
        <v>0.0</v>
      </c>
      <c r="S156" s="686">
        <v>0.0</v>
      </c>
      <c r="T156" s="686">
        <v>0.0</v>
      </c>
      <c r="U156" s="690">
        <v>0.0</v>
      </c>
    </row>
    <row r="157">
      <c r="A157" s="685" t="s">
        <v>1447</v>
      </c>
      <c r="B157" s="685" t="s">
        <v>1685</v>
      </c>
      <c r="C157" s="685" t="s">
        <v>1697</v>
      </c>
      <c r="D157" s="685" t="s">
        <v>1594</v>
      </c>
      <c r="E157" s="686">
        <v>490.0</v>
      </c>
      <c r="F157" s="692" t="s">
        <v>1698</v>
      </c>
      <c r="G157" s="693"/>
      <c r="H157" s="687"/>
      <c r="I157" s="685" t="s">
        <v>1699</v>
      </c>
      <c r="J157" s="689">
        <v>2.0</v>
      </c>
      <c r="K157" s="689">
        <v>0.0</v>
      </c>
      <c r="L157" s="689">
        <v>0.0</v>
      </c>
      <c r="M157" s="689">
        <v>0.0</v>
      </c>
      <c r="N157" s="686">
        <v>274.77</v>
      </c>
      <c r="O157" s="686">
        <v>549.54</v>
      </c>
      <c r="P157" s="686">
        <v>0.0</v>
      </c>
      <c r="Q157" s="686">
        <v>549.54</v>
      </c>
      <c r="R157" s="686">
        <v>0.0</v>
      </c>
      <c r="S157" s="686">
        <v>0.0</v>
      </c>
      <c r="T157" s="686">
        <v>0.0</v>
      </c>
      <c r="U157" s="690">
        <v>0.0</v>
      </c>
    </row>
    <row r="158">
      <c r="A158" s="685" t="s">
        <v>1447</v>
      </c>
      <c r="B158" s="685" t="s">
        <v>1700</v>
      </c>
      <c r="C158" s="685" t="s">
        <v>1701</v>
      </c>
      <c r="D158" s="685" t="s">
        <v>1594</v>
      </c>
      <c r="E158" s="686">
        <v>249.0</v>
      </c>
      <c r="F158" s="692" t="s">
        <v>1332</v>
      </c>
      <c r="G158" s="693"/>
      <c r="H158" s="687"/>
      <c r="I158" s="685" t="s">
        <v>1331</v>
      </c>
      <c r="J158" s="689">
        <v>10.0</v>
      </c>
      <c r="K158" s="689">
        <v>0.0</v>
      </c>
      <c r="L158" s="689">
        <v>0.0</v>
      </c>
      <c r="M158" s="689">
        <v>0.0</v>
      </c>
      <c r="N158" s="686">
        <v>139.63</v>
      </c>
      <c r="O158" s="686">
        <v>1396.3</v>
      </c>
      <c r="P158" s="686">
        <v>0.0</v>
      </c>
      <c r="Q158" s="686">
        <v>1396.3</v>
      </c>
      <c r="R158" s="686">
        <v>0.0</v>
      </c>
      <c r="S158" s="686">
        <v>0.0</v>
      </c>
      <c r="T158" s="686">
        <v>0.0</v>
      </c>
      <c r="U158" s="690">
        <v>0.0</v>
      </c>
    </row>
    <row r="159">
      <c r="A159" s="685" t="s">
        <v>1447</v>
      </c>
      <c r="B159" s="685" t="s">
        <v>1700</v>
      </c>
      <c r="C159" s="685" t="s">
        <v>1701</v>
      </c>
      <c r="D159" s="685" t="s">
        <v>723</v>
      </c>
      <c r="E159" s="686">
        <v>299.0</v>
      </c>
      <c r="F159" s="692" t="s">
        <v>1336</v>
      </c>
      <c r="G159" s="693"/>
      <c r="H159" s="687"/>
      <c r="I159" s="685" t="s">
        <v>1335</v>
      </c>
      <c r="J159" s="689">
        <v>15.0</v>
      </c>
      <c r="K159" s="689">
        <v>0.0</v>
      </c>
      <c r="L159" s="689">
        <v>0.0</v>
      </c>
      <c r="M159" s="689">
        <v>0.0</v>
      </c>
      <c r="N159" s="686">
        <v>167.66</v>
      </c>
      <c r="O159" s="686">
        <v>2514.9</v>
      </c>
      <c r="P159" s="686">
        <v>0.0</v>
      </c>
      <c r="Q159" s="686">
        <v>2514.9</v>
      </c>
      <c r="R159" s="686">
        <v>0.0</v>
      </c>
      <c r="S159" s="686">
        <v>0.0</v>
      </c>
      <c r="T159" s="686">
        <v>0.0</v>
      </c>
      <c r="U159" s="690">
        <v>0.0</v>
      </c>
    </row>
    <row r="160">
      <c r="A160" s="685" t="s">
        <v>1447</v>
      </c>
      <c r="B160" s="685" t="s">
        <v>1700</v>
      </c>
      <c r="C160" s="685" t="s">
        <v>2025</v>
      </c>
      <c r="D160" s="685" t="s">
        <v>1594</v>
      </c>
      <c r="E160" s="686">
        <v>249.0</v>
      </c>
      <c r="F160" s="692" t="s">
        <v>613</v>
      </c>
      <c r="G160" s="693"/>
      <c r="H160" s="687"/>
      <c r="I160" s="685" t="s">
        <v>2026</v>
      </c>
      <c r="J160" s="689">
        <v>1.0</v>
      </c>
      <c r="K160" s="689">
        <v>0.0</v>
      </c>
      <c r="L160" s="689">
        <v>0.0</v>
      </c>
      <c r="M160" s="689">
        <v>0.0</v>
      </c>
      <c r="N160" s="686">
        <v>139.63</v>
      </c>
      <c r="O160" s="686">
        <v>139.63</v>
      </c>
      <c r="P160" s="686">
        <v>0.0</v>
      </c>
      <c r="Q160" s="686">
        <v>0.0</v>
      </c>
      <c r="R160" s="686">
        <v>0.0</v>
      </c>
      <c r="S160" s="686">
        <v>0.0</v>
      </c>
      <c r="T160" s="686">
        <v>0.0</v>
      </c>
      <c r="U160" s="690">
        <v>139.63</v>
      </c>
    </row>
    <row r="161">
      <c r="A161" s="685" t="s">
        <v>1447</v>
      </c>
      <c r="B161" s="685" t="s">
        <v>1700</v>
      </c>
      <c r="C161" s="685" t="s">
        <v>1702</v>
      </c>
      <c r="D161" s="685" t="s">
        <v>723</v>
      </c>
      <c r="E161" s="686">
        <v>299.0</v>
      </c>
      <c r="F161" s="692" t="s">
        <v>1340</v>
      </c>
      <c r="G161" s="693"/>
      <c r="H161" s="687"/>
      <c r="I161" s="685" t="s">
        <v>1339</v>
      </c>
      <c r="J161" s="689">
        <v>33.0</v>
      </c>
      <c r="K161" s="689">
        <v>0.0</v>
      </c>
      <c r="L161" s="689">
        <v>0.0</v>
      </c>
      <c r="M161" s="689">
        <v>0.0</v>
      </c>
      <c r="N161" s="686">
        <v>167.66</v>
      </c>
      <c r="O161" s="686">
        <v>5532.78</v>
      </c>
      <c r="P161" s="686">
        <v>0.0</v>
      </c>
      <c r="Q161" s="686">
        <v>5029.8</v>
      </c>
      <c r="R161" s="686">
        <v>0.0</v>
      </c>
      <c r="S161" s="686">
        <v>502.98</v>
      </c>
      <c r="T161" s="686">
        <v>0.0</v>
      </c>
      <c r="U161" s="690">
        <v>0.0</v>
      </c>
    </row>
    <row r="162">
      <c r="A162" s="685" t="s">
        <v>1447</v>
      </c>
      <c r="B162" s="685" t="s">
        <v>1700</v>
      </c>
      <c r="C162" s="685" t="s">
        <v>1703</v>
      </c>
      <c r="D162" s="685" t="s">
        <v>1594</v>
      </c>
      <c r="E162" s="686">
        <v>249.0</v>
      </c>
      <c r="F162" s="692" t="s">
        <v>616</v>
      </c>
      <c r="G162" s="693"/>
      <c r="H162" s="687"/>
      <c r="I162" s="685" t="s">
        <v>1343</v>
      </c>
      <c r="J162" s="689">
        <v>13.0</v>
      </c>
      <c r="K162" s="689">
        <v>0.0</v>
      </c>
      <c r="L162" s="689">
        <v>0.0</v>
      </c>
      <c r="M162" s="689">
        <v>0.0</v>
      </c>
      <c r="N162" s="686">
        <v>139.63</v>
      </c>
      <c r="O162" s="686">
        <v>1815.19</v>
      </c>
      <c r="P162" s="686">
        <v>698.15</v>
      </c>
      <c r="Q162" s="686">
        <v>1117.04</v>
      </c>
      <c r="R162" s="686">
        <v>0.0</v>
      </c>
      <c r="S162" s="686">
        <v>0.0</v>
      </c>
      <c r="T162" s="686">
        <v>0.0</v>
      </c>
      <c r="U162" s="690">
        <v>0.0</v>
      </c>
    </row>
    <row r="163">
      <c r="A163" s="685" t="s">
        <v>1447</v>
      </c>
      <c r="B163" s="685" t="s">
        <v>1700</v>
      </c>
      <c r="C163" s="685" t="s">
        <v>1703</v>
      </c>
      <c r="D163" s="685" t="s">
        <v>723</v>
      </c>
      <c r="E163" s="686">
        <v>299.0</v>
      </c>
      <c r="F163" s="692" t="s">
        <v>992</v>
      </c>
      <c r="G163" s="693"/>
      <c r="H163" s="687"/>
      <c r="I163" s="685" t="s">
        <v>993</v>
      </c>
      <c r="J163" s="689">
        <v>5.0</v>
      </c>
      <c r="K163" s="689">
        <v>0.0</v>
      </c>
      <c r="L163" s="689">
        <v>0.0</v>
      </c>
      <c r="M163" s="689">
        <v>0.0</v>
      </c>
      <c r="N163" s="686">
        <v>153.69</v>
      </c>
      <c r="O163" s="686">
        <v>768.45</v>
      </c>
      <c r="P163" s="686">
        <v>0.0</v>
      </c>
      <c r="Q163" s="686">
        <v>0.0</v>
      </c>
      <c r="R163" s="686">
        <v>0.0</v>
      </c>
      <c r="S163" s="686">
        <v>768.45</v>
      </c>
      <c r="T163" s="686">
        <v>0.0</v>
      </c>
      <c r="U163" s="690">
        <v>0.0</v>
      </c>
    </row>
    <row r="164">
      <c r="A164" s="685" t="s">
        <v>1447</v>
      </c>
      <c r="B164" s="685" t="s">
        <v>1700</v>
      </c>
      <c r="C164" s="685" t="s">
        <v>1476</v>
      </c>
      <c r="D164" s="685" t="s">
        <v>723</v>
      </c>
      <c r="E164" s="686">
        <v>299.0</v>
      </c>
      <c r="F164" s="692" t="s">
        <v>1350</v>
      </c>
      <c r="G164" s="693"/>
      <c r="H164" s="687"/>
      <c r="I164" s="685" t="s">
        <v>1349</v>
      </c>
      <c r="J164" s="689">
        <v>18.0</v>
      </c>
      <c r="K164" s="689">
        <v>0.0</v>
      </c>
      <c r="L164" s="689">
        <v>0.0</v>
      </c>
      <c r="M164" s="689">
        <v>0.0</v>
      </c>
      <c r="N164" s="686">
        <v>153.69</v>
      </c>
      <c r="O164" s="686">
        <v>2766.42</v>
      </c>
      <c r="P164" s="686">
        <v>0.0</v>
      </c>
      <c r="Q164" s="686">
        <v>2766.42</v>
      </c>
      <c r="R164" s="686">
        <v>0.0</v>
      </c>
      <c r="S164" s="686">
        <v>0.0</v>
      </c>
      <c r="T164" s="686">
        <v>0.0</v>
      </c>
      <c r="U164" s="690">
        <v>0.0</v>
      </c>
    </row>
    <row r="165">
      <c r="A165" s="685" t="s">
        <v>1447</v>
      </c>
      <c r="B165" s="685" t="s">
        <v>1700</v>
      </c>
      <c r="C165" s="685" t="s">
        <v>1476</v>
      </c>
      <c r="D165" s="685" t="s">
        <v>723</v>
      </c>
      <c r="E165" s="686">
        <v>299.0</v>
      </c>
      <c r="F165" s="692" t="s">
        <v>1353</v>
      </c>
      <c r="G165" s="693"/>
      <c r="H165" s="687"/>
      <c r="I165" s="685" t="s">
        <v>1352</v>
      </c>
      <c r="J165" s="689">
        <v>29.0</v>
      </c>
      <c r="K165" s="689">
        <v>0.0</v>
      </c>
      <c r="L165" s="689">
        <v>0.0</v>
      </c>
      <c r="M165" s="689">
        <v>0.0</v>
      </c>
      <c r="N165" s="686">
        <v>153.69</v>
      </c>
      <c r="O165" s="686">
        <v>4457.01</v>
      </c>
      <c r="P165" s="686">
        <v>0.0</v>
      </c>
      <c r="Q165" s="686">
        <v>4457.01</v>
      </c>
      <c r="R165" s="686">
        <v>0.0</v>
      </c>
      <c r="S165" s="686">
        <v>0.0</v>
      </c>
      <c r="T165" s="686">
        <v>0.0</v>
      </c>
      <c r="U165" s="690">
        <v>0.0</v>
      </c>
    </row>
    <row r="166">
      <c r="A166" s="685" t="s">
        <v>1447</v>
      </c>
      <c r="B166" s="685" t="s">
        <v>1700</v>
      </c>
      <c r="C166" s="685" t="s">
        <v>1705</v>
      </c>
      <c r="D166" s="685" t="s">
        <v>1594</v>
      </c>
      <c r="E166" s="686">
        <v>249.0</v>
      </c>
      <c r="F166" s="692" t="s">
        <v>620</v>
      </c>
      <c r="G166" s="693"/>
      <c r="H166" s="687"/>
      <c r="I166" s="685" t="s">
        <v>1356</v>
      </c>
      <c r="J166" s="689">
        <v>12.0</v>
      </c>
      <c r="K166" s="689">
        <v>0.0</v>
      </c>
      <c r="L166" s="689">
        <v>0.0</v>
      </c>
      <c r="M166" s="689">
        <v>0.0</v>
      </c>
      <c r="N166" s="686">
        <v>139.63</v>
      </c>
      <c r="O166" s="686">
        <v>1675.56</v>
      </c>
      <c r="P166" s="686">
        <v>698.15</v>
      </c>
      <c r="Q166" s="686">
        <v>418.89</v>
      </c>
      <c r="R166" s="686">
        <v>0.0</v>
      </c>
      <c r="S166" s="686">
        <v>0.0</v>
      </c>
      <c r="T166" s="686">
        <v>0.0</v>
      </c>
      <c r="U166" s="690">
        <v>558.52</v>
      </c>
    </row>
    <row r="167">
      <c r="A167" s="685" t="s">
        <v>1447</v>
      </c>
      <c r="B167" s="685" t="s">
        <v>1700</v>
      </c>
      <c r="C167" s="685" t="s">
        <v>1489</v>
      </c>
      <c r="D167" s="685" t="s">
        <v>1594</v>
      </c>
      <c r="E167" s="686">
        <v>249.0</v>
      </c>
      <c r="F167" s="692" t="s">
        <v>1360</v>
      </c>
      <c r="G167" s="693"/>
      <c r="H167" s="687"/>
      <c r="I167" s="685" t="s">
        <v>1359</v>
      </c>
      <c r="J167" s="689">
        <v>17.0</v>
      </c>
      <c r="K167" s="689">
        <v>0.0</v>
      </c>
      <c r="L167" s="689">
        <v>0.0</v>
      </c>
      <c r="M167" s="689">
        <v>0.0</v>
      </c>
      <c r="N167" s="686">
        <v>139.63</v>
      </c>
      <c r="O167" s="686">
        <v>2373.71</v>
      </c>
      <c r="P167" s="686">
        <v>1396.3</v>
      </c>
      <c r="Q167" s="686">
        <v>698.15</v>
      </c>
      <c r="R167" s="686">
        <v>0.0</v>
      </c>
      <c r="S167" s="686">
        <v>279.26</v>
      </c>
      <c r="T167" s="686">
        <v>0.0</v>
      </c>
      <c r="U167" s="690">
        <v>0.0</v>
      </c>
    </row>
    <row r="168">
      <c r="A168" s="685" t="s">
        <v>1447</v>
      </c>
      <c r="B168" s="685" t="s">
        <v>1700</v>
      </c>
      <c r="C168" s="685" t="s">
        <v>1513</v>
      </c>
      <c r="D168" s="685" t="s">
        <v>1391</v>
      </c>
      <c r="E168" s="686">
        <v>590.0</v>
      </c>
      <c r="F168" s="692" t="s">
        <v>1362</v>
      </c>
      <c r="G168" s="693"/>
      <c r="H168" s="687"/>
      <c r="I168" s="685" t="s">
        <v>1361</v>
      </c>
      <c r="J168" s="689">
        <v>1.0</v>
      </c>
      <c r="K168" s="689">
        <v>0.0</v>
      </c>
      <c r="L168" s="689">
        <v>0.0</v>
      </c>
      <c r="M168" s="689">
        <v>0.0</v>
      </c>
      <c r="N168" s="686">
        <v>386.0</v>
      </c>
      <c r="O168" s="686">
        <v>386.0</v>
      </c>
      <c r="P168" s="686">
        <v>0.0</v>
      </c>
      <c r="Q168" s="686">
        <v>386.0</v>
      </c>
      <c r="R168" s="686">
        <v>0.0</v>
      </c>
      <c r="S168" s="686">
        <v>0.0</v>
      </c>
      <c r="T168" s="686">
        <v>0.0</v>
      </c>
      <c r="U168" s="690">
        <v>0.0</v>
      </c>
    </row>
    <row r="169">
      <c r="A169" s="685" t="s">
        <v>1447</v>
      </c>
      <c r="B169" s="685" t="s">
        <v>1700</v>
      </c>
      <c r="C169" s="685" t="s">
        <v>1706</v>
      </c>
      <c r="D169" s="685" t="s">
        <v>1594</v>
      </c>
      <c r="E169" s="686">
        <v>249.0</v>
      </c>
      <c r="F169" s="692" t="s">
        <v>1364</v>
      </c>
      <c r="G169" s="693"/>
      <c r="H169" s="687"/>
      <c r="I169" s="685" t="s">
        <v>1363</v>
      </c>
      <c r="J169" s="689">
        <v>8.0</v>
      </c>
      <c r="K169" s="689">
        <v>0.0</v>
      </c>
      <c r="L169" s="689">
        <v>0.0</v>
      </c>
      <c r="M169" s="689">
        <v>0.0</v>
      </c>
      <c r="N169" s="686">
        <v>139.63</v>
      </c>
      <c r="O169" s="686">
        <v>1117.04</v>
      </c>
      <c r="P169" s="686">
        <v>0.0</v>
      </c>
      <c r="Q169" s="686">
        <v>0.0</v>
      </c>
      <c r="R169" s="686">
        <v>0.0</v>
      </c>
      <c r="S169" s="686">
        <v>1117.04</v>
      </c>
      <c r="T169" s="686">
        <v>0.0</v>
      </c>
      <c r="U169" s="690">
        <v>0.0</v>
      </c>
    </row>
    <row r="170">
      <c r="A170" s="685" t="s">
        <v>1447</v>
      </c>
      <c r="B170" s="685" t="s">
        <v>1700</v>
      </c>
      <c r="C170" s="685" t="s">
        <v>1706</v>
      </c>
      <c r="D170" s="685" t="s">
        <v>723</v>
      </c>
      <c r="E170" s="686">
        <v>299.0</v>
      </c>
      <c r="F170" s="692" t="s">
        <v>1387</v>
      </c>
      <c r="G170" s="693"/>
      <c r="H170" s="687"/>
      <c r="I170" s="685" t="s">
        <v>1386</v>
      </c>
      <c r="J170" s="689">
        <v>20.0</v>
      </c>
      <c r="K170" s="689">
        <v>0.0</v>
      </c>
      <c r="L170" s="689">
        <v>0.0</v>
      </c>
      <c r="M170" s="689">
        <v>0.0</v>
      </c>
      <c r="N170" s="686">
        <v>167.66</v>
      </c>
      <c r="O170" s="686">
        <v>3353.2</v>
      </c>
      <c r="P170" s="686">
        <v>0.0</v>
      </c>
      <c r="Q170" s="686">
        <v>3353.2</v>
      </c>
      <c r="R170" s="686">
        <v>0.0</v>
      </c>
      <c r="S170" s="686">
        <v>0.0</v>
      </c>
      <c r="T170" s="686">
        <v>0.0</v>
      </c>
      <c r="U170" s="690">
        <v>0.0</v>
      </c>
    </row>
    <row r="171">
      <c r="A171" s="685" t="s">
        <v>1447</v>
      </c>
      <c r="B171" s="685" t="s">
        <v>1700</v>
      </c>
      <c r="C171" s="685" t="s">
        <v>1557</v>
      </c>
      <c r="D171" s="685" t="s">
        <v>1391</v>
      </c>
      <c r="E171" s="686">
        <v>590.0</v>
      </c>
      <c r="F171" s="692" t="s">
        <v>1441</v>
      </c>
      <c r="G171" s="693"/>
      <c r="H171" s="687"/>
      <c r="I171" s="685" t="s">
        <v>1440</v>
      </c>
      <c r="J171" s="689">
        <v>2.0</v>
      </c>
      <c r="K171" s="689">
        <v>0.0</v>
      </c>
      <c r="L171" s="689">
        <v>0.0</v>
      </c>
      <c r="M171" s="689">
        <v>0.0</v>
      </c>
      <c r="N171" s="686">
        <v>386.0</v>
      </c>
      <c r="O171" s="686">
        <v>772.0</v>
      </c>
      <c r="P171" s="686">
        <v>772.0</v>
      </c>
      <c r="Q171" s="686">
        <v>0.0</v>
      </c>
      <c r="R171" s="686">
        <v>0.0</v>
      </c>
      <c r="S171" s="686">
        <v>0.0</v>
      </c>
      <c r="T171" s="686">
        <v>0.0</v>
      </c>
      <c r="U171" s="690">
        <v>0.0</v>
      </c>
    </row>
    <row r="172">
      <c r="A172" s="685" t="s">
        <v>1447</v>
      </c>
      <c r="B172" s="685" t="s">
        <v>1700</v>
      </c>
      <c r="C172" s="685" t="s">
        <v>1707</v>
      </c>
      <c r="D172" s="685" t="s">
        <v>1594</v>
      </c>
      <c r="E172" s="686">
        <v>290.0</v>
      </c>
      <c r="F172" s="692" t="s">
        <v>508</v>
      </c>
      <c r="G172" s="693"/>
      <c r="H172" s="687"/>
      <c r="I172" s="685" t="s">
        <v>2036</v>
      </c>
      <c r="J172" s="689">
        <v>19.0</v>
      </c>
      <c r="K172" s="689">
        <v>0.0</v>
      </c>
      <c r="L172" s="689">
        <v>0.0</v>
      </c>
      <c r="M172" s="689">
        <v>0.0</v>
      </c>
      <c r="N172" s="686">
        <v>146.36</v>
      </c>
      <c r="O172" s="686">
        <v>2780.84</v>
      </c>
      <c r="P172" s="686">
        <v>731.8</v>
      </c>
      <c r="Q172" s="686">
        <v>0.0</v>
      </c>
      <c r="R172" s="686">
        <v>0.0</v>
      </c>
      <c r="S172" s="686">
        <v>0.0</v>
      </c>
      <c r="T172" s="686">
        <v>2049.04</v>
      </c>
      <c r="U172" s="690">
        <v>0.0</v>
      </c>
    </row>
    <row r="173">
      <c r="A173" s="685" t="s">
        <v>1447</v>
      </c>
      <c r="B173" s="685" t="s">
        <v>1700</v>
      </c>
      <c r="C173" s="685" t="s">
        <v>1707</v>
      </c>
      <c r="D173" s="685" t="s">
        <v>1594</v>
      </c>
      <c r="E173" s="686">
        <v>350.0</v>
      </c>
      <c r="F173" s="692" t="s">
        <v>512</v>
      </c>
      <c r="G173" s="693"/>
      <c r="H173" s="687"/>
      <c r="I173" s="685" t="s">
        <v>2037</v>
      </c>
      <c r="J173" s="689">
        <v>4.0</v>
      </c>
      <c r="K173" s="689">
        <v>0.0</v>
      </c>
      <c r="L173" s="689">
        <v>0.0</v>
      </c>
      <c r="M173" s="689">
        <v>0.0</v>
      </c>
      <c r="N173" s="686">
        <v>176.64</v>
      </c>
      <c r="O173" s="686">
        <v>706.56</v>
      </c>
      <c r="P173" s="686">
        <v>0.0</v>
      </c>
      <c r="Q173" s="686">
        <v>0.0</v>
      </c>
      <c r="R173" s="686">
        <v>0.0</v>
      </c>
      <c r="S173" s="686">
        <v>0.0</v>
      </c>
      <c r="T173" s="686">
        <v>0.0</v>
      </c>
      <c r="U173" s="690">
        <v>706.56</v>
      </c>
    </row>
    <row r="174">
      <c r="A174" s="685" t="s">
        <v>1447</v>
      </c>
      <c r="B174" s="685" t="s">
        <v>1700</v>
      </c>
      <c r="C174" s="685" t="s">
        <v>2038</v>
      </c>
      <c r="D174" s="685" t="s">
        <v>1391</v>
      </c>
      <c r="E174" s="686">
        <v>390.0</v>
      </c>
      <c r="F174" s="692" t="s">
        <v>2039</v>
      </c>
      <c r="G174" s="693"/>
      <c r="H174" s="687"/>
      <c r="I174" s="685" t="s">
        <v>2040</v>
      </c>
      <c r="J174" s="689">
        <v>3.0</v>
      </c>
      <c r="K174" s="689">
        <v>0.0</v>
      </c>
      <c r="L174" s="689">
        <v>0.0</v>
      </c>
      <c r="M174" s="689">
        <v>0.0</v>
      </c>
      <c r="N174" s="686">
        <v>255.0</v>
      </c>
      <c r="O174" s="686">
        <v>765.0</v>
      </c>
      <c r="P174" s="686">
        <v>0.0</v>
      </c>
      <c r="Q174" s="686">
        <v>0.0</v>
      </c>
      <c r="R174" s="686">
        <v>0.0</v>
      </c>
      <c r="S174" s="686">
        <v>0.0</v>
      </c>
      <c r="T174" s="686">
        <v>0.0</v>
      </c>
      <c r="U174" s="690">
        <v>765.0</v>
      </c>
    </row>
    <row r="175">
      <c r="A175" s="685" t="s">
        <v>1447</v>
      </c>
      <c r="B175" s="685" t="s">
        <v>1700</v>
      </c>
      <c r="C175" s="685" t="s">
        <v>2041</v>
      </c>
      <c r="D175" s="685" t="s">
        <v>1594</v>
      </c>
      <c r="E175" s="686">
        <v>490.0</v>
      </c>
      <c r="F175" s="692" t="s">
        <v>534</v>
      </c>
      <c r="G175" s="693"/>
      <c r="H175" s="687"/>
      <c r="I175" s="685" t="s">
        <v>2042</v>
      </c>
      <c r="J175" s="689">
        <v>11.0</v>
      </c>
      <c r="K175" s="689">
        <v>0.0</v>
      </c>
      <c r="L175" s="689">
        <v>0.0</v>
      </c>
      <c r="M175" s="689">
        <v>0.0</v>
      </c>
      <c r="N175" s="686">
        <v>293.08</v>
      </c>
      <c r="O175" s="686">
        <v>3223.88</v>
      </c>
      <c r="P175" s="686">
        <v>0.0</v>
      </c>
      <c r="Q175" s="686">
        <v>0.0</v>
      </c>
      <c r="R175" s="686">
        <v>0.0</v>
      </c>
      <c r="S175" s="686">
        <v>0.0</v>
      </c>
      <c r="T175" s="686">
        <v>0.0</v>
      </c>
      <c r="U175" s="690">
        <v>3223.88</v>
      </c>
    </row>
    <row r="176">
      <c r="A176" s="685" t="s">
        <v>1447</v>
      </c>
      <c r="B176" s="685" t="s">
        <v>1700</v>
      </c>
      <c r="C176" s="685" t="s">
        <v>1708</v>
      </c>
      <c r="D176" s="685" t="s">
        <v>1594</v>
      </c>
      <c r="E176" s="686">
        <v>490.0</v>
      </c>
      <c r="F176" s="692" t="s">
        <v>546</v>
      </c>
      <c r="G176" s="693"/>
      <c r="H176" s="687"/>
      <c r="I176" s="685" t="s">
        <v>1598</v>
      </c>
      <c r="J176" s="689">
        <v>2.0</v>
      </c>
      <c r="K176" s="689">
        <v>0.0</v>
      </c>
      <c r="L176" s="689">
        <v>0.0</v>
      </c>
      <c r="M176" s="689">
        <v>0.0</v>
      </c>
      <c r="N176" s="686">
        <v>293.08</v>
      </c>
      <c r="O176" s="686">
        <v>586.16</v>
      </c>
      <c r="P176" s="686">
        <v>0.0</v>
      </c>
      <c r="Q176" s="686">
        <v>0.0</v>
      </c>
      <c r="R176" s="686">
        <v>0.0</v>
      </c>
      <c r="S176" s="686">
        <v>0.0</v>
      </c>
      <c r="T176" s="686">
        <v>0.0</v>
      </c>
      <c r="U176" s="690">
        <v>586.16</v>
      </c>
    </row>
    <row r="177">
      <c r="A177" s="685" t="s">
        <v>1447</v>
      </c>
      <c r="B177" s="685" t="s">
        <v>1700</v>
      </c>
      <c r="C177" s="685" t="s">
        <v>1708</v>
      </c>
      <c r="D177" s="685" t="s">
        <v>1594</v>
      </c>
      <c r="E177" s="686">
        <v>490.0</v>
      </c>
      <c r="F177" s="692" t="s">
        <v>549</v>
      </c>
      <c r="G177" s="693"/>
      <c r="H177" s="687"/>
      <c r="I177" s="685" t="s">
        <v>2043</v>
      </c>
      <c r="J177" s="689">
        <v>2.0</v>
      </c>
      <c r="K177" s="689">
        <v>0.0</v>
      </c>
      <c r="L177" s="689">
        <v>0.0</v>
      </c>
      <c r="M177" s="689">
        <v>0.0</v>
      </c>
      <c r="N177" s="686">
        <v>293.08</v>
      </c>
      <c r="O177" s="686">
        <v>586.16</v>
      </c>
      <c r="P177" s="686">
        <v>0.0</v>
      </c>
      <c r="Q177" s="686">
        <v>0.0</v>
      </c>
      <c r="R177" s="686">
        <v>0.0</v>
      </c>
      <c r="S177" s="686">
        <v>0.0</v>
      </c>
      <c r="T177" s="686">
        <v>0.0</v>
      </c>
      <c r="U177" s="690">
        <v>586.16</v>
      </c>
    </row>
    <row r="178">
      <c r="A178" s="685" t="s">
        <v>1447</v>
      </c>
      <c r="B178" s="685" t="s">
        <v>1700</v>
      </c>
      <c r="C178" s="685" t="s">
        <v>1708</v>
      </c>
      <c r="D178" s="685" t="s">
        <v>1594</v>
      </c>
      <c r="E178" s="686">
        <v>490.0</v>
      </c>
      <c r="F178" s="692" t="s">
        <v>552</v>
      </c>
      <c r="G178" s="693"/>
      <c r="H178" s="687"/>
      <c r="I178" s="685" t="s">
        <v>1649</v>
      </c>
      <c r="J178" s="689">
        <v>16.0</v>
      </c>
      <c r="K178" s="689">
        <v>0.0</v>
      </c>
      <c r="L178" s="689">
        <v>0.0</v>
      </c>
      <c r="M178" s="689">
        <v>0.0</v>
      </c>
      <c r="N178" s="686">
        <v>293.08</v>
      </c>
      <c r="O178" s="686">
        <v>4689.28</v>
      </c>
      <c r="P178" s="686">
        <v>4689.28</v>
      </c>
      <c r="Q178" s="686">
        <v>0.0</v>
      </c>
      <c r="R178" s="686">
        <v>0.0</v>
      </c>
      <c r="S178" s="686">
        <v>0.0</v>
      </c>
      <c r="T178" s="686">
        <v>0.0</v>
      </c>
      <c r="U178" s="690">
        <v>0.0</v>
      </c>
    </row>
    <row r="179">
      <c r="A179" s="685" t="s">
        <v>1447</v>
      </c>
      <c r="B179" s="685" t="s">
        <v>1700</v>
      </c>
      <c r="C179" s="685" t="s">
        <v>1708</v>
      </c>
      <c r="D179" s="685" t="s">
        <v>1594</v>
      </c>
      <c r="E179" s="686">
        <v>690.0</v>
      </c>
      <c r="F179" s="692" t="s">
        <v>555</v>
      </c>
      <c r="G179" s="693"/>
      <c r="H179" s="687"/>
      <c r="I179" s="685" t="s">
        <v>1683</v>
      </c>
      <c r="J179" s="689">
        <v>5.0</v>
      </c>
      <c r="K179" s="689">
        <v>0.0</v>
      </c>
      <c r="L179" s="689">
        <v>0.0</v>
      </c>
      <c r="M179" s="689">
        <v>0.0</v>
      </c>
      <c r="N179" s="686">
        <v>412.71</v>
      </c>
      <c r="O179" s="686">
        <v>2063.55</v>
      </c>
      <c r="P179" s="686">
        <v>0.0</v>
      </c>
      <c r="Q179" s="686">
        <v>0.0</v>
      </c>
      <c r="R179" s="686">
        <v>0.0</v>
      </c>
      <c r="S179" s="686">
        <v>0.0</v>
      </c>
      <c r="T179" s="686">
        <v>0.0</v>
      </c>
      <c r="U179" s="690">
        <v>2063.55</v>
      </c>
    </row>
    <row r="180">
      <c r="A180" s="685" t="s">
        <v>1447</v>
      </c>
      <c r="B180" s="685" t="s">
        <v>1700</v>
      </c>
      <c r="C180" s="685" t="s">
        <v>1708</v>
      </c>
      <c r="D180" s="685" t="s">
        <v>723</v>
      </c>
      <c r="E180" s="686">
        <v>490.0</v>
      </c>
      <c r="F180" s="692" t="s">
        <v>1013</v>
      </c>
      <c r="G180" s="693"/>
      <c r="H180" s="687"/>
      <c r="I180" s="685" t="s">
        <v>1014</v>
      </c>
      <c r="J180" s="689">
        <v>5.0</v>
      </c>
      <c r="K180" s="689">
        <v>0.0</v>
      </c>
      <c r="L180" s="689">
        <v>0.0</v>
      </c>
      <c r="M180" s="689">
        <v>0.0</v>
      </c>
      <c r="N180" s="686">
        <v>206.07</v>
      </c>
      <c r="O180" s="686">
        <v>1030.35</v>
      </c>
      <c r="P180" s="686">
        <v>0.0</v>
      </c>
      <c r="Q180" s="686">
        <v>1030.35</v>
      </c>
      <c r="R180" s="686">
        <v>0.0</v>
      </c>
      <c r="S180" s="686">
        <v>0.0</v>
      </c>
      <c r="T180" s="686">
        <v>0.0</v>
      </c>
      <c r="U180" s="690">
        <v>0.0</v>
      </c>
    </row>
    <row r="181">
      <c r="A181" s="685" t="s">
        <v>1447</v>
      </c>
      <c r="B181" s="685" t="s">
        <v>1700</v>
      </c>
      <c r="C181" s="685" t="s">
        <v>1708</v>
      </c>
      <c r="D181" s="685" t="s">
        <v>723</v>
      </c>
      <c r="E181" s="686">
        <v>490.0</v>
      </c>
      <c r="F181" s="692" t="s">
        <v>1019</v>
      </c>
      <c r="G181" s="693"/>
      <c r="H181" s="687"/>
      <c r="I181" s="685" t="s">
        <v>1020</v>
      </c>
      <c r="J181" s="689">
        <v>5.0</v>
      </c>
      <c r="K181" s="689">
        <v>0.0</v>
      </c>
      <c r="L181" s="689">
        <v>0.0</v>
      </c>
      <c r="M181" s="689">
        <v>0.0</v>
      </c>
      <c r="N181" s="686">
        <v>206.07</v>
      </c>
      <c r="O181" s="686">
        <v>1030.35</v>
      </c>
      <c r="P181" s="686">
        <v>0.0</v>
      </c>
      <c r="Q181" s="686">
        <v>1030.35</v>
      </c>
      <c r="R181" s="686">
        <v>0.0</v>
      </c>
      <c r="S181" s="686">
        <v>0.0</v>
      </c>
      <c r="T181" s="686">
        <v>0.0</v>
      </c>
      <c r="U181" s="690">
        <v>0.0</v>
      </c>
    </row>
    <row r="182">
      <c r="A182" s="685" t="s">
        <v>1447</v>
      </c>
      <c r="B182" s="685" t="s">
        <v>1700</v>
      </c>
      <c r="C182" s="685" t="s">
        <v>1708</v>
      </c>
      <c r="D182" s="685" t="s">
        <v>723</v>
      </c>
      <c r="E182" s="686">
        <v>590.0</v>
      </c>
      <c r="F182" s="692" t="s">
        <v>1016</v>
      </c>
      <c r="G182" s="693"/>
      <c r="H182" s="687"/>
      <c r="I182" s="685" t="s">
        <v>1017</v>
      </c>
      <c r="J182" s="689">
        <v>5.0</v>
      </c>
      <c r="K182" s="689">
        <v>0.0</v>
      </c>
      <c r="L182" s="689">
        <v>0.0</v>
      </c>
      <c r="M182" s="689">
        <v>0.0</v>
      </c>
      <c r="N182" s="686">
        <v>248.13</v>
      </c>
      <c r="O182" s="686">
        <v>1240.65</v>
      </c>
      <c r="P182" s="686">
        <v>0.0</v>
      </c>
      <c r="Q182" s="686">
        <v>1240.65</v>
      </c>
      <c r="R182" s="686">
        <v>0.0</v>
      </c>
      <c r="S182" s="686">
        <v>0.0</v>
      </c>
      <c r="T182" s="686">
        <v>0.0</v>
      </c>
      <c r="U182" s="690">
        <v>0.0</v>
      </c>
    </row>
    <row r="183">
      <c r="A183" s="685" t="s">
        <v>1447</v>
      </c>
      <c r="B183" s="685" t="s">
        <v>1700</v>
      </c>
      <c r="C183" s="685" t="s">
        <v>1708</v>
      </c>
      <c r="D183" s="685" t="s">
        <v>723</v>
      </c>
      <c r="E183" s="686">
        <v>590.0</v>
      </c>
      <c r="F183" s="692" t="s">
        <v>936</v>
      </c>
      <c r="G183" s="693"/>
      <c r="H183" s="687"/>
      <c r="I183" s="685" t="s">
        <v>937</v>
      </c>
      <c r="J183" s="689">
        <v>5.0</v>
      </c>
      <c r="K183" s="689">
        <v>0.0</v>
      </c>
      <c r="L183" s="689">
        <v>0.0</v>
      </c>
      <c r="M183" s="689">
        <v>0.0</v>
      </c>
      <c r="N183" s="686">
        <v>248.13</v>
      </c>
      <c r="O183" s="686">
        <v>1240.65</v>
      </c>
      <c r="P183" s="686">
        <v>0.0</v>
      </c>
      <c r="Q183" s="686">
        <v>1240.65</v>
      </c>
      <c r="R183" s="686">
        <v>0.0</v>
      </c>
      <c r="S183" s="686">
        <v>0.0</v>
      </c>
      <c r="T183" s="686">
        <v>0.0</v>
      </c>
      <c r="U183" s="690">
        <v>0.0</v>
      </c>
    </row>
    <row r="184">
      <c r="A184" s="685" t="s">
        <v>1447</v>
      </c>
      <c r="B184" s="685" t="s">
        <v>1700</v>
      </c>
      <c r="C184" s="685" t="s">
        <v>1708</v>
      </c>
      <c r="D184" s="685" t="s">
        <v>723</v>
      </c>
      <c r="E184" s="686">
        <v>590.0</v>
      </c>
      <c r="F184" s="692" t="s">
        <v>940</v>
      </c>
      <c r="G184" s="693"/>
      <c r="H184" s="687"/>
      <c r="I184" s="685" t="s">
        <v>941</v>
      </c>
      <c r="J184" s="689">
        <v>5.0</v>
      </c>
      <c r="K184" s="689">
        <v>0.0</v>
      </c>
      <c r="L184" s="689">
        <v>0.0</v>
      </c>
      <c r="M184" s="689">
        <v>0.0</v>
      </c>
      <c r="N184" s="686">
        <v>248.13</v>
      </c>
      <c r="O184" s="686">
        <v>1240.65</v>
      </c>
      <c r="P184" s="686">
        <v>0.0</v>
      </c>
      <c r="Q184" s="686">
        <v>1240.65</v>
      </c>
      <c r="R184" s="686">
        <v>0.0</v>
      </c>
      <c r="S184" s="686">
        <v>0.0</v>
      </c>
      <c r="T184" s="686">
        <v>0.0</v>
      </c>
      <c r="U184" s="690">
        <v>0.0</v>
      </c>
    </row>
    <row r="185">
      <c r="A185" s="685" t="s">
        <v>1447</v>
      </c>
      <c r="B185" s="685" t="s">
        <v>1700</v>
      </c>
      <c r="C185" s="685" t="s">
        <v>1593</v>
      </c>
      <c r="D185" s="685" t="s">
        <v>1594</v>
      </c>
      <c r="E185" s="686">
        <v>490.0</v>
      </c>
      <c r="F185" s="692" t="s">
        <v>1711</v>
      </c>
      <c r="G185" s="693"/>
      <c r="H185" s="687"/>
      <c r="I185" s="685" t="s">
        <v>1712</v>
      </c>
      <c r="J185" s="689">
        <v>4.0</v>
      </c>
      <c r="K185" s="689">
        <v>0.0</v>
      </c>
      <c r="L185" s="689">
        <v>0.0</v>
      </c>
      <c r="M185" s="689">
        <v>0.0</v>
      </c>
      <c r="N185" s="686">
        <v>293.08</v>
      </c>
      <c r="O185" s="686">
        <v>1172.32</v>
      </c>
      <c r="P185" s="686">
        <v>0.0</v>
      </c>
      <c r="Q185" s="686">
        <v>0.0</v>
      </c>
      <c r="R185" s="686">
        <v>0.0</v>
      </c>
      <c r="S185" s="686">
        <v>0.0</v>
      </c>
      <c r="T185" s="686">
        <v>0.0</v>
      </c>
      <c r="U185" s="690">
        <v>1172.32</v>
      </c>
    </row>
    <row r="186">
      <c r="A186" s="685" t="s">
        <v>1447</v>
      </c>
      <c r="B186" s="685" t="s">
        <v>1700</v>
      </c>
      <c r="C186" s="685" t="s">
        <v>1593</v>
      </c>
      <c r="D186" s="685" t="s">
        <v>1594</v>
      </c>
      <c r="E186" s="686">
        <v>490.0</v>
      </c>
      <c r="F186" s="692" t="s">
        <v>1713</v>
      </c>
      <c r="G186" s="693"/>
      <c r="H186" s="687"/>
      <c r="I186" s="685" t="s">
        <v>1714</v>
      </c>
      <c r="J186" s="689">
        <v>10.0</v>
      </c>
      <c r="K186" s="689">
        <v>0.0</v>
      </c>
      <c r="L186" s="689">
        <v>0.0</v>
      </c>
      <c r="M186" s="689">
        <v>0.0</v>
      </c>
      <c r="N186" s="686">
        <v>293.08</v>
      </c>
      <c r="O186" s="686">
        <v>2930.8</v>
      </c>
      <c r="P186" s="686">
        <v>0.0</v>
      </c>
      <c r="Q186" s="686">
        <v>0.0</v>
      </c>
      <c r="R186" s="686">
        <v>0.0</v>
      </c>
      <c r="S186" s="686">
        <v>0.0</v>
      </c>
      <c r="T186" s="686">
        <v>0.0</v>
      </c>
      <c r="U186" s="690">
        <v>2930.8</v>
      </c>
    </row>
    <row r="187">
      <c r="A187" s="685" t="s">
        <v>1447</v>
      </c>
      <c r="B187" s="685" t="s">
        <v>1700</v>
      </c>
      <c r="C187" s="685" t="s">
        <v>1593</v>
      </c>
      <c r="D187" s="685" t="s">
        <v>1594</v>
      </c>
      <c r="E187" s="686">
        <v>490.0</v>
      </c>
      <c r="F187" s="692" t="s">
        <v>1715</v>
      </c>
      <c r="G187" s="693"/>
      <c r="H187" s="687"/>
      <c r="I187" s="685" t="s">
        <v>1716</v>
      </c>
      <c r="J187" s="689">
        <v>33.0</v>
      </c>
      <c r="K187" s="689">
        <v>0.0</v>
      </c>
      <c r="L187" s="689">
        <v>0.0</v>
      </c>
      <c r="M187" s="689">
        <v>0.0</v>
      </c>
      <c r="N187" s="686">
        <v>284.2</v>
      </c>
      <c r="O187" s="686">
        <v>9378.56</v>
      </c>
      <c r="P187" s="686">
        <v>0.0</v>
      </c>
      <c r="Q187" s="686">
        <v>0.0</v>
      </c>
      <c r="R187" s="686">
        <v>0.0</v>
      </c>
      <c r="S187" s="686">
        <v>0.0</v>
      </c>
      <c r="T187" s="686">
        <v>0.0</v>
      </c>
      <c r="U187" s="690">
        <v>9378.56</v>
      </c>
    </row>
    <row r="188">
      <c r="A188" s="685" t="s">
        <v>1447</v>
      </c>
      <c r="B188" s="685" t="s">
        <v>1700</v>
      </c>
      <c r="C188" s="685" t="s">
        <v>1593</v>
      </c>
      <c r="D188" s="685" t="s">
        <v>1594</v>
      </c>
      <c r="E188" s="686">
        <v>690.0</v>
      </c>
      <c r="F188" s="692" t="s">
        <v>1717</v>
      </c>
      <c r="G188" s="693"/>
      <c r="H188" s="687"/>
      <c r="I188" s="685" t="s">
        <v>1718</v>
      </c>
      <c r="J188" s="689">
        <v>10.0</v>
      </c>
      <c r="K188" s="689">
        <v>0.0</v>
      </c>
      <c r="L188" s="689">
        <v>0.0</v>
      </c>
      <c r="M188" s="689">
        <v>0.0</v>
      </c>
      <c r="N188" s="686">
        <v>412.71</v>
      </c>
      <c r="O188" s="686">
        <v>4127.1</v>
      </c>
      <c r="P188" s="686">
        <v>0.0</v>
      </c>
      <c r="Q188" s="686">
        <v>0.0</v>
      </c>
      <c r="R188" s="686">
        <v>0.0</v>
      </c>
      <c r="S188" s="686">
        <v>0.0</v>
      </c>
      <c r="T188" s="686">
        <v>0.0</v>
      </c>
      <c r="U188" s="690">
        <v>4127.1</v>
      </c>
    </row>
    <row r="189">
      <c r="A189" s="685" t="s">
        <v>1447</v>
      </c>
      <c r="B189" s="685" t="s">
        <v>1700</v>
      </c>
      <c r="C189" s="685" t="s">
        <v>1593</v>
      </c>
      <c r="D189" s="685" t="s">
        <v>1594</v>
      </c>
      <c r="E189" s="686">
        <v>690.0</v>
      </c>
      <c r="F189" s="692" t="s">
        <v>1719</v>
      </c>
      <c r="G189" s="693"/>
      <c r="H189" s="687"/>
      <c r="I189" s="685" t="s">
        <v>1720</v>
      </c>
      <c r="J189" s="689">
        <v>5.0</v>
      </c>
      <c r="K189" s="689">
        <v>0.0</v>
      </c>
      <c r="L189" s="689">
        <v>0.0</v>
      </c>
      <c r="M189" s="689">
        <v>0.0</v>
      </c>
      <c r="N189" s="686">
        <v>412.71</v>
      </c>
      <c r="O189" s="686">
        <v>2063.55</v>
      </c>
      <c r="P189" s="686">
        <v>0.0</v>
      </c>
      <c r="Q189" s="686">
        <v>0.0</v>
      </c>
      <c r="R189" s="686">
        <v>0.0</v>
      </c>
      <c r="S189" s="686">
        <v>0.0</v>
      </c>
      <c r="T189" s="686">
        <v>0.0</v>
      </c>
      <c r="U189" s="690">
        <v>2063.55</v>
      </c>
    </row>
    <row r="190">
      <c r="A190" s="685" t="s">
        <v>1447</v>
      </c>
      <c r="B190" s="685" t="s">
        <v>1700</v>
      </c>
      <c r="C190" s="685" t="s">
        <v>1593</v>
      </c>
      <c r="D190" s="685" t="s">
        <v>1594</v>
      </c>
      <c r="E190" s="686">
        <v>890.0</v>
      </c>
      <c r="F190" s="692" t="s">
        <v>1721</v>
      </c>
      <c r="G190" s="693"/>
      <c r="H190" s="687"/>
      <c r="I190" s="685" t="s">
        <v>1722</v>
      </c>
      <c r="J190" s="689">
        <v>8.0</v>
      </c>
      <c r="K190" s="689">
        <v>0.0</v>
      </c>
      <c r="L190" s="689">
        <v>0.0</v>
      </c>
      <c r="M190" s="689">
        <v>0.0</v>
      </c>
      <c r="N190" s="686">
        <v>532.34</v>
      </c>
      <c r="O190" s="686">
        <v>4258.72</v>
      </c>
      <c r="P190" s="686">
        <v>0.0</v>
      </c>
      <c r="Q190" s="686">
        <v>0.0</v>
      </c>
      <c r="R190" s="686">
        <v>0.0</v>
      </c>
      <c r="S190" s="686">
        <v>2661.7</v>
      </c>
      <c r="T190" s="686">
        <v>1597.02</v>
      </c>
      <c r="U190" s="690">
        <v>0.0</v>
      </c>
    </row>
    <row r="191">
      <c r="A191" s="685" t="s">
        <v>1447</v>
      </c>
      <c r="B191" s="685" t="s">
        <v>1700</v>
      </c>
      <c r="C191" s="685" t="s">
        <v>1593</v>
      </c>
      <c r="D191" s="685" t="s">
        <v>1594</v>
      </c>
      <c r="E191" s="686">
        <v>249.0</v>
      </c>
      <c r="F191" s="692" t="s">
        <v>1723</v>
      </c>
      <c r="G191" s="693"/>
      <c r="H191" s="687"/>
      <c r="I191" s="685" t="s">
        <v>1724</v>
      </c>
      <c r="J191" s="689">
        <v>4.0</v>
      </c>
      <c r="K191" s="689">
        <v>0.0</v>
      </c>
      <c r="L191" s="689">
        <v>0.0</v>
      </c>
      <c r="M191" s="689">
        <v>0.0</v>
      </c>
      <c r="N191" s="686">
        <v>139.63</v>
      </c>
      <c r="O191" s="686">
        <v>558.52</v>
      </c>
      <c r="P191" s="686">
        <v>558.52</v>
      </c>
      <c r="Q191" s="686">
        <v>0.0</v>
      </c>
      <c r="R191" s="686">
        <v>0.0</v>
      </c>
      <c r="S191" s="686">
        <v>0.0</v>
      </c>
      <c r="T191" s="686">
        <v>0.0</v>
      </c>
      <c r="U191" s="690">
        <v>0.0</v>
      </c>
    </row>
    <row r="192">
      <c r="A192" s="685" t="s">
        <v>1447</v>
      </c>
      <c r="B192" s="685" t="s">
        <v>1700</v>
      </c>
      <c r="C192" s="685" t="s">
        <v>1593</v>
      </c>
      <c r="D192" s="685" t="s">
        <v>723</v>
      </c>
      <c r="E192" s="686">
        <v>490.0</v>
      </c>
      <c r="F192" s="692" t="s">
        <v>1725</v>
      </c>
      <c r="G192" s="693"/>
      <c r="H192" s="687"/>
      <c r="I192" s="685" t="s">
        <v>1726</v>
      </c>
      <c r="J192" s="689">
        <v>8.0</v>
      </c>
      <c r="K192" s="689">
        <v>0.0</v>
      </c>
      <c r="L192" s="689">
        <v>0.0</v>
      </c>
      <c r="M192" s="689">
        <v>0.0</v>
      </c>
      <c r="N192" s="686">
        <v>251.87</v>
      </c>
      <c r="O192" s="686">
        <v>2014.96</v>
      </c>
      <c r="P192" s="686">
        <v>0.0</v>
      </c>
      <c r="Q192" s="686">
        <v>1259.35</v>
      </c>
      <c r="R192" s="686">
        <v>0.0</v>
      </c>
      <c r="S192" s="686">
        <v>755.61</v>
      </c>
      <c r="T192" s="686">
        <v>0.0</v>
      </c>
      <c r="U192" s="690">
        <v>0.0</v>
      </c>
    </row>
    <row r="193">
      <c r="A193" s="685" t="s">
        <v>1447</v>
      </c>
      <c r="B193" s="685" t="s">
        <v>1700</v>
      </c>
      <c r="C193" s="685" t="s">
        <v>1593</v>
      </c>
      <c r="D193" s="685" t="s">
        <v>723</v>
      </c>
      <c r="E193" s="686">
        <v>490.0</v>
      </c>
      <c r="F193" s="692" t="s">
        <v>1727</v>
      </c>
      <c r="G193" s="693"/>
      <c r="H193" s="687"/>
      <c r="I193" s="685" t="s">
        <v>1728</v>
      </c>
      <c r="J193" s="689">
        <v>8.0</v>
      </c>
      <c r="K193" s="689">
        <v>0.0</v>
      </c>
      <c r="L193" s="689">
        <v>0.0</v>
      </c>
      <c r="M193" s="689">
        <v>0.0</v>
      </c>
      <c r="N193" s="686">
        <v>251.87</v>
      </c>
      <c r="O193" s="686">
        <v>2014.96</v>
      </c>
      <c r="P193" s="686">
        <v>0.0</v>
      </c>
      <c r="Q193" s="686">
        <v>1259.35</v>
      </c>
      <c r="R193" s="686">
        <v>0.0</v>
      </c>
      <c r="S193" s="686">
        <v>755.61</v>
      </c>
      <c r="T193" s="686">
        <v>0.0</v>
      </c>
      <c r="U193" s="690">
        <v>0.0</v>
      </c>
    </row>
    <row r="194">
      <c r="A194" s="685" t="s">
        <v>1447</v>
      </c>
      <c r="B194" s="685" t="s">
        <v>1700</v>
      </c>
      <c r="C194" s="685" t="s">
        <v>1593</v>
      </c>
      <c r="D194" s="685" t="s">
        <v>723</v>
      </c>
      <c r="E194" s="686">
        <v>590.0</v>
      </c>
      <c r="F194" s="692" t="s">
        <v>1729</v>
      </c>
      <c r="G194" s="693"/>
      <c r="H194" s="687"/>
      <c r="I194" s="685" t="s">
        <v>1730</v>
      </c>
      <c r="J194" s="689">
        <v>20.0</v>
      </c>
      <c r="K194" s="689">
        <v>0.0</v>
      </c>
      <c r="L194" s="689">
        <v>0.0</v>
      </c>
      <c r="M194" s="689">
        <v>0.0</v>
      </c>
      <c r="N194" s="686">
        <v>303.27</v>
      </c>
      <c r="O194" s="686">
        <v>6065.4</v>
      </c>
      <c r="P194" s="686">
        <v>0.0</v>
      </c>
      <c r="Q194" s="686">
        <v>3032.7</v>
      </c>
      <c r="R194" s="686">
        <v>0.0</v>
      </c>
      <c r="S194" s="686">
        <v>3032.7</v>
      </c>
      <c r="T194" s="686">
        <v>0.0</v>
      </c>
      <c r="U194" s="690">
        <v>0.0</v>
      </c>
    </row>
    <row r="195">
      <c r="A195" s="685" t="s">
        <v>1447</v>
      </c>
      <c r="B195" s="685" t="s">
        <v>1700</v>
      </c>
      <c r="C195" s="685" t="s">
        <v>1593</v>
      </c>
      <c r="D195" s="685" t="s">
        <v>723</v>
      </c>
      <c r="E195" s="686">
        <v>590.0</v>
      </c>
      <c r="F195" s="692" t="s">
        <v>1735</v>
      </c>
      <c r="G195" s="693"/>
      <c r="H195" s="687"/>
      <c r="I195" s="685" t="s">
        <v>1736</v>
      </c>
      <c r="J195" s="689">
        <v>5.0</v>
      </c>
      <c r="K195" s="689">
        <v>0.0</v>
      </c>
      <c r="L195" s="689">
        <v>0.0</v>
      </c>
      <c r="M195" s="689">
        <v>0.0</v>
      </c>
      <c r="N195" s="686">
        <v>303.27</v>
      </c>
      <c r="O195" s="686">
        <v>1516.35</v>
      </c>
      <c r="P195" s="686">
        <v>0.0</v>
      </c>
      <c r="Q195" s="686">
        <v>1516.35</v>
      </c>
      <c r="R195" s="686">
        <v>0.0</v>
      </c>
      <c r="S195" s="686">
        <v>0.0</v>
      </c>
      <c r="T195" s="686">
        <v>0.0</v>
      </c>
      <c r="U195" s="690">
        <v>0.0</v>
      </c>
    </row>
    <row r="196">
      <c r="A196" s="685" t="s">
        <v>1447</v>
      </c>
      <c r="B196" s="685" t="s">
        <v>1700</v>
      </c>
      <c r="C196" s="685" t="s">
        <v>1593</v>
      </c>
      <c r="D196" s="685" t="s">
        <v>1391</v>
      </c>
      <c r="E196" s="686">
        <v>590.0</v>
      </c>
      <c r="F196" s="692" t="s">
        <v>1737</v>
      </c>
      <c r="G196" s="693"/>
      <c r="H196" s="687"/>
      <c r="I196" s="685" t="s">
        <v>1738</v>
      </c>
      <c r="J196" s="689">
        <v>1.0</v>
      </c>
      <c r="K196" s="689">
        <v>0.0</v>
      </c>
      <c r="L196" s="689">
        <v>0.0</v>
      </c>
      <c r="M196" s="689">
        <v>0.0</v>
      </c>
      <c r="N196" s="686">
        <v>386.0</v>
      </c>
      <c r="O196" s="686">
        <v>386.0</v>
      </c>
      <c r="P196" s="686">
        <v>0.0</v>
      </c>
      <c r="Q196" s="686">
        <v>0.0</v>
      </c>
      <c r="R196" s="686">
        <v>0.0</v>
      </c>
      <c r="S196" s="686">
        <v>0.0</v>
      </c>
      <c r="T196" s="686">
        <v>0.0</v>
      </c>
      <c r="U196" s="690">
        <v>386.0</v>
      </c>
    </row>
    <row r="197">
      <c r="A197" s="685" t="s">
        <v>1447</v>
      </c>
      <c r="B197" s="685" t="s">
        <v>1700</v>
      </c>
      <c r="C197" s="685" t="s">
        <v>1593</v>
      </c>
      <c r="D197" s="685" t="s">
        <v>1391</v>
      </c>
      <c r="E197" s="686">
        <v>590.0</v>
      </c>
      <c r="F197" s="692" t="s">
        <v>1739</v>
      </c>
      <c r="G197" s="687"/>
      <c r="H197" s="687"/>
      <c r="I197" s="685" t="s">
        <v>1740</v>
      </c>
      <c r="J197" s="689">
        <v>1.0</v>
      </c>
      <c r="K197" s="689">
        <v>0.0</v>
      </c>
      <c r="L197" s="689">
        <v>0.0</v>
      </c>
      <c r="M197" s="689">
        <v>0.0</v>
      </c>
      <c r="N197" s="686">
        <v>386.0</v>
      </c>
      <c r="O197" s="686">
        <v>386.0</v>
      </c>
      <c r="P197" s="686">
        <v>0.0</v>
      </c>
      <c r="Q197" s="686">
        <v>0.0</v>
      </c>
      <c r="R197" s="686">
        <v>0.0</v>
      </c>
      <c r="S197" s="686">
        <v>0.0</v>
      </c>
      <c r="T197" s="686">
        <v>0.0</v>
      </c>
      <c r="U197" s="690">
        <v>386.0</v>
      </c>
    </row>
    <row r="198">
      <c r="A198" s="685" t="s">
        <v>1447</v>
      </c>
      <c r="B198" s="685" t="s">
        <v>1700</v>
      </c>
      <c r="C198" s="685" t="s">
        <v>1741</v>
      </c>
      <c r="D198" s="685" t="s">
        <v>1594</v>
      </c>
      <c r="E198" s="686">
        <v>390.0</v>
      </c>
      <c r="F198" s="692" t="s">
        <v>590</v>
      </c>
      <c r="G198" s="687"/>
      <c r="H198" s="687"/>
      <c r="I198" s="685" t="s">
        <v>1742</v>
      </c>
      <c r="J198" s="689">
        <v>3.0</v>
      </c>
      <c r="K198" s="689">
        <v>0.0</v>
      </c>
      <c r="L198" s="689">
        <v>0.0</v>
      </c>
      <c r="M198" s="689">
        <v>0.0</v>
      </c>
      <c r="N198" s="686">
        <v>218.69</v>
      </c>
      <c r="O198" s="686">
        <v>656.07</v>
      </c>
      <c r="P198" s="686">
        <v>0.0</v>
      </c>
      <c r="Q198" s="686">
        <v>0.0</v>
      </c>
      <c r="R198" s="686">
        <v>0.0</v>
      </c>
      <c r="S198" s="686">
        <v>0.0</v>
      </c>
      <c r="T198" s="686">
        <v>0.0</v>
      </c>
      <c r="U198" s="690">
        <v>656.07</v>
      </c>
    </row>
    <row r="199">
      <c r="A199" s="685" t="s">
        <v>1447</v>
      </c>
      <c r="B199" s="685" t="s">
        <v>1700</v>
      </c>
      <c r="C199" s="685" t="s">
        <v>1694</v>
      </c>
      <c r="D199" s="685" t="s">
        <v>1594</v>
      </c>
      <c r="E199" s="686">
        <v>390.0</v>
      </c>
      <c r="F199" s="692" t="s">
        <v>1743</v>
      </c>
      <c r="G199" s="687"/>
      <c r="H199" s="687"/>
      <c r="I199" s="685" t="s">
        <v>1744</v>
      </c>
      <c r="J199" s="689">
        <v>5.0</v>
      </c>
      <c r="K199" s="689">
        <v>0.0</v>
      </c>
      <c r="L199" s="689">
        <v>0.0</v>
      </c>
      <c r="M199" s="689">
        <v>0.0</v>
      </c>
      <c r="N199" s="686">
        <v>218.69</v>
      </c>
      <c r="O199" s="686">
        <v>1093.45</v>
      </c>
      <c r="P199" s="686">
        <v>0.0</v>
      </c>
      <c r="Q199" s="686">
        <v>1093.45</v>
      </c>
      <c r="R199" s="686">
        <v>0.0</v>
      </c>
      <c r="S199" s="686">
        <v>0.0</v>
      </c>
      <c r="T199" s="686">
        <v>0.0</v>
      </c>
      <c r="U199" s="690">
        <v>0.0</v>
      </c>
    </row>
    <row r="200">
      <c r="A200" s="685" t="s">
        <v>1447</v>
      </c>
      <c r="B200" s="685" t="s">
        <v>1700</v>
      </c>
      <c r="C200" s="685" t="s">
        <v>1747</v>
      </c>
      <c r="D200" s="685" t="s">
        <v>1594</v>
      </c>
      <c r="E200" s="686">
        <v>390.0</v>
      </c>
      <c r="F200" s="692" t="s">
        <v>1748</v>
      </c>
      <c r="G200" s="687"/>
      <c r="H200" s="687"/>
      <c r="I200" s="685" t="s">
        <v>1749</v>
      </c>
      <c r="J200" s="689">
        <v>6.0</v>
      </c>
      <c r="K200" s="689">
        <v>0.0</v>
      </c>
      <c r="L200" s="689">
        <v>0.0</v>
      </c>
      <c r="M200" s="689">
        <v>0.0</v>
      </c>
      <c r="N200" s="686">
        <v>218.69</v>
      </c>
      <c r="O200" s="686">
        <v>1312.14</v>
      </c>
      <c r="P200" s="686">
        <v>1093.45</v>
      </c>
      <c r="Q200" s="686">
        <v>218.69</v>
      </c>
      <c r="R200" s="686">
        <v>0.0</v>
      </c>
      <c r="S200" s="686">
        <v>0.0</v>
      </c>
      <c r="T200" s="686">
        <v>0.0</v>
      </c>
      <c r="U200" s="690">
        <v>0.0</v>
      </c>
    </row>
    <row r="201">
      <c r="A201" s="685" t="s">
        <v>1447</v>
      </c>
      <c r="B201" s="685" t="s">
        <v>1700</v>
      </c>
      <c r="C201" s="685" t="s">
        <v>1697</v>
      </c>
      <c r="D201" s="685" t="s">
        <v>1594</v>
      </c>
      <c r="E201" s="686">
        <v>390.0</v>
      </c>
      <c r="F201" s="692" t="s">
        <v>1752</v>
      </c>
      <c r="G201" s="687"/>
      <c r="H201" s="687"/>
      <c r="I201" s="685" t="s">
        <v>1753</v>
      </c>
      <c r="J201" s="689">
        <v>3.0</v>
      </c>
      <c r="K201" s="689">
        <v>0.0</v>
      </c>
      <c r="L201" s="689">
        <v>0.0</v>
      </c>
      <c r="M201" s="689">
        <v>0.0</v>
      </c>
      <c r="N201" s="686">
        <v>218.69</v>
      </c>
      <c r="O201" s="686">
        <v>656.07</v>
      </c>
      <c r="P201" s="686">
        <v>0.0</v>
      </c>
      <c r="Q201" s="686">
        <v>656.07</v>
      </c>
      <c r="R201" s="686">
        <v>0.0</v>
      </c>
      <c r="S201" s="686">
        <v>0.0</v>
      </c>
      <c r="T201" s="686">
        <v>0.0</v>
      </c>
      <c r="U201" s="690">
        <v>0.0</v>
      </c>
    </row>
    <row r="202">
      <c r="A202" s="685" t="s">
        <v>1447</v>
      </c>
      <c r="B202" s="685" t="s">
        <v>1756</v>
      </c>
      <c r="C202" s="685" t="s">
        <v>1757</v>
      </c>
      <c r="D202" s="685" t="s">
        <v>1594</v>
      </c>
      <c r="E202" s="686">
        <v>590.0</v>
      </c>
      <c r="F202" s="692" t="s">
        <v>631</v>
      </c>
      <c r="G202" s="687"/>
      <c r="H202" s="687"/>
      <c r="I202" s="685" t="s">
        <v>1758</v>
      </c>
      <c r="J202" s="689">
        <v>2.0</v>
      </c>
      <c r="K202" s="689">
        <v>0.0</v>
      </c>
      <c r="L202" s="689">
        <v>0.0</v>
      </c>
      <c r="M202" s="689">
        <v>0.0</v>
      </c>
      <c r="N202" s="686">
        <v>297.76</v>
      </c>
      <c r="O202" s="686">
        <v>595.52</v>
      </c>
      <c r="P202" s="686">
        <v>0.0</v>
      </c>
      <c r="Q202" s="686">
        <v>0.0</v>
      </c>
      <c r="R202" s="686">
        <v>0.0</v>
      </c>
      <c r="S202" s="686">
        <v>0.0</v>
      </c>
      <c r="T202" s="686">
        <v>595.52</v>
      </c>
      <c r="U202" s="690">
        <v>0.0</v>
      </c>
    </row>
    <row r="203">
      <c r="A203" s="685" t="s">
        <v>1447</v>
      </c>
      <c r="B203" s="685" t="s">
        <v>1756</v>
      </c>
      <c r="C203" s="685" t="s">
        <v>1757</v>
      </c>
      <c r="D203" s="685" t="s">
        <v>1594</v>
      </c>
      <c r="E203" s="686">
        <v>690.0</v>
      </c>
      <c r="F203" s="692" t="s">
        <v>633</v>
      </c>
      <c r="G203" s="687"/>
      <c r="H203" s="687"/>
      <c r="I203" s="685" t="s">
        <v>1759</v>
      </c>
      <c r="J203" s="689">
        <v>4.0</v>
      </c>
      <c r="K203" s="689">
        <v>0.0</v>
      </c>
      <c r="L203" s="689">
        <v>0.0</v>
      </c>
      <c r="M203" s="689">
        <v>0.0</v>
      </c>
      <c r="N203" s="686">
        <v>348.22</v>
      </c>
      <c r="O203" s="686">
        <v>1392.88</v>
      </c>
      <c r="P203" s="686">
        <v>0.0</v>
      </c>
      <c r="Q203" s="686">
        <v>0.0</v>
      </c>
      <c r="R203" s="686">
        <v>0.0</v>
      </c>
      <c r="S203" s="686">
        <v>1392.88</v>
      </c>
      <c r="T203" s="686">
        <v>0.0</v>
      </c>
      <c r="U203" s="690">
        <v>0.0</v>
      </c>
    </row>
    <row r="204">
      <c r="A204" s="685" t="s">
        <v>1447</v>
      </c>
      <c r="B204" s="685" t="s">
        <v>1756</v>
      </c>
      <c r="C204" s="685" t="s">
        <v>1760</v>
      </c>
      <c r="D204" s="685" t="s">
        <v>1594</v>
      </c>
      <c r="E204" s="686">
        <v>990.0</v>
      </c>
      <c r="F204" s="692" t="s">
        <v>637</v>
      </c>
      <c r="G204" s="687"/>
      <c r="H204" s="687"/>
      <c r="I204" s="685" t="s">
        <v>1761</v>
      </c>
      <c r="J204" s="689">
        <v>2.0</v>
      </c>
      <c r="K204" s="689">
        <v>0.0</v>
      </c>
      <c r="L204" s="689">
        <v>0.0</v>
      </c>
      <c r="M204" s="689">
        <v>0.0</v>
      </c>
      <c r="N204" s="686">
        <v>555.14</v>
      </c>
      <c r="O204" s="686">
        <v>1110.28</v>
      </c>
      <c r="P204" s="686">
        <v>0.0</v>
      </c>
      <c r="Q204" s="686">
        <v>0.0</v>
      </c>
      <c r="R204" s="686">
        <v>0.0</v>
      </c>
      <c r="S204" s="686">
        <v>0.0</v>
      </c>
      <c r="T204" s="686">
        <v>0.0</v>
      </c>
      <c r="U204" s="690">
        <v>1110.28</v>
      </c>
    </row>
    <row r="205">
      <c r="A205" s="685" t="s">
        <v>1447</v>
      </c>
      <c r="B205" s="685" t="s">
        <v>1756</v>
      </c>
      <c r="C205" s="685" t="s">
        <v>1762</v>
      </c>
      <c r="D205" s="685" t="s">
        <v>723</v>
      </c>
      <c r="E205" s="686">
        <v>690.0</v>
      </c>
      <c r="F205" s="692" t="s">
        <v>1763</v>
      </c>
      <c r="G205" s="687"/>
      <c r="H205" s="687"/>
      <c r="I205" s="685" t="s">
        <v>1764</v>
      </c>
      <c r="J205" s="689">
        <v>3.0</v>
      </c>
      <c r="K205" s="689">
        <v>0.0</v>
      </c>
      <c r="L205" s="689">
        <v>0.0</v>
      </c>
      <c r="M205" s="689">
        <v>0.0</v>
      </c>
      <c r="N205" s="686">
        <v>386.92</v>
      </c>
      <c r="O205" s="686">
        <v>1160.76</v>
      </c>
      <c r="P205" s="686">
        <v>0.0</v>
      </c>
      <c r="Q205" s="686">
        <v>1160.76</v>
      </c>
      <c r="R205" s="686">
        <v>0.0</v>
      </c>
      <c r="S205" s="686">
        <v>0.0</v>
      </c>
      <c r="T205" s="686">
        <v>0.0</v>
      </c>
      <c r="U205" s="690">
        <v>0.0</v>
      </c>
    </row>
    <row r="206">
      <c r="A206" s="685" t="s">
        <v>1447</v>
      </c>
      <c r="B206" s="685" t="s">
        <v>1756</v>
      </c>
      <c r="C206" s="685" t="s">
        <v>1674</v>
      </c>
      <c r="D206" s="685" t="s">
        <v>1594</v>
      </c>
      <c r="E206" s="686">
        <v>690.0</v>
      </c>
      <c r="F206" s="692" t="s">
        <v>1765</v>
      </c>
      <c r="G206" s="693"/>
      <c r="H206" s="687"/>
      <c r="I206" s="685" t="s">
        <v>1766</v>
      </c>
      <c r="J206" s="689">
        <v>7.0</v>
      </c>
      <c r="K206" s="689">
        <v>0.0</v>
      </c>
      <c r="L206" s="689">
        <v>0.0</v>
      </c>
      <c r="M206" s="689">
        <v>0.0</v>
      </c>
      <c r="N206" s="686">
        <v>386.92</v>
      </c>
      <c r="O206" s="686">
        <v>2708.44</v>
      </c>
      <c r="P206" s="686">
        <v>2708.44</v>
      </c>
      <c r="Q206" s="686">
        <v>0.0</v>
      </c>
      <c r="R206" s="686">
        <v>0.0</v>
      </c>
      <c r="S206" s="686">
        <v>0.0</v>
      </c>
      <c r="T206" s="686">
        <v>0.0</v>
      </c>
      <c r="U206" s="690">
        <v>0.0</v>
      </c>
    </row>
    <row r="207">
      <c r="A207" s="685" t="s">
        <v>1447</v>
      </c>
      <c r="B207" s="685" t="s">
        <v>1756</v>
      </c>
      <c r="C207" s="685" t="s">
        <v>1674</v>
      </c>
      <c r="D207" s="685" t="s">
        <v>723</v>
      </c>
      <c r="E207" s="686">
        <v>690.0</v>
      </c>
      <c r="F207" s="692" t="s">
        <v>1767</v>
      </c>
      <c r="G207" s="693"/>
      <c r="H207" s="687"/>
      <c r="I207" s="685" t="s">
        <v>1768</v>
      </c>
      <c r="J207" s="689">
        <v>8.0</v>
      </c>
      <c r="K207" s="689">
        <v>0.0</v>
      </c>
      <c r="L207" s="689">
        <v>0.0</v>
      </c>
      <c r="M207" s="689">
        <v>0.0</v>
      </c>
      <c r="N207" s="686">
        <v>386.92</v>
      </c>
      <c r="O207" s="686">
        <v>3095.36</v>
      </c>
      <c r="P207" s="686">
        <v>0.0</v>
      </c>
      <c r="Q207" s="686">
        <v>3095.36</v>
      </c>
      <c r="R207" s="686">
        <v>0.0</v>
      </c>
      <c r="S207" s="686">
        <v>0.0</v>
      </c>
      <c r="T207" s="686">
        <v>0.0</v>
      </c>
      <c r="U207" s="690">
        <v>0.0</v>
      </c>
    </row>
    <row r="208">
      <c r="A208" s="685" t="s">
        <v>1447</v>
      </c>
      <c r="B208" s="685" t="s">
        <v>1756</v>
      </c>
      <c r="C208" s="685" t="s">
        <v>1769</v>
      </c>
      <c r="D208" s="685" t="s">
        <v>1594</v>
      </c>
      <c r="E208" s="686">
        <v>990.0</v>
      </c>
      <c r="F208" s="692" t="s">
        <v>1770</v>
      </c>
      <c r="G208" s="687"/>
      <c r="H208" s="687"/>
      <c r="I208" s="685" t="s">
        <v>1771</v>
      </c>
      <c r="J208" s="689">
        <v>2.0</v>
      </c>
      <c r="K208" s="689">
        <v>0.0</v>
      </c>
      <c r="L208" s="689">
        <v>0.0</v>
      </c>
      <c r="M208" s="689">
        <v>0.0</v>
      </c>
      <c r="N208" s="686">
        <v>555.14</v>
      </c>
      <c r="O208" s="686">
        <v>1110.28</v>
      </c>
      <c r="P208" s="686">
        <v>0.0</v>
      </c>
      <c r="Q208" s="686">
        <v>0.0</v>
      </c>
      <c r="R208" s="686">
        <v>0.0</v>
      </c>
      <c r="S208" s="686">
        <v>0.0</v>
      </c>
      <c r="T208" s="686">
        <v>0.0</v>
      </c>
      <c r="U208" s="690">
        <v>1110.28</v>
      </c>
    </row>
    <row r="209">
      <c r="A209" s="685" t="s">
        <v>1447</v>
      </c>
      <c r="B209" s="685" t="s">
        <v>1756</v>
      </c>
      <c r="C209" s="685" t="s">
        <v>1769</v>
      </c>
      <c r="D209" s="685" t="s">
        <v>723</v>
      </c>
      <c r="E209" s="686">
        <v>890.0</v>
      </c>
      <c r="F209" s="692" t="s">
        <v>1772</v>
      </c>
      <c r="G209" s="693"/>
      <c r="H209" s="687"/>
      <c r="I209" s="685" t="s">
        <v>1773</v>
      </c>
      <c r="J209" s="689">
        <v>3.0</v>
      </c>
      <c r="K209" s="689">
        <v>0.0</v>
      </c>
      <c r="L209" s="689">
        <v>0.0</v>
      </c>
      <c r="M209" s="689">
        <v>0.0</v>
      </c>
      <c r="N209" s="686">
        <v>499.07</v>
      </c>
      <c r="O209" s="686">
        <v>1497.21</v>
      </c>
      <c r="P209" s="686">
        <v>0.0</v>
      </c>
      <c r="Q209" s="686">
        <v>1497.21</v>
      </c>
      <c r="R209" s="686">
        <v>0.0</v>
      </c>
      <c r="S209" s="686">
        <v>0.0</v>
      </c>
      <c r="T209" s="686">
        <v>0.0</v>
      </c>
      <c r="U209" s="690">
        <v>0.0</v>
      </c>
    </row>
    <row r="210">
      <c r="A210" s="685" t="s">
        <v>1447</v>
      </c>
      <c r="B210" s="685" t="s">
        <v>1756</v>
      </c>
      <c r="C210" s="685" t="s">
        <v>1774</v>
      </c>
      <c r="D210" s="685" t="s">
        <v>1594</v>
      </c>
      <c r="E210" s="686">
        <v>990.0</v>
      </c>
      <c r="F210" s="692" t="s">
        <v>622</v>
      </c>
      <c r="G210" s="693"/>
      <c r="H210" s="687"/>
      <c r="I210" s="685" t="s">
        <v>1775</v>
      </c>
      <c r="J210" s="689">
        <v>4.0</v>
      </c>
      <c r="K210" s="689">
        <v>0.0</v>
      </c>
      <c r="L210" s="689">
        <v>0.0</v>
      </c>
      <c r="M210" s="689">
        <v>0.0</v>
      </c>
      <c r="N210" s="686">
        <v>499.63</v>
      </c>
      <c r="O210" s="686">
        <v>1998.52</v>
      </c>
      <c r="P210" s="686">
        <v>0.0</v>
      </c>
      <c r="Q210" s="686">
        <v>0.0</v>
      </c>
      <c r="R210" s="686">
        <v>0.0</v>
      </c>
      <c r="S210" s="686">
        <v>0.0</v>
      </c>
      <c r="T210" s="686">
        <v>0.0</v>
      </c>
      <c r="U210" s="690">
        <v>1998.52</v>
      </c>
    </row>
    <row r="211">
      <c r="A211" s="685" t="s">
        <v>1447</v>
      </c>
      <c r="B211" s="685" t="s">
        <v>1780</v>
      </c>
      <c r="C211" s="685" t="s">
        <v>1781</v>
      </c>
      <c r="D211" s="685" t="s">
        <v>1391</v>
      </c>
      <c r="E211" s="686">
        <v>2390.0</v>
      </c>
      <c r="F211" s="692" t="s">
        <v>1782</v>
      </c>
      <c r="G211" s="687"/>
      <c r="H211" s="687"/>
      <c r="I211" s="685" t="s">
        <v>1783</v>
      </c>
      <c r="J211" s="689">
        <v>1.0</v>
      </c>
      <c r="K211" s="689">
        <v>0.0</v>
      </c>
      <c r="L211" s="689">
        <v>0.0</v>
      </c>
      <c r="M211" s="689">
        <v>0.0</v>
      </c>
      <c r="N211" s="686">
        <v>1564.0</v>
      </c>
      <c r="O211" s="686">
        <v>1564.0</v>
      </c>
      <c r="P211" s="686">
        <v>0.0</v>
      </c>
      <c r="Q211" s="686">
        <v>1564.0</v>
      </c>
      <c r="R211" s="686">
        <v>0.0</v>
      </c>
      <c r="S211" s="686">
        <v>0.0</v>
      </c>
      <c r="T211" s="686">
        <v>0.0</v>
      </c>
      <c r="U211" s="690">
        <v>0.0</v>
      </c>
    </row>
    <row r="212">
      <c r="A212" s="685" t="s">
        <v>1447</v>
      </c>
      <c r="B212" s="685" t="s">
        <v>1780</v>
      </c>
      <c r="C212" s="685" t="s">
        <v>1781</v>
      </c>
      <c r="D212" s="685" t="s">
        <v>1391</v>
      </c>
      <c r="E212" s="686">
        <v>2390.0</v>
      </c>
      <c r="F212" s="692" t="s">
        <v>1784</v>
      </c>
      <c r="G212" s="687"/>
      <c r="H212" s="687"/>
      <c r="I212" s="685" t="s">
        <v>1785</v>
      </c>
      <c r="J212" s="689">
        <v>1.0</v>
      </c>
      <c r="K212" s="689">
        <v>0.0</v>
      </c>
      <c r="L212" s="689">
        <v>0.0</v>
      </c>
      <c r="M212" s="689">
        <v>0.0</v>
      </c>
      <c r="N212" s="686">
        <v>1564.0</v>
      </c>
      <c r="O212" s="686">
        <v>1564.0</v>
      </c>
      <c r="P212" s="686">
        <v>0.0</v>
      </c>
      <c r="Q212" s="686">
        <v>1564.0</v>
      </c>
      <c r="R212" s="686">
        <v>0.0</v>
      </c>
      <c r="S212" s="686">
        <v>0.0</v>
      </c>
      <c r="T212" s="686">
        <v>0.0</v>
      </c>
      <c r="U212" s="690">
        <v>0.0</v>
      </c>
    </row>
    <row r="213">
      <c r="A213" s="685" t="s">
        <v>1447</v>
      </c>
      <c r="B213" s="685" t="s">
        <v>1780</v>
      </c>
      <c r="C213" s="685" t="s">
        <v>1781</v>
      </c>
      <c r="D213" s="685" t="s">
        <v>1391</v>
      </c>
      <c r="E213" s="686">
        <v>2390.0</v>
      </c>
      <c r="F213" s="692" t="s">
        <v>1786</v>
      </c>
      <c r="G213" s="687"/>
      <c r="H213" s="687"/>
      <c r="I213" s="685" t="s">
        <v>1787</v>
      </c>
      <c r="J213" s="689">
        <v>1.0</v>
      </c>
      <c r="K213" s="689">
        <v>0.0</v>
      </c>
      <c r="L213" s="689">
        <v>0.0</v>
      </c>
      <c r="M213" s="689">
        <v>0.0</v>
      </c>
      <c r="N213" s="686">
        <v>1564.0</v>
      </c>
      <c r="O213" s="686">
        <v>1564.0</v>
      </c>
      <c r="P213" s="686">
        <v>0.0</v>
      </c>
      <c r="Q213" s="686">
        <v>1564.0</v>
      </c>
      <c r="R213" s="686">
        <v>0.0</v>
      </c>
      <c r="S213" s="686">
        <v>0.0</v>
      </c>
      <c r="T213" s="686">
        <v>0.0</v>
      </c>
      <c r="U213" s="690">
        <v>0.0</v>
      </c>
    </row>
    <row r="214">
      <c r="A214" s="685" t="s">
        <v>1447</v>
      </c>
      <c r="B214" s="685" t="s">
        <v>1780</v>
      </c>
      <c r="C214" s="685" t="s">
        <v>1781</v>
      </c>
      <c r="D214" s="685" t="s">
        <v>1391</v>
      </c>
      <c r="E214" s="686">
        <v>2390.0</v>
      </c>
      <c r="F214" s="692" t="s">
        <v>1788</v>
      </c>
      <c r="G214" s="687"/>
      <c r="H214" s="687"/>
      <c r="I214" s="685" t="s">
        <v>1789</v>
      </c>
      <c r="J214" s="689">
        <v>1.0</v>
      </c>
      <c r="K214" s="689">
        <v>0.0</v>
      </c>
      <c r="L214" s="689">
        <v>0.0</v>
      </c>
      <c r="M214" s="689">
        <v>0.0</v>
      </c>
      <c r="N214" s="686">
        <v>1564.0</v>
      </c>
      <c r="O214" s="686">
        <v>1564.0</v>
      </c>
      <c r="P214" s="686">
        <v>0.0</v>
      </c>
      <c r="Q214" s="686">
        <v>1564.0</v>
      </c>
      <c r="R214" s="686">
        <v>0.0</v>
      </c>
      <c r="S214" s="686">
        <v>0.0</v>
      </c>
      <c r="T214" s="686">
        <v>0.0</v>
      </c>
      <c r="U214" s="690">
        <v>0.0</v>
      </c>
    </row>
    <row r="215">
      <c r="A215" s="685" t="s">
        <v>1447</v>
      </c>
      <c r="B215" s="685" t="s">
        <v>1780</v>
      </c>
      <c r="C215" s="685" t="s">
        <v>1781</v>
      </c>
      <c r="D215" s="685" t="s">
        <v>1391</v>
      </c>
      <c r="E215" s="686">
        <v>2390.0</v>
      </c>
      <c r="F215" s="692" t="s">
        <v>1790</v>
      </c>
      <c r="G215" s="693"/>
      <c r="H215" s="687"/>
      <c r="I215" s="685" t="s">
        <v>1791</v>
      </c>
      <c r="J215" s="689">
        <v>1.0</v>
      </c>
      <c r="K215" s="689">
        <v>0.0</v>
      </c>
      <c r="L215" s="689">
        <v>0.0</v>
      </c>
      <c r="M215" s="689">
        <v>0.0</v>
      </c>
      <c r="N215" s="686">
        <v>1564.0</v>
      </c>
      <c r="O215" s="686">
        <v>1564.0</v>
      </c>
      <c r="P215" s="686">
        <v>0.0</v>
      </c>
      <c r="Q215" s="686">
        <v>1564.0</v>
      </c>
      <c r="R215" s="686">
        <v>0.0</v>
      </c>
      <c r="S215" s="686">
        <v>0.0</v>
      </c>
      <c r="T215" s="686">
        <v>0.0</v>
      </c>
      <c r="U215" s="690">
        <v>0.0</v>
      </c>
    </row>
    <row r="216">
      <c r="A216" s="685" t="s">
        <v>1447</v>
      </c>
      <c r="B216" s="685" t="s">
        <v>1780</v>
      </c>
      <c r="C216" s="685" t="s">
        <v>1781</v>
      </c>
      <c r="D216" s="685" t="s">
        <v>1391</v>
      </c>
      <c r="E216" s="686">
        <v>2390.0</v>
      </c>
      <c r="F216" s="692" t="s">
        <v>2044</v>
      </c>
      <c r="G216" s="693"/>
      <c r="H216" s="687"/>
      <c r="I216" s="685" t="s">
        <v>2045</v>
      </c>
      <c r="J216" s="689">
        <v>1.0</v>
      </c>
      <c r="K216" s="689">
        <v>0.0</v>
      </c>
      <c r="L216" s="689">
        <v>0.0</v>
      </c>
      <c r="M216" s="689">
        <v>0.0</v>
      </c>
      <c r="N216" s="686">
        <v>1564.0</v>
      </c>
      <c r="O216" s="686">
        <v>1564.0</v>
      </c>
      <c r="P216" s="686">
        <v>0.0</v>
      </c>
      <c r="Q216" s="686">
        <v>1564.0</v>
      </c>
      <c r="R216" s="686">
        <v>0.0</v>
      </c>
      <c r="S216" s="686">
        <v>0.0</v>
      </c>
      <c r="T216" s="686">
        <v>0.0</v>
      </c>
      <c r="U216" s="690">
        <v>0.0</v>
      </c>
    </row>
    <row r="217">
      <c r="A217" s="685" t="s">
        <v>1447</v>
      </c>
      <c r="B217" s="685" t="s">
        <v>1780</v>
      </c>
      <c r="C217" s="685" t="s">
        <v>1781</v>
      </c>
      <c r="D217" s="685" t="s">
        <v>1391</v>
      </c>
      <c r="E217" s="686">
        <v>2390.0</v>
      </c>
      <c r="F217" s="692" t="s">
        <v>1792</v>
      </c>
      <c r="G217" s="687"/>
      <c r="H217" s="687"/>
      <c r="I217" s="685" t="s">
        <v>1793</v>
      </c>
      <c r="J217" s="689">
        <v>1.0</v>
      </c>
      <c r="K217" s="689">
        <v>0.0</v>
      </c>
      <c r="L217" s="689">
        <v>0.0</v>
      </c>
      <c r="M217" s="689">
        <v>0.0</v>
      </c>
      <c r="N217" s="686">
        <v>1564.0</v>
      </c>
      <c r="O217" s="686">
        <v>1564.0</v>
      </c>
      <c r="P217" s="686">
        <v>0.0</v>
      </c>
      <c r="Q217" s="686">
        <v>1564.0</v>
      </c>
      <c r="R217" s="686">
        <v>0.0</v>
      </c>
      <c r="S217" s="686">
        <v>0.0</v>
      </c>
      <c r="T217" s="686">
        <v>0.0</v>
      </c>
      <c r="U217" s="690">
        <v>0.0</v>
      </c>
    </row>
    <row r="218">
      <c r="A218" s="685" t="s">
        <v>1447</v>
      </c>
      <c r="B218" s="685" t="s">
        <v>1780</v>
      </c>
      <c r="C218" s="685" t="s">
        <v>1781</v>
      </c>
      <c r="D218" s="685" t="s">
        <v>1391</v>
      </c>
      <c r="E218" s="686">
        <v>2390.0</v>
      </c>
      <c r="F218" s="692" t="s">
        <v>1794</v>
      </c>
      <c r="G218" s="687"/>
      <c r="H218" s="687"/>
      <c r="I218" s="685" t="s">
        <v>1795</v>
      </c>
      <c r="J218" s="689">
        <v>1.0</v>
      </c>
      <c r="K218" s="689">
        <v>0.0</v>
      </c>
      <c r="L218" s="689">
        <v>0.0</v>
      </c>
      <c r="M218" s="689">
        <v>0.0</v>
      </c>
      <c r="N218" s="686">
        <v>1564.0</v>
      </c>
      <c r="O218" s="686">
        <v>1564.0</v>
      </c>
      <c r="P218" s="686">
        <v>0.0</v>
      </c>
      <c r="Q218" s="686">
        <v>1564.0</v>
      </c>
      <c r="R218" s="686">
        <v>0.0</v>
      </c>
      <c r="S218" s="686">
        <v>0.0</v>
      </c>
      <c r="T218" s="686">
        <v>0.0</v>
      </c>
      <c r="U218" s="690">
        <v>0.0</v>
      </c>
    </row>
    <row r="219">
      <c r="A219" s="685" t="s">
        <v>1447</v>
      </c>
      <c r="B219" s="685" t="s">
        <v>1780</v>
      </c>
      <c r="C219" s="685" t="s">
        <v>1781</v>
      </c>
      <c r="D219" s="685" t="s">
        <v>1391</v>
      </c>
      <c r="E219" s="686">
        <v>2390.0</v>
      </c>
      <c r="F219" s="692" t="s">
        <v>1796</v>
      </c>
      <c r="G219" s="693"/>
      <c r="H219" s="687"/>
      <c r="I219" s="685" t="s">
        <v>1797</v>
      </c>
      <c r="J219" s="689">
        <v>1.0</v>
      </c>
      <c r="K219" s="689">
        <v>0.0</v>
      </c>
      <c r="L219" s="689">
        <v>0.0</v>
      </c>
      <c r="M219" s="689">
        <v>0.0</v>
      </c>
      <c r="N219" s="686">
        <v>1564.0</v>
      </c>
      <c r="O219" s="686">
        <v>1564.0</v>
      </c>
      <c r="P219" s="686">
        <v>0.0</v>
      </c>
      <c r="Q219" s="686">
        <v>1564.0</v>
      </c>
      <c r="R219" s="686">
        <v>0.0</v>
      </c>
      <c r="S219" s="686">
        <v>0.0</v>
      </c>
      <c r="T219" s="686">
        <v>0.0</v>
      </c>
      <c r="U219" s="690">
        <v>0.0</v>
      </c>
    </row>
    <row r="220">
      <c r="A220" s="685" t="s">
        <v>1447</v>
      </c>
      <c r="B220" s="685" t="s">
        <v>1780</v>
      </c>
      <c r="C220" s="685" t="s">
        <v>1781</v>
      </c>
      <c r="D220" s="685" t="s">
        <v>1391</v>
      </c>
      <c r="E220" s="686">
        <v>2390.0</v>
      </c>
      <c r="F220" s="692" t="s">
        <v>1798</v>
      </c>
      <c r="G220" s="693"/>
      <c r="H220" s="687"/>
      <c r="I220" s="685" t="s">
        <v>1799</v>
      </c>
      <c r="J220" s="689">
        <v>1.0</v>
      </c>
      <c r="K220" s="689">
        <v>0.0</v>
      </c>
      <c r="L220" s="689">
        <v>0.0</v>
      </c>
      <c r="M220" s="689">
        <v>0.0</v>
      </c>
      <c r="N220" s="686">
        <v>1564.0</v>
      </c>
      <c r="O220" s="686">
        <v>1564.0</v>
      </c>
      <c r="P220" s="686">
        <v>0.0</v>
      </c>
      <c r="Q220" s="686">
        <v>1564.0</v>
      </c>
      <c r="R220" s="686">
        <v>0.0</v>
      </c>
      <c r="S220" s="686">
        <v>0.0</v>
      </c>
      <c r="T220" s="686">
        <v>0.0</v>
      </c>
      <c r="U220" s="690">
        <v>0.0</v>
      </c>
    </row>
    <row r="221">
      <c r="A221" s="685" t="s">
        <v>1447</v>
      </c>
      <c r="B221" s="685" t="s">
        <v>1780</v>
      </c>
      <c r="C221" s="685" t="s">
        <v>1781</v>
      </c>
      <c r="D221" s="685" t="s">
        <v>1391</v>
      </c>
      <c r="E221" s="686">
        <v>2390.0</v>
      </c>
      <c r="F221" s="692" t="s">
        <v>1800</v>
      </c>
      <c r="G221" s="693"/>
      <c r="H221" s="687"/>
      <c r="I221" s="685" t="s">
        <v>1801</v>
      </c>
      <c r="J221" s="689">
        <v>1.0</v>
      </c>
      <c r="K221" s="689">
        <v>0.0</v>
      </c>
      <c r="L221" s="689">
        <v>0.0</v>
      </c>
      <c r="M221" s="689">
        <v>0.0</v>
      </c>
      <c r="N221" s="686">
        <v>1564.0</v>
      </c>
      <c r="O221" s="686">
        <v>1564.0</v>
      </c>
      <c r="P221" s="686">
        <v>0.0</v>
      </c>
      <c r="Q221" s="686">
        <v>1564.0</v>
      </c>
      <c r="R221" s="686">
        <v>0.0</v>
      </c>
      <c r="S221" s="686">
        <v>0.0</v>
      </c>
      <c r="T221" s="686">
        <v>0.0</v>
      </c>
      <c r="U221" s="690">
        <v>0.0</v>
      </c>
    </row>
    <row r="222">
      <c r="A222" s="685" t="s">
        <v>1447</v>
      </c>
      <c r="B222" s="685" t="s">
        <v>1780</v>
      </c>
      <c r="C222" s="685" t="s">
        <v>1781</v>
      </c>
      <c r="D222" s="685" t="s">
        <v>1391</v>
      </c>
      <c r="E222" s="686">
        <v>2390.0</v>
      </c>
      <c r="F222" s="692" t="s">
        <v>1802</v>
      </c>
      <c r="G222" s="693"/>
      <c r="H222" s="687"/>
      <c r="I222" s="685" t="s">
        <v>1803</v>
      </c>
      <c r="J222" s="689">
        <v>1.0</v>
      </c>
      <c r="K222" s="689">
        <v>0.0</v>
      </c>
      <c r="L222" s="689">
        <v>0.0</v>
      </c>
      <c r="M222" s="689">
        <v>0.0</v>
      </c>
      <c r="N222" s="686">
        <v>1564.0</v>
      </c>
      <c r="O222" s="686">
        <v>1564.0</v>
      </c>
      <c r="P222" s="686">
        <v>0.0</v>
      </c>
      <c r="Q222" s="686">
        <v>1564.0</v>
      </c>
      <c r="R222" s="686">
        <v>0.0</v>
      </c>
      <c r="S222" s="686">
        <v>0.0</v>
      </c>
      <c r="T222" s="686">
        <v>0.0</v>
      </c>
      <c r="U222" s="690">
        <v>0.0</v>
      </c>
    </row>
    <row r="223">
      <c r="A223" s="685" t="s">
        <v>1447</v>
      </c>
      <c r="B223" s="685" t="s">
        <v>1780</v>
      </c>
      <c r="C223" s="685" t="s">
        <v>1781</v>
      </c>
      <c r="D223" s="685" t="s">
        <v>1391</v>
      </c>
      <c r="E223" s="686">
        <v>2390.0</v>
      </c>
      <c r="F223" s="692" t="s">
        <v>1804</v>
      </c>
      <c r="G223" s="693"/>
      <c r="H223" s="687"/>
      <c r="I223" s="685" t="s">
        <v>1805</v>
      </c>
      <c r="J223" s="689">
        <v>1.0</v>
      </c>
      <c r="K223" s="689">
        <v>0.0</v>
      </c>
      <c r="L223" s="689">
        <v>0.0</v>
      </c>
      <c r="M223" s="689">
        <v>0.0</v>
      </c>
      <c r="N223" s="686">
        <v>1564.0</v>
      </c>
      <c r="O223" s="686">
        <v>1564.0</v>
      </c>
      <c r="P223" s="686">
        <v>0.0</v>
      </c>
      <c r="Q223" s="686">
        <v>1564.0</v>
      </c>
      <c r="R223" s="686">
        <v>0.0</v>
      </c>
      <c r="S223" s="686">
        <v>0.0</v>
      </c>
      <c r="T223" s="686">
        <v>0.0</v>
      </c>
      <c r="U223" s="690">
        <v>0.0</v>
      </c>
    </row>
    <row r="224">
      <c r="A224" s="685" t="s">
        <v>1447</v>
      </c>
      <c r="B224" s="685" t="s">
        <v>1780</v>
      </c>
      <c r="C224" s="685" t="s">
        <v>1781</v>
      </c>
      <c r="D224" s="685" t="s">
        <v>1391</v>
      </c>
      <c r="E224" s="686">
        <v>2390.0</v>
      </c>
      <c r="F224" s="692" t="s">
        <v>1806</v>
      </c>
      <c r="G224" s="693"/>
      <c r="H224" s="687"/>
      <c r="I224" s="685" t="s">
        <v>1807</v>
      </c>
      <c r="J224" s="689">
        <v>1.0</v>
      </c>
      <c r="K224" s="689">
        <v>0.0</v>
      </c>
      <c r="L224" s="689">
        <v>0.0</v>
      </c>
      <c r="M224" s="689">
        <v>0.0</v>
      </c>
      <c r="N224" s="686">
        <v>1564.0</v>
      </c>
      <c r="O224" s="686">
        <v>1564.0</v>
      </c>
      <c r="P224" s="686">
        <v>0.0</v>
      </c>
      <c r="Q224" s="686">
        <v>1564.0</v>
      </c>
      <c r="R224" s="686">
        <v>0.0</v>
      </c>
      <c r="S224" s="686">
        <v>0.0</v>
      </c>
      <c r="T224" s="686">
        <v>0.0</v>
      </c>
      <c r="U224" s="690">
        <v>0.0</v>
      </c>
    </row>
    <row r="225">
      <c r="A225" s="685" t="s">
        <v>1447</v>
      </c>
      <c r="B225" s="685" t="s">
        <v>1780</v>
      </c>
      <c r="C225" s="685" t="s">
        <v>1781</v>
      </c>
      <c r="D225" s="685" t="s">
        <v>1391</v>
      </c>
      <c r="E225" s="686">
        <v>2390.0</v>
      </c>
      <c r="F225" s="692" t="s">
        <v>1808</v>
      </c>
      <c r="G225" s="693"/>
      <c r="H225" s="687"/>
      <c r="I225" s="685" t="s">
        <v>1809</v>
      </c>
      <c r="J225" s="689">
        <v>1.0</v>
      </c>
      <c r="K225" s="689">
        <v>0.0</v>
      </c>
      <c r="L225" s="689">
        <v>0.0</v>
      </c>
      <c r="M225" s="689">
        <v>0.0</v>
      </c>
      <c r="N225" s="686">
        <v>1564.0</v>
      </c>
      <c r="O225" s="686">
        <v>1564.0</v>
      </c>
      <c r="P225" s="686">
        <v>0.0</v>
      </c>
      <c r="Q225" s="686">
        <v>1564.0</v>
      </c>
      <c r="R225" s="686">
        <v>0.0</v>
      </c>
      <c r="S225" s="686">
        <v>0.0</v>
      </c>
      <c r="T225" s="686">
        <v>0.0</v>
      </c>
      <c r="U225" s="690">
        <v>0.0</v>
      </c>
    </row>
    <row r="226">
      <c r="A226" s="685" t="s">
        <v>1447</v>
      </c>
      <c r="B226" s="685" t="s">
        <v>1780</v>
      </c>
      <c r="C226" s="685" t="s">
        <v>1810</v>
      </c>
      <c r="D226" s="685" t="s">
        <v>1391</v>
      </c>
      <c r="E226" s="686">
        <v>1490.0</v>
      </c>
      <c r="F226" s="692" t="s">
        <v>1811</v>
      </c>
      <c r="G226" s="693"/>
      <c r="H226" s="687"/>
      <c r="I226" s="685" t="s">
        <v>1812</v>
      </c>
      <c r="J226" s="689">
        <v>1.0</v>
      </c>
      <c r="K226" s="689">
        <v>0.0</v>
      </c>
      <c r="L226" s="689">
        <v>0.0</v>
      </c>
      <c r="M226" s="689">
        <v>0.0</v>
      </c>
      <c r="N226" s="686">
        <v>975.0</v>
      </c>
      <c r="O226" s="686">
        <v>975.0</v>
      </c>
      <c r="P226" s="686">
        <v>0.0</v>
      </c>
      <c r="Q226" s="686">
        <v>0.0</v>
      </c>
      <c r="R226" s="686">
        <v>0.0</v>
      </c>
      <c r="S226" s="686">
        <v>0.0</v>
      </c>
      <c r="T226" s="686">
        <v>0.0</v>
      </c>
      <c r="U226" s="690">
        <v>975.0</v>
      </c>
    </row>
    <row r="227">
      <c r="A227" s="685" t="s">
        <v>1447</v>
      </c>
      <c r="B227" s="685" t="s">
        <v>1780</v>
      </c>
      <c r="C227" s="685" t="s">
        <v>1810</v>
      </c>
      <c r="D227" s="685" t="s">
        <v>1391</v>
      </c>
      <c r="E227" s="686">
        <v>1490.0</v>
      </c>
      <c r="F227" s="692" t="s">
        <v>2046</v>
      </c>
      <c r="G227" s="693"/>
      <c r="H227" s="687"/>
      <c r="I227" s="685" t="s">
        <v>2047</v>
      </c>
      <c r="J227" s="689">
        <v>1.0</v>
      </c>
      <c r="K227" s="689">
        <v>0.0</v>
      </c>
      <c r="L227" s="689">
        <v>0.0</v>
      </c>
      <c r="M227" s="689">
        <v>0.0</v>
      </c>
      <c r="N227" s="686">
        <v>975.0</v>
      </c>
      <c r="O227" s="686">
        <v>975.0</v>
      </c>
      <c r="P227" s="686">
        <v>0.0</v>
      </c>
      <c r="Q227" s="686">
        <v>0.0</v>
      </c>
      <c r="R227" s="686">
        <v>0.0</v>
      </c>
      <c r="S227" s="686">
        <v>0.0</v>
      </c>
      <c r="T227" s="686">
        <v>0.0</v>
      </c>
      <c r="U227" s="690">
        <v>975.0</v>
      </c>
    </row>
    <row r="228">
      <c r="A228" s="685" t="s">
        <v>1447</v>
      </c>
      <c r="B228" s="685" t="s">
        <v>1780</v>
      </c>
      <c r="C228" s="685" t="s">
        <v>1810</v>
      </c>
      <c r="D228" s="685" t="s">
        <v>1391</v>
      </c>
      <c r="E228" s="686">
        <v>1490.0</v>
      </c>
      <c r="F228" s="692" t="s">
        <v>1815</v>
      </c>
      <c r="G228" s="693"/>
      <c r="H228" s="687"/>
      <c r="I228" s="685" t="s">
        <v>1816</v>
      </c>
      <c r="J228" s="689">
        <v>1.0</v>
      </c>
      <c r="K228" s="689">
        <v>0.0</v>
      </c>
      <c r="L228" s="689">
        <v>0.0</v>
      </c>
      <c r="M228" s="689">
        <v>0.0</v>
      </c>
      <c r="N228" s="686">
        <v>975.0</v>
      </c>
      <c r="O228" s="686">
        <v>975.0</v>
      </c>
      <c r="P228" s="686">
        <v>0.0</v>
      </c>
      <c r="Q228" s="686">
        <v>0.0</v>
      </c>
      <c r="R228" s="686">
        <v>0.0</v>
      </c>
      <c r="S228" s="686">
        <v>0.0</v>
      </c>
      <c r="T228" s="686">
        <v>0.0</v>
      </c>
      <c r="U228" s="690">
        <v>975.0</v>
      </c>
    </row>
    <row r="229">
      <c r="A229" s="685" t="s">
        <v>1447</v>
      </c>
      <c r="B229" s="685" t="s">
        <v>1780</v>
      </c>
      <c r="C229" s="685" t="s">
        <v>1810</v>
      </c>
      <c r="D229" s="685" t="s">
        <v>1391</v>
      </c>
      <c r="E229" s="686">
        <v>1490.0</v>
      </c>
      <c r="F229" s="692" t="s">
        <v>1817</v>
      </c>
      <c r="G229" s="693"/>
      <c r="H229" s="687"/>
      <c r="I229" s="685" t="s">
        <v>1818</v>
      </c>
      <c r="J229" s="689">
        <v>1.0</v>
      </c>
      <c r="K229" s="689">
        <v>0.0</v>
      </c>
      <c r="L229" s="689">
        <v>0.0</v>
      </c>
      <c r="M229" s="689">
        <v>0.0</v>
      </c>
      <c r="N229" s="686">
        <v>975.0</v>
      </c>
      <c r="O229" s="686">
        <v>975.0</v>
      </c>
      <c r="P229" s="686">
        <v>0.0</v>
      </c>
      <c r="Q229" s="686">
        <v>0.0</v>
      </c>
      <c r="R229" s="686">
        <v>0.0</v>
      </c>
      <c r="S229" s="686">
        <v>0.0</v>
      </c>
      <c r="T229" s="686">
        <v>0.0</v>
      </c>
      <c r="U229" s="690">
        <v>975.0</v>
      </c>
    </row>
    <row r="230">
      <c r="A230" s="685" t="s">
        <v>1447</v>
      </c>
      <c r="B230" s="685" t="s">
        <v>1780</v>
      </c>
      <c r="C230" s="685" t="s">
        <v>1810</v>
      </c>
      <c r="D230" s="685" t="s">
        <v>1391</v>
      </c>
      <c r="E230" s="686">
        <v>1490.0</v>
      </c>
      <c r="F230" s="692" t="s">
        <v>2048</v>
      </c>
      <c r="G230" s="693"/>
      <c r="H230" s="687"/>
      <c r="I230" s="685" t="s">
        <v>2049</v>
      </c>
      <c r="J230" s="689">
        <v>1.0</v>
      </c>
      <c r="K230" s="689">
        <v>0.0</v>
      </c>
      <c r="L230" s="689">
        <v>0.0</v>
      </c>
      <c r="M230" s="689">
        <v>0.0</v>
      </c>
      <c r="N230" s="686">
        <v>975.0</v>
      </c>
      <c r="O230" s="686">
        <v>975.0</v>
      </c>
      <c r="P230" s="686">
        <v>0.0</v>
      </c>
      <c r="Q230" s="686">
        <v>0.0</v>
      </c>
      <c r="R230" s="686">
        <v>0.0</v>
      </c>
      <c r="S230" s="686">
        <v>0.0</v>
      </c>
      <c r="T230" s="686">
        <v>0.0</v>
      </c>
      <c r="U230" s="690">
        <v>975.0</v>
      </c>
    </row>
    <row r="231">
      <c r="A231" s="685" t="s">
        <v>1447</v>
      </c>
      <c r="B231" s="685" t="s">
        <v>1780</v>
      </c>
      <c r="C231" s="685" t="s">
        <v>1810</v>
      </c>
      <c r="D231" s="685" t="s">
        <v>1391</v>
      </c>
      <c r="E231" s="686">
        <v>1490.0</v>
      </c>
      <c r="F231" s="692" t="s">
        <v>1819</v>
      </c>
      <c r="G231" s="693"/>
      <c r="H231" s="687"/>
      <c r="I231" s="685" t="s">
        <v>1820</v>
      </c>
      <c r="J231" s="689">
        <v>1.0</v>
      </c>
      <c r="K231" s="689">
        <v>0.0</v>
      </c>
      <c r="L231" s="689">
        <v>0.0</v>
      </c>
      <c r="M231" s="689">
        <v>0.0</v>
      </c>
      <c r="N231" s="686">
        <v>975.0</v>
      </c>
      <c r="O231" s="686">
        <v>975.0</v>
      </c>
      <c r="P231" s="686">
        <v>0.0</v>
      </c>
      <c r="Q231" s="686">
        <v>0.0</v>
      </c>
      <c r="R231" s="686">
        <v>0.0</v>
      </c>
      <c r="S231" s="686">
        <v>0.0</v>
      </c>
      <c r="T231" s="686">
        <v>0.0</v>
      </c>
      <c r="U231" s="690">
        <v>975.0</v>
      </c>
    </row>
    <row r="232">
      <c r="A232" s="685" t="s">
        <v>1447</v>
      </c>
      <c r="B232" s="685" t="s">
        <v>1780</v>
      </c>
      <c r="C232" s="685" t="s">
        <v>1821</v>
      </c>
      <c r="D232" s="685" t="s">
        <v>1391</v>
      </c>
      <c r="E232" s="686">
        <v>1490.0</v>
      </c>
      <c r="F232" s="692" t="s">
        <v>1822</v>
      </c>
      <c r="G232" s="693"/>
      <c r="H232" s="687"/>
      <c r="I232" s="685" t="s">
        <v>1823</v>
      </c>
      <c r="J232" s="689">
        <v>1.0</v>
      </c>
      <c r="K232" s="689">
        <v>0.0</v>
      </c>
      <c r="L232" s="689">
        <v>0.0</v>
      </c>
      <c r="M232" s="689">
        <v>0.0</v>
      </c>
      <c r="N232" s="686">
        <v>975.0</v>
      </c>
      <c r="O232" s="686">
        <v>975.0</v>
      </c>
      <c r="P232" s="686">
        <v>0.0</v>
      </c>
      <c r="Q232" s="686">
        <v>975.0</v>
      </c>
      <c r="R232" s="686">
        <v>0.0</v>
      </c>
      <c r="S232" s="686">
        <v>0.0</v>
      </c>
      <c r="T232" s="686">
        <v>0.0</v>
      </c>
      <c r="U232" s="690">
        <v>0.0</v>
      </c>
    </row>
    <row r="233">
      <c r="A233" s="685" t="s">
        <v>1447</v>
      </c>
      <c r="B233" s="685" t="s">
        <v>1780</v>
      </c>
      <c r="C233" s="685" t="s">
        <v>1821</v>
      </c>
      <c r="D233" s="685" t="s">
        <v>1391</v>
      </c>
      <c r="E233" s="686">
        <v>1490.0</v>
      </c>
      <c r="F233" s="692" t="s">
        <v>2050</v>
      </c>
      <c r="G233" s="693"/>
      <c r="H233" s="687"/>
      <c r="I233" s="685" t="s">
        <v>2051</v>
      </c>
      <c r="J233" s="689">
        <v>1.0</v>
      </c>
      <c r="K233" s="689">
        <v>0.0</v>
      </c>
      <c r="L233" s="689">
        <v>0.0</v>
      </c>
      <c r="M233" s="689">
        <v>0.0</v>
      </c>
      <c r="N233" s="686">
        <v>975.0</v>
      </c>
      <c r="O233" s="686">
        <v>975.0</v>
      </c>
      <c r="P233" s="686">
        <v>0.0</v>
      </c>
      <c r="Q233" s="686">
        <v>975.0</v>
      </c>
      <c r="R233" s="686">
        <v>0.0</v>
      </c>
      <c r="S233" s="686">
        <v>0.0</v>
      </c>
      <c r="T233" s="686">
        <v>0.0</v>
      </c>
      <c r="U233" s="690">
        <v>0.0</v>
      </c>
    </row>
    <row r="234">
      <c r="A234" s="685" t="s">
        <v>1447</v>
      </c>
      <c r="B234" s="685" t="s">
        <v>1780</v>
      </c>
      <c r="C234" s="685" t="s">
        <v>1821</v>
      </c>
      <c r="D234" s="685" t="s">
        <v>1391</v>
      </c>
      <c r="E234" s="686">
        <v>1490.0</v>
      </c>
      <c r="F234" s="692" t="s">
        <v>1824</v>
      </c>
      <c r="G234" s="693"/>
      <c r="H234" s="687"/>
      <c r="I234" s="685" t="s">
        <v>1825</v>
      </c>
      <c r="J234" s="689">
        <v>1.0</v>
      </c>
      <c r="K234" s="689">
        <v>0.0</v>
      </c>
      <c r="L234" s="689">
        <v>0.0</v>
      </c>
      <c r="M234" s="689">
        <v>0.0</v>
      </c>
      <c r="N234" s="686">
        <v>975.0</v>
      </c>
      <c r="O234" s="686">
        <v>975.0</v>
      </c>
      <c r="P234" s="686">
        <v>0.0</v>
      </c>
      <c r="Q234" s="686">
        <v>975.0</v>
      </c>
      <c r="R234" s="686">
        <v>0.0</v>
      </c>
      <c r="S234" s="686">
        <v>0.0</v>
      </c>
      <c r="T234" s="686">
        <v>0.0</v>
      </c>
      <c r="U234" s="690">
        <v>0.0</v>
      </c>
    </row>
    <row r="235">
      <c r="A235" s="685" t="s">
        <v>1447</v>
      </c>
      <c r="B235" s="685" t="s">
        <v>1780</v>
      </c>
      <c r="C235" s="685" t="s">
        <v>1821</v>
      </c>
      <c r="D235" s="685" t="s">
        <v>1391</v>
      </c>
      <c r="E235" s="686">
        <v>1490.0</v>
      </c>
      <c r="F235" s="692" t="s">
        <v>1826</v>
      </c>
      <c r="G235" s="693"/>
      <c r="H235" s="687"/>
      <c r="I235" s="685" t="s">
        <v>1827</v>
      </c>
      <c r="J235" s="689">
        <v>1.0</v>
      </c>
      <c r="K235" s="689">
        <v>0.0</v>
      </c>
      <c r="L235" s="689">
        <v>0.0</v>
      </c>
      <c r="M235" s="689">
        <v>0.0</v>
      </c>
      <c r="N235" s="686">
        <v>975.0</v>
      </c>
      <c r="O235" s="686">
        <v>975.0</v>
      </c>
      <c r="P235" s="686">
        <v>0.0</v>
      </c>
      <c r="Q235" s="686">
        <v>975.0</v>
      </c>
      <c r="R235" s="686">
        <v>0.0</v>
      </c>
      <c r="S235" s="686">
        <v>0.0</v>
      </c>
      <c r="T235" s="686">
        <v>0.0</v>
      </c>
      <c r="U235" s="690">
        <v>0.0</v>
      </c>
    </row>
    <row r="236">
      <c r="A236" s="685" t="s">
        <v>1447</v>
      </c>
      <c r="B236" s="685" t="s">
        <v>1780</v>
      </c>
      <c r="C236" s="685" t="s">
        <v>1821</v>
      </c>
      <c r="D236" s="685" t="s">
        <v>1391</v>
      </c>
      <c r="E236" s="686">
        <v>1490.0</v>
      </c>
      <c r="F236" s="692" t="s">
        <v>1828</v>
      </c>
      <c r="G236" s="693"/>
      <c r="H236" s="687"/>
      <c r="I236" s="685" t="s">
        <v>1829</v>
      </c>
      <c r="J236" s="689">
        <v>1.0</v>
      </c>
      <c r="K236" s="689">
        <v>0.0</v>
      </c>
      <c r="L236" s="689">
        <v>0.0</v>
      </c>
      <c r="M236" s="689">
        <v>0.0</v>
      </c>
      <c r="N236" s="686">
        <v>975.0</v>
      </c>
      <c r="O236" s="686">
        <v>975.0</v>
      </c>
      <c r="P236" s="686">
        <v>0.0</v>
      </c>
      <c r="Q236" s="686">
        <v>975.0</v>
      </c>
      <c r="R236" s="686">
        <v>0.0</v>
      </c>
      <c r="S236" s="686">
        <v>0.0</v>
      </c>
      <c r="T236" s="686">
        <v>0.0</v>
      </c>
      <c r="U236" s="690">
        <v>0.0</v>
      </c>
    </row>
    <row r="237">
      <c r="A237" s="685" t="s">
        <v>1830</v>
      </c>
      <c r="B237" s="685" t="s">
        <v>1198</v>
      </c>
      <c r="C237" s="685" t="s">
        <v>1198</v>
      </c>
      <c r="D237" s="685" t="s">
        <v>1831</v>
      </c>
      <c r="E237" s="686">
        <v>299.0</v>
      </c>
      <c r="F237" s="692" t="s">
        <v>81</v>
      </c>
      <c r="G237" s="693"/>
      <c r="H237" s="687"/>
      <c r="I237" s="685" t="s">
        <v>78</v>
      </c>
      <c r="J237" s="689">
        <v>14.0</v>
      </c>
      <c r="K237" s="689">
        <v>0.0</v>
      </c>
      <c r="L237" s="689">
        <v>0.0</v>
      </c>
      <c r="M237" s="689">
        <v>0.0</v>
      </c>
      <c r="N237" s="686">
        <v>102.8</v>
      </c>
      <c r="O237" s="686">
        <v>1439.2</v>
      </c>
      <c r="P237" s="686">
        <v>0.0</v>
      </c>
      <c r="Q237" s="686">
        <v>1439.2</v>
      </c>
      <c r="R237" s="686">
        <v>0.0</v>
      </c>
      <c r="S237" s="686">
        <v>0.0</v>
      </c>
      <c r="T237" s="686">
        <v>0.0</v>
      </c>
      <c r="U237" s="690">
        <v>0.0</v>
      </c>
    </row>
    <row r="238">
      <c r="A238" s="685" t="s">
        <v>1830</v>
      </c>
      <c r="B238" s="685" t="s">
        <v>1198</v>
      </c>
      <c r="C238" s="685" t="s">
        <v>1198</v>
      </c>
      <c r="D238" s="685" t="s">
        <v>1831</v>
      </c>
      <c r="E238" s="686">
        <v>599.0</v>
      </c>
      <c r="F238" s="692" t="s">
        <v>88</v>
      </c>
      <c r="G238" s="693"/>
      <c r="H238" s="687"/>
      <c r="I238" s="685" t="s">
        <v>87</v>
      </c>
      <c r="J238" s="689">
        <v>4.0</v>
      </c>
      <c r="K238" s="689">
        <v>0.0</v>
      </c>
      <c r="L238" s="689">
        <v>0.0</v>
      </c>
      <c r="M238" s="689">
        <v>0.0</v>
      </c>
      <c r="N238" s="686">
        <v>112.14</v>
      </c>
      <c r="O238" s="686">
        <v>448.56</v>
      </c>
      <c r="P238" s="686">
        <v>0.0</v>
      </c>
      <c r="Q238" s="686">
        <v>448.56</v>
      </c>
      <c r="R238" s="686">
        <v>0.0</v>
      </c>
      <c r="S238" s="686">
        <v>0.0</v>
      </c>
      <c r="T238" s="686">
        <v>0.0</v>
      </c>
      <c r="U238" s="690">
        <v>0.0</v>
      </c>
    </row>
    <row r="239">
      <c r="A239" s="685" t="s">
        <v>1830</v>
      </c>
      <c r="B239" s="685" t="s">
        <v>1198</v>
      </c>
      <c r="C239" s="685" t="s">
        <v>1198</v>
      </c>
      <c r="D239" s="685" t="s">
        <v>1831</v>
      </c>
      <c r="E239" s="686">
        <v>399.0</v>
      </c>
      <c r="F239" s="692" t="s">
        <v>95</v>
      </c>
      <c r="G239" s="693"/>
      <c r="H239" s="687"/>
      <c r="I239" s="685" t="s">
        <v>94</v>
      </c>
      <c r="J239" s="689">
        <v>25.0</v>
      </c>
      <c r="K239" s="689">
        <v>0.0</v>
      </c>
      <c r="L239" s="689">
        <v>0.0</v>
      </c>
      <c r="M239" s="689">
        <v>0.0</v>
      </c>
      <c r="N239" s="686">
        <v>51.4</v>
      </c>
      <c r="O239" s="686">
        <v>1285.0</v>
      </c>
      <c r="P239" s="686">
        <v>0.0</v>
      </c>
      <c r="Q239" s="686">
        <v>1285.0</v>
      </c>
      <c r="R239" s="686">
        <v>0.0</v>
      </c>
      <c r="S239" s="686">
        <v>0.0</v>
      </c>
      <c r="T239" s="686">
        <v>0.0</v>
      </c>
      <c r="U239" s="690">
        <v>0.0</v>
      </c>
    </row>
    <row r="240">
      <c r="A240" s="685" t="s">
        <v>1830</v>
      </c>
      <c r="B240" s="685" t="s">
        <v>1198</v>
      </c>
      <c r="C240" s="685" t="s">
        <v>1198</v>
      </c>
      <c r="D240" s="685" t="s">
        <v>1831</v>
      </c>
      <c r="E240" s="686">
        <v>199.0</v>
      </c>
      <c r="F240" s="692" t="s">
        <v>99</v>
      </c>
      <c r="G240" s="693"/>
      <c r="H240" s="687"/>
      <c r="I240" s="685" t="s">
        <v>98</v>
      </c>
      <c r="J240" s="689">
        <v>21.0</v>
      </c>
      <c r="K240" s="689">
        <v>0.0</v>
      </c>
      <c r="L240" s="689">
        <v>0.0</v>
      </c>
      <c r="M240" s="689">
        <v>0.0</v>
      </c>
      <c r="N240" s="686">
        <v>20.0</v>
      </c>
      <c r="O240" s="686">
        <v>420.0</v>
      </c>
      <c r="P240" s="686">
        <v>0.0</v>
      </c>
      <c r="Q240" s="686">
        <v>0.0</v>
      </c>
      <c r="R240" s="686">
        <v>0.0</v>
      </c>
      <c r="S240" s="686">
        <v>0.0</v>
      </c>
      <c r="T240" s="686">
        <v>0.0</v>
      </c>
      <c r="U240" s="690">
        <v>420.0</v>
      </c>
    </row>
    <row r="241">
      <c r="A241" s="685" t="s">
        <v>1830</v>
      </c>
      <c r="B241" s="685" t="s">
        <v>1198</v>
      </c>
      <c r="C241" s="685" t="s">
        <v>1198</v>
      </c>
      <c r="D241" s="685" t="s">
        <v>1831</v>
      </c>
      <c r="E241" s="686">
        <v>599.0</v>
      </c>
      <c r="F241" s="692" t="s">
        <v>105</v>
      </c>
      <c r="G241" s="693"/>
      <c r="H241" s="687"/>
      <c r="I241" s="685" t="s">
        <v>104</v>
      </c>
      <c r="J241" s="689">
        <v>10.0</v>
      </c>
      <c r="K241" s="689">
        <v>0.0</v>
      </c>
      <c r="L241" s="689">
        <v>0.0</v>
      </c>
      <c r="M241" s="689">
        <v>0.0</v>
      </c>
      <c r="N241" s="686">
        <v>130.84</v>
      </c>
      <c r="O241" s="686">
        <v>1308.4</v>
      </c>
      <c r="P241" s="686">
        <v>0.0</v>
      </c>
      <c r="Q241" s="686">
        <v>0.0</v>
      </c>
      <c r="R241" s="686">
        <v>0.0</v>
      </c>
      <c r="S241" s="686">
        <v>0.0</v>
      </c>
      <c r="T241" s="686">
        <v>0.0</v>
      </c>
      <c r="U241" s="690">
        <v>1308.4</v>
      </c>
    </row>
    <row r="242">
      <c r="A242" s="685" t="s">
        <v>1830</v>
      </c>
      <c r="B242" s="685" t="s">
        <v>1198</v>
      </c>
      <c r="C242" s="685" t="s">
        <v>1198</v>
      </c>
      <c r="D242" s="685" t="s">
        <v>1831</v>
      </c>
      <c r="E242" s="686">
        <v>699.0</v>
      </c>
      <c r="F242" s="692" t="s">
        <v>2052</v>
      </c>
      <c r="G242" s="693"/>
      <c r="H242" s="687"/>
      <c r="I242" s="685" t="s">
        <v>2053</v>
      </c>
      <c r="J242" s="689">
        <v>1.0</v>
      </c>
      <c r="K242" s="689">
        <v>0.0</v>
      </c>
      <c r="L242" s="689">
        <v>0.0</v>
      </c>
      <c r="M242" s="689">
        <v>0.0</v>
      </c>
      <c r="N242" s="686">
        <v>430.0</v>
      </c>
      <c r="O242" s="686">
        <v>430.0</v>
      </c>
      <c r="P242" s="686">
        <v>0.0</v>
      </c>
      <c r="Q242" s="686">
        <v>0.0</v>
      </c>
      <c r="R242" s="686">
        <v>430.0</v>
      </c>
      <c r="S242" s="686">
        <v>0.0</v>
      </c>
      <c r="T242" s="686">
        <v>0.0</v>
      </c>
      <c r="U242" s="690">
        <v>0.0</v>
      </c>
    </row>
    <row r="243">
      <c r="A243" s="685" t="s">
        <v>1830</v>
      </c>
      <c r="B243" s="685" t="s">
        <v>1198</v>
      </c>
      <c r="C243" s="685" t="s">
        <v>1198</v>
      </c>
      <c r="D243" s="685" t="s">
        <v>1831</v>
      </c>
      <c r="E243" s="686">
        <v>999.0</v>
      </c>
      <c r="F243" s="692" t="s">
        <v>109</v>
      </c>
      <c r="G243" s="693"/>
      <c r="H243" s="687"/>
      <c r="I243" s="685" t="s">
        <v>108</v>
      </c>
      <c r="J243" s="689">
        <v>29.0</v>
      </c>
      <c r="K243" s="689">
        <v>0.0</v>
      </c>
      <c r="L243" s="689">
        <v>0.0</v>
      </c>
      <c r="M243" s="689">
        <v>0.0</v>
      </c>
      <c r="N243" s="686">
        <v>584.11</v>
      </c>
      <c r="O243" s="686">
        <v>16939.19</v>
      </c>
      <c r="P243" s="686">
        <v>16939.19</v>
      </c>
      <c r="Q243" s="686">
        <v>0.0</v>
      </c>
      <c r="R243" s="686">
        <v>0.0</v>
      </c>
      <c r="S243" s="686">
        <v>0.0</v>
      </c>
      <c r="T243" s="686">
        <v>0.0</v>
      </c>
      <c r="U243" s="690">
        <v>0.0</v>
      </c>
    </row>
    <row r="244">
      <c r="A244" s="685" t="s">
        <v>1830</v>
      </c>
      <c r="B244" s="685" t="s">
        <v>1198</v>
      </c>
      <c r="C244" s="685" t="s">
        <v>1198</v>
      </c>
      <c r="D244" s="685" t="s">
        <v>1831</v>
      </c>
      <c r="E244" s="686">
        <v>359.0</v>
      </c>
      <c r="F244" s="692" t="s">
        <v>112</v>
      </c>
      <c r="G244" s="693"/>
      <c r="H244" s="687"/>
      <c r="I244" s="685" t="s">
        <v>111</v>
      </c>
      <c r="J244" s="689">
        <v>50.0</v>
      </c>
      <c r="K244" s="689">
        <v>0.0</v>
      </c>
      <c r="L244" s="689">
        <v>0.0</v>
      </c>
      <c r="M244" s="689">
        <v>0.0</v>
      </c>
      <c r="N244" s="686">
        <v>158.88</v>
      </c>
      <c r="O244" s="686">
        <v>7944.0</v>
      </c>
      <c r="P244" s="686">
        <v>7944.0</v>
      </c>
      <c r="Q244" s="686">
        <v>0.0</v>
      </c>
      <c r="R244" s="686">
        <v>0.0</v>
      </c>
      <c r="S244" s="686">
        <v>0.0</v>
      </c>
      <c r="T244" s="686">
        <v>0.0</v>
      </c>
      <c r="U244" s="690">
        <v>0.0</v>
      </c>
    </row>
    <row r="245">
      <c r="A245" s="685" t="s">
        <v>1830</v>
      </c>
      <c r="B245" s="685" t="s">
        <v>1198</v>
      </c>
      <c r="C245" s="685" t="s">
        <v>1198</v>
      </c>
      <c r="D245" s="685" t="s">
        <v>1831</v>
      </c>
      <c r="E245" s="686">
        <v>990.0</v>
      </c>
      <c r="F245" s="692" t="s">
        <v>1321</v>
      </c>
      <c r="G245" s="693"/>
      <c r="H245" s="687"/>
      <c r="I245" s="685" t="s">
        <v>1322</v>
      </c>
      <c r="J245" s="689">
        <v>3.0</v>
      </c>
      <c r="K245" s="689">
        <v>0.0</v>
      </c>
      <c r="L245" s="689">
        <v>0.0</v>
      </c>
      <c r="M245" s="689">
        <v>0.0</v>
      </c>
      <c r="N245" s="686">
        <v>373.83</v>
      </c>
      <c r="O245" s="686">
        <v>1121.49</v>
      </c>
      <c r="P245" s="686">
        <v>0.0</v>
      </c>
      <c r="Q245" s="686">
        <v>0.0</v>
      </c>
      <c r="R245" s="686">
        <v>0.0</v>
      </c>
      <c r="S245" s="686">
        <v>0.0</v>
      </c>
      <c r="T245" s="686">
        <v>0.0</v>
      </c>
      <c r="U245" s="690">
        <v>1121.49</v>
      </c>
    </row>
    <row r="246">
      <c r="A246" s="685" t="s">
        <v>1830</v>
      </c>
      <c r="B246" s="685" t="s">
        <v>1198</v>
      </c>
      <c r="C246" s="685" t="s">
        <v>1198</v>
      </c>
      <c r="D246" s="685" t="s">
        <v>1831</v>
      </c>
      <c r="E246" s="686">
        <v>250.0</v>
      </c>
      <c r="F246" s="692" t="s">
        <v>2054</v>
      </c>
      <c r="G246" s="693"/>
      <c r="H246" s="687"/>
      <c r="I246" s="685" t="s">
        <v>2055</v>
      </c>
      <c r="J246" s="689">
        <v>26.0</v>
      </c>
      <c r="K246" s="689">
        <v>0.0</v>
      </c>
      <c r="L246" s="689">
        <v>0.0</v>
      </c>
      <c r="M246" s="689">
        <v>0.0</v>
      </c>
      <c r="N246" s="686">
        <v>93.0</v>
      </c>
      <c r="O246" s="686">
        <v>2418.0</v>
      </c>
      <c r="P246" s="686">
        <v>0.0</v>
      </c>
      <c r="Q246" s="686">
        <v>0.0</v>
      </c>
      <c r="R246" s="686">
        <v>2418.0</v>
      </c>
      <c r="S246" s="686">
        <v>0.0</v>
      </c>
      <c r="T246" s="686">
        <v>0.0</v>
      </c>
      <c r="U246" s="690">
        <v>0.0</v>
      </c>
    </row>
    <row r="247">
      <c r="A247" s="685" t="s">
        <v>1830</v>
      </c>
      <c r="B247" s="685" t="s">
        <v>1198</v>
      </c>
      <c r="C247" s="685" t="s">
        <v>1198</v>
      </c>
      <c r="D247" s="685" t="s">
        <v>1831</v>
      </c>
      <c r="E247" s="686">
        <v>399.0</v>
      </c>
      <c r="F247" s="692" t="s">
        <v>114</v>
      </c>
      <c r="G247" s="693"/>
      <c r="H247" s="687"/>
      <c r="I247" s="685" t="s">
        <v>113</v>
      </c>
      <c r="J247" s="689">
        <v>22.0</v>
      </c>
      <c r="K247" s="689">
        <v>0.0</v>
      </c>
      <c r="L247" s="689">
        <v>0.0</v>
      </c>
      <c r="M247" s="689">
        <v>0.0</v>
      </c>
      <c r="N247" s="686">
        <v>88.79</v>
      </c>
      <c r="O247" s="686">
        <v>1953.38</v>
      </c>
      <c r="P247" s="686">
        <v>0.0</v>
      </c>
      <c r="Q247" s="686">
        <v>0.0</v>
      </c>
      <c r="R247" s="686">
        <v>0.0</v>
      </c>
      <c r="S247" s="686">
        <v>0.0</v>
      </c>
      <c r="T247" s="686">
        <v>0.0</v>
      </c>
      <c r="U247" s="690">
        <v>1953.38</v>
      </c>
    </row>
    <row r="248">
      <c r="A248" s="685" t="s">
        <v>1830</v>
      </c>
      <c r="B248" s="685" t="s">
        <v>1198</v>
      </c>
      <c r="C248" s="685" t="s">
        <v>1198</v>
      </c>
      <c r="D248" s="685" t="s">
        <v>1831</v>
      </c>
      <c r="E248" s="686">
        <v>599.0</v>
      </c>
      <c r="F248" s="692" t="s">
        <v>119</v>
      </c>
      <c r="G248" s="693"/>
      <c r="H248" s="687"/>
      <c r="I248" s="685" t="s">
        <v>117</v>
      </c>
      <c r="J248" s="689">
        <v>51.0</v>
      </c>
      <c r="K248" s="689">
        <v>0.0</v>
      </c>
      <c r="L248" s="689">
        <v>0.0</v>
      </c>
      <c r="M248" s="689">
        <v>0.0</v>
      </c>
      <c r="N248" s="686">
        <v>102.8</v>
      </c>
      <c r="O248" s="686">
        <v>5242.8</v>
      </c>
      <c r="P248" s="686">
        <v>0.0</v>
      </c>
      <c r="Q248" s="686">
        <v>0.0</v>
      </c>
      <c r="R248" s="686">
        <v>0.0</v>
      </c>
      <c r="S248" s="686">
        <v>0.0</v>
      </c>
      <c r="T248" s="686">
        <v>0.0</v>
      </c>
      <c r="U248" s="690">
        <v>5242.8</v>
      </c>
    </row>
    <row r="249">
      <c r="A249" s="685" t="s">
        <v>1830</v>
      </c>
      <c r="B249" s="685" t="s">
        <v>1198</v>
      </c>
      <c r="C249" s="685" t="s">
        <v>1198</v>
      </c>
      <c r="D249" s="685" t="s">
        <v>1831</v>
      </c>
      <c r="E249" s="686">
        <v>199.0</v>
      </c>
      <c r="F249" s="692" t="s">
        <v>126</v>
      </c>
      <c r="G249" s="693"/>
      <c r="H249" s="687"/>
      <c r="I249" s="685" t="s">
        <v>125</v>
      </c>
      <c r="J249" s="689">
        <v>36.0</v>
      </c>
      <c r="K249" s="689">
        <v>0.0</v>
      </c>
      <c r="L249" s="689">
        <v>0.0</v>
      </c>
      <c r="M249" s="689">
        <v>0.0</v>
      </c>
      <c r="N249" s="686">
        <v>26.58</v>
      </c>
      <c r="O249" s="686">
        <v>957.0</v>
      </c>
      <c r="P249" s="686">
        <v>0.0</v>
      </c>
      <c r="Q249" s="686">
        <v>0.0</v>
      </c>
      <c r="R249" s="686">
        <v>0.0</v>
      </c>
      <c r="S249" s="686">
        <v>0.0</v>
      </c>
      <c r="T249" s="686">
        <v>0.0</v>
      </c>
      <c r="U249" s="690">
        <v>957.0</v>
      </c>
    </row>
    <row r="250">
      <c r="A250" s="685" t="s">
        <v>1830</v>
      </c>
      <c r="B250" s="685" t="s">
        <v>1198</v>
      </c>
      <c r="C250" s="685" t="s">
        <v>1198</v>
      </c>
      <c r="D250" s="685" t="s">
        <v>1831</v>
      </c>
      <c r="E250" s="686">
        <v>199.0</v>
      </c>
      <c r="F250" s="692" t="s">
        <v>131</v>
      </c>
      <c r="G250" s="693"/>
      <c r="H250" s="687"/>
      <c r="I250" s="685" t="s">
        <v>130</v>
      </c>
      <c r="J250" s="689">
        <v>10.0</v>
      </c>
      <c r="K250" s="689">
        <v>0.0</v>
      </c>
      <c r="L250" s="689">
        <v>0.0</v>
      </c>
      <c r="M250" s="689">
        <v>0.0</v>
      </c>
      <c r="N250" s="686">
        <v>55.0</v>
      </c>
      <c r="O250" s="686">
        <v>550.0</v>
      </c>
      <c r="P250" s="686">
        <v>0.0</v>
      </c>
      <c r="Q250" s="686">
        <v>0.0</v>
      </c>
      <c r="R250" s="686">
        <v>0.0</v>
      </c>
      <c r="S250" s="686">
        <v>0.0</v>
      </c>
      <c r="T250" s="686">
        <v>0.0</v>
      </c>
      <c r="U250" s="690">
        <v>550.0</v>
      </c>
    </row>
    <row r="251">
      <c r="A251" s="685" t="s">
        <v>1830</v>
      </c>
      <c r="B251" s="685" t="s">
        <v>1198</v>
      </c>
      <c r="C251" s="685" t="s">
        <v>1198</v>
      </c>
      <c r="D251" s="685" t="s">
        <v>1831</v>
      </c>
      <c r="E251" s="686">
        <v>199.0</v>
      </c>
      <c r="F251" s="692" t="s">
        <v>136</v>
      </c>
      <c r="G251" s="693"/>
      <c r="H251" s="687"/>
      <c r="I251" s="685" t="s">
        <v>135</v>
      </c>
      <c r="J251" s="689">
        <v>20.0</v>
      </c>
      <c r="K251" s="689">
        <v>0.0</v>
      </c>
      <c r="L251" s="689">
        <v>0.0</v>
      </c>
      <c r="M251" s="689">
        <v>0.0</v>
      </c>
      <c r="N251" s="686">
        <v>55.0</v>
      </c>
      <c r="O251" s="686">
        <v>1100.0</v>
      </c>
      <c r="P251" s="686">
        <v>0.0</v>
      </c>
      <c r="Q251" s="686">
        <v>0.0</v>
      </c>
      <c r="R251" s="686">
        <v>1100.0</v>
      </c>
      <c r="S251" s="686">
        <v>0.0</v>
      </c>
      <c r="T251" s="686">
        <v>0.0</v>
      </c>
      <c r="U251" s="690">
        <v>0.0</v>
      </c>
    </row>
    <row r="252">
      <c r="A252" s="685" t="s">
        <v>1830</v>
      </c>
      <c r="B252" s="685" t="s">
        <v>1198</v>
      </c>
      <c r="C252" s="685" t="s">
        <v>1198</v>
      </c>
      <c r="D252" s="685" t="s">
        <v>1831</v>
      </c>
      <c r="E252" s="686">
        <v>199.0</v>
      </c>
      <c r="F252" s="692" t="s">
        <v>144</v>
      </c>
      <c r="G252" s="693"/>
      <c r="H252" s="687"/>
      <c r="I252" s="685" t="s">
        <v>143</v>
      </c>
      <c r="J252" s="689">
        <v>19.0</v>
      </c>
      <c r="K252" s="689">
        <v>0.0</v>
      </c>
      <c r="L252" s="689">
        <v>0.0</v>
      </c>
      <c r="M252" s="689">
        <v>0.0</v>
      </c>
      <c r="N252" s="686">
        <v>84.11</v>
      </c>
      <c r="O252" s="686">
        <v>1598.09</v>
      </c>
      <c r="P252" s="686">
        <v>0.0</v>
      </c>
      <c r="Q252" s="686">
        <v>0.0</v>
      </c>
      <c r="R252" s="686">
        <v>0.0</v>
      </c>
      <c r="S252" s="686">
        <v>0.0</v>
      </c>
      <c r="T252" s="686">
        <v>0.0</v>
      </c>
      <c r="U252" s="690">
        <v>1598.09</v>
      </c>
    </row>
    <row r="253">
      <c r="A253" s="685" t="s">
        <v>1830</v>
      </c>
      <c r="B253" s="685" t="s">
        <v>1198</v>
      </c>
      <c r="C253" s="685" t="s">
        <v>1198</v>
      </c>
      <c r="D253" s="685" t="s">
        <v>1831</v>
      </c>
      <c r="E253" s="686">
        <v>299.0</v>
      </c>
      <c r="F253" s="692" t="s">
        <v>149</v>
      </c>
      <c r="G253" s="693"/>
      <c r="H253" s="687"/>
      <c r="I253" s="685" t="s">
        <v>148</v>
      </c>
      <c r="J253" s="689">
        <v>7.0</v>
      </c>
      <c r="K253" s="689">
        <v>0.0</v>
      </c>
      <c r="L253" s="689">
        <v>0.0</v>
      </c>
      <c r="M253" s="689">
        <v>0.0</v>
      </c>
      <c r="N253" s="686">
        <v>130.84</v>
      </c>
      <c r="O253" s="686">
        <v>915.88</v>
      </c>
      <c r="P253" s="686">
        <v>0.0</v>
      </c>
      <c r="Q253" s="686">
        <v>0.0</v>
      </c>
      <c r="R253" s="686">
        <v>0.0</v>
      </c>
      <c r="S253" s="686">
        <v>0.0</v>
      </c>
      <c r="T253" s="686">
        <v>915.88</v>
      </c>
      <c r="U253" s="690">
        <v>0.0</v>
      </c>
    </row>
    <row r="254">
      <c r="A254" s="685" t="s">
        <v>1830</v>
      </c>
      <c r="B254" s="685" t="s">
        <v>1198</v>
      </c>
      <c r="C254" s="685" t="s">
        <v>1832</v>
      </c>
      <c r="D254" s="685" t="s">
        <v>1833</v>
      </c>
      <c r="E254" s="686">
        <v>1790.0</v>
      </c>
      <c r="F254" s="692" t="s">
        <v>153</v>
      </c>
      <c r="G254" s="691" t="s">
        <v>1834</v>
      </c>
      <c r="H254" s="687"/>
      <c r="I254" s="685" t="s">
        <v>152</v>
      </c>
      <c r="J254" s="689">
        <v>8.0</v>
      </c>
      <c r="K254" s="689">
        <v>0.0</v>
      </c>
      <c r="L254" s="689">
        <v>0.0</v>
      </c>
      <c r="M254" s="689">
        <v>0.0</v>
      </c>
      <c r="N254" s="686">
        <v>1044.39</v>
      </c>
      <c r="O254" s="686">
        <v>8355.12</v>
      </c>
      <c r="P254" s="686">
        <v>0.0</v>
      </c>
      <c r="Q254" s="686">
        <v>0.0</v>
      </c>
      <c r="R254" s="686">
        <v>0.0</v>
      </c>
      <c r="S254" s="686">
        <v>0.0</v>
      </c>
      <c r="T254" s="686">
        <v>0.0</v>
      </c>
      <c r="U254" s="690">
        <v>8355.12</v>
      </c>
    </row>
    <row r="255">
      <c r="A255" s="685" t="s">
        <v>1830</v>
      </c>
      <c r="B255" s="685" t="s">
        <v>1198</v>
      </c>
      <c r="C255" s="685" t="s">
        <v>1832</v>
      </c>
      <c r="D255" s="685" t="s">
        <v>1391</v>
      </c>
      <c r="E255" s="686">
        <v>2990.0</v>
      </c>
      <c r="F255" s="692" t="s">
        <v>161</v>
      </c>
      <c r="G255" s="693"/>
      <c r="H255" s="687"/>
      <c r="I255" s="685" t="s">
        <v>160</v>
      </c>
      <c r="J255" s="689">
        <v>15.0</v>
      </c>
      <c r="K255" s="689">
        <v>0.0</v>
      </c>
      <c r="L255" s="689">
        <v>0.0</v>
      </c>
      <c r="M255" s="689">
        <v>0.0</v>
      </c>
      <c r="N255" s="686">
        <v>1640.19</v>
      </c>
      <c r="O255" s="686">
        <v>24602.85</v>
      </c>
      <c r="P255" s="686">
        <v>0.0</v>
      </c>
      <c r="Q255" s="686">
        <v>0.0</v>
      </c>
      <c r="R255" s="686">
        <v>8200.95</v>
      </c>
      <c r="S255" s="686">
        <v>0.0</v>
      </c>
      <c r="T255" s="686">
        <v>0.0</v>
      </c>
      <c r="U255" s="690">
        <v>16401.9</v>
      </c>
    </row>
    <row r="256">
      <c r="A256" s="685" t="s">
        <v>1830</v>
      </c>
      <c r="B256" s="685" t="s">
        <v>1198</v>
      </c>
      <c r="C256" s="685" t="s">
        <v>1832</v>
      </c>
      <c r="D256" s="685" t="s">
        <v>1391</v>
      </c>
      <c r="E256" s="686">
        <v>1990.0</v>
      </c>
      <c r="F256" s="692" t="s">
        <v>164</v>
      </c>
      <c r="G256" s="693"/>
      <c r="H256" s="687"/>
      <c r="I256" s="685" t="s">
        <v>163</v>
      </c>
      <c r="J256" s="689">
        <v>9.0</v>
      </c>
      <c r="K256" s="689">
        <v>0.0</v>
      </c>
      <c r="L256" s="689">
        <v>0.0</v>
      </c>
      <c r="M256" s="689">
        <v>0.0</v>
      </c>
      <c r="N256" s="686">
        <v>815.89</v>
      </c>
      <c r="O256" s="686">
        <v>7343.01</v>
      </c>
      <c r="P256" s="686">
        <v>0.0</v>
      </c>
      <c r="Q256" s="686">
        <v>0.0</v>
      </c>
      <c r="R256" s="686">
        <v>0.0</v>
      </c>
      <c r="S256" s="686">
        <v>0.0</v>
      </c>
      <c r="T256" s="686">
        <v>7343.01</v>
      </c>
      <c r="U256" s="690">
        <v>0.0</v>
      </c>
    </row>
    <row r="257">
      <c r="A257" s="685" t="s">
        <v>1830</v>
      </c>
      <c r="B257" s="685" t="s">
        <v>1198</v>
      </c>
      <c r="C257" s="685" t="s">
        <v>1832</v>
      </c>
      <c r="D257" s="685" t="s">
        <v>1391</v>
      </c>
      <c r="E257" s="686">
        <v>1990.0</v>
      </c>
      <c r="F257" s="692" t="s">
        <v>167</v>
      </c>
      <c r="G257" s="693"/>
      <c r="H257" s="687"/>
      <c r="I257" s="685" t="s">
        <v>166</v>
      </c>
      <c r="J257" s="689">
        <v>5.0</v>
      </c>
      <c r="K257" s="689">
        <v>0.0</v>
      </c>
      <c r="L257" s="689">
        <v>0.0</v>
      </c>
      <c r="M257" s="689">
        <v>0.0</v>
      </c>
      <c r="N257" s="686">
        <v>1308.0</v>
      </c>
      <c r="O257" s="686">
        <v>6540.0</v>
      </c>
      <c r="P257" s="686">
        <v>0.0</v>
      </c>
      <c r="Q257" s="686">
        <v>0.0</v>
      </c>
      <c r="R257" s="686">
        <v>6540.0</v>
      </c>
      <c r="S257" s="686">
        <v>0.0</v>
      </c>
      <c r="T257" s="686">
        <v>0.0</v>
      </c>
      <c r="U257" s="690">
        <v>0.0</v>
      </c>
    </row>
    <row r="258">
      <c r="A258" s="685" t="s">
        <v>1830</v>
      </c>
      <c r="B258" s="685" t="s">
        <v>1838</v>
      </c>
      <c r="C258" s="685" t="s">
        <v>1836</v>
      </c>
      <c r="D258" s="685" t="s">
        <v>1391</v>
      </c>
      <c r="E258" s="686">
        <v>1090.0</v>
      </c>
      <c r="F258" s="692" t="s">
        <v>185</v>
      </c>
      <c r="G258" s="693"/>
      <c r="H258" s="687"/>
      <c r="I258" s="685" t="s">
        <v>184</v>
      </c>
      <c r="J258" s="689">
        <v>8.0</v>
      </c>
      <c r="K258" s="689">
        <v>0.0</v>
      </c>
      <c r="L258" s="689">
        <v>0.0</v>
      </c>
      <c r="M258" s="689">
        <v>0.0</v>
      </c>
      <c r="N258" s="686">
        <v>0.0</v>
      </c>
      <c r="O258" s="686">
        <v>0.0</v>
      </c>
      <c r="P258" s="686">
        <v>0.0</v>
      </c>
      <c r="Q258" s="686">
        <v>0.0</v>
      </c>
      <c r="R258" s="686">
        <v>0.0</v>
      </c>
      <c r="S258" s="686">
        <v>0.0</v>
      </c>
      <c r="T258" s="686">
        <v>0.0</v>
      </c>
      <c r="U258" s="690">
        <v>0.0</v>
      </c>
    </row>
    <row r="259">
      <c r="A259" s="685" t="s">
        <v>1839</v>
      </c>
      <c r="B259" s="685" t="s">
        <v>1840</v>
      </c>
      <c r="C259" s="685" t="s">
        <v>1841</v>
      </c>
      <c r="D259" s="685" t="s">
        <v>1842</v>
      </c>
      <c r="E259" s="686">
        <v>38.0</v>
      </c>
      <c r="F259" s="692" t="s">
        <v>1849</v>
      </c>
      <c r="G259" s="693"/>
      <c r="H259" s="687"/>
      <c r="I259" s="685" t="s">
        <v>1850</v>
      </c>
      <c r="J259" s="689">
        <v>17.0</v>
      </c>
      <c r="K259" s="689">
        <v>0.0</v>
      </c>
      <c r="L259" s="689">
        <v>0.0</v>
      </c>
      <c r="M259" s="689">
        <v>0.0</v>
      </c>
      <c r="N259" s="686">
        <v>34.58</v>
      </c>
      <c r="O259" s="686">
        <v>587.86</v>
      </c>
      <c r="P259" s="686">
        <v>0.0</v>
      </c>
      <c r="Q259" s="686">
        <v>345.8</v>
      </c>
      <c r="R259" s="686">
        <v>0.0</v>
      </c>
      <c r="S259" s="686">
        <v>0.0</v>
      </c>
      <c r="T259" s="686">
        <v>242.06</v>
      </c>
      <c r="U259" s="690">
        <v>0.0</v>
      </c>
    </row>
    <row r="260">
      <c r="A260" s="685" t="s">
        <v>1839</v>
      </c>
      <c r="B260" s="685" t="s">
        <v>1840</v>
      </c>
      <c r="C260" s="685" t="s">
        <v>1841</v>
      </c>
      <c r="D260" s="685" t="s">
        <v>1842</v>
      </c>
      <c r="E260" s="686">
        <v>38.0</v>
      </c>
      <c r="F260" s="692" t="s">
        <v>1851</v>
      </c>
      <c r="G260" s="693"/>
      <c r="H260" s="687"/>
      <c r="I260" s="685" t="s">
        <v>1852</v>
      </c>
      <c r="J260" s="689">
        <v>10.0</v>
      </c>
      <c r="K260" s="689">
        <v>0.0</v>
      </c>
      <c r="L260" s="689">
        <v>0.0</v>
      </c>
      <c r="M260" s="689">
        <v>0.0</v>
      </c>
      <c r="N260" s="686">
        <v>34.58</v>
      </c>
      <c r="O260" s="686">
        <v>345.8</v>
      </c>
      <c r="P260" s="686">
        <v>0.0</v>
      </c>
      <c r="Q260" s="686">
        <v>172.9</v>
      </c>
      <c r="R260" s="686">
        <v>0.0</v>
      </c>
      <c r="S260" s="686">
        <v>0.0</v>
      </c>
      <c r="T260" s="686">
        <v>172.9</v>
      </c>
      <c r="U260" s="690">
        <v>0.0</v>
      </c>
    </row>
    <row r="261">
      <c r="A261" s="685" t="s">
        <v>1839</v>
      </c>
      <c r="B261" s="685" t="s">
        <v>1840</v>
      </c>
      <c r="C261" s="685" t="s">
        <v>1841</v>
      </c>
      <c r="D261" s="685" t="s">
        <v>1842</v>
      </c>
      <c r="E261" s="686">
        <v>38.0</v>
      </c>
      <c r="F261" s="692" t="s">
        <v>1853</v>
      </c>
      <c r="G261" s="687"/>
      <c r="H261" s="687"/>
      <c r="I261" s="685" t="s">
        <v>1854</v>
      </c>
      <c r="J261" s="689">
        <v>2.0</v>
      </c>
      <c r="K261" s="689">
        <v>0.0</v>
      </c>
      <c r="L261" s="689">
        <v>0.0</v>
      </c>
      <c r="M261" s="689">
        <v>0.0</v>
      </c>
      <c r="N261" s="686">
        <v>34.58</v>
      </c>
      <c r="O261" s="686">
        <v>69.16</v>
      </c>
      <c r="P261" s="686">
        <v>0.0</v>
      </c>
      <c r="Q261" s="686">
        <v>0.0</v>
      </c>
      <c r="R261" s="686">
        <v>0.0</v>
      </c>
      <c r="S261" s="686">
        <v>0.0</v>
      </c>
      <c r="T261" s="686">
        <v>69.16</v>
      </c>
      <c r="U261" s="690">
        <v>0.0</v>
      </c>
    </row>
    <row r="262">
      <c r="A262" s="685" t="s">
        <v>1839</v>
      </c>
      <c r="B262" s="685" t="s">
        <v>1840</v>
      </c>
      <c r="C262" s="685" t="s">
        <v>1841</v>
      </c>
      <c r="D262" s="685" t="s">
        <v>1842</v>
      </c>
      <c r="E262" s="686">
        <v>38.0</v>
      </c>
      <c r="F262" s="692" t="s">
        <v>2056</v>
      </c>
      <c r="G262" s="687"/>
      <c r="H262" s="687"/>
      <c r="I262" s="685" t="s">
        <v>2057</v>
      </c>
      <c r="J262" s="689">
        <v>9.0</v>
      </c>
      <c r="K262" s="689">
        <v>0.0</v>
      </c>
      <c r="L262" s="689">
        <v>0.0</v>
      </c>
      <c r="M262" s="689">
        <v>0.0</v>
      </c>
      <c r="N262" s="686">
        <v>34.58</v>
      </c>
      <c r="O262" s="686">
        <v>311.22</v>
      </c>
      <c r="P262" s="686">
        <v>0.0</v>
      </c>
      <c r="Q262" s="686">
        <v>172.9</v>
      </c>
      <c r="R262" s="686">
        <v>0.0</v>
      </c>
      <c r="S262" s="686">
        <v>0.0</v>
      </c>
      <c r="T262" s="686">
        <v>138.32</v>
      </c>
      <c r="U262" s="690">
        <v>0.0</v>
      </c>
    </row>
    <row r="263">
      <c r="A263" s="685" t="s">
        <v>1865</v>
      </c>
      <c r="B263" s="685" t="s">
        <v>1707</v>
      </c>
      <c r="C263" s="685" t="s">
        <v>1866</v>
      </c>
      <c r="D263" s="685" t="s">
        <v>1391</v>
      </c>
      <c r="E263" s="686">
        <v>4599.0</v>
      </c>
      <c r="F263" s="692" t="s">
        <v>83</v>
      </c>
      <c r="G263" s="693"/>
      <c r="H263" s="687"/>
      <c r="I263" s="685" t="s">
        <v>1867</v>
      </c>
      <c r="J263" s="689">
        <v>5.0</v>
      </c>
      <c r="K263" s="689">
        <v>0.0</v>
      </c>
      <c r="L263" s="689">
        <v>0.0</v>
      </c>
      <c r="M263" s="689">
        <v>0.0</v>
      </c>
      <c r="N263" s="686">
        <v>3739.0</v>
      </c>
      <c r="O263" s="686">
        <v>18695.0</v>
      </c>
      <c r="P263" s="686">
        <v>18695.0</v>
      </c>
      <c r="Q263" s="686">
        <v>0.0</v>
      </c>
      <c r="R263" s="686">
        <v>0.0</v>
      </c>
      <c r="S263" s="686">
        <v>0.0</v>
      </c>
      <c r="T263" s="686">
        <v>0.0</v>
      </c>
      <c r="U263" s="690">
        <v>0.0</v>
      </c>
    </row>
    <row r="264">
      <c r="A264" s="685" t="s">
        <v>1865</v>
      </c>
      <c r="B264" s="685" t="s">
        <v>1707</v>
      </c>
      <c r="C264" s="685" t="s">
        <v>1866</v>
      </c>
      <c r="D264" s="685" t="s">
        <v>1391</v>
      </c>
      <c r="E264" s="686">
        <v>5299.0</v>
      </c>
      <c r="F264" s="692" t="s">
        <v>120</v>
      </c>
      <c r="G264" s="693"/>
      <c r="H264" s="687"/>
      <c r="I264" s="685" t="s">
        <v>2058</v>
      </c>
      <c r="J264" s="689">
        <v>1.0</v>
      </c>
      <c r="K264" s="689">
        <v>0.0</v>
      </c>
      <c r="L264" s="689">
        <v>0.0</v>
      </c>
      <c r="M264" s="689">
        <v>0.0</v>
      </c>
      <c r="N264" s="686">
        <v>4309.0</v>
      </c>
      <c r="O264" s="686">
        <v>4309.0</v>
      </c>
      <c r="P264" s="686">
        <v>4309.0</v>
      </c>
      <c r="Q264" s="686">
        <v>0.0</v>
      </c>
      <c r="R264" s="686">
        <v>0.0</v>
      </c>
      <c r="S264" s="686">
        <v>0.0</v>
      </c>
      <c r="T264" s="686">
        <v>0.0</v>
      </c>
      <c r="U264" s="690">
        <v>0.0</v>
      </c>
    </row>
    <row r="265">
      <c r="A265" s="685" t="s">
        <v>1865</v>
      </c>
      <c r="B265" s="685" t="s">
        <v>1707</v>
      </c>
      <c r="C265" s="685" t="s">
        <v>1866</v>
      </c>
      <c r="D265" s="685" t="s">
        <v>1391</v>
      </c>
      <c r="E265" s="686">
        <v>5999.0</v>
      </c>
      <c r="F265" s="692" t="s">
        <v>128</v>
      </c>
      <c r="G265" s="693"/>
      <c r="H265" s="687"/>
      <c r="I265" s="685" t="s">
        <v>1868</v>
      </c>
      <c r="J265" s="689">
        <v>3.0</v>
      </c>
      <c r="K265" s="689">
        <v>0.0</v>
      </c>
      <c r="L265" s="689">
        <v>0.0</v>
      </c>
      <c r="M265" s="689">
        <v>0.0</v>
      </c>
      <c r="N265" s="686">
        <v>4065.0</v>
      </c>
      <c r="O265" s="686">
        <v>12195.0</v>
      </c>
      <c r="P265" s="686">
        <v>0.0</v>
      </c>
      <c r="Q265" s="686">
        <v>0.0</v>
      </c>
      <c r="R265" s="686">
        <v>12195.0</v>
      </c>
      <c r="S265" s="686">
        <v>0.0</v>
      </c>
      <c r="T265" s="686">
        <v>0.0</v>
      </c>
      <c r="U265" s="690">
        <v>0.0</v>
      </c>
    </row>
    <row r="266">
      <c r="A266" s="685" t="s">
        <v>1865</v>
      </c>
      <c r="B266" s="685" t="s">
        <v>1707</v>
      </c>
      <c r="C266" s="685" t="s">
        <v>1866</v>
      </c>
      <c r="D266" s="685" t="s">
        <v>1391</v>
      </c>
      <c r="E266" s="686">
        <v>5299.0</v>
      </c>
      <c r="F266" s="692" t="s">
        <v>124</v>
      </c>
      <c r="G266" s="693"/>
      <c r="H266" s="687"/>
      <c r="I266" s="685" t="s">
        <v>2059</v>
      </c>
      <c r="J266" s="689">
        <v>12.0</v>
      </c>
      <c r="K266" s="689">
        <v>0.0</v>
      </c>
      <c r="L266" s="689">
        <v>0.0</v>
      </c>
      <c r="M266" s="689">
        <v>0.0</v>
      </c>
      <c r="N266" s="686">
        <v>4309.0</v>
      </c>
      <c r="O266" s="686">
        <v>51708.0</v>
      </c>
      <c r="P266" s="686">
        <v>51708.0</v>
      </c>
      <c r="Q266" s="686">
        <v>0.0</v>
      </c>
      <c r="R266" s="686">
        <v>0.0</v>
      </c>
      <c r="S266" s="686">
        <v>0.0</v>
      </c>
      <c r="T266" s="686">
        <v>0.0</v>
      </c>
      <c r="U266" s="690">
        <v>0.0</v>
      </c>
    </row>
    <row r="267">
      <c r="A267" s="685" t="s">
        <v>1865</v>
      </c>
      <c r="B267" s="685" t="s">
        <v>1707</v>
      </c>
      <c r="C267" s="685" t="s">
        <v>1866</v>
      </c>
      <c r="D267" s="685" t="s">
        <v>1391</v>
      </c>
      <c r="E267" s="686">
        <v>5999.0</v>
      </c>
      <c r="F267" s="692" t="s">
        <v>132</v>
      </c>
      <c r="G267" s="693"/>
      <c r="H267" s="687"/>
      <c r="I267" s="685" t="s">
        <v>1869</v>
      </c>
      <c r="J267" s="689">
        <v>2.0</v>
      </c>
      <c r="K267" s="689">
        <v>0.0</v>
      </c>
      <c r="L267" s="689">
        <v>0.0</v>
      </c>
      <c r="M267" s="689">
        <v>0.0</v>
      </c>
      <c r="N267" s="686">
        <v>4065.0</v>
      </c>
      <c r="O267" s="686">
        <v>8130.0</v>
      </c>
      <c r="P267" s="686">
        <v>0.0</v>
      </c>
      <c r="Q267" s="686">
        <v>0.0</v>
      </c>
      <c r="R267" s="686">
        <v>8130.0</v>
      </c>
      <c r="S267" s="686">
        <v>0.0</v>
      </c>
      <c r="T267" s="686">
        <v>0.0</v>
      </c>
      <c r="U267" s="690">
        <v>0.0</v>
      </c>
    </row>
    <row r="268">
      <c r="A268" s="685" t="s">
        <v>1865</v>
      </c>
      <c r="B268" s="685" t="s">
        <v>1707</v>
      </c>
      <c r="C268" s="685" t="s">
        <v>1866</v>
      </c>
      <c r="D268" s="685" t="s">
        <v>1391</v>
      </c>
      <c r="E268" s="686">
        <v>6999.0</v>
      </c>
      <c r="F268" s="692" t="s">
        <v>140</v>
      </c>
      <c r="G268" s="693"/>
      <c r="H268" s="687"/>
      <c r="I268" s="685" t="s">
        <v>1870</v>
      </c>
      <c r="J268" s="689">
        <v>5.0</v>
      </c>
      <c r="K268" s="689">
        <v>0.0</v>
      </c>
      <c r="L268" s="689">
        <v>0.0</v>
      </c>
      <c r="M268" s="689">
        <v>0.0</v>
      </c>
      <c r="N268" s="686">
        <v>4878.0</v>
      </c>
      <c r="O268" s="686">
        <v>24390.0</v>
      </c>
      <c r="P268" s="686">
        <v>0.0</v>
      </c>
      <c r="Q268" s="686">
        <v>0.0</v>
      </c>
      <c r="R268" s="686">
        <v>9756.0</v>
      </c>
      <c r="S268" s="686">
        <v>14634.0</v>
      </c>
      <c r="T268" s="686">
        <v>0.0</v>
      </c>
      <c r="U268" s="690">
        <v>0.0</v>
      </c>
    </row>
    <row r="269">
      <c r="A269" s="685" t="s">
        <v>1865</v>
      </c>
      <c r="B269" s="685" t="s">
        <v>1707</v>
      </c>
      <c r="C269" s="685" t="s">
        <v>1866</v>
      </c>
      <c r="D269" s="685" t="s">
        <v>1391</v>
      </c>
      <c r="E269" s="686">
        <v>6999.0</v>
      </c>
      <c r="F269" s="692" t="s">
        <v>150</v>
      </c>
      <c r="G269" s="693"/>
      <c r="H269" s="687"/>
      <c r="I269" s="685" t="s">
        <v>1871</v>
      </c>
      <c r="J269" s="689">
        <v>7.0</v>
      </c>
      <c r="K269" s="689">
        <v>0.0</v>
      </c>
      <c r="L269" s="689">
        <v>0.0</v>
      </c>
      <c r="M269" s="689">
        <v>0.0</v>
      </c>
      <c r="N269" s="686">
        <v>5342.57</v>
      </c>
      <c r="O269" s="686">
        <v>37398.0</v>
      </c>
      <c r="P269" s="686">
        <v>22764.0</v>
      </c>
      <c r="Q269" s="686">
        <v>0.0</v>
      </c>
      <c r="R269" s="686">
        <v>14634.0</v>
      </c>
      <c r="S269" s="686">
        <v>0.0</v>
      </c>
      <c r="T269" s="686">
        <v>0.0</v>
      </c>
      <c r="U269" s="690">
        <v>0.0</v>
      </c>
    </row>
    <row r="270">
      <c r="A270" s="685" t="s">
        <v>1865</v>
      </c>
      <c r="B270" s="685" t="s">
        <v>1707</v>
      </c>
      <c r="C270" s="685" t="s">
        <v>1872</v>
      </c>
      <c r="D270" s="685" t="s">
        <v>1391</v>
      </c>
      <c r="E270" s="686">
        <v>7999.0</v>
      </c>
      <c r="F270" s="692" t="s">
        <v>165</v>
      </c>
      <c r="G270" s="693"/>
      <c r="H270" s="687"/>
      <c r="I270" s="685" t="s">
        <v>2060</v>
      </c>
      <c r="J270" s="689">
        <v>4.0</v>
      </c>
      <c r="K270" s="689">
        <v>0.0</v>
      </c>
      <c r="L270" s="689">
        <v>0.0</v>
      </c>
      <c r="M270" s="689">
        <v>0.0</v>
      </c>
      <c r="N270" s="686">
        <v>6504.0</v>
      </c>
      <c r="O270" s="686">
        <v>26016.0</v>
      </c>
      <c r="P270" s="686">
        <v>0.0</v>
      </c>
      <c r="Q270" s="686">
        <v>26016.0</v>
      </c>
      <c r="R270" s="686">
        <v>0.0</v>
      </c>
      <c r="S270" s="686">
        <v>0.0</v>
      </c>
      <c r="T270" s="686">
        <v>0.0</v>
      </c>
      <c r="U270" s="690">
        <v>0.0</v>
      </c>
    </row>
    <row r="271">
      <c r="A271" s="685" t="s">
        <v>1865</v>
      </c>
      <c r="B271" s="685" t="s">
        <v>1707</v>
      </c>
      <c r="C271" s="685" t="s">
        <v>1872</v>
      </c>
      <c r="D271" s="685" t="s">
        <v>1391</v>
      </c>
      <c r="E271" s="686">
        <v>8999.0</v>
      </c>
      <c r="F271" s="692" t="s">
        <v>170</v>
      </c>
      <c r="G271" s="693"/>
      <c r="H271" s="687"/>
      <c r="I271" s="685" t="s">
        <v>1873</v>
      </c>
      <c r="J271" s="689">
        <v>6.0</v>
      </c>
      <c r="K271" s="689">
        <v>0.0</v>
      </c>
      <c r="L271" s="689">
        <v>0.0</v>
      </c>
      <c r="M271" s="689">
        <v>0.0</v>
      </c>
      <c r="N271" s="686">
        <v>6436.17</v>
      </c>
      <c r="O271" s="686">
        <v>38617.0</v>
      </c>
      <c r="P271" s="686">
        <v>0.0</v>
      </c>
      <c r="Q271" s="686">
        <v>32520.0</v>
      </c>
      <c r="R271" s="686">
        <v>0.0</v>
      </c>
      <c r="S271" s="686">
        <v>6097.0</v>
      </c>
      <c r="T271" s="686">
        <v>0.0</v>
      </c>
      <c r="U271" s="690">
        <v>0.0</v>
      </c>
    </row>
    <row r="272">
      <c r="A272" s="685" t="s">
        <v>1865</v>
      </c>
      <c r="B272" s="685" t="s">
        <v>1707</v>
      </c>
      <c r="C272" s="685" t="s">
        <v>1872</v>
      </c>
      <c r="D272" s="685" t="s">
        <v>1391</v>
      </c>
      <c r="E272" s="686">
        <v>10599.0</v>
      </c>
      <c r="F272" s="692" t="s">
        <v>186</v>
      </c>
      <c r="G272" s="693"/>
      <c r="H272" s="687"/>
      <c r="I272" s="685" t="s">
        <v>1874</v>
      </c>
      <c r="J272" s="689">
        <v>5.0</v>
      </c>
      <c r="K272" s="689">
        <v>0.0</v>
      </c>
      <c r="L272" s="689">
        <v>0.0</v>
      </c>
      <c r="M272" s="689">
        <v>0.0</v>
      </c>
      <c r="N272" s="686">
        <v>7561.0</v>
      </c>
      <c r="O272" s="686">
        <v>37805.0</v>
      </c>
      <c r="P272" s="686">
        <v>0.0</v>
      </c>
      <c r="Q272" s="686">
        <v>37805.0</v>
      </c>
      <c r="R272" s="686">
        <v>0.0</v>
      </c>
      <c r="S272" s="686">
        <v>0.0</v>
      </c>
      <c r="T272" s="686">
        <v>0.0</v>
      </c>
      <c r="U272" s="690">
        <v>0.0</v>
      </c>
    </row>
    <row r="273">
      <c r="A273" s="685" t="s">
        <v>1865</v>
      </c>
      <c r="B273" s="685" t="s">
        <v>1707</v>
      </c>
      <c r="C273" s="685" t="s">
        <v>1872</v>
      </c>
      <c r="D273" s="685" t="s">
        <v>1391</v>
      </c>
      <c r="E273" s="686">
        <v>8999.0</v>
      </c>
      <c r="F273" s="692" t="s">
        <v>172</v>
      </c>
      <c r="G273" s="693"/>
      <c r="H273" s="687"/>
      <c r="I273" s="685" t="s">
        <v>1875</v>
      </c>
      <c r="J273" s="689">
        <v>7.0</v>
      </c>
      <c r="K273" s="689">
        <v>0.0</v>
      </c>
      <c r="L273" s="689">
        <v>0.0</v>
      </c>
      <c r="M273" s="689">
        <v>0.0</v>
      </c>
      <c r="N273" s="686">
        <v>7317.0</v>
      </c>
      <c r="O273" s="686">
        <v>51219.0</v>
      </c>
      <c r="P273" s="686">
        <v>51219.0</v>
      </c>
      <c r="Q273" s="686">
        <v>0.0</v>
      </c>
      <c r="R273" s="686">
        <v>0.0</v>
      </c>
      <c r="S273" s="686">
        <v>0.0</v>
      </c>
      <c r="T273" s="686">
        <v>0.0</v>
      </c>
      <c r="U273" s="690">
        <v>0.0</v>
      </c>
    </row>
    <row r="274">
      <c r="A274" s="685" t="s">
        <v>1865</v>
      </c>
      <c r="B274" s="685" t="s">
        <v>1707</v>
      </c>
      <c r="C274" s="685" t="s">
        <v>1872</v>
      </c>
      <c r="D274" s="685" t="s">
        <v>1391</v>
      </c>
      <c r="E274" s="686">
        <v>10599.0</v>
      </c>
      <c r="F274" s="692" t="s">
        <v>182</v>
      </c>
      <c r="G274" s="693"/>
      <c r="H274" s="687"/>
      <c r="I274" s="685" t="s">
        <v>1876</v>
      </c>
      <c r="J274" s="689">
        <v>4.0</v>
      </c>
      <c r="K274" s="689">
        <v>0.0</v>
      </c>
      <c r="L274" s="689">
        <v>0.0</v>
      </c>
      <c r="M274" s="689">
        <v>0.0</v>
      </c>
      <c r="N274" s="686">
        <v>7500.0</v>
      </c>
      <c r="O274" s="686">
        <v>30000.0</v>
      </c>
      <c r="P274" s="686">
        <v>0.0</v>
      </c>
      <c r="Q274" s="686">
        <v>22683.0</v>
      </c>
      <c r="R274" s="686">
        <v>7317.0</v>
      </c>
      <c r="S274" s="686">
        <v>0.0</v>
      </c>
      <c r="T274" s="686">
        <v>0.0</v>
      </c>
      <c r="U274" s="690">
        <v>0.0</v>
      </c>
    </row>
    <row r="275">
      <c r="A275" s="685" t="s">
        <v>1865</v>
      </c>
      <c r="B275" s="685" t="s">
        <v>1707</v>
      </c>
      <c r="C275" s="685" t="s">
        <v>1877</v>
      </c>
      <c r="D275" s="685" t="s">
        <v>1391</v>
      </c>
      <c r="E275" s="686">
        <v>10999.0</v>
      </c>
      <c r="F275" s="692" t="s">
        <v>200</v>
      </c>
      <c r="G275" s="687"/>
      <c r="H275" s="687"/>
      <c r="I275" s="685" t="s">
        <v>1878</v>
      </c>
      <c r="J275" s="689">
        <v>2.0</v>
      </c>
      <c r="K275" s="689">
        <v>0.0</v>
      </c>
      <c r="L275" s="689">
        <v>0.0</v>
      </c>
      <c r="M275" s="689">
        <v>0.0</v>
      </c>
      <c r="N275" s="686">
        <v>8943.0</v>
      </c>
      <c r="O275" s="686">
        <v>17886.0</v>
      </c>
      <c r="P275" s="686">
        <v>0.0</v>
      </c>
      <c r="Q275" s="686">
        <v>17886.0</v>
      </c>
      <c r="R275" s="686">
        <v>0.0</v>
      </c>
      <c r="S275" s="686">
        <v>0.0</v>
      </c>
      <c r="T275" s="686">
        <v>0.0</v>
      </c>
      <c r="U275" s="690">
        <v>0.0</v>
      </c>
    </row>
    <row r="276">
      <c r="A276" s="685" t="s">
        <v>1865</v>
      </c>
      <c r="B276" s="685" t="s">
        <v>1707</v>
      </c>
      <c r="C276" s="685" t="s">
        <v>1877</v>
      </c>
      <c r="D276" s="685" t="s">
        <v>1391</v>
      </c>
      <c r="E276" s="686">
        <v>10999.0</v>
      </c>
      <c r="F276" s="692" t="s">
        <v>208</v>
      </c>
      <c r="G276" s="687"/>
      <c r="H276" s="687"/>
      <c r="I276" s="685" t="s">
        <v>1879</v>
      </c>
      <c r="J276" s="689">
        <v>8.0</v>
      </c>
      <c r="K276" s="689">
        <v>0.0</v>
      </c>
      <c r="L276" s="689">
        <v>0.0</v>
      </c>
      <c r="M276" s="689">
        <v>0.0</v>
      </c>
      <c r="N276" s="686">
        <v>8943.0</v>
      </c>
      <c r="O276" s="686">
        <v>71544.0</v>
      </c>
      <c r="P276" s="686">
        <v>62601.0</v>
      </c>
      <c r="Q276" s="686">
        <v>8943.0</v>
      </c>
      <c r="R276" s="686">
        <v>0.0</v>
      </c>
      <c r="S276" s="686">
        <v>0.0</v>
      </c>
      <c r="T276" s="686">
        <v>0.0</v>
      </c>
      <c r="U276" s="690">
        <v>0.0</v>
      </c>
    </row>
    <row r="277">
      <c r="A277" s="685" t="s">
        <v>1865</v>
      </c>
      <c r="B277" s="685" t="s">
        <v>1707</v>
      </c>
      <c r="C277" s="685" t="s">
        <v>1880</v>
      </c>
      <c r="D277" s="685" t="s">
        <v>1391</v>
      </c>
      <c r="E277" s="686">
        <v>13999.0</v>
      </c>
      <c r="F277" s="692" t="s">
        <v>211</v>
      </c>
      <c r="G277" s="715"/>
      <c r="H277" s="687"/>
      <c r="I277" s="685" t="s">
        <v>1881</v>
      </c>
      <c r="J277" s="689">
        <v>3.0</v>
      </c>
      <c r="K277" s="689">
        <v>0.0</v>
      </c>
      <c r="L277" s="689">
        <v>0.0</v>
      </c>
      <c r="M277" s="689">
        <v>0.0</v>
      </c>
      <c r="N277" s="686">
        <v>11382.0</v>
      </c>
      <c r="O277" s="686">
        <v>34146.0</v>
      </c>
      <c r="P277" s="686">
        <v>0.0</v>
      </c>
      <c r="Q277" s="686">
        <v>0.0</v>
      </c>
      <c r="R277" s="686">
        <v>34146.0</v>
      </c>
      <c r="S277" s="686">
        <v>0.0</v>
      </c>
      <c r="T277" s="686">
        <v>0.0</v>
      </c>
      <c r="U277" s="690">
        <v>0.0</v>
      </c>
    </row>
    <row r="278">
      <c r="A278" s="685" t="s">
        <v>1865</v>
      </c>
      <c r="B278" s="685" t="s">
        <v>1707</v>
      </c>
      <c r="C278" s="685" t="s">
        <v>1880</v>
      </c>
      <c r="D278" s="685" t="s">
        <v>1391</v>
      </c>
      <c r="E278" s="686">
        <v>13999.0</v>
      </c>
      <c r="F278" s="692" t="s">
        <v>220</v>
      </c>
      <c r="G278" s="715"/>
      <c r="H278" s="687"/>
      <c r="I278" s="685" t="s">
        <v>1882</v>
      </c>
      <c r="J278" s="689">
        <v>3.0</v>
      </c>
      <c r="K278" s="689">
        <v>0.0</v>
      </c>
      <c r="L278" s="689">
        <v>0.0</v>
      </c>
      <c r="M278" s="689">
        <v>0.0</v>
      </c>
      <c r="N278" s="686">
        <v>11382.0</v>
      </c>
      <c r="O278" s="686">
        <v>34146.0</v>
      </c>
      <c r="P278" s="686">
        <v>0.0</v>
      </c>
      <c r="Q278" s="686">
        <v>0.0</v>
      </c>
      <c r="R278" s="686">
        <v>34146.0</v>
      </c>
      <c r="S278" s="686">
        <v>0.0</v>
      </c>
      <c r="T278" s="686">
        <v>0.0</v>
      </c>
      <c r="U278" s="690">
        <v>0.0</v>
      </c>
    </row>
    <row r="279">
      <c r="A279" s="685" t="s">
        <v>1865</v>
      </c>
      <c r="B279" s="685" t="s">
        <v>1707</v>
      </c>
      <c r="C279" s="685" t="s">
        <v>1880</v>
      </c>
      <c r="D279" s="685" t="s">
        <v>1391</v>
      </c>
      <c r="E279" s="686">
        <v>13999.0</v>
      </c>
      <c r="F279" s="692" t="s">
        <v>222</v>
      </c>
      <c r="G279" s="715"/>
      <c r="H279" s="687"/>
      <c r="I279" s="685" t="s">
        <v>1883</v>
      </c>
      <c r="J279" s="689">
        <v>4.0</v>
      </c>
      <c r="K279" s="689">
        <v>0.0</v>
      </c>
      <c r="L279" s="689">
        <v>0.0</v>
      </c>
      <c r="M279" s="689">
        <v>0.0</v>
      </c>
      <c r="N279" s="686">
        <v>11382.0</v>
      </c>
      <c r="O279" s="686">
        <v>45528.0</v>
      </c>
      <c r="P279" s="686">
        <v>0.0</v>
      </c>
      <c r="Q279" s="686">
        <v>0.0</v>
      </c>
      <c r="R279" s="686">
        <v>45528.0</v>
      </c>
      <c r="S279" s="686">
        <v>0.0</v>
      </c>
      <c r="T279" s="686">
        <v>0.0</v>
      </c>
      <c r="U279" s="690">
        <v>0.0</v>
      </c>
    </row>
    <row r="280">
      <c r="A280" s="685" t="s">
        <v>1865</v>
      </c>
      <c r="B280" s="685" t="s">
        <v>1707</v>
      </c>
      <c r="C280" s="685" t="s">
        <v>1884</v>
      </c>
      <c r="D280" s="685" t="s">
        <v>1391</v>
      </c>
      <c r="E280" s="686">
        <v>16999.0</v>
      </c>
      <c r="F280" s="692" t="s">
        <v>227</v>
      </c>
      <c r="G280" s="715"/>
      <c r="H280" s="687"/>
      <c r="I280" s="685" t="s">
        <v>1885</v>
      </c>
      <c r="J280" s="689">
        <v>2.0</v>
      </c>
      <c r="K280" s="689">
        <v>0.0</v>
      </c>
      <c r="L280" s="689">
        <v>0.0</v>
      </c>
      <c r="M280" s="689">
        <v>0.0</v>
      </c>
      <c r="N280" s="686">
        <v>13822.0</v>
      </c>
      <c r="O280" s="686">
        <v>27644.0</v>
      </c>
      <c r="P280" s="686">
        <v>27644.0</v>
      </c>
      <c r="Q280" s="686">
        <v>0.0</v>
      </c>
      <c r="R280" s="686">
        <v>0.0</v>
      </c>
      <c r="S280" s="686">
        <v>0.0</v>
      </c>
      <c r="T280" s="686">
        <v>0.0</v>
      </c>
      <c r="U280" s="690">
        <v>0.0</v>
      </c>
    </row>
    <row r="281">
      <c r="A281" s="685" t="s">
        <v>1865</v>
      </c>
      <c r="B281" s="685" t="s">
        <v>1707</v>
      </c>
      <c r="C281" s="685" t="s">
        <v>1884</v>
      </c>
      <c r="D281" s="685" t="s">
        <v>1391</v>
      </c>
      <c r="E281" s="686">
        <v>17999.0</v>
      </c>
      <c r="F281" s="692" t="s">
        <v>249</v>
      </c>
      <c r="G281" s="715"/>
      <c r="H281" s="687"/>
      <c r="I281" s="685" t="s">
        <v>1886</v>
      </c>
      <c r="J281" s="689">
        <v>5.0</v>
      </c>
      <c r="K281" s="689">
        <v>0.0</v>
      </c>
      <c r="L281" s="689">
        <v>0.0</v>
      </c>
      <c r="M281" s="689">
        <v>0.0</v>
      </c>
      <c r="N281" s="686">
        <v>14635.0</v>
      </c>
      <c r="O281" s="686">
        <v>73175.0</v>
      </c>
      <c r="P281" s="686">
        <v>73175.0</v>
      </c>
      <c r="Q281" s="686">
        <v>0.0</v>
      </c>
      <c r="R281" s="686">
        <v>0.0</v>
      </c>
      <c r="S281" s="686">
        <v>0.0</v>
      </c>
      <c r="T281" s="686">
        <v>0.0</v>
      </c>
      <c r="U281" s="690">
        <v>0.0</v>
      </c>
    </row>
    <row r="282">
      <c r="A282" s="685" t="s">
        <v>1865</v>
      </c>
      <c r="B282" s="685" t="s">
        <v>1707</v>
      </c>
      <c r="C282" s="685" t="s">
        <v>1884</v>
      </c>
      <c r="D282" s="685" t="s">
        <v>1391</v>
      </c>
      <c r="E282" s="686">
        <v>20999.0</v>
      </c>
      <c r="F282" s="692" t="s">
        <v>270</v>
      </c>
      <c r="G282" s="715"/>
      <c r="H282" s="687"/>
      <c r="I282" s="685" t="s">
        <v>1887</v>
      </c>
      <c r="J282" s="689">
        <v>5.0</v>
      </c>
      <c r="K282" s="689">
        <v>0.0</v>
      </c>
      <c r="L282" s="689">
        <v>0.0</v>
      </c>
      <c r="M282" s="689">
        <v>0.0</v>
      </c>
      <c r="N282" s="686">
        <v>17074.0</v>
      </c>
      <c r="O282" s="686">
        <v>85370.0</v>
      </c>
      <c r="P282" s="686">
        <v>0.0</v>
      </c>
      <c r="Q282" s="686">
        <v>68296.0</v>
      </c>
      <c r="R282" s="686">
        <v>0.0</v>
      </c>
      <c r="S282" s="686">
        <v>0.0</v>
      </c>
      <c r="T282" s="686">
        <v>0.0</v>
      </c>
      <c r="U282" s="690">
        <v>17074.0</v>
      </c>
    </row>
    <row r="283">
      <c r="A283" s="685" t="s">
        <v>1865</v>
      </c>
      <c r="B283" s="685" t="s">
        <v>1707</v>
      </c>
      <c r="C283" s="685" t="s">
        <v>1884</v>
      </c>
      <c r="D283" s="685" t="s">
        <v>1391</v>
      </c>
      <c r="E283" s="686">
        <v>16999.0</v>
      </c>
      <c r="F283" s="692" t="s">
        <v>244</v>
      </c>
      <c r="G283" s="715"/>
      <c r="H283" s="687"/>
      <c r="I283" s="685" t="s">
        <v>1888</v>
      </c>
      <c r="J283" s="689">
        <v>1.0</v>
      </c>
      <c r="K283" s="689">
        <v>0.0</v>
      </c>
      <c r="L283" s="689">
        <v>0.0</v>
      </c>
      <c r="M283" s="689">
        <v>0.0</v>
      </c>
      <c r="N283" s="686">
        <v>13822.0</v>
      </c>
      <c r="O283" s="686">
        <v>13822.0</v>
      </c>
      <c r="P283" s="686">
        <v>0.0</v>
      </c>
      <c r="Q283" s="686">
        <v>0.0</v>
      </c>
      <c r="R283" s="686">
        <v>0.0</v>
      </c>
      <c r="S283" s="686">
        <v>13822.0</v>
      </c>
      <c r="T283" s="686">
        <v>0.0</v>
      </c>
      <c r="U283" s="690">
        <v>0.0</v>
      </c>
    </row>
    <row r="284">
      <c r="A284" s="685" t="s">
        <v>1865</v>
      </c>
      <c r="B284" s="685" t="s">
        <v>1707</v>
      </c>
      <c r="C284" s="685" t="s">
        <v>1884</v>
      </c>
      <c r="D284" s="685" t="s">
        <v>1391</v>
      </c>
      <c r="E284" s="686">
        <v>17999.0</v>
      </c>
      <c r="F284" s="692" t="s">
        <v>261</v>
      </c>
      <c r="G284" s="715"/>
      <c r="H284" s="687"/>
      <c r="I284" s="685" t="s">
        <v>1889</v>
      </c>
      <c r="J284" s="689">
        <v>15.0</v>
      </c>
      <c r="K284" s="689">
        <v>0.0</v>
      </c>
      <c r="L284" s="689">
        <v>0.0</v>
      </c>
      <c r="M284" s="689">
        <v>0.0</v>
      </c>
      <c r="N284" s="686">
        <v>14635.0</v>
      </c>
      <c r="O284" s="686">
        <v>219525.0</v>
      </c>
      <c r="P284" s="686">
        <v>0.0</v>
      </c>
      <c r="Q284" s="686">
        <v>146350.0</v>
      </c>
      <c r="R284" s="686">
        <v>0.0</v>
      </c>
      <c r="S284" s="686">
        <v>0.0</v>
      </c>
      <c r="T284" s="686">
        <v>73175.0</v>
      </c>
      <c r="U284" s="690">
        <v>0.0</v>
      </c>
    </row>
    <row r="285">
      <c r="A285" s="685" t="s">
        <v>1865</v>
      </c>
      <c r="B285" s="685" t="s">
        <v>1707</v>
      </c>
      <c r="C285" s="685" t="s">
        <v>1884</v>
      </c>
      <c r="D285" s="685" t="s">
        <v>1391</v>
      </c>
      <c r="E285" s="686">
        <v>20999.0</v>
      </c>
      <c r="F285" s="692" t="s">
        <v>286</v>
      </c>
      <c r="G285" s="715"/>
      <c r="H285" s="687"/>
      <c r="I285" s="685" t="s">
        <v>1890</v>
      </c>
      <c r="J285" s="689">
        <v>5.0</v>
      </c>
      <c r="K285" s="689">
        <v>0.0</v>
      </c>
      <c r="L285" s="689">
        <v>0.0</v>
      </c>
      <c r="M285" s="689">
        <v>0.0</v>
      </c>
      <c r="N285" s="686">
        <v>17074.0</v>
      </c>
      <c r="O285" s="686">
        <v>85370.0</v>
      </c>
      <c r="P285" s="686">
        <v>0.0</v>
      </c>
      <c r="Q285" s="686">
        <v>0.0</v>
      </c>
      <c r="R285" s="686">
        <v>0.0</v>
      </c>
      <c r="S285" s="686">
        <v>85370.0</v>
      </c>
      <c r="T285" s="686">
        <v>0.0</v>
      </c>
      <c r="U285" s="690">
        <v>0.0</v>
      </c>
    </row>
    <row r="286">
      <c r="A286" s="685" t="s">
        <v>1865</v>
      </c>
      <c r="B286" s="685" t="s">
        <v>1707</v>
      </c>
      <c r="C286" s="685" t="s">
        <v>1884</v>
      </c>
      <c r="D286" s="685" t="s">
        <v>1391</v>
      </c>
      <c r="E286" s="686">
        <v>16999.0</v>
      </c>
      <c r="F286" s="692" t="s">
        <v>232</v>
      </c>
      <c r="G286" s="715"/>
      <c r="H286" s="687"/>
      <c r="I286" s="685" t="s">
        <v>2061</v>
      </c>
      <c r="J286" s="689">
        <v>3.0</v>
      </c>
      <c r="K286" s="689">
        <v>0.0</v>
      </c>
      <c r="L286" s="689">
        <v>0.0</v>
      </c>
      <c r="M286" s="689">
        <v>0.0</v>
      </c>
      <c r="N286" s="686">
        <v>13822.0</v>
      </c>
      <c r="O286" s="686">
        <v>41466.0</v>
      </c>
      <c r="P286" s="686">
        <v>0.0</v>
      </c>
      <c r="Q286" s="686">
        <v>0.0</v>
      </c>
      <c r="R286" s="686">
        <v>0.0</v>
      </c>
      <c r="S286" s="686">
        <v>41466.0</v>
      </c>
      <c r="T286" s="686">
        <v>0.0</v>
      </c>
      <c r="U286" s="690">
        <v>0.0</v>
      </c>
    </row>
    <row r="287">
      <c r="A287" s="685" t="s">
        <v>1865</v>
      </c>
      <c r="B287" s="685" t="s">
        <v>1707</v>
      </c>
      <c r="C287" s="685" t="s">
        <v>1884</v>
      </c>
      <c r="D287" s="685" t="s">
        <v>1391</v>
      </c>
      <c r="E287" s="686">
        <v>17999.0</v>
      </c>
      <c r="F287" s="692" t="s">
        <v>256</v>
      </c>
      <c r="G287" s="715"/>
      <c r="H287" s="687"/>
      <c r="I287" s="685" t="s">
        <v>1891</v>
      </c>
      <c r="J287" s="689">
        <v>11.0</v>
      </c>
      <c r="K287" s="689">
        <v>0.0</v>
      </c>
      <c r="L287" s="689">
        <v>0.0</v>
      </c>
      <c r="M287" s="689">
        <v>0.0</v>
      </c>
      <c r="N287" s="686">
        <v>14635.0</v>
      </c>
      <c r="O287" s="686">
        <v>160985.0</v>
      </c>
      <c r="P287" s="686">
        <v>0.0</v>
      </c>
      <c r="Q287" s="686">
        <v>146350.0</v>
      </c>
      <c r="R287" s="686">
        <v>0.0</v>
      </c>
      <c r="S287" s="686">
        <v>0.0</v>
      </c>
      <c r="T287" s="686">
        <v>14635.0</v>
      </c>
      <c r="U287" s="690">
        <v>0.0</v>
      </c>
    </row>
    <row r="288">
      <c r="A288" s="685" t="s">
        <v>1865</v>
      </c>
      <c r="B288" s="685" t="s">
        <v>1707</v>
      </c>
      <c r="C288" s="685" t="s">
        <v>1884</v>
      </c>
      <c r="D288" s="685" t="s">
        <v>1391</v>
      </c>
      <c r="E288" s="686">
        <v>20999.0</v>
      </c>
      <c r="F288" s="692" t="s">
        <v>278</v>
      </c>
      <c r="G288" s="715"/>
      <c r="H288" s="687"/>
      <c r="I288" s="685" t="s">
        <v>1892</v>
      </c>
      <c r="J288" s="689">
        <v>5.0</v>
      </c>
      <c r="K288" s="689">
        <v>0.0</v>
      </c>
      <c r="L288" s="689">
        <v>0.0</v>
      </c>
      <c r="M288" s="689">
        <v>0.0</v>
      </c>
      <c r="N288" s="686">
        <v>17074.0</v>
      </c>
      <c r="O288" s="686">
        <v>85370.0</v>
      </c>
      <c r="P288" s="686">
        <v>0.0</v>
      </c>
      <c r="Q288" s="686">
        <v>85370.0</v>
      </c>
      <c r="R288" s="686">
        <v>0.0</v>
      </c>
      <c r="S288" s="686">
        <v>0.0</v>
      </c>
      <c r="T288" s="686">
        <v>0.0</v>
      </c>
      <c r="U288" s="690">
        <v>0.0</v>
      </c>
    </row>
    <row r="289">
      <c r="A289" s="685" t="s">
        <v>1865</v>
      </c>
      <c r="B289" s="685" t="s">
        <v>1707</v>
      </c>
      <c r="C289" s="685" t="s">
        <v>1893</v>
      </c>
      <c r="D289" s="685" t="s">
        <v>1391</v>
      </c>
      <c r="E289" s="686">
        <v>26900.0</v>
      </c>
      <c r="F289" s="692" t="s">
        <v>327</v>
      </c>
      <c r="G289" s="715"/>
      <c r="H289" s="687"/>
      <c r="I289" s="685" t="s">
        <v>1894</v>
      </c>
      <c r="J289" s="689">
        <v>6.0</v>
      </c>
      <c r="K289" s="689">
        <v>0.0</v>
      </c>
      <c r="L289" s="689">
        <v>0.0</v>
      </c>
      <c r="M289" s="689">
        <v>0.0</v>
      </c>
      <c r="N289" s="686">
        <v>20246.0</v>
      </c>
      <c r="O289" s="686">
        <v>121476.0</v>
      </c>
      <c r="P289" s="686">
        <v>0.0</v>
      </c>
      <c r="Q289" s="686">
        <v>0.0</v>
      </c>
      <c r="R289" s="686">
        <v>121476.0</v>
      </c>
      <c r="S289" s="686">
        <v>0.0</v>
      </c>
      <c r="T289" s="686">
        <v>0.0</v>
      </c>
      <c r="U289" s="690">
        <v>0.0</v>
      </c>
    </row>
    <row r="290">
      <c r="A290" s="685" t="s">
        <v>1865</v>
      </c>
      <c r="B290" s="685" t="s">
        <v>1707</v>
      </c>
      <c r="C290" s="685" t="s">
        <v>1893</v>
      </c>
      <c r="D290" s="685" t="s">
        <v>1391</v>
      </c>
      <c r="E290" s="686">
        <v>26900.0</v>
      </c>
      <c r="F290" s="692" t="s">
        <v>333</v>
      </c>
      <c r="G290" s="715"/>
      <c r="H290" s="687"/>
      <c r="I290" s="685" t="s">
        <v>1896</v>
      </c>
      <c r="J290" s="689">
        <v>3.0</v>
      </c>
      <c r="K290" s="689">
        <v>0.0</v>
      </c>
      <c r="L290" s="689">
        <v>0.0</v>
      </c>
      <c r="M290" s="689">
        <v>0.0</v>
      </c>
      <c r="N290" s="686">
        <v>21059.0</v>
      </c>
      <c r="O290" s="686">
        <v>63177.0</v>
      </c>
      <c r="P290" s="686">
        <v>0.0</v>
      </c>
      <c r="Q290" s="686">
        <v>0.0</v>
      </c>
      <c r="R290" s="686">
        <v>0.0</v>
      </c>
      <c r="S290" s="686">
        <v>0.0</v>
      </c>
      <c r="T290" s="686">
        <v>0.0</v>
      </c>
      <c r="U290" s="690">
        <v>63177.0</v>
      </c>
    </row>
    <row r="291">
      <c r="A291" s="685" t="s">
        <v>1865</v>
      </c>
      <c r="B291" s="685" t="s">
        <v>1707</v>
      </c>
      <c r="C291" s="685" t="s">
        <v>1893</v>
      </c>
      <c r="D291" s="685" t="s">
        <v>1391</v>
      </c>
      <c r="E291" s="686">
        <v>26900.0</v>
      </c>
      <c r="F291" s="692" t="s">
        <v>339</v>
      </c>
      <c r="G291" s="715"/>
      <c r="H291" s="687"/>
      <c r="I291" s="685" t="s">
        <v>1898</v>
      </c>
      <c r="J291" s="689">
        <v>4.0</v>
      </c>
      <c r="K291" s="689">
        <v>0.0</v>
      </c>
      <c r="L291" s="689">
        <v>0.0</v>
      </c>
      <c r="M291" s="689">
        <v>0.0</v>
      </c>
      <c r="N291" s="686">
        <v>20246.0</v>
      </c>
      <c r="O291" s="686">
        <v>80984.0</v>
      </c>
      <c r="P291" s="686">
        <v>0.0</v>
      </c>
      <c r="Q291" s="686">
        <v>0.0</v>
      </c>
      <c r="R291" s="686">
        <v>0.0</v>
      </c>
      <c r="S291" s="686">
        <v>0.0</v>
      </c>
      <c r="T291" s="686">
        <v>80984.0</v>
      </c>
      <c r="U291" s="690">
        <v>0.0</v>
      </c>
    </row>
    <row r="292">
      <c r="A292" s="685" t="s">
        <v>1865</v>
      </c>
      <c r="B292" s="685" t="s">
        <v>1707</v>
      </c>
      <c r="C292" s="685" t="s">
        <v>1708</v>
      </c>
      <c r="D292" s="685" t="s">
        <v>1391</v>
      </c>
      <c r="E292" s="686">
        <v>36900.0</v>
      </c>
      <c r="F292" s="692" t="s">
        <v>400</v>
      </c>
      <c r="G292" s="715"/>
      <c r="H292" s="687"/>
      <c r="I292" s="685" t="s">
        <v>1900</v>
      </c>
      <c r="J292" s="689">
        <v>8.0</v>
      </c>
      <c r="K292" s="689">
        <v>0.0</v>
      </c>
      <c r="L292" s="689">
        <v>0.0</v>
      </c>
      <c r="M292" s="689">
        <v>0.0</v>
      </c>
      <c r="N292" s="686">
        <v>30003.0</v>
      </c>
      <c r="O292" s="686">
        <v>240024.0</v>
      </c>
      <c r="P292" s="686">
        <v>240024.0</v>
      </c>
      <c r="Q292" s="686">
        <v>0.0</v>
      </c>
      <c r="R292" s="686">
        <v>0.0</v>
      </c>
      <c r="S292" s="686">
        <v>0.0</v>
      </c>
      <c r="T292" s="686">
        <v>0.0</v>
      </c>
      <c r="U292" s="690">
        <v>0.0</v>
      </c>
    </row>
    <row r="293">
      <c r="A293" s="685" t="s">
        <v>1865</v>
      </c>
      <c r="B293" s="685" t="s">
        <v>1707</v>
      </c>
      <c r="C293" s="685" t="s">
        <v>1708</v>
      </c>
      <c r="D293" s="685" t="s">
        <v>1391</v>
      </c>
      <c r="E293" s="686">
        <v>36900.0</v>
      </c>
      <c r="F293" s="692" t="s">
        <v>355</v>
      </c>
      <c r="G293" s="715"/>
      <c r="H293" s="687"/>
      <c r="I293" s="685" t="s">
        <v>1902</v>
      </c>
      <c r="J293" s="689">
        <v>9.0</v>
      </c>
      <c r="K293" s="689">
        <v>0.0</v>
      </c>
      <c r="L293" s="689">
        <v>0.0</v>
      </c>
      <c r="M293" s="689">
        <v>0.0</v>
      </c>
      <c r="N293" s="686">
        <v>30003.0</v>
      </c>
      <c r="O293" s="686">
        <v>270027.0</v>
      </c>
      <c r="P293" s="686">
        <v>210021.0</v>
      </c>
      <c r="Q293" s="686">
        <v>0.0</v>
      </c>
      <c r="R293" s="686">
        <v>60006.0</v>
      </c>
      <c r="S293" s="686">
        <v>0.0</v>
      </c>
      <c r="T293" s="686">
        <v>0.0</v>
      </c>
      <c r="U293" s="690">
        <v>0.0</v>
      </c>
    </row>
    <row r="294">
      <c r="A294" s="685" t="s">
        <v>1865</v>
      </c>
      <c r="B294" s="685" t="s">
        <v>1707</v>
      </c>
      <c r="C294" s="685" t="s">
        <v>1907</v>
      </c>
      <c r="D294" s="685" t="s">
        <v>1391</v>
      </c>
      <c r="E294" s="686">
        <v>24900.0</v>
      </c>
      <c r="F294" s="692" t="s">
        <v>415</v>
      </c>
      <c r="G294" s="715"/>
      <c r="H294" s="687"/>
      <c r="I294" s="685" t="s">
        <v>1910</v>
      </c>
      <c r="J294" s="689">
        <v>3.0</v>
      </c>
      <c r="K294" s="689">
        <v>0.0</v>
      </c>
      <c r="L294" s="689">
        <v>0.0</v>
      </c>
      <c r="M294" s="689">
        <v>0.0</v>
      </c>
      <c r="N294" s="686">
        <v>20246.0</v>
      </c>
      <c r="O294" s="686">
        <v>60738.0</v>
      </c>
      <c r="P294" s="686">
        <v>60738.0</v>
      </c>
      <c r="Q294" s="686">
        <v>0.0</v>
      </c>
      <c r="R294" s="686">
        <v>0.0</v>
      </c>
      <c r="S294" s="686">
        <v>0.0</v>
      </c>
      <c r="T294" s="686">
        <v>0.0</v>
      </c>
      <c r="U294" s="690">
        <v>0.0</v>
      </c>
    </row>
    <row r="295">
      <c r="A295" s="685" t="s">
        <v>1865</v>
      </c>
      <c r="B295" s="685" t="s">
        <v>1707</v>
      </c>
      <c r="C295" s="685" t="s">
        <v>1907</v>
      </c>
      <c r="D295" s="685" t="s">
        <v>1391</v>
      </c>
      <c r="E295" s="686">
        <v>24900.0</v>
      </c>
      <c r="F295" s="692" t="s">
        <v>418</v>
      </c>
      <c r="G295" s="715"/>
      <c r="H295" s="687"/>
      <c r="I295" s="685" t="s">
        <v>1915</v>
      </c>
      <c r="J295" s="689">
        <v>3.0</v>
      </c>
      <c r="K295" s="689">
        <v>0.0</v>
      </c>
      <c r="L295" s="689">
        <v>0.0</v>
      </c>
      <c r="M295" s="689">
        <v>0.0</v>
      </c>
      <c r="N295" s="686">
        <v>20246.0</v>
      </c>
      <c r="O295" s="686">
        <v>60738.0</v>
      </c>
      <c r="P295" s="686">
        <v>60738.0</v>
      </c>
      <c r="Q295" s="686">
        <v>0.0</v>
      </c>
      <c r="R295" s="686">
        <v>0.0</v>
      </c>
      <c r="S295" s="686">
        <v>0.0</v>
      </c>
      <c r="T295" s="686">
        <v>0.0</v>
      </c>
      <c r="U295" s="690">
        <v>0.0</v>
      </c>
    </row>
    <row r="296">
      <c r="A296" s="685" t="s">
        <v>1865</v>
      </c>
      <c r="B296" s="685" t="s">
        <v>1707</v>
      </c>
      <c r="C296" s="685" t="s">
        <v>1907</v>
      </c>
      <c r="D296" s="685" t="s">
        <v>1391</v>
      </c>
      <c r="E296" s="686">
        <v>24900.0</v>
      </c>
      <c r="F296" s="692" t="s">
        <v>420</v>
      </c>
      <c r="G296" s="715"/>
      <c r="H296" s="687"/>
      <c r="I296" s="685" t="s">
        <v>1919</v>
      </c>
      <c r="J296" s="689">
        <v>2.0</v>
      </c>
      <c r="K296" s="689">
        <v>0.0</v>
      </c>
      <c r="L296" s="689">
        <v>0.0</v>
      </c>
      <c r="M296" s="689">
        <v>0.0</v>
      </c>
      <c r="N296" s="686">
        <v>20246.0</v>
      </c>
      <c r="O296" s="686">
        <v>40492.0</v>
      </c>
      <c r="P296" s="686">
        <v>40492.0</v>
      </c>
      <c r="Q296" s="686">
        <v>0.0</v>
      </c>
      <c r="R296" s="686">
        <v>0.0</v>
      </c>
      <c r="S296" s="686">
        <v>0.0</v>
      </c>
      <c r="T296" s="686">
        <v>0.0</v>
      </c>
      <c r="U296" s="690">
        <v>0.0</v>
      </c>
    </row>
    <row r="297">
      <c r="A297" s="685" t="s">
        <v>1865</v>
      </c>
      <c r="B297" s="685" t="s">
        <v>1707</v>
      </c>
      <c r="C297" s="685" t="s">
        <v>1907</v>
      </c>
      <c r="D297" s="685" t="s">
        <v>1391</v>
      </c>
      <c r="E297" s="686">
        <v>24900.0</v>
      </c>
      <c r="F297" s="692" t="s">
        <v>403</v>
      </c>
      <c r="G297" s="715"/>
      <c r="H297" s="687"/>
      <c r="I297" s="685" t="s">
        <v>1923</v>
      </c>
      <c r="J297" s="689">
        <v>3.0</v>
      </c>
      <c r="K297" s="689">
        <v>0.0</v>
      </c>
      <c r="L297" s="689">
        <v>0.0</v>
      </c>
      <c r="M297" s="689">
        <v>0.0</v>
      </c>
      <c r="N297" s="686">
        <v>20246.0</v>
      </c>
      <c r="O297" s="686">
        <v>60738.0</v>
      </c>
      <c r="P297" s="686">
        <v>60738.0</v>
      </c>
      <c r="Q297" s="686">
        <v>0.0</v>
      </c>
      <c r="R297" s="686">
        <v>0.0</v>
      </c>
      <c r="S297" s="686">
        <v>0.0</v>
      </c>
      <c r="T297" s="686">
        <v>0.0</v>
      </c>
      <c r="U297" s="690">
        <v>0.0</v>
      </c>
    </row>
    <row r="298">
      <c r="A298" s="685" t="s">
        <v>1865</v>
      </c>
      <c r="B298" s="685" t="s">
        <v>1707</v>
      </c>
      <c r="C298" s="685" t="s">
        <v>1907</v>
      </c>
      <c r="D298" s="685" t="s">
        <v>1391</v>
      </c>
      <c r="E298" s="686">
        <v>24900.0</v>
      </c>
      <c r="F298" s="692" t="s">
        <v>408</v>
      </c>
      <c r="G298" s="715"/>
      <c r="H298" s="687"/>
      <c r="I298" s="685" t="s">
        <v>1925</v>
      </c>
      <c r="J298" s="689">
        <v>4.0</v>
      </c>
      <c r="K298" s="689">
        <v>0.0</v>
      </c>
      <c r="L298" s="689">
        <v>0.0</v>
      </c>
      <c r="M298" s="689">
        <v>0.0</v>
      </c>
      <c r="N298" s="686">
        <v>20246.0</v>
      </c>
      <c r="O298" s="686">
        <v>80984.0</v>
      </c>
      <c r="P298" s="686">
        <v>80984.0</v>
      </c>
      <c r="Q298" s="686">
        <v>0.0</v>
      </c>
      <c r="R298" s="686">
        <v>0.0</v>
      </c>
      <c r="S298" s="686">
        <v>0.0</v>
      </c>
      <c r="T298" s="686">
        <v>0.0</v>
      </c>
      <c r="U298" s="690">
        <v>0.0</v>
      </c>
    </row>
    <row r="299">
      <c r="A299" s="685" t="s">
        <v>1865</v>
      </c>
      <c r="B299" s="685" t="s">
        <v>1707</v>
      </c>
      <c r="C299" s="685" t="s">
        <v>1907</v>
      </c>
      <c r="D299" s="685" t="s">
        <v>1391</v>
      </c>
      <c r="E299" s="686">
        <v>24900.0</v>
      </c>
      <c r="F299" s="692" t="s">
        <v>411</v>
      </c>
      <c r="G299" s="715"/>
      <c r="H299" s="687"/>
      <c r="I299" s="685" t="s">
        <v>1928</v>
      </c>
      <c r="J299" s="689">
        <v>1.0</v>
      </c>
      <c r="K299" s="689">
        <v>0.0</v>
      </c>
      <c r="L299" s="689">
        <v>0.0</v>
      </c>
      <c r="M299" s="689">
        <v>0.0</v>
      </c>
      <c r="N299" s="686">
        <v>20246.0</v>
      </c>
      <c r="O299" s="686">
        <v>20246.0</v>
      </c>
      <c r="P299" s="686">
        <v>20246.0</v>
      </c>
      <c r="Q299" s="686">
        <v>0.0</v>
      </c>
      <c r="R299" s="686">
        <v>0.0</v>
      </c>
      <c r="S299" s="686">
        <v>0.0</v>
      </c>
      <c r="T299" s="686">
        <v>0.0</v>
      </c>
      <c r="U299" s="690">
        <v>0.0</v>
      </c>
    </row>
    <row r="300">
      <c r="A300" s="685" t="s">
        <v>1865</v>
      </c>
      <c r="B300" s="685" t="s">
        <v>1707</v>
      </c>
      <c r="C300" s="685" t="s">
        <v>1593</v>
      </c>
      <c r="D300" s="685" t="s">
        <v>1391</v>
      </c>
      <c r="E300" s="686">
        <v>33900.0</v>
      </c>
      <c r="F300" s="692" t="s">
        <v>437</v>
      </c>
      <c r="G300" s="715"/>
      <c r="H300" s="687"/>
      <c r="I300" s="685" t="s">
        <v>1929</v>
      </c>
      <c r="J300" s="689">
        <v>1.0</v>
      </c>
      <c r="K300" s="689">
        <v>0.0</v>
      </c>
      <c r="L300" s="689">
        <v>0.0</v>
      </c>
      <c r="M300" s="689">
        <v>0.0</v>
      </c>
      <c r="N300" s="686">
        <v>27564.0</v>
      </c>
      <c r="O300" s="686">
        <v>27564.0</v>
      </c>
      <c r="P300" s="686">
        <v>0.0</v>
      </c>
      <c r="Q300" s="686">
        <v>0.0</v>
      </c>
      <c r="R300" s="686">
        <v>0.0</v>
      </c>
      <c r="S300" s="686">
        <v>0.0</v>
      </c>
      <c r="T300" s="686">
        <v>0.0</v>
      </c>
      <c r="U300" s="690">
        <v>27564.0</v>
      </c>
    </row>
    <row r="301">
      <c r="A301" s="685" t="s">
        <v>1865</v>
      </c>
      <c r="B301" s="685" t="s">
        <v>1707</v>
      </c>
      <c r="C301" s="685" t="s">
        <v>1593</v>
      </c>
      <c r="D301" s="685" t="s">
        <v>1391</v>
      </c>
      <c r="E301" s="686">
        <v>41900.0</v>
      </c>
      <c r="F301" s="692" t="s">
        <v>463</v>
      </c>
      <c r="G301" s="715"/>
      <c r="H301" s="687"/>
      <c r="I301" s="685" t="s">
        <v>1930</v>
      </c>
      <c r="J301" s="689">
        <v>3.0</v>
      </c>
      <c r="K301" s="689">
        <v>0.0</v>
      </c>
      <c r="L301" s="689">
        <v>0.0</v>
      </c>
      <c r="M301" s="689">
        <v>0.0</v>
      </c>
      <c r="N301" s="686">
        <v>34068.0</v>
      </c>
      <c r="O301" s="686">
        <v>102204.0</v>
      </c>
      <c r="P301" s="686">
        <v>0.0</v>
      </c>
      <c r="Q301" s="686">
        <v>0.0</v>
      </c>
      <c r="R301" s="686">
        <v>0.0</v>
      </c>
      <c r="S301" s="686">
        <v>0.0</v>
      </c>
      <c r="T301" s="686">
        <v>0.0</v>
      </c>
      <c r="U301" s="690">
        <v>102204.0</v>
      </c>
    </row>
    <row r="302">
      <c r="A302" s="685" t="s">
        <v>1865</v>
      </c>
      <c r="B302" s="685" t="s">
        <v>1707</v>
      </c>
      <c r="C302" s="685" t="s">
        <v>1593</v>
      </c>
      <c r="D302" s="685" t="s">
        <v>1391</v>
      </c>
      <c r="E302" s="686">
        <v>41900.0</v>
      </c>
      <c r="F302" s="692" t="s">
        <v>456</v>
      </c>
      <c r="G302" s="715"/>
      <c r="H302" s="687"/>
      <c r="I302" s="685" t="s">
        <v>1934</v>
      </c>
      <c r="J302" s="689">
        <v>2.0</v>
      </c>
      <c r="K302" s="689">
        <v>0.0</v>
      </c>
      <c r="L302" s="689">
        <v>0.0</v>
      </c>
      <c r="M302" s="689">
        <v>0.0</v>
      </c>
      <c r="N302" s="686">
        <v>34068.0</v>
      </c>
      <c r="O302" s="686">
        <v>68136.0</v>
      </c>
      <c r="P302" s="686">
        <v>0.0</v>
      </c>
      <c r="Q302" s="686">
        <v>0.0</v>
      </c>
      <c r="R302" s="686">
        <v>0.0</v>
      </c>
      <c r="S302" s="686">
        <v>0.0</v>
      </c>
      <c r="T302" s="686">
        <v>0.0</v>
      </c>
      <c r="U302" s="690">
        <v>68136.0</v>
      </c>
    </row>
    <row r="303">
      <c r="A303" s="685" t="s">
        <v>1865</v>
      </c>
      <c r="B303" s="685" t="s">
        <v>1707</v>
      </c>
      <c r="C303" s="685" t="s">
        <v>1593</v>
      </c>
      <c r="D303" s="685" t="s">
        <v>1391</v>
      </c>
      <c r="E303" s="686">
        <v>41900.0</v>
      </c>
      <c r="F303" s="692" t="s">
        <v>471</v>
      </c>
      <c r="G303" s="715"/>
      <c r="H303" s="687"/>
      <c r="I303" s="685" t="s">
        <v>1935</v>
      </c>
      <c r="J303" s="689">
        <v>2.0</v>
      </c>
      <c r="K303" s="689">
        <v>0.0</v>
      </c>
      <c r="L303" s="689">
        <v>0.0</v>
      </c>
      <c r="M303" s="689">
        <v>0.0</v>
      </c>
      <c r="N303" s="686">
        <v>34068.0</v>
      </c>
      <c r="O303" s="686">
        <v>68136.0</v>
      </c>
      <c r="P303" s="686">
        <v>0.0</v>
      </c>
      <c r="Q303" s="686">
        <v>0.0</v>
      </c>
      <c r="R303" s="686">
        <v>0.0</v>
      </c>
      <c r="S303" s="686">
        <v>0.0</v>
      </c>
      <c r="T303" s="686">
        <v>0.0</v>
      </c>
      <c r="U303" s="690">
        <v>68136.0</v>
      </c>
    </row>
    <row r="304">
      <c r="A304" s="685" t="s">
        <v>1865</v>
      </c>
      <c r="B304" s="685" t="s">
        <v>1707</v>
      </c>
      <c r="C304" s="685" t="s">
        <v>1593</v>
      </c>
      <c r="D304" s="685" t="s">
        <v>1391</v>
      </c>
      <c r="E304" s="686">
        <v>33900.0</v>
      </c>
      <c r="F304" s="692" t="s">
        <v>448</v>
      </c>
      <c r="G304" s="715"/>
      <c r="H304" s="687"/>
      <c r="I304" s="685" t="s">
        <v>2062</v>
      </c>
      <c r="J304" s="689">
        <v>1.0</v>
      </c>
      <c r="K304" s="689">
        <v>0.0</v>
      </c>
      <c r="L304" s="689">
        <v>0.0</v>
      </c>
      <c r="M304" s="689">
        <v>0.0</v>
      </c>
      <c r="N304" s="686">
        <v>27564.0</v>
      </c>
      <c r="O304" s="686">
        <v>27564.0</v>
      </c>
      <c r="P304" s="686">
        <v>0.0</v>
      </c>
      <c r="Q304" s="686">
        <v>0.0</v>
      </c>
      <c r="R304" s="686">
        <v>0.0</v>
      </c>
      <c r="S304" s="686">
        <v>0.0</v>
      </c>
      <c r="T304" s="686">
        <v>0.0</v>
      </c>
      <c r="U304" s="690">
        <v>27564.0</v>
      </c>
    </row>
    <row r="305">
      <c r="A305" s="685" t="s">
        <v>1865</v>
      </c>
      <c r="B305" s="685" t="s">
        <v>1707</v>
      </c>
      <c r="C305" s="685" t="s">
        <v>1593</v>
      </c>
      <c r="D305" s="685" t="s">
        <v>1391</v>
      </c>
      <c r="E305" s="686">
        <v>40900.0</v>
      </c>
      <c r="F305" s="692" t="s">
        <v>494</v>
      </c>
      <c r="G305" s="715"/>
      <c r="H305" s="687"/>
      <c r="I305" s="685" t="s">
        <v>1939</v>
      </c>
      <c r="J305" s="689">
        <v>1.0</v>
      </c>
      <c r="K305" s="689">
        <v>0.0</v>
      </c>
      <c r="L305" s="689">
        <v>0.0</v>
      </c>
      <c r="M305" s="689">
        <v>0.0</v>
      </c>
      <c r="N305" s="686">
        <v>33255.0</v>
      </c>
      <c r="O305" s="686">
        <v>33255.0</v>
      </c>
      <c r="P305" s="686">
        <v>0.0</v>
      </c>
      <c r="Q305" s="686">
        <v>0.0</v>
      </c>
      <c r="R305" s="686">
        <v>0.0</v>
      </c>
      <c r="S305" s="686">
        <v>0.0</v>
      </c>
      <c r="T305" s="686">
        <v>0.0</v>
      </c>
      <c r="U305" s="690">
        <v>33255.0</v>
      </c>
    </row>
    <row r="306">
      <c r="A306" s="685" t="s">
        <v>1865</v>
      </c>
      <c r="B306" s="685" t="s">
        <v>1707</v>
      </c>
      <c r="C306" s="685" t="s">
        <v>1593</v>
      </c>
      <c r="D306" s="685" t="s">
        <v>1391</v>
      </c>
      <c r="E306" s="686">
        <v>48900.0</v>
      </c>
      <c r="F306" s="692" t="s">
        <v>520</v>
      </c>
      <c r="G306" s="715"/>
      <c r="H306" s="687"/>
      <c r="I306" s="685" t="s">
        <v>1940</v>
      </c>
      <c r="J306" s="689">
        <v>3.0</v>
      </c>
      <c r="K306" s="689">
        <v>0.0</v>
      </c>
      <c r="L306" s="689">
        <v>0.0</v>
      </c>
      <c r="M306" s="689">
        <v>0.0</v>
      </c>
      <c r="N306" s="686">
        <v>39760.0</v>
      </c>
      <c r="O306" s="686">
        <v>119280.0</v>
      </c>
      <c r="P306" s="686">
        <v>0.0</v>
      </c>
      <c r="Q306" s="686">
        <v>0.0</v>
      </c>
      <c r="R306" s="686">
        <v>0.0</v>
      </c>
      <c r="S306" s="686">
        <v>0.0</v>
      </c>
      <c r="T306" s="686">
        <v>0.0</v>
      </c>
      <c r="U306" s="690">
        <v>119280.0</v>
      </c>
    </row>
    <row r="307">
      <c r="A307" s="685" t="s">
        <v>1865</v>
      </c>
      <c r="B307" s="685" t="s">
        <v>1707</v>
      </c>
      <c r="C307" s="685" t="s">
        <v>1593</v>
      </c>
      <c r="D307" s="685" t="s">
        <v>1391</v>
      </c>
      <c r="E307" s="686">
        <v>48900.0</v>
      </c>
      <c r="F307" s="692" t="s">
        <v>511</v>
      </c>
      <c r="G307" s="715"/>
      <c r="H307" s="687"/>
      <c r="I307" s="685" t="s">
        <v>1941</v>
      </c>
      <c r="J307" s="689">
        <v>3.0</v>
      </c>
      <c r="K307" s="689">
        <v>0.0</v>
      </c>
      <c r="L307" s="689">
        <v>0.0</v>
      </c>
      <c r="M307" s="689">
        <v>0.0</v>
      </c>
      <c r="N307" s="686">
        <v>39760.0</v>
      </c>
      <c r="O307" s="686">
        <v>119280.0</v>
      </c>
      <c r="P307" s="686">
        <v>0.0</v>
      </c>
      <c r="Q307" s="686">
        <v>0.0</v>
      </c>
      <c r="R307" s="686">
        <v>0.0</v>
      </c>
      <c r="S307" s="686">
        <v>0.0</v>
      </c>
      <c r="T307" s="686">
        <v>0.0</v>
      </c>
      <c r="U307" s="690">
        <v>119280.0</v>
      </c>
    </row>
    <row r="308">
      <c r="A308" s="685" t="s">
        <v>1865</v>
      </c>
      <c r="B308" s="685" t="s">
        <v>1707</v>
      </c>
      <c r="C308" s="685" t="s">
        <v>1593</v>
      </c>
      <c r="D308" s="685" t="s">
        <v>1391</v>
      </c>
      <c r="E308" s="686">
        <v>40900.0</v>
      </c>
      <c r="F308" s="692" t="s">
        <v>500</v>
      </c>
      <c r="G308" s="715"/>
      <c r="H308" s="687"/>
      <c r="I308" s="685" t="s">
        <v>1942</v>
      </c>
      <c r="J308" s="689">
        <v>1.0</v>
      </c>
      <c r="K308" s="689">
        <v>0.0</v>
      </c>
      <c r="L308" s="689">
        <v>0.0</v>
      </c>
      <c r="M308" s="689">
        <v>0.0</v>
      </c>
      <c r="N308" s="686">
        <v>33255.0</v>
      </c>
      <c r="O308" s="686">
        <v>33255.0</v>
      </c>
      <c r="P308" s="686">
        <v>0.0</v>
      </c>
      <c r="Q308" s="686">
        <v>0.0</v>
      </c>
      <c r="R308" s="686">
        <v>0.0</v>
      </c>
      <c r="S308" s="686">
        <v>0.0</v>
      </c>
      <c r="T308" s="686">
        <v>0.0</v>
      </c>
      <c r="U308" s="690">
        <v>33255.0</v>
      </c>
    </row>
    <row r="309">
      <c r="A309" s="685" t="s">
        <v>1865</v>
      </c>
      <c r="B309" s="685" t="s">
        <v>1707</v>
      </c>
      <c r="C309" s="685" t="s">
        <v>1593</v>
      </c>
      <c r="D309" s="685" t="s">
        <v>1391</v>
      </c>
      <c r="E309" s="686">
        <v>48900.0</v>
      </c>
      <c r="F309" s="692" t="s">
        <v>525</v>
      </c>
      <c r="G309" s="715"/>
      <c r="H309" s="687"/>
      <c r="I309" s="685" t="s">
        <v>1943</v>
      </c>
      <c r="J309" s="689">
        <v>3.0</v>
      </c>
      <c r="K309" s="689">
        <v>0.0</v>
      </c>
      <c r="L309" s="689">
        <v>0.0</v>
      </c>
      <c r="M309" s="689">
        <v>0.0</v>
      </c>
      <c r="N309" s="686">
        <v>39760.0</v>
      </c>
      <c r="O309" s="686">
        <v>119280.0</v>
      </c>
      <c r="P309" s="686">
        <v>0.0</v>
      </c>
      <c r="Q309" s="686">
        <v>0.0</v>
      </c>
      <c r="R309" s="686">
        <v>0.0</v>
      </c>
      <c r="S309" s="686">
        <v>0.0</v>
      </c>
      <c r="T309" s="686">
        <v>0.0</v>
      </c>
      <c r="U309" s="690">
        <v>119280.0</v>
      </c>
    </row>
    <row r="310">
      <c r="A310" s="685" t="s">
        <v>1865</v>
      </c>
      <c r="B310" s="685" t="s">
        <v>1707</v>
      </c>
      <c r="C310" s="685" t="s">
        <v>1593</v>
      </c>
      <c r="D310" s="685" t="s">
        <v>1391</v>
      </c>
      <c r="E310" s="686">
        <v>40900.0</v>
      </c>
      <c r="F310" s="692" t="s">
        <v>506</v>
      </c>
      <c r="G310" s="715"/>
      <c r="H310" s="687"/>
      <c r="I310" s="685" t="s">
        <v>1947</v>
      </c>
      <c r="J310" s="689">
        <v>1.0</v>
      </c>
      <c r="K310" s="689">
        <v>0.0</v>
      </c>
      <c r="L310" s="689">
        <v>0.0</v>
      </c>
      <c r="M310" s="689">
        <v>0.0</v>
      </c>
      <c r="N310" s="686">
        <v>33255.0</v>
      </c>
      <c r="O310" s="686">
        <v>33255.0</v>
      </c>
      <c r="P310" s="686">
        <v>0.0</v>
      </c>
      <c r="Q310" s="686">
        <v>0.0</v>
      </c>
      <c r="R310" s="686">
        <v>0.0</v>
      </c>
      <c r="S310" s="686">
        <v>0.0</v>
      </c>
      <c r="T310" s="686">
        <v>0.0</v>
      </c>
      <c r="U310" s="690">
        <v>33255.0</v>
      </c>
    </row>
    <row r="311">
      <c r="A311" s="685" t="s">
        <v>1865</v>
      </c>
      <c r="B311" s="685" t="s">
        <v>1707</v>
      </c>
      <c r="C311" s="685" t="s">
        <v>1593</v>
      </c>
      <c r="D311" s="685" t="s">
        <v>1391</v>
      </c>
      <c r="E311" s="686">
        <v>48900.0</v>
      </c>
      <c r="F311" s="692" t="s">
        <v>531</v>
      </c>
      <c r="G311" s="715"/>
      <c r="H311" s="687"/>
      <c r="I311" s="685" t="s">
        <v>1952</v>
      </c>
      <c r="J311" s="689">
        <v>1.0</v>
      </c>
      <c r="K311" s="689">
        <v>0.0</v>
      </c>
      <c r="L311" s="689">
        <v>0.0</v>
      </c>
      <c r="M311" s="689">
        <v>0.0</v>
      </c>
      <c r="N311" s="686">
        <v>39760.0</v>
      </c>
      <c r="O311" s="686">
        <v>39760.0</v>
      </c>
      <c r="P311" s="686">
        <v>0.0</v>
      </c>
      <c r="Q311" s="686">
        <v>0.0</v>
      </c>
      <c r="R311" s="686">
        <v>0.0</v>
      </c>
      <c r="S311" s="686">
        <v>0.0</v>
      </c>
      <c r="T311" s="686">
        <v>0.0</v>
      </c>
      <c r="U311" s="690">
        <v>39760.0</v>
      </c>
    </row>
    <row r="312">
      <c r="A312" s="685" t="s">
        <v>1865</v>
      </c>
      <c r="B312" s="685" t="s">
        <v>1707</v>
      </c>
      <c r="C312" s="685" t="s">
        <v>1593</v>
      </c>
      <c r="D312" s="685" t="s">
        <v>1391</v>
      </c>
      <c r="E312" s="686">
        <v>46900.0</v>
      </c>
      <c r="F312" s="692" t="s">
        <v>551</v>
      </c>
      <c r="G312" s="715"/>
      <c r="H312" s="687"/>
      <c r="I312" s="685" t="s">
        <v>1956</v>
      </c>
      <c r="J312" s="689">
        <v>3.0</v>
      </c>
      <c r="K312" s="689">
        <v>0.0</v>
      </c>
      <c r="L312" s="689">
        <v>0.0</v>
      </c>
      <c r="M312" s="689">
        <v>0.0</v>
      </c>
      <c r="N312" s="686">
        <v>38134.0</v>
      </c>
      <c r="O312" s="686">
        <v>114402.0</v>
      </c>
      <c r="P312" s="686">
        <v>0.0</v>
      </c>
      <c r="Q312" s="686">
        <v>0.0</v>
      </c>
      <c r="R312" s="686">
        <v>114402.0</v>
      </c>
      <c r="S312" s="686">
        <v>0.0</v>
      </c>
      <c r="T312" s="686">
        <v>0.0</v>
      </c>
      <c r="U312" s="690">
        <v>0.0</v>
      </c>
    </row>
    <row r="313">
      <c r="A313" s="685" t="s">
        <v>1865</v>
      </c>
      <c r="B313" s="685" t="s">
        <v>1707</v>
      </c>
      <c r="C313" s="685" t="s">
        <v>1593</v>
      </c>
      <c r="D313" s="685" t="s">
        <v>1391</v>
      </c>
      <c r="E313" s="686">
        <v>54900.0</v>
      </c>
      <c r="F313" s="692" t="s">
        <v>582</v>
      </c>
      <c r="G313" s="715"/>
      <c r="H313" s="687"/>
      <c r="I313" s="685" t="s">
        <v>1960</v>
      </c>
      <c r="J313" s="689">
        <v>12.0</v>
      </c>
      <c r="K313" s="689">
        <v>0.0</v>
      </c>
      <c r="L313" s="689">
        <v>0.0</v>
      </c>
      <c r="M313" s="689">
        <v>0.0</v>
      </c>
      <c r="N313" s="686">
        <v>44638.0</v>
      </c>
      <c r="O313" s="686">
        <v>535656.0</v>
      </c>
      <c r="P313" s="686">
        <v>0.0</v>
      </c>
      <c r="Q313" s="686">
        <v>0.0</v>
      </c>
      <c r="R313" s="686">
        <v>0.0</v>
      </c>
      <c r="S313" s="686">
        <v>0.0</v>
      </c>
      <c r="T313" s="686">
        <v>0.0</v>
      </c>
      <c r="U313" s="690">
        <v>535656.0</v>
      </c>
    </row>
    <row r="314">
      <c r="A314" s="685" t="s">
        <v>1865</v>
      </c>
      <c r="B314" s="685" t="s">
        <v>1707</v>
      </c>
      <c r="C314" s="685" t="s">
        <v>1593</v>
      </c>
      <c r="D314" s="685" t="s">
        <v>1391</v>
      </c>
      <c r="E314" s="686">
        <v>46900.0</v>
      </c>
      <c r="F314" s="692" t="s">
        <v>538</v>
      </c>
      <c r="G314" s="715"/>
      <c r="H314" s="687"/>
      <c r="I314" s="685" t="s">
        <v>1964</v>
      </c>
      <c r="J314" s="689">
        <v>5.0</v>
      </c>
      <c r="K314" s="689">
        <v>0.0</v>
      </c>
      <c r="L314" s="689">
        <v>0.0</v>
      </c>
      <c r="M314" s="689">
        <v>0.0</v>
      </c>
      <c r="N314" s="686">
        <v>38134.0</v>
      </c>
      <c r="O314" s="686">
        <v>190670.0</v>
      </c>
      <c r="P314" s="686">
        <v>190670.0</v>
      </c>
      <c r="Q314" s="686">
        <v>0.0</v>
      </c>
      <c r="R314" s="686">
        <v>0.0</v>
      </c>
      <c r="S314" s="686">
        <v>0.0</v>
      </c>
      <c r="T314" s="686">
        <v>0.0</v>
      </c>
      <c r="U314" s="690">
        <v>0.0</v>
      </c>
    </row>
    <row r="315">
      <c r="A315" s="685" t="s">
        <v>1865</v>
      </c>
      <c r="B315" s="685" t="s">
        <v>1707</v>
      </c>
      <c r="C315" s="685" t="s">
        <v>1593</v>
      </c>
      <c r="D315" s="685" t="s">
        <v>1391</v>
      </c>
      <c r="E315" s="686">
        <v>54900.0</v>
      </c>
      <c r="F315" s="692" t="s">
        <v>572</v>
      </c>
      <c r="G315" s="715"/>
      <c r="H315" s="687"/>
      <c r="I315" s="685" t="s">
        <v>1965</v>
      </c>
      <c r="J315" s="689">
        <v>3.0</v>
      </c>
      <c r="K315" s="689">
        <v>0.0</v>
      </c>
      <c r="L315" s="689">
        <v>0.0</v>
      </c>
      <c r="M315" s="689">
        <v>0.0</v>
      </c>
      <c r="N315" s="686">
        <v>44638.0</v>
      </c>
      <c r="O315" s="686">
        <v>133914.0</v>
      </c>
      <c r="P315" s="686">
        <v>0.0</v>
      </c>
      <c r="Q315" s="686">
        <v>0.0</v>
      </c>
      <c r="R315" s="686">
        <v>133914.0</v>
      </c>
      <c r="S315" s="686">
        <v>0.0</v>
      </c>
      <c r="T315" s="686">
        <v>0.0</v>
      </c>
      <c r="U315" s="690">
        <v>0.0</v>
      </c>
    </row>
    <row r="316">
      <c r="A316" s="685" t="s">
        <v>1865</v>
      </c>
      <c r="B316" s="685" t="s">
        <v>1707</v>
      </c>
      <c r="C316" s="685" t="s">
        <v>1593</v>
      </c>
      <c r="D316" s="685" t="s">
        <v>1391</v>
      </c>
      <c r="E316" s="686">
        <v>46900.0</v>
      </c>
      <c r="F316" s="692" t="s">
        <v>557</v>
      </c>
      <c r="G316" s="715"/>
      <c r="H316" s="715"/>
      <c r="I316" s="685" t="s">
        <v>1966</v>
      </c>
      <c r="J316" s="689">
        <v>6.0</v>
      </c>
      <c r="K316" s="689">
        <v>0.0</v>
      </c>
      <c r="L316" s="689">
        <v>0.0</v>
      </c>
      <c r="M316" s="689">
        <v>0.0</v>
      </c>
      <c r="N316" s="686">
        <v>38134.0</v>
      </c>
      <c r="O316" s="686">
        <v>228804.0</v>
      </c>
      <c r="P316" s="686">
        <v>0.0</v>
      </c>
      <c r="Q316" s="686">
        <v>0.0</v>
      </c>
      <c r="R316" s="686">
        <v>0.0</v>
      </c>
      <c r="S316" s="686">
        <v>228804.0</v>
      </c>
      <c r="T316" s="686">
        <v>0.0</v>
      </c>
      <c r="U316" s="690">
        <v>0.0</v>
      </c>
    </row>
    <row r="317">
      <c r="A317" s="685" t="s">
        <v>1865</v>
      </c>
      <c r="B317" s="685" t="s">
        <v>1707</v>
      </c>
      <c r="C317" s="685" t="s">
        <v>1593</v>
      </c>
      <c r="D317" s="685" t="s">
        <v>1391</v>
      </c>
      <c r="E317" s="686">
        <v>54900.0</v>
      </c>
      <c r="F317" s="692" t="s">
        <v>589</v>
      </c>
      <c r="G317" s="715"/>
      <c r="H317" s="715"/>
      <c r="I317" s="685" t="s">
        <v>1969</v>
      </c>
      <c r="J317" s="689">
        <v>5.0</v>
      </c>
      <c r="K317" s="689">
        <v>0.0</v>
      </c>
      <c r="L317" s="689">
        <v>0.0</v>
      </c>
      <c r="M317" s="689">
        <v>0.0</v>
      </c>
      <c r="N317" s="686">
        <v>44638.0</v>
      </c>
      <c r="O317" s="686">
        <v>223190.0</v>
      </c>
      <c r="P317" s="686">
        <v>0.0</v>
      </c>
      <c r="Q317" s="686">
        <v>0.0</v>
      </c>
      <c r="R317" s="686">
        <v>223190.0</v>
      </c>
      <c r="S317" s="686">
        <v>0.0</v>
      </c>
      <c r="T317" s="686">
        <v>0.0</v>
      </c>
      <c r="U317" s="690">
        <v>0.0</v>
      </c>
    </row>
    <row r="318">
      <c r="A318" s="685" t="s">
        <v>1865</v>
      </c>
      <c r="B318" s="685" t="s">
        <v>1707</v>
      </c>
      <c r="C318" s="685" t="s">
        <v>1593</v>
      </c>
      <c r="D318" s="685" t="s">
        <v>1391</v>
      </c>
      <c r="E318" s="686">
        <v>46900.0</v>
      </c>
      <c r="F318" s="692" t="s">
        <v>565</v>
      </c>
      <c r="G318" s="715"/>
      <c r="H318" s="715"/>
      <c r="I318" s="685" t="s">
        <v>1972</v>
      </c>
      <c r="J318" s="689">
        <v>4.0</v>
      </c>
      <c r="K318" s="689">
        <v>0.0</v>
      </c>
      <c r="L318" s="689">
        <v>0.0</v>
      </c>
      <c r="M318" s="689">
        <v>0.0</v>
      </c>
      <c r="N318" s="686">
        <v>38134.0</v>
      </c>
      <c r="O318" s="686">
        <v>152536.0</v>
      </c>
      <c r="P318" s="686">
        <v>0.0</v>
      </c>
      <c r="Q318" s="686">
        <v>76268.0</v>
      </c>
      <c r="R318" s="686">
        <v>76268.0</v>
      </c>
      <c r="S318" s="686">
        <v>0.0</v>
      </c>
      <c r="T318" s="686">
        <v>0.0</v>
      </c>
      <c r="U318" s="690">
        <v>0.0</v>
      </c>
    </row>
    <row r="319">
      <c r="A319" s="685" t="s">
        <v>1865</v>
      </c>
      <c r="B319" s="685" t="s">
        <v>1707</v>
      </c>
      <c r="C319" s="685" t="s">
        <v>1593</v>
      </c>
      <c r="D319" s="685" t="s">
        <v>1391</v>
      </c>
      <c r="E319" s="686">
        <v>54900.0</v>
      </c>
      <c r="F319" s="692" t="s">
        <v>598</v>
      </c>
      <c r="G319" s="715"/>
      <c r="H319" s="715"/>
      <c r="I319" s="685" t="s">
        <v>1979</v>
      </c>
      <c r="J319" s="689">
        <v>5.0</v>
      </c>
      <c r="K319" s="689">
        <v>0.0</v>
      </c>
      <c r="L319" s="689">
        <v>0.0</v>
      </c>
      <c r="M319" s="689">
        <v>0.0</v>
      </c>
      <c r="N319" s="686">
        <v>44638.0</v>
      </c>
      <c r="O319" s="686">
        <v>223190.0</v>
      </c>
      <c r="P319" s="686">
        <v>0.0</v>
      </c>
      <c r="Q319" s="686">
        <v>0.0</v>
      </c>
      <c r="R319" s="686">
        <v>0.0</v>
      </c>
      <c r="S319" s="686">
        <v>0.0</v>
      </c>
      <c r="T319" s="686">
        <v>0.0</v>
      </c>
      <c r="U319" s="690">
        <v>223190.0</v>
      </c>
    </row>
    <row r="320">
      <c r="A320" s="685" t="s">
        <v>1865</v>
      </c>
      <c r="B320" s="685" t="s">
        <v>1707</v>
      </c>
      <c r="C320" s="685" t="s">
        <v>1694</v>
      </c>
      <c r="D320" s="685" t="s">
        <v>1391</v>
      </c>
      <c r="E320" s="686">
        <v>42900.0</v>
      </c>
      <c r="F320" s="692" t="s">
        <v>743</v>
      </c>
      <c r="G320" s="715"/>
      <c r="H320" s="715"/>
      <c r="I320" s="685" t="s">
        <v>1982</v>
      </c>
      <c r="J320" s="689">
        <v>1.0</v>
      </c>
      <c r="K320" s="689">
        <v>0.0</v>
      </c>
      <c r="L320" s="689">
        <v>0.0</v>
      </c>
      <c r="M320" s="689">
        <v>0.0</v>
      </c>
      <c r="N320" s="686">
        <v>34881.0</v>
      </c>
      <c r="O320" s="686">
        <v>34881.0</v>
      </c>
      <c r="P320" s="686">
        <v>34881.0</v>
      </c>
      <c r="Q320" s="686">
        <v>0.0</v>
      </c>
      <c r="R320" s="686">
        <v>0.0</v>
      </c>
      <c r="S320" s="686">
        <v>0.0</v>
      </c>
      <c r="T320" s="686">
        <v>0.0</v>
      </c>
      <c r="U320" s="690">
        <v>0.0</v>
      </c>
    </row>
    <row r="321">
      <c r="A321" s="685" t="s">
        <v>1865</v>
      </c>
      <c r="B321" s="685" t="s">
        <v>1707</v>
      </c>
      <c r="C321" s="685" t="s">
        <v>1694</v>
      </c>
      <c r="D321" s="685" t="s">
        <v>1391</v>
      </c>
      <c r="E321" s="686">
        <v>42900.0</v>
      </c>
      <c r="F321" s="692" t="s">
        <v>753</v>
      </c>
      <c r="G321" s="715"/>
      <c r="H321" s="715"/>
      <c r="I321" s="685" t="s">
        <v>1983</v>
      </c>
      <c r="J321" s="689">
        <v>1.0</v>
      </c>
      <c r="K321" s="689">
        <v>0.0</v>
      </c>
      <c r="L321" s="689">
        <v>0.0</v>
      </c>
      <c r="M321" s="689">
        <v>0.0</v>
      </c>
      <c r="N321" s="686">
        <v>34881.0</v>
      </c>
      <c r="O321" s="686">
        <v>34881.0</v>
      </c>
      <c r="P321" s="686">
        <v>34881.0</v>
      </c>
      <c r="Q321" s="686">
        <v>0.0</v>
      </c>
      <c r="R321" s="686">
        <v>0.0</v>
      </c>
      <c r="S321" s="686">
        <v>0.0</v>
      </c>
      <c r="T321" s="686">
        <v>0.0</v>
      </c>
      <c r="U321" s="690">
        <v>0.0</v>
      </c>
    </row>
    <row r="322">
      <c r="A322" s="685" t="s">
        <v>1865</v>
      </c>
      <c r="B322" s="685" t="s">
        <v>1707</v>
      </c>
      <c r="C322" s="685" t="s">
        <v>1694</v>
      </c>
      <c r="D322" s="685" t="s">
        <v>1391</v>
      </c>
      <c r="E322" s="686">
        <v>42900.0</v>
      </c>
      <c r="F322" s="692" t="s">
        <v>760</v>
      </c>
      <c r="G322" s="715"/>
      <c r="H322" s="715"/>
      <c r="I322" s="685" t="s">
        <v>1986</v>
      </c>
      <c r="J322" s="689">
        <v>1.0</v>
      </c>
      <c r="K322" s="689">
        <v>0.0</v>
      </c>
      <c r="L322" s="689">
        <v>0.0</v>
      </c>
      <c r="M322" s="689">
        <v>0.0</v>
      </c>
      <c r="N322" s="686">
        <v>34881.0</v>
      </c>
      <c r="O322" s="686">
        <v>34881.0</v>
      </c>
      <c r="P322" s="686">
        <v>34881.0</v>
      </c>
      <c r="Q322" s="686">
        <v>0.0</v>
      </c>
      <c r="R322" s="686">
        <v>0.0</v>
      </c>
      <c r="S322" s="686">
        <v>0.0</v>
      </c>
      <c r="T322" s="686">
        <v>0.0</v>
      </c>
      <c r="U322" s="690">
        <v>0.0</v>
      </c>
    </row>
    <row r="323">
      <c r="A323" s="685" t="s">
        <v>1865</v>
      </c>
      <c r="B323" s="685" t="s">
        <v>1707</v>
      </c>
      <c r="C323" s="685" t="s">
        <v>1747</v>
      </c>
      <c r="D323" s="685" t="s">
        <v>1391</v>
      </c>
      <c r="E323" s="686">
        <v>69900.0</v>
      </c>
      <c r="F323" s="692" t="s">
        <v>862</v>
      </c>
      <c r="G323" s="715"/>
      <c r="H323" s="715"/>
      <c r="I323" s="685" t="s">
        <v>2063</v>
      </c>
      <c r="J323" s="689">
        <v>1.0</v>
      </c>
      <c r="K323" s="689">
        <v>0.0</v>
      </c>
      <c r="L323" s="689">
        <v>0.0</v>
      </c>
      <c r="M323" s="689">
        <v>0.0</v>
      </c>
      <c r="N323" s="686">
        <v>56835.0</v>
      </c>
      <c r="O323" s="686">
        <v>56835.0</v>
      </c>
      <c r="P323" s="686">
        <v>56835.0</v>
      </c>
      <c r="Q323" s="686">
        <v>0.0</v>
      </c>
      <c r="R323" s="686">
        <v>0.0</v>
      </c>
      <c r="S323" s="686">
        <v>0.0</v>
      </c>
      <c r="T323" s="689">
        <v>0.0</v>
      </c>
      <c r="U323" s="690">
        <v>0.0</v>
      </c>
    </row>
    <row r="324">
      <c r="A324" s="685" t="s">
        <v>1865</v>
      </c>
      <c r="B324" s="685" t="s">
        <v>1707</v>
      </c>
      <c r="C324" s="685" t="s">
        <v>1747</v>
      </c>
      <c r="D324" s="685" t="s">
        <v>1391</v>
      </c>
      <c r="E324" s="686">
        <v>61900.0</v>
      </c>
      <c r="F324" s="692" t="s">
        <v>893</v>
      </c>
      <c r="G324" s="715"/>
      <c r="H324" s="715"/>
      <c r="I324" s="685" t="s">
        <v>1989</v>
      </c>
      <c r="J324" s="689">
        <v>2.0</v>
      </c>
      <c r="K324" s="689">
        <v>0.0</v>
      </c>
      <c r="L324" s="689">
        <v>0.0</v>
      </c>
      <c r="M324" s="689">
        <v>0.0</v>
      </c>
      <c r="N324" s="686">
        <v>50330.0</v>
      </c>
      <c r="O324" s="686">
        <v>100660.0</v>
      </c>
      <c r="P324" s="686">
        <v>100660.0</v>
      </c>
      <c r="Q324" s="686">
        <v>0.0</v>
      </c>
      <c r="R324" s="686">
        <v>0.0</v>
      </c>
      <c r="S324" s="686">
        <v>0.0</v>
      </c>
      <c r="T324" s="686">
        <v>0.0</v>
      </c>
      <c r="U324" s="690">
        <v>0.0</v>
      </c>
    </row>
    <row r="325">
      <c r="A325" s="685" t="s">
        <v>1865</v>
      </c>
      <c r="B325" s="685" t="s">
        <v>1707</v>
      </c>
      <c r="C325" s="685" t="s">
        <v>1747</v>
      </c>
      <c r="D325" s="685" t="s">
        <v>1391</v>
      </c>
      <c r="E325" s="686">
        <v>61900.0</v>
      </c>
      <c r="F325" s="692" t="s">
        <v>901</v>
      </c>
      <c r="G325" s="715"/>
      <c r="H325" s="715"/>
      <c r="I325" s="685" t="s">
        <v>1994</v>
      </c>
      <c r="J325" s="689">
        <v>2.0</v>
      </c>
      <c r="K325" s="689">
        <v>0.0</v>
      </c>
      <c r="L325" s="689">
        <v>0.0</v>
      </c>
      <c r="M325" s="689">
        <v>0.0</v>
      </c>
      <c r="N325" s="686">
        <v>50330.0</v>
      </c>
      <c r="O325" s="686">
        <v>100660.0</v>
      </c>
      <c r="P325" s="686">
        <v>100660.0</v>
      </c>
      <c r="Q325" s="686">
        <v>0.0</v>
      </c>
      <c r="R325" s="686">
        <v>0.0</v>
      </c>
      <c r="S325" s="689">
        <v>0.0</v>
      </c>
      <c r="T325" s="686">
        <v>0.0</v>
      </c>
      <c r="U325" s="690">
        <v>0.0</v>
      </c>
    </row>
    <row r="326">
      <c r="A326" s="685" t="s">
        <v>1865</v>
      </c>
      <c r="B326" s="685" t="s">
        <v>1707</v>
      </c>
      <c r="C326" s="685" t="s">
        <v>1747</v>
      </c>
      <c r="D326" s="685" t="s">
        <v>1391</v>
      </c>
      <c r="E326" s="686">
        <v>69900.0</v>
      </c>
      <c r="F326" s="692" t="s">
        <v>1018</v>
      </c>
      <c r="G326" s="715"/>
      <c r="H326" s="715"/>
      <c r="I326" s="685" t="s">
        <v>1996</v>
      </c>
      <c r="J326" s="689">
        <v>1.0</v>
      </c>
      <c r="K326" s="689">
        <v>0.0</v>
      </c>
      <c r="L326" s="689">
        <v>0.0</v>
      </c>
      <c r="M326" s="689">
        <v>0.0</v>
      </c>
      <c r="N326" s="686">
        <v>56835.0</v>
      </c>
      <c r="O326" s="686">
        <v>56835.0</v>
      </c>
      <c r="P326" s="686">
        <v>56835.0</v>
      </c>
      <c r="Q326" s="686">
        <v>0.0</v>
      </c>
      <c r="R326" s="686">
        <v>0.0</v>
      </c>
      <c r="S326" s="686">
        <v>0.0</v>
      </c>
      <c r="T326" s="689">
        <v>0.0</v>
      </c>
      <c r="U326" s="690">
        <v>0.0</v>
      </c>
    </row>
    <row r="327">
      <c r="A327" s="685" t="s">
        <v>1865</v>
      </c>
      <c r="B327" s="685" t="s">
        <v>1707</v>
      </c>
      <c r="C327" s="685" t="s">
        <v>1747</v>
      </c>
      <c r="D327" s="685" t="s">
        <v>1391</v>
      </c>
      <c r="E327" s="686">
        <v>69900.0</v>
      </c>
      <c r="F327" s="692" t="s">
        <v>1027</v>
      </c>
      <c r="G327" s="715"/>
      <c r="H327" s="715"/>
      <c r="I327" s="685" t="s">
        <v>1997</v>
      </c>
      <c r="J327" s="689">
        <v>2.0</v>
      </c>
      <c r="K327" s="689">
        <v>0.0</v>
      </c>
      <c r="L327" s="689">
        <v>0.0</v>
      </c>
      <c r="M327" s="689">
        <v>0.0</v>
      </c>
      <c r="N327" s="686">
        <v>56835.0</v>
      </c>
      <c r="O327" s="686">
        <v>113670.0</v>
      </c>
      <c r="P327" s="686">
        <v>113670.0</v>
      </c>
      <c r="Q327" s="686">
        <v>0.0</v>
      </c>
      <c r="R327" s="686">
        <v>0.0</v>
      </c>
      <c r="S327" s="686">
        <v>0.0</v>
      </c>
      <c r="T327" s="689">
        <v>0.0</v>
      </c>
      <c r="U327" s="690">
        <v>0.0</v>
      </c>
    </row>
    <row r="328">
      <c r="A328" s="685" t="s">
        <v>1865</v>
      </c>
      <c r="B328" s="685" t="s">
        <v>1707</v>
      </c>
      <c r="C328" s="685" t="s">
        <v>1747</v>
      </c>
      <c r="D328" s="685" t="s">
        <v>1391</v>
      </c>
      <c r="E328" s="686">
        <v>77900.0</v>
      </c>
      <c r="F328" s="692" t="s">
        <v>1044</v>
      </c>
      <c r="G328" s="715"/>
      <c r="H328" s="715"/>
      <c r="I328" s="685" t="s">
        <v>2002</v>
      </c>
      <c r="J328" s="689">
        <v>1.0</v>
      </c>
      <c r="K328" s="689">
        <v>0.0</v>
      </c>
      <c r="L328" s="689">
        <v>0.0</v>
      </c>
      <c r="M328" s="689">
        <v>0.0</v>
      </c>
      <c r="N328" s="686">
        <v>63339.0</v>
      </c>
      <c r="O328" s="686">
        <v>63339.0</v>
      </c>
      <c r="P328" s="686">
        <v>63339.0</v>
      </c>
      <c r="Q328" s="686">
        <v>0.0</v>
      </c>
      <c r="R328" s="686">
        <v>0.0</v>
      </c>
      <c r="S328" s="686">
        <v>0.0</v>
      </c>
      <c r="T328" s="686">
        <v>0.0</v>
      </c>
      <c r="U328" s="690">
        <v>0.0</v>
      </c>
    </row>
    <row r="329">
      <c r="A329" s="685" t="s">
        <v>1865</v>
      </c>
      <c r="B329" s="685" t="s">
        <v>1707</v>
      </c>
      <c r="C329" s="685" t="s">
        <v>1747</v>
      </c>
      <c r="D329" s="685" t="s">
        <v>1391</v>
      </c>
      <c r="E329" s="686">
        <v>69900.0</v>
      </c>
      <c r="F329" s="692" t="s">
        <v>1035</v>
      </c>
      <c r="G329" s="715"/>
      <c r="H329" s="715"/>
      <c r="I329" s="685" t="s">
        <v>2007</v>
      </c>
      <c r="J329" s="689">
        <v>1.0</v>
      </c>
      <c r="K329" s="689">
        <v>0.0</v>
      </c>
      <c r="L329" s="689">
        <v>0.0</v>
      </c>
      <c r="M329" s="689">
        <v>0.0</v>
      </c>
      <c r="N329" s="686">
        <v>56835.0</v>
      </c>
      <c r="O329" s="686">
        <v>56835.0</v>
      </c>
      <c r="P329" s="686">
        <v>56835.0</v>
      </c>
      <c r="Q329" s="686">
        <v>0.0</v>
      </c>
      <c r="R329" s="686">
        <v>0.0</v>
      </c>
      <c r="S329" s="686">
        <v>0.0</v>
      </c>
      <c r="T329" s="689">
        <v>0.0</v>
      </c>
      <c r="U329" s="690">
        <v>0.0</v>
      </c>
    </row>
    <row r="330">
      <c r="A330" s="685" t="s">
        <v>2010</v>
      </c>
      <c r="B330" s="685" t="s">
        <v>2012</v>
      </c>
      <c r="C330" s="685" t="s">
        <v>1821</v>
      </c>
      <c r="D330" s="685" t="s">
        <v>1391</v>
      </c>
      <c r="E330" s="686">
        <v>12900.0</v>
      </c>
      <c r="F330" s="692" t="s">
        <v>1180</v>
      </c>
      <c r="G330" s="715"/>
      <c r="H330" s="715"/>
      <c r="I330" s="685" t="s">
        <v>2013</v>
      </c>
      <c r="J330" s="689">
        <v>7.0</v>
      </c>
      <c r="K330" s="689">
        <v>0.0</v>
      </c>
      <c r="L330" s="689">
        <v>0.0</v>
      </c>
      <c r="M330" s="689">
        <v>0.0</v>
      </c>
      <c r="N330" s="686">
        <v>9645.0</v>
      </c>
      <c r="O330" s="686">
        <v>67515.0</v>
      </c>
      <c r="P330" s="686">
        <v>67515.0</v>
      </c>
      <c r="Q330" s="686">
        <v>0.0</v>
      </c>
      <c r="R330" s="686">
        <v>0.0</v>
      </c>
      <c r="S330" s="686">
        <v>0.0</v>
      </c>
      <c r="T330" s="686">
        <v>0.0</v>
      </c>
      <c r="U330" s="690">
        <v>0.0</v>
      </c>
    </row>
    <row r="331">
      <c r="A331" s="685" t="s">
        <v>2010</v>
      </c>
      <c r="B331" s="685" t="s">
        <v>2012</v>
      </c>
      <c r="C331" s="685" t="s">
        <v>1821</v>
      </c>
      <c r="D331" s="685" t="s">
        <v>1391</v>
      </c>
      <c r="E331" s="686">
        <v>12900.0</v>
      </c>
      <c r="F331" s="692" t="s">
        <v>1181</v>
      </c>
      <c r="G331" s="715"/>
      <c r="H331" s="715"/>
      <c r="I331" s="685" t="s">
        <v>2014</v>
      </c>
      <c r="J331" s="689">
        <v>8.0</v>
      </c>
      <c r="K331" s="689">
        <v>0.0</v>
      </c>
      <c r="L331" s="689">
        <v>0.0</v>
      </c>
      <c r="M331" s="689">
        <v>0.0</v>
      </c>
      <c r="N331" s="686">
        <v>9645.0</v>
      </c>
      <c r="O331" s="686">
        <v>77160.0</v>
      </c>
      <c r="P331" s="686">
        <v>77160.0</v>
      </c>
      <c r="Q331" s="686">
        <v>0.0</v>
      </c>
      <c r="R331" s="686">
        <v>0.0</v>
      </c>
      <c r="S331" s="686">
        <v>0.0</v>
      </c>
      <c r="T331" s="686">
        <v>0.0</v>
      </c>
      <c r="U331" s="690">
        <v>0.0</v>
      </c>
    </row>
    <row r="332">
      <c r="A332" s="685" t="s">
        <v>2010</v>
      </c>
      <c r="B332" s="685" t="s">
        <v>2012</v>
      </c>
      <c r="C332" s="685" t="s">
        <v>1821</v>
      </c>
      <c r="D332" s="685" t="s">
        <v>1391</v>
      </c>
      <c r="E332" s="686">
        <v>14900.0</v>
      </c>
      <c r="F332" s="692" t="s">
        <v>1184</v>
      </c>
      <c r="G332" s="715"/>
      <c r="H332" s="715"/>
      <c r="I332" s="685" t="s">
        <v>2015</v>
      </c>
      <c r="J332" s="689">
        <v>3.0</v>
      </c>
      <c r="K332" s="689">
        <v>0.0</v>
      </c>
      <c r="L332" s="689">
        <v>0.0</v>
      </c>
      <c r="M332" s="689">
        <v>0.0</v>
      </c>
      <c r="N332" s="686">
        <v>11140.0</v>
      </c>
      <c r="O332" s="686">
        <v>33420.0</v>
      </c>
      <c r="P332" s="686">
        <v>33420.0</v>
      </c>
      <c r="Q332" s="686">
        <v>0.0</v>
      </c>
      <c r="R332" s="686">
        <v>0.0</v>
      </c>
      <c r="S332" s="686">
        <v>0.0</v>
      </c>
      <c r="T332" s="686">
        <v>0.0</v>
      </c>
      <c r="U332" s="690">
        <v>0.0</v>
      </c>
    </row>
    <row r="333">
      <c r="A333" s="685" t="s">
        <v>2010</v>
      </c>
      <c r="B333" s="685" t="s">
        <v>2012</v>
      </c>
      <c r="C333" s="685" t="s">
        <v>1821</v>
      </c>
      <c r="D333" s="685" t="s">
        <v>1391</v>
      </c>
      <c r="E333" s="686">
        <v>14900.0</v>
      </c>
      <c r="F333" s="692" t="s">
        <v>1183</v>
      </c>
      <c r="G333" s="715"/>
      <c r="H333" s="715"/>
      <c r="I333" s="685" t="s">
        <v>2016</v>
      </c>
      <c r="J333" s="689">
        <v>3.0</v>
      </c>
      <c r="K333" s="689">
        <v>0.0</v>
      </c>
      <c r="L333" s="689">
        <v>0.0</v>
      </c>
      <c r="M333" s="689">
        <v>0.0</v>
      </c>
      <c r="N333" s="686">
        <v>11140.0</v>
      </c>
      <c r="O333" s="686">
        <v>33420.0</v>
      </c>
      <c r="P333" s="686">
        <v>33420.0</v>
      </c>
      <c r="Q333" s="686">
        <v>0.0</v>
      </c>
      <c r="R333" s="686">
        <v>0.0</v>
      </c>
      <c r="S333" s="686">
        <v>0.0</v>
      </c>
      <c r="T333" s="686">
        <v>0.0</v>
      </c>
      <c r="U333" s="690">
        <v>0.0</v>
      </c>
    </row>
    <row r="334">
      <c r="A334" s="685" t="s">
        <v>2010</v>
      </c>
      <c r="B334" s="685" t="s">
        <v>2017</v>
      </c>
      <c r="C334" s="685" t="s">
        <v>2018</v>
      </c>
      <c r="D334" s="685" t="s">
        <v>1391</v>
      </c>
      <c r="E334" s="686">
        <v>1990.0</v>
      </c>
      <c r="F334" s="692" t="s">
        <v>1080</v>
      </c>
      <c r="G334" s="715"/>
      <c r="H334" s="715"/>
      <c r="I334" s="685" t="s">
        <v>2019</v>
      </c>
      <c r="J334" s="689">
        <v>3.0</v>
      </c>
      <c r="K334" s="689">
        <v>0.0</v>
      </c>
      <c r="L334" s="689">
        <v>0.0</v>
      </c>
      <c r="M334" s="689">
        <v>0.0</v>
      </c>
      <c r="N334" s="686">
        <v>1488.0</v>
      </c>
      <c r="O334" s="686">
        <v>4464.0</v>
      </c>
      <c r="P334" s="686">
        <v>0.0</v>
      </c>
      <c r="Q334" s="686">
        <v>0.0</v>
      </c>
      <c r="R334" s="686">
        <v>0.0</v>
      </c>
      <c r="S334" s="686">
        <v>4464.0</v>
      </c>
      <c r="T334" s="689">
        <v>0.0</v>
      </c>
      <c r="U334" s="690">
        <v>0.0</v>
      </c>
    </row>
    <row r="335">
      <c r="A335" s="685" t="s">
        <v>2010</v>
      </c>
      <c r="B335" s="685" t="s">
        <v>2017</v>
      </c>
      <c r="C335" s="685" t="s">
        <v>2018</v>
      </c>
      <c r="D335" s="685" t="s">
        <v>1391</v>
      </c>
      <c r="E335" s="686">
        <v>1990.0</v>
      </c>
      <c r="F335" s="692" t="s">
        <v>1081</v>
      </c>
      <c r="G335" s="715"/>
      <c r="H335" s="715"/>
      <c r="I335" s="685" t="s">
        <v>2021</v>
      </c>
      <c r="J335" s="689">
        <v>1.0</v>
      </c>
      <c r="K335" s="689">
        <v>0.0</v>
      </c>
      <c r="L335" s="689">
        <v>0.0</v>
      </c>
      <c r="M335" s="689">
        <v>0.0</v>
      </c>
      <c r="N335" s="686">
        <v>1488.0</v>
      </c>
      <c r="O335" s="686">
        <v>1488.0</v>
      </c>
      <c r="P335" s="686">
        <v>0.0</v>
      </c>
      <c r="Q335" s="686">
        <v>1488.0</v>
      </c>
      <c r="R335" s="686">
        <v>0.0</v>
      </c>
      <c r="S335" s="686">
        <v>0.0</v>
      </c>
      <c r="T335" s="689">
        <v>0.0</v>
      </c>
      <c r="U335" s="690">
        <v>0.0</v>
      </c>
    </row>
    <row r="336">
      <c r="A336" s="685" t="s">
        <v>2010</v>
      </c>
      <c r="B336" s="685" t="s">
        <v>2017</v>
      </c>
      <c r="C336" s="685" t="s">
        <v>2018</v>
      </c>
      <c r="D336" s="685" t="s">
        <v>1391</v>
      </c>
      <c r="E336" s="686">
        <v>1990.0</v>
      </c>
      <c r="F336" s="692" t="s">
        <v>1082</v>
      </c>
      <c r="G336" s="715"/>
      <c r="H336" s="715"/>
      <c r="I336" s="685" t="s">
        <v>2022</v>
      </c>
      <c r="J336" s="689">
        <v>1.0</v>
      </c>
      <c r="K336" s="689">
        <v>0.0</v>
      </c>
      <c r="L336" s="689">
        <v>0.0</v>
      </c>
      <c r="M336" s="689">
        <v>0.0</v>
      </c>
      <c r="N336" s="686">
        <v>1488.0</v>
      </c>
      <c r="O336" s="686">
        <v>1488.0</v>
      </c>
      <c r="P336" s="689">
        <v>0.0</v>
      </c>
      <c r="Q336" s="686">
        <v>0.0</v>
      </c>
      <c r="R336" s="686">
        <v>0.0</v>
      </c>
      <c r="S336" s="686">
        <v>1488.0</v>
      </c>
      <c r="T336" s="689">
        <v>0.0</v>
      </c>
      <c r="U336" s="690">
        <v>0.0</v>
      </c>
    </row>
    <row r="337">
      <c r="A337" s="685" t="s">
        <v>2010</v>
      </c>
      <c r="B337" s="685" t="s">
        <v>2017</v>
      </c>
      <c r="C337" s="685" t="s">
        <v>2023</v>
      </c>
      <c r="D337" s="685" t="s">
        <v>1391</v>
      </c>
      <c r="E337" s="686">
        <v>24900.0</v>
      </c>
      <c r="F337" s="692" t="s">
        <v>1112</v>
      </c>
      <c r="G337" s="715"/>
      <c r="H337" s="715"/>
      <c r="I337" s="685" t="s">
        <v>2024</v>
      </c>
      <c r="J337" s="689">
        <v>2.0</v>
      </c>
      <c r="K337" s="689">
        <v>0.0</v>
      </c>
      <c r="L337" s="689">
        <v>0.0</v>
      </c>
      <c r="M337" s="689">
        <v>0.0</v>
      </c>
      <c r="N337" s="686">
        <v>18617.0</v>
      </c>
      <c r="O337" s="686">
        <v>37234.0</v>
      </c>
      <c r="P337" s="686">
        <v>0.0</v>
      </c>
      <c r="Q337" s="686">
        <v>0.0</v>
      </c>
      <c r="R337" s="686">
        <v>0.0</v>
      </c>
      <c r="S337" s="686">
        <v>37234.0</v>
      </c>
      <c r="T337" s="689">
        <v>0.0</v>
      </c>
      <c r="U337" s="690">
        <v>0.0</v>
      </c>
    </row>
    <row r="338">
      <c r="A338" s="685" t="s">
        <v>2010</v>
      </c>
      <c r="B338" s="685" t="s">
        <v>2017</v>
      </c>
      <c r="C338" s="685" t="s">
        <v>2023</v>
      </c>
      <c r="D338" s="685" t="s">
        <v>1391</v>
      </c>
      <c r="E338" s="686">
        <v>24900.0</v>
      </c>
      <c r="F338" s="692" t="s">
        <v>1113</v>
      </c>
      <c r="G338" s="715"/>
      <c r="H338" s="715"/>
      <c r="I338" s="685" t="s">
        <v>2064</v>
      </c>
      <c r="J338" s="689">
        <v>1.0</v>
      </c>
      <c r="K338" s="689">
        <v>0.0</v>
      </c>
      <c r="L338" s="689">
        <v>0.0</v>
      </c>
      <c r="M338" s="689">
        <v>0.0</v>
      </c>
      <c r="N338" s="686">
        <v>18617.0</v>
      </c>
      <c r="O338" s="686">
        <v>18617.0</v>
      </c>
      <c r="P338" s="686">
        <v>0.0</v>
      </c>
      <c r="Q338" s="686">
        <v>0.0</v>
      </c>
      <c r="R338" s="686">
        <v>18617.0</v>
      </c>
      <c r="S338" s="686">
        <v>0.0</v>
      </c>
      <c r="T338" s="689">
        <v>0.0</v>
      </c>
      <c r="U338" s="690">
        <v>0.0</v>
      </c>
    </row>
    <row r="339">
      <c r="A339" s="685" t="s">
        <v>2010</v>
      </c>
      <c r="B339" s="685" t="s">
        <v>2017</v>
      </c>
      <c r="C339" s="685" t="s">
        <v>2023</v>
      </c>
      <c r="D339" s="685" t="s">
        <v>1391</v>
      </c>
      <c r="E339" s="686">
        <v>23900.0</v>
      </c>
      <c r="F339" s="692" t="s">
        <v>1109</v>
      </c>
      <c r="G339" s="715"/>
      <c r="H339" s="715"/>
      <c r="I339" s="685" t="s">
        <v>2028</v>
      </c>
      <c r="J339" s="689">
        <v>1.0</v>
      </c>
      <c r="K339" s="689">
        <v>0.0</v>
      </c>
      <c r="L339" s="689">
        <v>0.0</v>
      </c>
      <c r="M339" s="689">
        <v>0.0</v>
      </c>
      <c r="N339" s="686">
        <v>17869.0</v>
      </c>
      <c r="O339" s="686">
        <v>17869.0</v>
      </c>
      <c r="P339" s="686">
        <v>0.0</v>
      </c>
      <c r="Q339" s="686">
        <v>0.0</v>
      </c>
      <c r="R339" s="686">
        <v>0.0</v>
      </c>
      <c r="S339" s="689">
        <v>0.0</v>
      </c>
      <c r="T339" s="689">
        <v>0.0</v>
      </c>
      <c r="U339" s="690">
        <v>17869.0</v>
      </c>
    </row>
    <row r="340">
      <c r="A340" s="685" t="s">
        <v>2010</v>
      </c>
      <c r="B340" s="685" t="s">
        <v>2017</v>
      </c>
      <c r="C340" s="685" t="s">
        <v>2023</v>
      </c>
      <c r="D340" s="685" t="s">
        <v>1391</v>
      </c>
      <c r="E340" s="686">
        <v>25900.0</v>
      </c>
      <c r="F340" s="692" t="s">
        <v>1188</v>
      </c>
      <c r="G340" s="715"/>
      <c r="H340" s="715"/>
      <c r="I340" s="685" t="s">
        <v>2029</v>
      </c>
      <c r="J340" s="689">
        <v>5.0</v>
      </c>
      <c r="K340" s="689">
        <v>0.0</v>
      </c>
      <c r="L340" s="689">
        <v>0.0</v>
      </c>
      <c r="M340" s="689">
        <v>0.0</v>
      </c>
      <c r="N340" s="686">
        <v>19364.0</v>
      </c>
      <c r="O340" s="686">
        <v>96820.0</v>
      </c>
      <c r="P340" s="686">
        <v>38728.0</v>
      </c>
      <c r="Q340" s="686">
        <v>58092.0</v>
      </c>
      <c r="R340" s="686">
        <v>0.0</v>
      </c>
      <c r="S340" s="689">
        <v>0.0</v>
      </c>
      <c r="T340" s="689">
        <v>0.0</v>
      </c>
      <c r="U340" s="690">
        <v>0.0</v>
      </c>
    </row>
    <row r="341">
      <c r="A341" s="685" t="s">
        <v>2010</v>
      </c>
      <c r="B341" s="685" t="s">
        <v>2017</v>
      </c>
      <c r="C341" s="685" t="s">
        <v>2023</v>
      </c>
      <c r="D341" s="685" t="s">
        <v>1391</v>
      </c>
      <c r="E341" s="686">
        <v>25900.0</v>
      </c>
      <c r="F341" s="692" t="s">
        <v>1190</v>
      </c>
      <c r="G341" s="715"/>
      <c r="H341" s="715"/>
      <c r="I341" s="685" t="s">
        <v>2030</v>
      </c>
      <c r="J341" s="689">
        <v>7.0</v>
      </c>
      <c r="K341" s="689">
        <v>0.0</v>
      </c>
      <c r="L341" s="689">
        <v>0.0</v>
      </c>
      <c r="M341" s="689">
        <v>0.0</v>
      </c>
      <c r="N341" s="686">
        <v>19364.0</v>
      </c>
      <c r="O341" s="686">
        <v>135548.0</v>
      </c>
      <c r="P341" s="686">
        <v>58092.0</v>
      </c>
      <c r="Q341" s="686">
        <v>77456.0</v>
      </c>
      <c r="R341" s="686">
        <v>0.0</v>
      </c>
      <c r="S341" s="689">
        <v>0.0</v>
      </c>
      <c r="T341" s="689">
        <v>0.0</v>
      </c>
      <c r="U341" s="690">
        <v>0.0</v>
      </c>
    </row>
    <row r="342">
      <c r="A342" s="685" t="s">
        <v>2010</v>
      </c>
      <c r="B342" s="685" t="s">
        <v>2017</v>
      </c>
      <c r="C342" s="685" t="s">
        <v>1810</v>
      </c>
      <c r="D342" s="685" t="s">
        <v>1391</v>
      </c>
      <c r="E342" s="686">
        <v>11900.0</v>
      </c>
      <c r="F342" s="692" t="s">
        <v>1090</v>
      </c>
      <c r="G342" s="715"/>
      <c r="H342" s="715"/>
      <c r="I342" s="685" t="s">
        <v>2065</v>
      </c>
      <c r="J342" s="689">
        <v>1.0</v>
      </c>
      <c r="K342" s="689">
        <v>0.0</v>
      </c>
      <c r="L342" s="689">
        <v>0.0</v>
      </c>
      <c r="M342" s="689">
        <v>0.0</v>
      </c>
      <c r="N342" s="686">
        <v>8897.0</v>
      </c>
      <c r="O342" s="686">
        <v>8897.0</v>
      </c>
      <c r="P342" s="686">
        <v>8897.0</v>
      </c>
      <c r="Q342" s="686">
        <v>0.0</v>
      </c>
      <c r="R342" s="686">
        <v>0.0</v>
      </c>
      <c r="S342" s="689">
        <v>0.0</v>
      </c>
      <c r="T342" s="689">
        <v>0.0</v>
      </c>
      <c r="U342" s="690">
        <v>0.0</v>
      </c>
    </row>
    <row r="343">
      <c r="A343" s="685" t="s">
        <v>2010</v>
      </c>
      <c r="B343" s="685" t="s">
        <v>2017</v>
      </c>
      <c r="C343" s="685" t="s">
        <v>1810</v>
      </c>
      <c r="D343" s="685" t="s">
        <v>1391</v>
      </c>
      <c r="E343" s="686">
        <v>11900.0</v>
      </c>
      <c r="F343" s="692" t="s">
        <v>1095</v>
      </c>
      <c r="G343" s="715"/>
      <c r="H343" s="715"/>
      <c r="I343" s="685" t="s">
        <v>2031</v>
      </c>
      <c r="J343" s="689">
        <v>1.0</v>
      </c>
      <c r="K343" s="689">
        <v>0.0</v>
      </c>
      <c r="L343" s="689">
        <v>0.0</v>
      </c>
      <c r="M343" s="689">
        <v>0.0</v>
      </c>
      <c r="N343" s="686">
        <v>8897.0</v>
      </c>
      <c r="O343" s="686">
        <v>8897.0</v>
      </c>
      <c r="P343" s="686">
        <v>8897.0</v>
      </c>
      <c r="Q343" s="689">
        <v>0.0</v>
      </c>
      <c r="R343" s="689">
        <v>0.0</v>
      </c>
      <c r="S343" s="689">
        <v>0.0</v>
      </c>
      <c r="T343" s="686">
        <v>0.0</v>
      </c>
      <c r="U343" s="690">
        <v>0.0</v>
      </c>
    </row>
    <row r="344">
      <c r="A344" s="685" t="s">
        <v>2010</v>
      </c>
      <c r="B344" s="685" t="s">
        <v>2017</v>
      </c>
      <c r="C344" s="685" t="s">
        <v>1810</v>
      </c>
      <c r="D344" s="685" t="s">
        <v>1391</v>
      </c>
      <c r="E344" s="686">
        <v>17900.0</v>
      </c>
      <c r="F344" s="692" t="s">
        <v>2032</v>
      </c>
      <c r="G344" s="715"/>
      <c r="H344" s="715"/>
      <c r="I344" s="685" t="s">
        <v>2033</v>
      </c>
      <c r="J344" s="689">
        <v>1.0</v>
      </c>
      <c r="K344" s="689">
        <v>0.0</v>
      </c>
      <c r="L344" s="689">
        <v>0.0</v>
      </c>
      <c r="M344" s="689">
        <v>0.0</v>
      </c>
      <c r="N344" s="686">
        <v>13383.0</v>
      </c>
      <c r="O344" s="686">
        <v>13383.0</v>
      </c>
      <c r="P344" s="686">
        <v>0.0</v>
      </c>
      <c r="Q344" s="686">
        <v>0.0</v>
      </c>
      <c r="R344" s="689">
        <v>0.0</v>
      </c>
      <c r="S344" s="689">
        <v>0.0</v>
      </c>
      <c r="T344" s="689">
        <v>0.0</v>
      </c>
      <c r="U344" s="690">
        <v>13383.0</v>
      </c>
    </row>
    <row r="345">
      <c r="A345" s="685" t="s">
        <v>2010</v>
      </c>
      <c r="B345" s="685" t="s">
        <v>2017</v>
      </c>
      <c r="C345" s="685" t="s">
        <v>1810</v>
      </c>
      <c r="D345" s="685" t="s">
        <v>1391</v>
      </c>
      <c r="E345" s="686">
        <v>17900.0</v>
      </c>
      <c r="F345" s="692" t="s">
        <v>1100</v>
      </c>
      <c r="G345" s="715"/>
      <c r="H345" s="715"/>
      <c r="I345" s="685" t="s">
        <v>2034</v>
      </c>
      <c r="J345" s="689">
        <v>2.0</v>
      </c>
      <c r="K345" s="689">
        <v>0.0</v>
      </c>
      <c r="L345" s="689">
        <v>0.0</v>
      </c>
      <c r="M345" s="689">
        <v>0.0</v>
      </c>
      <c r="N345" s="686">
        <v>13383.0</v>
      </c>
      <c r="O345" s="686">
        <v>26766.0</v>
      </c>
      <c r="P345" s="689">
        <v>0.0</v>
      </c>
      <c r="Q345" s="689">
        <v>0.0</v>
      </c>
      <c r="R345" s="689">
        <v>0.0</v>
      </c>
      <c r="S345" s="689">
        <v>0.0</v>
      </c>
      <c r="T345" s="689">
        <v>0.0</v>
      </c>
      <c r="U345" s="690">
        <v>26766.0</v>
      </c>
    </row>
    <row r="346">
      <c r="A346" s="685" t="s">
        <v>2010</v>
      </c>
      <c r="B346" s="685" t="s">
        <v>2066</v>
      </c>
      <c r="C346" s="685" t="s">
        <v>2067</v>
      </c>
      <c r="D346" s="685" t="s">
        <v>1391</v>
      </c>
      <c r="E346" s="686">
        <v>12900.0</v>
      </c>
      <c r="F346" s="692" t="s">
        <v>2068</v>
      </c>
      <c r="G346" s="715"/>
      <c r="H346" s="715"/>
      <c r="I346" s="685" t="s">
        <v>2069</v>
      </c>
      <c r="J346" s="689">
        <v>1.0</v>
      </c>
      <c r="K346" s="689">
        <v>0.0</v>
      </c>
      <c r="L346" s="689">
        <v>0.0</v>
      </c>
      <c r="M346" s="689">
        <v>0.0</v>
      </c>
      <c r="N346" s="686">
        <v>5787.0</v>
      </c>
      <c r="O346" s="686">
        <v>5787.0</v>
      </c>
      <c r="P346" s="689">
        <v>0.0</v>
      </c>
      <c r="Q346" s="686">
        <v>0.0</v>
      </c>
      <c r="R346" s="689">
        <v>0.0</v>
      </c>
      <c r="S346" s="689">
        <v>0.0</v>
      </c>
      <c r="T346" s="689">
        <v>0.0</v>
      </c>
      <c r="U346" s="690">
        <v>5787.0</v>
      </c>
    </row>
    <row r="347">
      <c r="A347" s="685" t="s">
        <v>2010</v>
      </c>
      <c r="B347" s="685" t="s">
        <v>2066</v>
      </c>
      <c r="C347" s="685" t="s">
        <v>2067</v>
      </c>
      <c r="D347" s="685" t="s">
        <v>1391</v>
      </c>
      <c r="E347" s="686">
        <v>11900.0</v>
      </c>
      <c r="F347" s="692" t="s">
        <v>2070</v>
      </c>
      <c r="G347" s="715"/>
      <c r="H347" s="715"/>
      <c r="I347" s="685" t="s">
        <v>2071</v>
      </c>
      <c r="J347" s="689">
        <v>1.0</v>
      </c>
      <c r="K347" s="689">
        <v>0.0</v>
      </c>
      <c r="L347" s="689">
        <v>0.0</v>
      </c>
      <c r="M347" s="689">
        <v>0.0</v>
      </c>
      <c r="N347" s="686">
        <v>5338.0</v>
      </c>
      <c r="O347" s="686">
        <v>5338.0</v>
      </c>
      <c r="P347" s="689">
        <v>0.0</v>
      </c>
      <c r="Q347" s="686">
        <v>0.0</v>
      </c>
      <c r="R347" s="689">
        <v>0.0</v>
      </c>
      <c r="S347" s="689">
        <v>0.0</v>
      </c>
      <c r="T347" s="689">
        <v>0.0</v>
      </c>
      <c r="U347" s="690">
        <v>5338.0</v>
      </c>
    </row>
    <row r="348">
      <c r="A348" s="708"/>
      <c r="B348" s="685"/>
      <c r="C348" s="685"/>
      <c r="D348" s="685"/>
      <c r="E348" s="686"/>
      <c r="F348" s="692"/>
      <c r="G348" s="715"/>
      <c r="H348" s="715"/>
      <c r="I348" s="685"/>
      <c r="J348" s="689"/>
      <c r="K348" s="689"/>
      <c r="L348" s="689"/>
      <c r="M348" s="689"/>
      <c r="N348" s="686"/>
      <c r="O348" s="686"/>
      <c r="P348" s="689"/>
      <c r="Q348" s="686"/>
      <c r="R348" s="689"/>
      <c r="S348" s="689"/>
      <c r="T348" s="689"/>
      <c r="U348" s="690"/>
    </row>
    <row r="349">
      <c r="A349" s="708"/>
      <c r="B349" s="685"/>
      <c r="C349" s="685"/>
      <c r="D349" s="685"/>
      <c r="E349" s="686"/>
      <c r="F349" s="692"/>
      <c r="G349" s="715"/>
      <c r="H349" s="715"/>
      <c r="I349" s="685"/>
      <c r="J349" s="689"/>
      <c r="K349" s="689"/>
      <c r="L349" s="689"/>
      <c r="M349" s="689"/>
      <c r="N349" s="686"/>
      <c r="O349" s="686"/>
      <c r="P349" s="689"/>
      <c r="Q349" s="689"/>
      <c r="R349" s="689"/>
      <c r="S349" s="689"/>
      <c r="T349" s="689"/>
      <c r="U349" s="690"/>
    </row>
    <row r="350">
      <c r="A350" s="685"/>
      <c r="B350" s="685"/>
      <c r="C350" s="685"/>
      <c r="D350" s="685"/>
      <c r="E350" s="686"/>
      <c r="F350" s="692"/>
      <c r="G350" s="715"/>
      <c r="H350" s="715"/>
      <c r="I350" s="685"/>
      <c r="J350" s="689"/>
      <c r="K350" s="689"/>
      <c r="L350" s="689"/>
      <c r="M350" s="689"/>
      <c r="N350" s="686"/>
      <c r="O350" s="686"/>
      <c r="P350" s="686"/>
      <c r="Q350" s="689"/>
      <c r="R350" s="689"/>
      <c r="S350" s="689"/>
      <c r="T350" s="689"/>
      <c r="U350" s="717"/>
    </row>
    <row r="351">
      <c r="A351" s="685"/>
      <c r="B351" s="685"/>
      <c r="C351" s="685"/>
      <c r="D351" s="685"/>
      <c r="E351" s="686"/>
      <c r="F351" s="692"/>
      <c r="G351" s="715"/>
      <c r="H351" s="715"/>
      <c r="I351" s="685"/>
      <c r="J351" s="689"/>
      <c r="K351" s="689"/>
      <c r="L351" s="689"/>
      <c r="M351" s="689"/>
      <c r="N351" s="686"/>
      <c r="O351" s="686"/>
      <c r="P351" s="686"/>
      <c r="Q351" s="686"/>
      <c r="R351" s="686"/>
      <c r="S351" s="689"/>
      <c r="T351" s="689"/>
      <c r="U351" s="717"/>
    </row>
    <row r="352">
      <c r="A352" s="685"/>
      <c r="B352" s="685"/>
      <c r="C352" s="685"/>
      <c r="D352" s="685"/>
      <c r="E352" s="686"/>
      <c r="F352" s="692"/>
      <c r="G352" s="715"/>
      <c r="H352" s="715"/>
      <c r="I352" s="685"/>
      <c r="J352" s="689"/>
      <c r="K352" s="689"/>
      <c r="L352" s="689"/>
      <c r="M352" s="689"/>
      <c r="N352" s="686"/>
      <c r="O352" s="686"/>
      <c r="P352" s="689"/>
      <c r="Q352" s="689"/>
      <c r="R352" s="686"/>
      <c r="S352" s="686"/>
      <c r="T352" s="689"/>
      <c r="U352" s="717"/>
    </row>
    <row r="353">
      <c r="A353" s="685"/>
      <c r="B353" s="685"/>
      <c r="C353" s="685"/>
      <c r="D353" s="685"/>
      <c r="E353" s="686"/>
      <c r="F353" s="692"/>
      <c r="G353" s="715"/>
      <c r="H353" s="715"/>
      <c r="I353" s="685"/>
      <c r="J353" s="689"/>
      <c r="K353" s="689"/>
      <c r="L353" s="689"/>
      <c r="M353" s="689"/>
      <c r="N353" s="686"/>
      <c r="O353" s="686"/>
      <c r="P353" s="689"/>
      <c r="Q353" s="686"/>
      <c r="R353" s="689"/>
      <c r="S353" s="689"/>
      <c r="T353" s="689"/>
      <c r="U353" s="717"/>
    </row>
    <row r="354">
      <c r="A354" s="685"/>
      <c r="B354" s="685"/>
      <c r="C354" s="685"/>
      <c r="D354" s="685"/>
      <c r="E354" s="686"/>
      <c r="F354" s="692"/>
      <c r="G354" s="715"/>
      <c r="H354" s="715"/>
      <c r="I354" s="685"/>
      <c r="J354" s="689"/>
      <c r="K354" s="689"/>
      <c r="L354" s="689"/>
      <c r="M354" s="689"/>
      <c r="N354" s="686"/>
      <c r="O354" s="686"/>
      <c r="P354" s="689"/>
      <c r="Q354" s="689"/>
      <c r="R354" s="686"/>
      <c r="S354" s="686"/>
      <c r="T354" s="689"/>
      <c r="U354" s="717"/>
    </row>
    <row r="355">
      <c r="A355" s="685"/>
      <c r="B355" s="685"/>
      <c r="C355" s="685"/>
      <c r="D355" s="685"/>
      <c r="E355" s="686"/>
      <c r="F355" s="692"/>
      <c r="G355" s="715"/>
      <c r="H355" s="715"/>
      <c r="I355" s="685"/>
      <c r="J355" s="689"/>
      <c r="K355" s="689"/>
      <c r="L355" s="689"/>
      <c r="M355" s="689"/>
      <c r="N355" s="686"/>
      <c r="O355" s="686"/>
      <c r="P355" s="686"/>
      <c r="Q355" s="689"/>
      <c r="R355" s="686"/>
      <c r="S355" s="689"/>
      <c r="T355" s="689"/>
      <c r="U355" s="717"/>
    </row>
    <row r="356">
      <c r="A356" s="718"/>
      <c r="C356" s="716"/>
      <c r="F356" s="429"/>
    </row>
    <row r="357">
      <c r="A357" s="716"/>
      <c r="C357" s="716"/>
      <c r="F357" s="429"/>
    </row>
    <row r="358">
      <c r="A358" s="716"/>
      <c r="C358" s="716"/>
      <c r="F358" s="429"/>
    </row>
    <row r="359">
      <c r="A359" s="716"/>
      <c r="C359" s="716"/>
      <c r="F359" s="429"/>
    </row>
    <row r="360">
      <c r="A360" s="716"/>
      <c r="C360" s="716"/>
      <c r="F360" s="429"/>
    </row>
    <row r="361">
      <c r="A361" s="716"/>
      <c r="C361" s="716"/>
      <c r="F361" s="429"/>
    </row>
    <row r="362">
      <c r="A362" s="716"/>
      <c r="C362" s="716"/>
      <c r="F362" s="429"/>
    </row>
    <row r="363">
      <c r="A363" s="716"/>
      <c r="C363" s="716"/>
      <c r="F363" s="429"/>
    </row>
    <row r="364">
      <c r="A364" s="716"/>
      <c r="C364" s="716"/>
      <c r="F364" s="429"/>
    </row>
    <row r="365">
      <c r="A365" s="716"/>
      <c r="C365" s="716"/>
      <c r="F365" s="429"/>
    </row>
    <row r="366">
      <c r="A366" s="716"/>
      <c r="C366" s="716"/>
      <c r="F366" s="429"/>
    </row>
    <row r="367">
      <c r="A367" s="716"/>
      <c r="C367" s="716"/>
      <c r="F367" s="429"/>
    </row>
    <row r="368">
      <c r="A368" s="716"/>
      <c r="C368" s="716"/>
      <c r="F368" s="429"/>
    </row>
    <row r="369">
      <c r="A369" s="716"/>
      <c r="C369" s="716"/>
      <c r="F369" s="429"/>
    </row>
    <row r="370">
      <c r="A370" s="716"/>
      <c r="C370" s="716"/>
      <c r="F370" s="429"/>
    </row>
    <row r="371">
      <c r="A371" s="716"/>
      <c r="C371" s="716"/>
      <c r="F371" s="429"/>
    </row>
    <row r="372">
      <c r="A372" s="716"/>
      <c r="C372" s="716"/>
      <c r="F372" s="429"/>
    </row>
    <row r="373">
      <c r="A373" s="716"/>
      <c r="C373" s="716"/>
      <c r="F373" s="429"/>
    </row>
    <row r="374">
      <c r="A374" s="716"/>
      <c r="C374" s="716"/>
      <c r="F374" s="429"/>
    </row>
    <row r="375">
      <c r="A375" s="716"/>
      <c r="C375" s="716"/>
      <c r="F375" s="429"/>
    </row>
    <row r="376">
      <c r="A376" s="716"/>
      <c r="C376" s="716"/>
      <c r="F376" s="429"/>
    </row>
    <row r="377">
      <c r="A377" s="716"/>
      <c r="C377" s="716"/>
      <c r="F377" s="429"/>
    </row>
    <row r="378">
      <c r="A378" s="716"/>
      <c r="C378" s="716"/>
      <c r="F378" s="429"/>
    </row>
    <row r="379">
      <c r="A379" s="716"/>
      <c r="C379" s="716"/>
      <c r="F379" s="429"/>
    </row>
    <row r="380">
      <c r="A380" s="716"/>
      <c r="C380" s="716"/>
      <c r="F380" s="429"/>
    </row>
    <row r="381">
      <c r="A381" s="716"/>
      <c r="C381" s="716"/>
      <c r="F381" s="429"/>
    </row>
    <row r="382">
      <c r="A382" s="716"/>
      <c r="C382" s="716"/>
      <c r="F382" s="429"/>
    </row>
    <row r="383">
      <c r="A383" s="716"/>
      <c r="C383" s="716"/>
      <c r="F383" s="429"/>
    </row>
    <row r="384">
      <c r="A384" s="716"/>
      <c r="C384" s="716"/>
      <c r="F384" s="429"/>
    </row>
    <row r="385">
      <c r="A385" s="716"/>
      <c r="C385" s="716"/>
      <c r="F385" s="429"/>
    </row>
    <row r="386">
      <c r="A386" s="716"/>
      <c r="C386" s="716"/>
      <c r="F386" s="429"/>
    </row>
    <row r="387">
      <c r="A387" s="716"/>
      <c r="C387" s="716"/>
      <c r="F387" s="429"/>
    </row>
    <row r="388">
      <c r="A388" s="716"/>
      <c r="C388" s="716"/>
      <c r="F388" s="429"/>
    </row>
    <row r="389">
      <c r="A389" s="716"/>
      <c r="C389" s="716"/>
      <c r="F389" s="429"/>
    </row>
    <row r="390">
      <c r="A390" s="716"/>
      <c r="C390" s="716"/>
      <c r="F390" s="429"/>
    </row>
    <row r="391">
      <c r="A391" s="716"/>
      <c r="C391" s="716"/>
      <c r="F391" s="429"/>
    </row>
    <row r="392">
      <c r="A392" s="716"/>
      <c r="C392" s="716"/>
      <c r="F392" s="429"/>
    </row>
    <row r="393">
      <c r="A393" s="716"/>
      <c r="C393" s="716"/>
      <c r="F393" s="429"/>
    </row>
    <row r="394">
      <c r="A394" s="716"/>
      <c r="C394" s="716"/>
      <c r="F394" s="429"/>
    </row>
    <row r="395">
      <c r="A395" s="716"/>
      <c r="C395" s="716"/>
      <c r="F395" s="429"/>
    </row>
    <row r="396">
      <c r="A396" s="716"/>
      <c r="C396" s="716"/>
      <c r="F396" s="429"/>
    </row>
    <row r="397">
      <c r="A397" s="716"/>
      <c r="C397" s="716"/>
      <c r="F397" s="429"/>
    </row>
    <row r="398">
      <c r="A398" s="716"/>
      <c r="C398" s="716"/>
      <c r="F398" s="429"/>
    </row>
    <row r="399">
      <c r="A399" s="716"/>
      <c r="C399" s="716"/>
      <c r="F399" s="429"/>
    </row>
    <row r="400">
      <c r="A400" s="716"/>
      <c r="C400" s="716"/>
      <c r="F400" s="429"/>
    </row>
    <row r="401">
      <c r="A401" s="716"/>
      <c r="C401" s="716"/>
      <c r="F401" s="429"/>
    </row>
    <row r="402">
      <c r="A402" s="716"/>
      <c r="C402" s="716"/>
      <c r="F402" s="429"/>
    </row>
    <row r="403">
      <c r="A403" s="716"/>
      <c r="C403" s="716"/>
      <c r="F403" s="429"/>
    </row>
    <row r="404">
      <c r="A404" s="716"/>
      <c r="C404" s="716"/>
      <c r="F404" s="429"/>
    </row>
    <row r="405">
      <c r="A405" s="716"/>
      <c r="C405" s="716"/>
      <c r="F405" s="429"/>
    </row>
    <row r="406">
      <c r="A406" s="716"/>
      <c r="C406" s="716"/>
      <c r="F406" s="429"/>
    </row>
    <row r="407">
      <c r="A407" s="716"/>
      <c r="C407" s="716"/>
      <c r="F407" s="429"/>
    </row>
    <row r="408">
      <c r="A408" s="716"/>
      <c r="C408" s="716"/>
      <c r="F408" s="429"/>
    </row>
    <row r="409">
      <c r="A409" s="716"/>
      <c r="C409" s="716"/>
      <c r="F409" s="429"/>
    </row>
    <row r="410">
      <c r="A410" s="716"/>
      <c r="C410" s="716"/>
      <c r="F410" s="429"/>
    </row>
    <row r="411">
      <c r="A411" s="716"/>
      <c r="C411" s="716"/>
      <c r="F411" s="429"/>
    </row>
    <row r="412">
      <c r="A412" s="716"/>
      <c r="C412" s="716"/>
      <c r="F412" s="429"/>
    </row>
    <row r="413">
      <c r="A413" s="716"/>
      <c r="C413" s="716"/>
      <c r="F413" s="429"/>
    </row>
    <row r="414">
      <c r="A414" s="716"/>
      <c r="C414" s="716"/>
      <c r="F414" s="429"/>
    </row>
    <row r="415">
      <c r="A415" s="716"/>
      <c r="C415" s="716"/>
      <c r="F415" s="429"/>
    </row>
    <row r="416">
      <c r="A416" s="716"/>
      <c r="C416" s="716"/>
      <c r="F416" s="429"/>
    </row>
    <row r="417">
      <c r="A417" s="716"/>
      <c r="C417" s="716"/>
      <c r="F417" s="429"/>
    </row>
    <row r="418">
      <c r="A418" s="716"/>
      <c r="C418" s="716"/>
      <c r="F418" s="429"/>
    </row>
    <row r="419">
      <c r="A419" s="716"/>
      <c r="C419" s="716"/>
      <c r="F419" s="429"/>
    </row>
    <row r="420">
      <c r="A420" s="716"/>
      <c r="C420" s="716"/>
      <c r="F420" s="429"/>
    </row>
    <row r="421">
      <c r="A421" s="716"/>
      <c r="C421" s="716"/>
      <c r="F421" s="429"/>
    </row>
    <row r="422">
      <c r="A422" s="716"/>
      <c r="C422" s="716"/>
      <c r="F422" s="429"/>
    </row>
    <row r="423">
      <c r="A423" s="716"/>
      <c r="C423" s="716"/>
      <c r="F423" s="429"/>
    </row>
    <row r="424">
      <c r="A424" s="716"/>
      <c r="C424" s="716"/>
      <c r="F424" s="429"/>
    </row>
    <row r="425">
      <c r="A425" s="716"/>
      <c r="C425" s="716"/>
      <c r="F425" s="429"/>
    </row>
    <row r="426">
      <c r="A426" s="716"/>
      <c r="C426" s="716"/>
      <c r="F426" s="429"/>
    </row>
    <row r="427">
      <c r="A427" s="716"/>
      <c r="C427" s="716"/>
      <c r="F427" s="429"/>
    </row>
    <row r="428">
      <c r="A428" s="716"/>
      <c r="C428" s="716"/>
      <c r="F428" s="429"/>
    </row>
    <row r="429">
      <c r="A429" s="716"/>
      <c r="C429" s="716"/>
      <c r="F429" s="429"/>
    </row>
    <row r="430">
      <c r="A430" s="716"/>
      <c r="C430" s="716"/>
      <c r="F430" s="429"/>
    </row>
    <row r="431">
      <c r="A431" s="716"/>
      <c r="C431" s="716"/>
      <c r="F431" s="429"/>
    </row>
    <row r="432">
      <c r="A432" s="716"/>
      <c r="C432" s="716"/>
      <c r="F432" s="429"/>
    </row>
    <row r="433">
      <c r="A433" s="716"/>
      <c r="C433" s="716"/>
      <c r="F433" s="429"/>
    </row>
    <row r="434">
      <c r="A434" s="716"/>
      <c r="C434" s="716"/>
      <c r="F434" s="429"/>
    </row>
    <row r="435">
      <c r="A435" s="716"/>
      <c r="C435" s="716"/>
      <c r="F435" s="429"/>
    </row>
    <row r="436">
      <c r="A436" s="716"/>
      <c r="C436" s="716"/>
      <c r="F436" s="429"/>
    </row>
    <row r="437">
      <c r="A437" s="716"/>
      <c r="C437" s="716"/>
      <c r="F437" s="429"/>
    </row>
    <row r="438">
      <c r="A438" s="716"/>
      <c r="C438" s="716"/>
      <c r="F438" s="429"/>
    </row>
    <row r="439">
      <c r="A439" s="716"/>
      <c r="C439" s="716"/>
      <c r="F439" s="429"/>
    </row>
    <row r="440">
      <c r="A440" s="716"/>
      <c r="C440" s="716"/>
      <c r="F440" s="429"/>
    </row>
    <row r="441">
      <c r="A441" s="716"/>
      <c r="C441" s="716"/>
      <c r="F441" s="429"/>
    </row>
    <row r="442">
      <c r="A442" s="716"/>
      <c r="C442" s="716"/>
      <c r="F442" s="429"/>
    </row>
    <row r="443">
      <c r="A443" s="716"/>
      <c r="C443" s="716"/>
      <c r="F443" s="429"/>
    </row>
    <row r="444">
      <c r="A444" s="716"/>
      <c r="C444" s="716"/>
      <c r="F444" s="429"/>
    </row>
    <row r="445">
      <c r="A445" s="716"/>
      <c r="C445" s="716"/>
      <c r="F445" s="429"/>
    </row>
    <row r="446">
      <c r="A446" s="716"/>
      <c r="C446" s="716"/>
      <c r="F446" s="429"/>
    </row>
    <row r="447">
      <c r="A447" s="716"/>
      <c r="C447" s="716"/>
      <c r="F447" s="429"/>
    </row>
    <row r="448">
      <c r="A448" s="716"/>
      <c r="C448" s="716"/>
      <c r="F448" s="429"/>
    </row>
    <row r="449">
      <c r="A449" s="716"/>
      <c r="C449" s="716"/>
      <c r="F449" s="429"/>
    </row>
    <row r="450">
      <c r="A450" s="716"/>
      <c r="C450" s="716"/>
      <c r="F450" s="429"/>
    </row>
    <row r="451">
      <c r="A451" s="716"/>
      <c r="C451" s="716"/>
      <c r="F451" s="429"/>
    </row>
    <row r="452">
      <c r="A452" s="716"/>
      <c r="C452" s="716"/>
      <c r="F452" s="429"/>
    </row>
    <row r="453">
      <c r="A453" s="716"/>
      <c r="C453" s="716"/>
      <c r="F453" s="429"/>
    </row>
    <row r="454">
      <c r="A454" s="716"/>
      <c r="C454" s="716"/>
      <c r="F454" s="429"/>
    </row>
    <row r="455">
      <c r="A455" s="716"/>
      <c r="C455" s="716"/>
      <c r="F455" s="429"/>
    </row>
    <row r="456">
      <c r="A456" s="716"/>
      <c r="C456" s="716"/>
      <c r="F456" s="429"/>
    </row>
    <row r="457">
      <c r="A457" s="716"/>
      <c r="C457" s="716"/>
      <c r="F457" s="429"/>
    </row>
    <row r="458">
      <c r="A458" s="716"/>
      <c r="C458" s="716"/>
      <c r="F458" s="429"/>
    </row>
    <row r="459">
      <c r="A459" s="716"/>
      <c r="C459" s="716"/>
      <c r="F459" s="429"/>
    </row>
    <row r="460">
      <c r="A460" s="716"/>
      <c r="C460" s="716"/>
      <c r="F460" s="429"/>
    </row>
    <row r="461">
      <c r="A461" s="716"/>
      <c r="C461" s="716"/>
      <c r="F461" s="429"/>
    </row>
    <row r="462">
      <c r="A462" s="716"/>
      <c r="C462" s="716"/>
      <c r="F462" s="429"/>
    </row>
    <row r="463">
      <c r="A463" s="716"/>
      <c r="C463" s="716"/>
      <c r="F463" s="429"/>
    </row>
    <row r="464">
      <c r="A464" s="716"/>
      <c r="C464" s="716"/>
      <c r="F464" s="429"/>
    </row>
    <row r="465">
      <c r="A465" s="716"/>
      <c r="C465" s="716"/>
      <c r="F465" s="429"/>
    </row>
    <row r="466">
      <c r="A466" s="716"/>
      <c r="C466" s="716"/>
      <c r="F466" s="429"/>
    </row>
    <row r="467">
      <c r="A467" s="716"/>
      <c r="C467" s="716"/>
      <c r="F467" s="429"/>
    </row>
    <row r="468">
      <c r="A468" s="716"/>
      <c r="C468" s="716"/>
      <c r="F468" s="429"/>
    </row>
    <row r="469">
      <c r="A469" s="716"/>
      <c r="C469" s="716"/>
      <c r="F469" s="429"/>
    </row>
    <row r="470">
      <c r="A470" s="716"/>
      <c r="C470" s="716"/>
      <c r="F470" s="429"/>
    </row>
    <row r="471">
      <c r="A471" s="716"/>
      <c r="C471" s="716"/>
      <c r="F471" s="429"/>
    </row>
    <row r="472">
      <c r="A472" s="716"/>
      <c r="C472" s="716"/>
      <c r="F472" s="429"/>
    </row>
    <row r="473">
      <c r="A473" s="716"/>
      <c r="C473" s="716"/>
      <c r="F473" s="429"/>
    </row>
    <row r="474">
      <c r="A474" s="716"/>
      <c r="C474" s="716"/>
      <c r="F474" s="429"/>
    </row>
    <row r="475">
      <c r="A475" s="716"/>
      <c r="C475" s="716"/>
      <c r="F475" s="429"/>
    </row>
    <row r="476">
      <c r="A476" s="716"/>
      <c r="C476" s="716"/>
      <c r="F476" s="429"/>
    </row>
    <row r="477">
      <c r="A477" s="716"/>
      <c r="C477" s="716"/>
      <c r="F477" s="429"/>
    </row>
    <row r="478">
      <c r="A478" s="716"/>
      <c r="C478" s="716"/>
      <c r="F478" s="429"/>
    </row>
    <row r="479">
      <c r="A479" s="716"/>
      <c r="C479" s="716"/>
      <c r="F479" s="429"/>
    </row>
    <row r="480">
      <c r="A480" s="716"/>
      <c r="C480" s="716"/>
      <c r="F480" s="429"/>
    </row>
    <row r="481">
      <c r="A481" s="716"/>
      <c r="C481" s="716"/>
      <c r="F481" s="429"/>
    </row>
    <row r="482">
      <c r="A482" s="716"/>
      <c r="C482" s="716"/>
      <c r="F482" s="429"/>
    </row>
    <row r="483">
      <c r="A483" s="716"/>
      <c r="C483" s="716"/>
      <c r="F483" s="429"/>
    </row>
    <row r="484">
      <c r="A484" s="716"/>
      <c r="C484" s="716"/>
      <c r="F484" s="429"/>
    </row>
    <row r="485">
      <c r="A485" s="716"/>
      <c r="C485" s="716"/>
      <c r="F485" s="429"/>
    </row>
    <row r="486">
      <c r="A486" s="716"/>
      <c r="C486" s="716"/>
      <c r="F486" s="429"/>
    </row>
    <row r="487">
      <c r="A487" s="716"/>
      <c r="C487" s="716"/>
      <c r="F487" s="429"/>
    </row>
    <row r="488">
      <c r="A488" s="716"/>
      <c r="C488" s="716"/>
      <c r="F488" s="429"/>
    </row>
    <row r="489">
      <c r="A489" s="716"/>
      <c r="C489" s="716"/>
      <c r="F489" s="429"/>
    </row>
    <row r="490">
      <c r="A490" s="716"/>
      <c r="C490" s="716"/>
      <c r="F490" s="429"/>
    </row>
    <row r="491">
      <c r="A491" s="716"/>
      <c r="C491" s="716"/>
      <c r="F491" s="429"/>
    </row>
    <row r="492">
      <c r="A492" s="716"/>
      <c r="C492" s="716"/>
      <c r="F492" s="429"/>
    </row>
    <row r="493">
      <c r="A493" s="716"/>
      <c r="C493" s="716"/>
      <c r="F493" s="429"/>
    </row>
    <row r="494">
      <c r="A494" s="716"/>
      <c r="C494" s="716"/>
      <c r="F494" s="429"/>
    </row>
    <row r="495">
      <c r="A495" s="716"/>
      <c r="C495" s="716"/>
      <c r="F495" s="429"/>
    </row>
    <row r="496">
      <c r="A496" s="716"/>
      <c r="C496" s="716"/>
      <c r="F496" s="429"/>
    </row>
    <row r="497">
      <c r="A497" s="716"/>
      <c r="C497" s="716"/>
      <c r="F497" s="429"/>
    </row>
    <row r="498">
      <c r="A498" s="716"/>
      <c r="C498" s="716"/>
      <c r="F498" s="429"/>
    </row>
    <row r="499">
      <c r="A499" s="716"/>
      <c r="C499" s="716"/>
      <c r="F499" s="429"/>
    </row>
    <row r="500">
      <c r="A500" s="716"/>
      <c r="C500" s="716"/>
      <c r="F500" s="429"/>
    </row>
    <row r="501">
      <c r="A501" s="716"/>
      <c r="C501" s="716"/>
      <c r="F501" s="429"/>
    </row>
    <row r="502">
      <c r="A502" s="716"/>
      <c r="C502" s="716"/>
      <c r="F502" s="429"/>
    </row>
    <row r="503">
      <c r="A503" s="716"/>
      <c r="C503" s="716"/>
      <c r="F503" s="429"/>
    </row>
    <row r="504">
      <c r="A504" s="716"/>
      <c r="C504" s="716"/>
      <c r="F504" s="429"/>
    </row>
    <row r="505">
      <c r="A505" s="716"/>
      <c r="C505" s="716"/>
      <c r="F505" s="429"/>
    </row>
    <row r="506">
      <c r="A506" s="716"/>
      <c r="C506" s="716"/>
      <c r="F506" s="429"/>
    </row>
    <row r="507">
      <c r="A507" s="716"/>
      <c r="C507" s="716"/>
      <c r="F507" s="429"/>
    </row>
    <row r="508">
      <c r="A508" s="716"/>
      <c r="C508" s="716"/>
      <c r="F508" s="429"/>
    </row>
    <row r="509">
      <c r="A509" s="716"/>
      <c r="C509" s="716"/>
      <c r="F509" s="429"/>
    </row>
    <row r="510">
      <c r="A510" s="716"/>
      <c r="C510" s="716"/>
      <c r="F510" s="429"/>
    </row>
    <row r="511">
      <c r="A511" s="716"/>
      <c r="C511" s="716"/>
      <c r="F511" s="429"/>
    </row>
    <row r="512">
      <c r="A512" s="716"/>
      <c r="C512" s="716"/>
      <c r="F512" s="429"/>
    </row>
    <row r="513">
      <c r="A513" s="716"/>
      <c r="C513" s="716"/>
      <c r="F513" s="429"/>
    </row>
    <row r="514">
      <c r="A514" s="716"/>
      <c r="C514" s="716"/>
      <c r="F514" s="429"/>
    </row>
    <row r="515">
      <c r="A515" s="716"/>
      <c r="C515" s="716"/>
      <c r="F515" s="429"/>
    </row>
    <row r="516">
      <c r="A516" s="716"/>
      <c r="C516" s="716"/>
      <c r="F516" s="429"/>
    </row>
    <row r="517">
      <c r="A517" s="716"/>
      <c r="C517" s="716"/>
      <c r="F517" s="429"/>
    </row>
    <row r="518">
      <c r="A518" s="716"/>
      <c r="C518" s="716"/>
      <c r="F518" s="429"/>
    </row>
    <row r="519">
      <c r="A519" s="716"/>
      <c r="C519" s="716"/>
      <c r="F519" s="429"/>
    </row>
    <row r="520">
      <c r="A520" s="716"/>
      <c r="C520" s="716"/>
      <c r="F520" s="429"/>
    </row>
    <row r="521">
      <c r="A521" s="716"/>
      <c r="C521" s="716"/>
      <c r="F521" s="429"/>
    </row>
    <row r="522">
      <c r="A522" s="716"/>
      <c r="C522" s="716"/>
      <c r="F522" s="429"/>
    </row>
    <row r="523">
      <c r="A523" s="716"/>
      <c r="C523" s="716"/>
      <c r="F523" s="429"/>
    </row>
    <row r="524">
      <c r="A524" s="716"/>
      <c r="C524" s="716"/>
      <c r="F524" s="429"/>
    </row>
    <row r="525">
      <c r="A525" s="716"/>
      <c r="C525" s="716"/>
      <c r="F525" s="429"/>
    </row>
    <row r="526">
      <c r="A526" s="716"/>
      <c r="C526" s="716"/>
      <c r="F526" s="429"/>
    </row>
    <row r="527">
      <c r="A527" s="716"/>
      <c r="C527" s="716"/>
      <c r="F527" s="429"/>
    </row>
    <row r="528">
      <c r="A528" s="716"/>
      <c r="C528" s="716"/>
      <c r="F528" s="429"/>
    </row>
    <row r="529">
      <c r="A529" s="716"/>
      <c r="C529" s="716"/>
      <c r="F529" s="429"/>
    </row>
    <row r="530">
      <c r="A530" s="716"/>
      <c r="C530" s="716"/>
      <c r="F530" s="429"/>
    </row>
    <row r="531">
      <c r="A531" s="716"/>
      <c r="C531" s="716"/>
      <c r="F531" s="429"/>
    </row>
    <row r="532">
      <c r="A532" s="716"/>
      <c r="C532" s="716"/>
      <c r="F532" s="429"/>
    </row>
    <row r="533">
      <c r="A533" s="716"/>
      <c r="C533" s="716"/>
      <c r="F533" s="429"/>
    </row>
    <row r="534">
      <c r="A534" s="716"/>
      <c r="C534" s="716"/>
      <c r="F534" s="429"/>
    </row>
    <row r="535">
      <c r="A535" s="716"/>
      <c r="C535" s="716"/>
      <c r="F535" s="429"/>
    </row>
    <row r="536">
      <c r="A536" s="716"/>
      <c r="C536" s="716"/>
      <c r="F536" s="429"/>
    </row>
    <row r="537">
      <c r="A537" s="716"/>
      <c r="C537" s="716"/>
      <c r="F537" s="429"/>
    </row>
    <row r="538">
      <c r="A538" s="716"/>
      <c r="C538" s="716"/>
      <c r="F538" s="429"/>
    </row>
    <row r="539">
      <c r="A539" s="716"/>
      <c r="C539" s="716"/>
      <c r="F539" s="429"/>
    </row>
    <row r="540">
      <c r="A540" s="716"/>
      <c r="C540" s="716"/>
      <c r="F540" s="429"/>
    </row>
    <row r="541">
      <c r="A541" s="716"/>
      <c r="C541" s="716"/>
      <c r="F541" s="429"/>
    </row>
    <row r="542">
      <c r="A542" s="716"/>
      <c r="C542" s="716"/>
      <c r="F542" s="429"/>
    </row>
    <row r="543">
      <c r="A543" s="716"/>
      <c r="C543" s="716"/>
      <c r="F543" s="429"/>
    </row>
    <row r="544">
      <c r="A544" s="716"/>
      <c r="C544" s="716"/>
      <c r="F544" s="429"/>
    </row>
    <row r="545">
      <c r="A545" s="716"/>
      <c r="C545" s="716"/>
      <c r="F545" s="429"/>
    </row>
    <row r="546">
      <c r="A546" s="716"/>
      <c r="C546" s="716"/>
      <c r="F546" s="429"/>
    </row>
    <row r="547">
      <c r="A547" s="716"/>
      <c r="C547" s="716"/>
      <c r="F547" s="429"/>
    </row>
    <row r="548">
      <c r="A548" s="716"/>
      <c r="C548" s="716"/>
      <c r="F548" s="429"/>
    </row>
    <row r="549">
      <c r="A549" s="716"/>
      <c r="C549" s="716"/>
      <c r="F549" s="429"/>
    </row>
    <row r="550">
      <c r="A550" s="716"/>
      <c r="C550" s="716"/>
      <c r="F550" s="429"/>
    </row>
    <row r="551">
      <c r="A551" s="716"/>
      <c r="C551" s="716"/>
      <c r="F551" s="429"/>
    </row>
    <row r="552">
      <c r="A552" s="716"/>
      <c r="C552" s="716"/>
      <c r="F552" s="429"/>
    </row>
    <row r="553">
      <c r="A553" s="716"/>
      <c r="C553" s="716"/>
      <c r="F553" s="429"/>
    </row>
    <row r="554">
      <c r="A554" s="716"/>
      <c r="C554" s="716"/>
      <c r="F554" s="429"/>
    </row>
    <row r="555">
      <c r="A555" s="716"/>
      <c r="C555" s="716"/>
      <c r="F555" s="429"/>
    </row>
    <row r="556">
      <c r="A556" s="716"/>
      <c r="C556" s="716"/>
      <c r="F556" s="429"/>
    </row>
    <row r="557">
      <c r="A557" s="716"/>
      <c r="C557" s="716"/>
      <c r="F557" s="429"/>
    </row>
    <row r="558">
      <c r="A558" s="716"/>
      <c r="C558" s="716"/>
      <c r="F558" s="429"/>
    </row>
    <row r="559">
      <c r="A559" s="716"/>
      <c r="C559" s="716"/>
      <c r="F559" s="429"/>
    </row>
    <row r="560">
      <c r="A560" s="716"/>
      <c r="C560" s="716"/>
      <c r="F560" s="429"/>
    </row>
    <row r="561">
      <c r="A561" s="716"/>
      <c r="C561" s="716"/>
      <c r="F561" s="429"/>
    </row>
    <row r="562">
      <c r="A562" s="716"/>
      <c r="C562" s="716"/>
      <c r="F562" s="429"/>
    </row>
    <row r="563">
      <c r="A563" s="716"/>
      <c r="C563" s="716"/>
      <c r="F563" s="429"/>
    </row>
    <row r="564">
      <c r="A564" s="716"/>
      <c r="C564" s="716"/>
      <c r="F564" s="429"/>
    </row>
    <row r="565">
      <c r="A565" s="716"/>
      <c r="C565" s="716"/>
      <c r="F565" s="429"/>
    </row>
    <row r="566">
      <c r="A566" s="716"/>
      <c r="C566" s="716"/>
      <c r="F566" s="429"/>
    </row>
    <row r="567">
      <c r="A567" s="716"/>
      <c r="C567" s="716"/>
      <c r="F567" s="429"/>
    </row>
    <row r="568">
      <c r="A568" s="716"/>
      <c r="C568" s="716"/>
      <c r="F568" s="429"/>
    </row>
    <row r="569">
      <c r="A569" s="716"/>
      <c r="C569" s="716"/>
      <c r="F569" s="429"/>
    </row>
    <row r="570">
      <c r="A570" s="716"/>
      <c r="C570" s="716"/>
      <c r="F570" s="429"/>
    </row>
    <row r="571">
      <c r="A571" s="716"/>
      <c r="C571" s="716"/>
      <c r="F571" s="429"/>
    </row>
    <row r="572">
      <c r="A572" s="716"/>
      <c r="C572" s="716"/>
      <c r="F572" s="429"/>
    </row>
    <row r="573">
      <c r="A573" s="716"/>
      <c r="C573" s="716"/>
      <c r="F573" s="429"/>
    </row>
    <row r="574">
      <c r="A574" s="716"/>
      <c r="C574" s="716"/>
      <c r="F574" s="429"/>
    </row>
    <row r="575">
      <c r="A575" s="716"/>
      <c r="C575" s="716"/>
      <c r="F575" s="429"/>
    </row>
    <row r="576">
      <c r="A576" s="716"/>
      <c r="C576" s="716"/>
      <c r="F576" s="429"/>
    </row>
    <row r="577">
      <c r="A577" s="716"/>
      <c r="C577" s="716"/>
      <c r="F577" s="429"/>
    </row>
    <row r="578">
      <c r="A578" s="716"/>
      <c r="C578" s="716"/>
      <c r="F578" s="429"/>
    </row>
    <row r="579">
      <c r="A579" s="716"/>
      <c r="C579" s="716"/>
      <c r="F579" s="429"/>
    </row>
    <row r="580">
      <c r="A580" s="716"/>
      <c r="C580" s="716"/>
      <c r="F580" s="429"/>
    </row>
    <row r="581">
      <c r="A581" s="716"/>
      <c r="C581" s="716"/>
      <c r="F581" s="429"/>
    </row>
    <row r="582">
      <c r="A582" s="716"/>
      <c r="C582" s="716"/>
      <c r="F582" s="429"/>
    </row>
    <row r="583">
      <c r="A583" s="716"/>
      <c r="C583" s="716"/>
      <c r="F583" s="429"/>
    </row>
    <row r="584">
      <c r="A584" s="716"/>
      <c r="C584" s="716"/>
      <c r="F584" s="429"/>
    </row>
    <row r="585">
      <c r="A585" s="716"/>
      <c r="C585" s="716"/>
      <c r="F585" s="429"/>
    </row>
    <row r="586">
      <c r="A586" s="716"/>
      <c r="C586" s="716"/>
      <c r="F586" s="429"/>
    </row>
    <row r="587">
      <c r="A587" s="716"/>
      <c r="C587" s="716"/>
      <c r="F587" s="429"/>
    </row>
    <row r="588">
      <c r="A588" s="716"/>
      <c r="C588" s="716"/>
      <c r="F588" s="429"/>
    </row>
    <row r="589">
      <c r="A589" s="716"/>
      <c r="C589" s="716"/>
      <c r="F589" s="429"/>
    </row>
    <row r="590">
      <c r="A590" s="716"/>
      <c r="C590" s="716"/>
      <c r="F590" s="429"/>
    </row>
    <row r="591">
      <c r="A591" s="716"/>
      <c r="C591" s="716"/>
      <c r="F591" s="429"/>
    </row>
    <row r="592">
      <c r="A592" s="716"/>
      <c r="C592" s="716"/>
      <c r="F592" s="429"/>
    </row>
    <row r="593">
      <c r="A593" s="716"/>
      <c r="C593" s="716"/>
      <c r="F593" s="429"/>
    </row>
    <row r="594">
      <c r="A594" s="716"/>
      <c r="C594" s="716"/>
      <c r="F594" s="429"/>
    </row>
    <row r="595">
      <c r="A595" s="716"/>
      <c r="C595" s="716"/>
      <c r="F595" s="429"/>
    </row>
    <row r="596">
      <c r="A596" s="716"/>
      <c r="C596" s="716"/>
      <c r="F596" s="429"/>
    </row>
    <row r="597">
      <c r="A597" s="716"/>
      <c r="C597" s="716"/>
      <c r="F597" s="429"/>
    </row>
    <row r="598">
      <c r="A598" s="716"/>
      <c r="C598" s="716"/>
      <c r="F598" s="429"/>
    </row>
    <row r="599">
      <c r="A599" s="716"/>
      <c r="C599" s="716"/>
      <c r="F599" s="429"/>
    </row>
    <row r="600">
      <c r="A600" s="716"/>
      <c r="C600" s="716"/>
      <c r="F600" s="429"/>
    </row>
    <row r="601">
      <c r="A601" s="716"/>
      <c r="C601" s="716"/>
      <c r="F601" s="429"/>
    </row>
    <row r="602">
      <c r="A602" s="716"/>
      <c r="C602" s="716"/>
      <c r="F602" s="429"/>
    </row>
    <row r="603">
      <c r="A603" s="716"/>
      <c r="C603" s="716"/>
      <c r="F603" s="429"/>
    </row>
    <row r="604">
      <c r="A604" s="716"/>
      <c r="C604" s="716"/>
      <c r="F604" s="429"/>
    </row>
    <row r="605">
      <c r="A605" s="716"/>
      <c r="C605" s="716"/>
      <c r="F605" s="429"/>
    </row>
    <row r="606">
      <c r="A606" s="716"/>
      <c r="C606" s="716"/>
      <c r="F606" s="429"/>
    </row>
    <row r="607">
      <c r="A607" s="716"/>
      <c r="C607" s="716"/>
      <c r="F607" s="429"/>
    </row>
    <row r="608">
      <c r="A608" s="716"/>
      <c r="C608" s="716"/>
      <c r="F608" s="429"/>
    </row>
    <row r="609">
      <c r="A609" s="716"/>
      <c r="C609" s="716"/>
      <c r="F609" s="429"/>
    </row>
    <row r="610">
      <c r="A610" s="716"/>
      <c r="C610" s="716"/>
      <c r="F610" s="429"/>
    </row>
    <row r="611">
      <c r="A611" s="716"/>
      <c r="C611" s="716"/>
      <c r="F611" s="429"/>
    </row>
    <row r="612">
      <c r="A612" s="716"/>
      <c r="C612" s="716"/>
      <c r="F612" s="429"/>
    </row>
    <row r="613">
      <c r="A613" s="716"/>
      <c r="C613" s="716"/>
      <c r="F613" s="429"/>
    </row>
    <row r="614">
      <c r="A614" s="716"/>
      <c r="C614" s="716"/>
      <c r="F614" s="429"/>
    </row>
    <row r="615">
      <c r="A615" s="716"/>
      <c r="C615" s="716"/>
      <c r="F615" s="429"/>
    </row>
    <row r="616">
      <c r="A616" s="716"/>
      <c r="C616" s="716"/>
      <c r="F616" s="429"/>
    </row>
    <row r="617">
      <c r="A617" s="716"/>
      <c r="C617" s="716"/>
      <c r="F617" s="429"/>
    </row>
    <row r="618">
      <c r="A618" s="716"/>
      <c r="C618" s="716"/>
      <c r="F618" s="429"/>
    </row>
    <row r="619">
      <c r="A619" s="716"/>
      <c r="C619" s="716"/>
      <c r="F619" s="429"/>
    </row>
    <row r="620">
      <c r="A620" s="716"/>
      <c r="C620" s="716"/>
      <c r="F620" s="429"/>
    </row>
    <row r="621">
      <c r="A621" s="716"/>
      <c r="C621" s="716"/>
      <c r="F621" s="429"/>
    </row>
    <row r="622">
      <c r="A622" s="716"/>
      <c r="C622" s="716"/>
      <c r="F622" s="429"/>
    </row>
    <row r="623">
      <c r="A623" s="716"/>
      <c r="C623" s="716"/>
      <c r="F623" s="429"/>
    </row>
    <row r="624">
      <c r="A624" s="716"/>
      <c r="C624" s="716"/>
      <c r="F624" s="429"/>
    </row>
    <row r="625">
      <c r="A625" s="716"/>
      <c r="C625" s="716"/>
      <c r="F625" s="429"/>
    </row>
    <row r="626">
      <c r="A626" s="716"/>
      <c r="C626" s="716"/>
      <c r="F626" s="429"/>
    </row>
    <row r="627">
      <c r="A627" s="716"/>
      <c r="C627" s="716"/>
      <c r="F627" s="429"/>
    </row>
    <row r="628">
      <c r="A628" s="716"/>
      <c r="C628" s="716"/>
      <c r="F628" s="429"/>
    </row>
    <row r="629">
      <c r="A629" s="716"/>
      <c r="C629" s="716"/>
      <c r="F629" s="429"/>
    </row>
    <row r="630">
      <c r="A630" s="716"/>
      <c r="C630" s="716"/>
      <c r="F630" s="429"/>
    </row>
    <row r="631">
      <c r="A631" s="716"/>
      <c r="C631" s="716"/>
      <c r="F631" s="429"/>
    </row>
    <row r="632">
      <c r="A632" s="716"/>
      <c r="C632" s="716"/>
      <c r="F632" s="429"/>
    </row>
    <row r="633">
      <c r="A633" s="716"/>
      <c r="C633" s="716"/>
      <c r="F633" s="429"/>
    </row>
    <row r="634">
      <c r="A634" s="716"/>
      <c r="C634" s="716"/>
      <c r="F634" s="429"/>
    </row>
    <row r="635">
      <c r="A635" s="716"/>
      <c r="C635" s="716"/>
      <c r="F635" s="429"/>
    </row>
    <row r="636">
      <c r="A636" s="716"/>
      <c r="C636" s="716"/>
      <c r="F636" s="429"/>
    </row>
    <row r="637">
      <c r="A637" s="716"/>
      <c r="C637" s="716"/>
      <c r="F637" s="429"/>
    </row>
    <row r="638">
      <c r="A638" s="716"/>
      <c r="C638" s="716"/>
      <c r="F638" s="429"/>
    </row>
    <row r="639">
      <c r="A639" s="716"/>
      <c r="C639" s="716"/>
      <c r="F639" s="429"/>
    </row>
    <row r="640">
      <c r="A640" s="716"/>
      <c r="C640" s="716"/>
      <c r="F640" s="429"/>
    </row>
    <row r="641">
      <c r="A641" s="716"/>
      <c r="C641" s="716"/>
      <c r="F641" s="429"/>
    </row>
    <row r="642">
      <c r="A642" s="716"/>
      <c r="C642" s="716"/>
      <c r="F642" s="429"/>
    </row>
    <row r="643">
      <c r="A643" s="716"/>
      <c r="C643" s="716"/>
      <c r="F643" s="429"/>
    </row>
    <row r="644">
      <c r="A644" s="716"/>
      <c r="C644" s="716"/>
      <c r="F644" s="429"/>
    </row>
    <row r="645">
      <c r="A645" s="716"/>
      <c r="C645" s="716"/>
      <c r="F645" s="429"/>
    </row>
    <row r="646">
      <c r="A646" s="716"/>
      <c r="C646" s="716"/>
      <c r="F646" s="429"/>
    </row>
    <row r="647">
      <c r="A647" s="716"/>
      <c r="C647" s="716"/>
      <c r="F647" s="429"/>
    </row>
    <row r="648">
      <c r="A648" s="716"/>
      <c r="C648" s="716"/>
      <c r="F648" s="429"/>
    </row>
    <row r="649">
      <c r="A649" s="716"/>
      <c r="C649" s="716"/>
      <c r="F649" s="429"/>
    </row>
    <row r="650">
      <c r="A650" s="716"/>
      <c r="C650" s="716"/>
      <c r="F650" s="429"/>
    </row>
    <row r="651">
      <c r="A651" s="716"/>
      <c r="C651" s="716"/>
      <c r="F651" s="429"/>
    </row>
    <row r="652">
      <c r="A652" s="716"/>
      <c r="C652" s="716"/>
      <c r="F652" s="429"/>
    </row>
    <row r="653">
      <c r="A653" s="716"/>
      <c r="C653" s="716"/>
      <c r="F653" s="429"/>
    </row>
    <row r="654">
      <c r="A654" s="716"/>
      <c r="C654" s="716"/>
      <c r="F654" s="429"/>
    </row>
    <row r="655">
      <c r="A655" s="716"/>
      <c r="C655" s="716"/>
      <c r="F655" s="429"/>
    </row>
    <row r="656">
      <c r="A656" s="716"/>
      <c r="C656" s="716"/>
      <c r="F656" s="429"/>
    </row>
    <row r="657">
      <c r="A657" s="716"/>
      <c r="C657" s="716"/>
      <c r="F657" s="429"/>
    </row>
    <row r="658">
      <c r="A658" s="716"/>
      <c r="C658" s="716"/>
      <c r="F658" s="429"/>
    </row>
    <row r="659">
      <c r="A659" s="716"/>
      <c r="C659" s="716"/>
      <c r="F659" s="429"/>
    </row>
    <row r="660">
      <c r="A660" s="716"/>
      <c r="C660" s="716"/>
      <c r="F660" s="429"/>
    </row>
    <row r="661">
      <c r="A661" s="716"/>
      <c r="C661" s="716"/>
      <c r="F661" s="429"/>
    </row>
    <row r="662">
      <c r="A662" s="716"/>
      <c r="C662" s="716"/>
      <c r="F662" s="429"/>
    </row>
    <row r="663">
      <c r="A663" s="716"/>
      <c r="C663" s="716"/>
      <c r="F663" s="429"/>
    </row>
    <row r="664">
      <c r="A664" s="716"/>
      <c r="C664" s="716"/>
      <c r="F664" s="429"/>
    </row>
    <row r="665">
      <c r="A665" s="716"/>
      <c r="C665" s="716"/>
      <c r="F665" s="429"/>
    </row>
    <row r="666">
      <c r="A666" s="716"/>
      <c r="C666" s="716"/>
      <c r="F666" s="429"/>
    </row>
    <row r="667">
      <c r="A667" s="716"/>
      <c r="C667" s="716"/>
      <c r="F667" s="429"/>
    </row>
    <row r="668">
      <c r="A668" s="716"/>
      <c r="C668" s="716"/>
      <c r="F668" s="429"/>
    </row>
    <row r="669">
      <c r="A669" s="716"/>
      <c r="C669" s="716"/>
      <c r="F669" s="429"/>
    </row>
    <row r="670">
      <c r="A670" s="716"/>
      <c r="C670" s="716"/>
      <c r="F670" s="429"/>
    </row>
    <row r="671">
      <c r="A671" s="716"/>
      <c r="C671" s="716"/>
      <c r="F671" s="429"/>
    </row>
    <row r="672">
      <c r="A672" s="716"/>
      <c r="C672" s="716"/>
      <c r="F672" s="429"/>
    </row>
    <row r="673">
      <c r="A673" s="716"/>
      <c r="C673" s="716"/>
      <c r="F673" s="429"/>
    </row>
    <row r="674">
      <c r="A674" s="716"/>
      <c r="C674" s="716"/>
      <c r="F674" s="429"/>
    </row>
    <row r="675">
      <c r="A675" s="716"/>
      <c r="C675" s="716"/>
      <c r="F675" s="429"/>
    </row>
    <row r="676">
      <c r="A676" s="716"/>
      <c r="C676" s="716"/>
      <c r="F676" s="429"/>
    </row>
    <row r="677">
      <c r="A677" s="716"/>
      <c r="C677" s="716"/>
      <c r="F677" s="429"/>
    </row>
    <row r="678">
      <c r="A678" s="716"/>
      <c r="C678" s="716"/>
      <c r="F678" s="429"/>
    </row>
    <row r="679">
      <c r="A679" s="716"/>
      <c r="C679" s="716"/>
      <c r="F679" s="429"/>
    </row>
    <row r="680">
      <c r="A680" s="716"/>
      <c r="C680" s="716"/>
      <c r="F680" s="429"/>
    </row>
    <row r="681">
      <c r="A681" s="716"/>
      <c r="C681" s="716"/>
      <c r="F681" s="429"/>
    </row>
    <row r="682">
      <c r="A682" s="716"/>
      <c r="C682" s="716"/>
      <c r="F682" s="429"/>
    </row>
    <row r="683">
      <c r="A683" s="716"/>
      <c r="C683" s="716"/>
      <c r="F683" s="429"/>
    </row>
    <row r="684">
      <c r="A684" s="716"/>
      <c r="C684" s="716"/>
      <c r="F684" s="429"/>
    </row>
    <row r="685">
      <c r="A685" s="716"/>
      <c r="C685" s="716"/>
      <c r="F685" s="429"/>
    </row>
    <row r="686">
      <c r="A686" s="716"/>
      <c r="C686" s="716"/>
      <c r="F686" s="429"/>
    </row>
    <row r="687">
      <c r="A687" s="716"/>
      <c r="C687" s="716"/>
      <c r="F687" s="429"/>
    </row>
    <row r="688">
      <c r="A688" s="716"/>
      <c r="C688" s="716"/>
      <c r="F688" s="429"/>
    </row>
    <row r="689">
      <c r="A689" s="716"/>
      <c r="C689" s="716"/>
      <c r="F689" s="429"/>
    </row>
    <row r="690">
      <c r="A690" s="716"/>
      <c r="C690" s="716"/>
      <c r="F690" s="429"/>
    </row>
    <row r="691">
      <c r="A691" s="716"/>
      <c r="C691" s="716"/>
      <c r="F691" s="429"/>
    </row>
    <row r="692">
      <c r="A692" s="716"/>
      <c r="C692" s="716"/>
      <c r="F692" s="429"/>
    </row>
    <row r="693">
      <c r="A693" s="716"/>
      <c r="C693" s="716"/>
      <c r="F693" s="429"/>
    </row>
    <row r="694">
      <c r="A694" s="716"/>
      <c r="C694" s="716"/>
      <c r="F694" s="429"/>
    </row>
    <row r="695">
      <c r="A695" s="716"/>
      <c r="C695" s="716"/>
      <c r="F695" s="429"/>
    </row>
    <row r="696">
      <c r="A696" s="716"/>
      <c r="C696" s="716"/>
      <c r="F696" s="429"/>
    </row>
    <row r="697">
      <c r="A697" s="716"/>
      <c r="C697" s="716"/>
      <c r="F697" s="429"/>
    </row>
    <row r="698">
      <c r="A698" s="716"/>
      <c r="C698" s="716"/>
      <c r="F698" s="429"/>
    </row>
    <row r="699">
      <c r="A699" s="716"/>
      <c r="C699" s="716"/>
      <c r="F699" s="429"/>
    </row>
    <row r="700">
      <c r="A700" s="716"/>
      <c r="C700" s="716"/>
      <c r="F700" s="429"/>
    </row>
    <row r="701">
      <c r="A701" s="716"/>
      <c r="C701" s="716"/>
      <c r="F701" s="429"/>
    </row>
    <row r="702">
      <c r="A702" s="716"/>
      <c r="C702" s="716"/>
      <c r="F702" s="429"/>
    </row>
    <row r="703">
      <c r="A703" s="716"/>
      <c r="C703" s="716"/>
      <c r="F703" s="429"/>
    </row>
    <row r="704">
      <c r="A704" s="716"/>
      <c r="C704" s="716"/>
      <c r="F704" s="429"/>
    </row>
    <row r="705">
      <c r="A705" s="716"/>
      <c r="C705" s="716"/>
      <c r="F705" s="429"/>
    </row>
    <row r="706">
      <c r="A706" s="716"/>
      <c r="C706" s="716"/>
      <c r="F706" s="429"/>
    </row>
    <row r="707">
      <c r="A707" s="716"/>
      <c r="C707" s="716"/>
      <c r="F707" s="429"/>
    </row>
    <row r="708">
      <c r="A708" s="716"/>
      <c r="C708" s="716"/>
      <c r="F708" s="429"/>
    </row>
    <row r="709">
      <c r="A709" s="716"/>
      <c r="C709" s="716"/>
      <c r="F709" s="429"/>
    </row>
    <row r="710">
      <c r="A710" s="716"/>
      <c r="C710" s="716"/>
      <c r="F710" s="429"/>
    </row>
    <row r="711">
      <c r="A711" s="716"/>
      <c r="C711" s="716"/>
      <c r="F711" s="429"/>
    </row>
    <row r="712">
      <c r="A712" s="716"/>
      <c r="C712" s="716"/>
      <c r="F712" s="429"/>
    </row>
    <row r="713">
      <c r="A713" s="716"/>
      <c r="C713" s="716"/>
      <c r="F713" s="429"/>
    </row>
    <row r="714">
      <c r="A714" s="716"/>
      <c r="C714" s="716"/>
      <c r="F714" s="429"/>
    </row>
    <row r="715">
      <c r="A715" s="716"/>
      <c r="C715" s="716"/>
      <c r="F715" s="429"/>
    </row>
    <row r="716">
      <c r="A716" s="716"/>
      <c r="C716" s="716"/>
      <c r="F716" s="429"/>
    </row>
    <row r="717">
      <c r="A717" s="716"/>
      <c r="C717" s="716"/>
      <c r="F717" s="429"/>
    </row>
    <row r="718">
      <c r="A718" s="716"/>
      <c r="C718" s="716"/>
      <c r="F718" s="429"/>
    </row>
    <row r="719">
      <c r="A719" s="716"/>
      <c r="C719" s="716"/>
      <c r="F719" s="429"/>
    </row>
    <row r="720">
      <c r="A720" s="716"/>
      <c r="C720" s="716"/>
      <c r="F720" s="429"/>
    </row>
    <row r="721">
      <c r="A721" s="716"/>
      <c r="C721" s="716"/>
      <c r="F721" s="429"/>
    </row>
    <row r="722">
      <c r="A722" s="716"/>
      <c r="C722" s="716"/>
      <c r="F722" s="429"/>
    </row>
    <row r="723">
      <c r="A723" s="716"/>
      <c r="C723" s="716"/>
      <c r="F723" s="429"/>
    </row>
    <row r="724">
      <c r="A724" s="716"/>
      <c r="C724" s="716"/>
      <c r="F724" s="429"/>
    </row>
    <row r="725">
      <c r="A725" s="716"/>
      <c r="C725" s="716"/>
      <c r="F725" s="429"/>
    </row>
    <row r="726">
      <c r="A726" s="716"/>
      <c r="C726" s="716"/>
      <c r="F726" s="429"/>
    </row>
    <row r="727">
      <c r="A727" s="716"/>
      <c r="C727" s="716"/>
      <c r="F727" s="429"/>
    </row>
    <row r="728">
      <c r="A728" s="716"/>
      <c r="C728" s="716"/>
      <c r="F728" s="429"/>
    </row>
    <row r="729">
      <c r="A729" s="716"/>
      <c r="C729" s="716"/>
      <c r="F729" s="429"/>
    </row>
    <row r="730">
      <c r="A730" s="716"/>
      <c r="C730" s="716"/>
      <c r="F730" s="429"/>
    </row>
    <row r="731">
      <c r="A731" s="716"/>
      <c r="C731" s="716"/>
      <c r="F731" s="429"/>
    </row>
    <row r="732">
      <c r="A732" s="716"/>
      <c r="C732" s="716"/>
      <c r="F732" s="429"/>
    </row>
    <row r="733">
      <c r="A733" s="716"/>
      <c r="C733" s="716"/>
      <c r="F733" s="429"/>
    </row>
    <row r="734">
      <c r="A734" s="716"/>
      <c r="C734" s="716"/>
      <c r="F734" s="429"/>
    </row>
    <row r="735">
      <c r="A735" s="716"/>
      <c r="C735" s="716"/>
      <c r="F735" s="429"/>
    </row>
    <row r="736">
      <c r="A736" s="716"/>
      <c r="C736" s="716"/>
      <c r="F736" s="429"/>
    </row>
    <row r="737">
      <c r="A737" s="716"/>
      <c r="C737" s="716"/>
      <c r="F737" s="429"/>
    </row>
    <row r="738">
      <c r="A738" s="716"/>
      <c r="C738" s="716"/>
      <c r="F738" s="429"/>
    </row>
    <row r="739">
      <c r="A739" s="716"/>
      <c r="C739" s="716"/>
      <c r="F739" s="429"/>
    </row>
    <row r="740">
      <c r="A740" s="716"/>
      <c r="C740" s="716"/>
      <c r="F740" s="429"/>
    </row>
    <row r="741">
      <c r="A741" s="716"/>
      <c r="C741" s="716"/>
      <c r="F741" s="429"/>
    </row>
    <row r="742">
      <c r="A742" s="716"/>
      <c r="C742" s="716"/>
      <c r="F742" s="429"/>
    </row>
    <row r="743">
      <c r="A743" s="716"/>
      <c r="C743" s="716"/>
      <c r="F743" s="429"/>
    </row>
    <row r="744">
      <c r="A744" s="716"/>
      <c r="C744" s="716"/>
      <c r="F744" s="429"/>
    </row>
    <row r="745">
      <c r="A745" s="716"/>
      <c r="C745" s="716"/>
      <c r="F745" s="429"/>
    </row>
    <row r="746">
      <c r="A746" s="716"/>
      <c r="C746" s="716"/>
      <c r="F746" s="429"/>
    </row>
    <row r="747">
      <c r="A747" s="716"/>
      <c r="C747" s="716"/>
      <c r="F747" s="429"/>
    </row>
    <row r="748">
      <c r="A748" s="716"/>
      <c r="C748" s="716"/>
      <c r="F748" s="429"/>
    </row>
    <row r="749">
      <c r="A749" s="716"/>
      <c r="C749" s="716"/>
      <c r="F749" s="429"/>
    </row>
    <row r="750">
      <c r="A750" s="716"/>
      <c r="C750" s="716"/>
      <c r="F750" s="429"/>
    </row>
    <row r="751">
      <c r="A751" s="716"/>
      <c r="C751" s="716"/>
      <c r="F751" s="429"/>
    </row>
    <row r="752">
      <c r="A752" s="716"/>
      <c r="C752" s="716"/>
      <c r="F752" s="429"/>
    </row>
    <row r="753">
      <c r="A753" s="716"/>
      <c r="C753" s="716"/>
      <c r="F753" s="429"/>
    </row>
    <row r="754">
      <c r="A754" s="716"/>
      <c r="C754" s="716"/>
      <c r="F754" s="429"/>
    </row>
    <row r="755">
      <c r="A755" s="716"/>
      <c r="C755" s="716"/>
      <c r="F755" s="429"/>
    </row>
    <row r="756">
      <c r="A756" s="716"/>
      <c r="C756" s="716"/>
      <c r="F756" s="429"/>
    </row>
    <row r="757">
      <c r="A757" s="716"/>
      <c r="C757" s="716"/>
      <c r="F757" s="429"/>
    </row>
    <row r="758">
      <c r="A758" s="716"/>
      <c r="C758" s="716"/>
      <c r="F758" s="429"/>
    </row>
    <row r="759">
      <c r="A759" s="716"/>
      <c r="C759" s="716"/>
      <c r="F759" s="429"/>
    </row>
    <row r="760">
      <c r="A760" s="716"/>
      <c r="C760" s="716"/>
      <c r="F760" s="429"/>
    </row>
    <row r="761">
      <c r="A761" s="716"/>
      <c r="C761" s="716"/>
      <c r="F761" s="429"/>
    </row>
    <row r="762">
      <c r="A762" s="716"/>
      <c r="C762" s="716"/>
      <c r="F762" s="429"/>
    </row>
    <row r="763">
      <c r="A763" s="716"/>
      <c r="C763" s="716"/>
      <c r="F763" s="429"/>
    </row>
    <row r="764">
      <c r="A764" s="716"/>
      <c r="C764" s="716"/>
      <c r="F764" s="429"/>
    </row>
    <row r="765">
      <c r="A765" s="716"/>
      <c r="C765" s="716"/>
      <c r="F765" s="429"/>
    </row>
    <row r="766">
      <c r="A766" s="716"/>
      <c r="C766" s="716"/>
      <c r="F766" s="429"/>
    </row>
    <row r="767">
      <c r="A767" s="716"/>
      <c r="C767" s="716"/>
      <c r="F767" s="429"/>
    </row>
    <row r="768">
      <c r="A768" s="716"/>
      <c r="C768" s="716"/>
      <c r="F768" s="429"/>
    </row>
    <row r="769">
      <c r="A769" s="716"/>
      <c r="C769" s="716"/>
      <c r="F769" s="429"/>
    </row>
    <row r="770">
      <c r="A770" s="716"/>
      <c r="C770" s="716"/>
      <c r="F770" s="429"/>
    </row>
    <row r="771">
      <c r="A771" s="716"/>
      <c r="C771" s="716"/>
      <c r="F771" s="429"/>
    </row>
    <row r="772">
      <c r="A772" s="716"/>
      <c r="C772" s="716"/>
      <c r="F772" s="429"/>
    </row>
    <row r="773">
      <c r="A773" s="716"/>
      <c r="C773" s="716"/>
      <c r="F773" s="429"/>
    </row>
    <row r="774">
      <c r="A774" s="716"/>
      <c r="C774" s="716"/>
      <c r="F774" s="429"/>
    </row>
    <row r="775">
      <c r="A775" s="716"/>
      <c r="C775" s="716"/>
      <c r="F775" s="429"/>
    </row>
    <row r="776">
      <c r="A776" s="716"/>
      <c r="C776" s="716"/>
      <c r="F776" s="429"/>
    </row>
    <row r="777">
      <c r="A777" s="716"/>
      <c r="C777" s="716"/>
      <c r="F777" s="429"/>
    </row>
    <row r="778">
      <c r="A778" s="716"/>
      <c r="C778" s="716"/>
      <c r="F778" s="429"/>
    </row>
    <row r="779">
      <c r="A779" s="716"/>
      <c r="C779" s="716"/>
      <c r="F779" s="429"/>
    </row>
    <row r="780">
      <c r="A780" s="716"/>
      <c r="C780" s="716"/>
      <c r="F780" s="429"/>
    </row>
    <row r="781">
      <c r="A781" s="716"/>
      <c r="C781" s="716"/>
      <c r="F781" s="429"/>
    </row>
    <row r="782">
      <c r="A782" s="716"/>
      <c r="C782" s="716"/>
      <c r="F782" s="429"/>
    </row>
    <row r="783">
      <c r="A783" s="716"/>
      <c r="C783" s="716"/>
      <c r="F783" s="429"/>
    </row>
    <row r="784">
      <c r="A784" s="716"/>
      <c r="C784" s="716"/>
      <c r="F784" s="429"/>
    </row>
    <row r="785">
      <c r="A785" s="716"/>
      <c r="C785" s="716"/>
      <c r="F785" s="429"/>
    </row>
    <row r="786">
      <c r="A786" s="716"/>
      <c r="C786" s="716"/>
      <c r="F786" s="429"/>
    </row>
    <row r="787">
      <c r="A787" s="716"/>
      <c r="C787" s="716"/>
      <c r="F787" s="429"/>
    </row>
    <row r="788">
      <c r="A788" s="716"/>
      <c r="C788" s="716"/>
      <c r="F788" s="429"/>
    </row>
    <row r="789">
      <c r="A789" s="716"/>
      <c r="C789" s="716"/>
      <c r="F789" s="429"/>
    </row>
    <row r="790">
      <c r="A790" s="716"/>
      <c r="C790" s="716"/>
      <c r="F790" s="429"/>
    </row>
    <row r="791">
      <c r="A791" s="716"/>
      <c r="C791" s="716"/>
      <c r="F791" s="429"/>
    </row>
    <row r="792">
      <c r="A792" s="716"/>
      <c r="C792" s="716"/>
      <c r="F792" s="429"/>
    </row>
    <row r="793">
      <c r="A793" s="716"/>
      <c r="C793" s="716"/>
      <c r="F793" s="429"/>
    </row>
    <row r="794">
      <c r="A794" s="716"/>
      <c r="C794" s="716"/>
      <c r="F794" s="429"/>
    </row>
    <row r="795">
      <c r="A795" s="716"/>
      <c r="C795" s="716"/>
      <c r="F795" s="429"/>
    </row>
    <row r="796">
      <c r="A796" s="716"/>
      <c r="C796" s="716"/>
      <c r="F796" s="429"/>
    </row>
    <row r="797">
      <c r="A797" s="716"/>
      <c r="C797" s="716"/>
      <c r="F797" s="429"/>
    </row>
    <row r="798">
      <c r="A798" s="716"/>
      <c r="C798" s="716"/>
      <c r="F798" s="429"/>
    </row>
    <row r="799">
      <c r="A799" s="716"/>
      <c r="C799" s="716"/>
      <c r="F799" s="429"/>
    </row>
    <row r="800">
      <c r="A800" s="716"/>
      <c r="C800" s="716"/>
      <c r="F800" s="429"/>
    </row>
    <row r="801">
      <c r="A801" s="716"/>
      <c r="C801" s="716"/>
      <c r="F801" s="429"/>
    </row>
    <row r="802">
      <c r="A802" s="716"/>
      <c r="C802" s="716"/>
      <c r="F802" s="429"/>
    </row>
    <row r="803">
      <c r="A803" s="716"/>
      <c r="C803" s="716"/>
      <c r="F803" s="429"/>
    </row>
    <row r="804">
      <c r="A804" s="716"/>
      <c r="C804" s="716"/>
      <c r="F804" s="429"/>
    </row>
    <row r="805">
      <c r="A805" s="716"/>
      <c r="C805" s="716"/>
      <c r="F805" s="429"/>
    </row>
    <row r="806">
      <c r="A806" s="716"/>
      <c r="C806" s="716"/>
      <c r="F806" s="429"/>
    </row>
    <row r="807">
      <c r="A807" s="716"/>
      <c r="C807" s="716"/>
      <c r="F807" s="429"/>
    </row>
    <row r="808">
      <c r="A808" s="716"/>
      <c r="C808" s="716"/>
      <c r="F808" s="429"/>
    </row>
    <row r="809">
      <c r="A809" s="716"/>
      <c r="C809" s="716"/>
      <c r="F809" s="429"/>
    </row>
    <row r="810">
      <c r="A810" s="716"/>
      <c r="C810" s="716"/>
      <c r="F810" s="429"/>
    </row>
    <row r="811">
      <c r="A811" s="716"/>
      <c r="C811" s="716"/>
      <c r="F811" s="429"/>
    </row>
    <row r="812">
      <c r="A812" s="716"/>
      <c r="C812" s="716"/>
      <c r="F812" s="429"/>
    </row>
    <row r="813">
      <c r="A813" s="716"/>
      <c r="C813" s="716"/>
      <c r="F813" s="429"/>
    </row>
    <row r="814">
      <c r="A814" s="716"/>
      <c r="C814" s="716"/>
      <c r="F814" s="429"/>
    </row>
    <row r="815">
      <c r="A815" s="716"/>
      <c r="C815" s="716"/>
      <c r="F815" s="429"/>
    </row>
    <row r="816">
      <c r="A816" s="716"/>
      <c r="C816" s="716"/>
      <c r="F816" s="429"/>
    </row>
    <row r="817">
      <c r="A817" s="716"/>
      <c r="C817" s="716"/>
      <c r="F817" s="429"/>
    </row>
    <row r="818">
      <c r="A818" s="716"/>
      <c r="C818" s="716"/>
      <c r="F818" s="429"/>
    </row>
    <row r="819">
      <c r="A819" s="716"/>
      <c r="C819" s="716"/>
      <c r="F819" s="429"/>
    </row>
    <row r="820">
      <c r="A820" s="716"/>
      <c r="C820" s="716"/>
      <c r="F820" s="429"/>
    </row>
    <row r="821">
      <c r="A821" s="716"/>
      <c r="C821" s="716"/>
      <c r="F821" s="429"/>
    </row>
    <row r="822">
      <c r="A822" s="716"/>
      <c r="C822" s="716"/>
      <c r="F822" s="429"/>
    </row>
    <row r="823">
      <c r="A823" s="716"/>
      <c r="C823" s="716"/>
      <c r="F823" s="429"/>
    </row>
    <row r="824">
      <c r="A824" s="716"/>
      <c r="C824" s="716"/>
      <c r="F824" s="429"/>
    </row>
    <row r="825">
      <c r="A825" s="716"/>
      <c r="C825" s="716"/>
      <c r="F825" s="429"/>
    </row>
    <row r="826">
      <c r="A826" s="716"/>
      <c r="C826" s="716"/>
      <c r="F826" s="429"/>
    </row>
    <row r="827">
      <c r="A827" s="716"/>
      <c r="C827" s="716"/>
      <c r="F827" s="429"/>
    </row>
    <row r="828">
      <c r="A828" s="716"/>
      <c r="C828" s="716"/>
      <c r="F828" s="429"/>
    </row>
    <row r="829">
      <c r="A829" s="716"/>
      <c r="C829" s="716"/>
      <c r="F829" s="429"/>
    </row>
    <row r="830">
      <c r="A830" s="716"/>
      <c r="C830" s="716"/>
      <c r="F830" s="429"/>
    </row>
    <row r="831">
      <c r="A831" s="716"/>
      <c r="C831" s="716"/>
      <c r="F831" s="429"/>
    </row>
    <row r="832">
      <c r="A832" s="716"/>
      <c r="C832" s="716"/>
      <c r="F832" s="429"/>
    </row>
    <row r="833">
      <c r="A833" s="716"/>
      <c r="C833" s="716"/>
      <c r="F833" s="429"/>
    </row>
    <row r="834">
      <c r="A834" s="716"/>
      <c r="C834" s="716"/>
      <c r="F834" s="429"/>
    </row>
    <row r="835">
      <c r="A835" s="716"/>
      <c r="C835" s="716"/>
      <c r="F835" s="429"/>
    </row>
    <row r="836">
      <c r="A836" s="716"/>
      <c r="C836" s="716"/>
      <c r="F836" s="429"/>
    </row>
    <row r="837">
      <c r="A837" s="716"/>
      <c r="C837" s="716"/>
      <c r="F837" s="429"/>
    </row>
    <row r="838">
      <c r="A838" s="716"/>
      <c r="C838" s="716"/>
      <c r="F838" s="429"/>
    </row>
    <row r="839">
      <c r="A839" s="716"/>
      <c r="C839" s="716"/>
      <c r="F839" s="429"/>
    </row>
    <row r="840">
      <c r="A840" s="716"/>
      <c r="C840" s="716"/>
      <c r="F840" s="429"/>
    </row>
    <row r="841">
      <c r="A841" s="716"/>
      <c r="C841" s="716"/>
      <c r="F841" s="429"/>
    </row>
    <row r="842">
      <c r="A842" s="716"/>
      <c r="C842" s="716"/>
      <c r="F842" s="429"/>
    </row>
    <row r="843">
      <c r="A843" s="716"/>
      <c r="C843" s="716"/>
      <c r="F843" s="429"/>
    </row>
    <row r="844">
      <c r="A844" s="716"/>
      <c r="C844" s="716"/>
      <c r="F844" s="429"/>
    </row>
    <row r="845">
      <c r="A845" s="716"/>
      <c r="C845" s="716"/>
      <c r="F845" s="429"/>
    </row>
    <row r="846">
      <c r="A846" s="716"/>
      <c r="C846" s="716"/>
      <c r="F846" s="429"/>
    </row>
    <row r="847">
      <c r="A847" s="716"/>
      <c r="C847" s="716"/>
      <c r="F847" s="429"/>
    </row>
    <row r="848">
      <c r="A848" s="716"/>
      <c r="C848" s="716"/>
      <c r="F848" s="429"/>
    </row>
    <row r="849">
      <c r="A849" s="716"/>
      <c r="C849" s="716"/>
      <c r="F849" s="429"/>
    </row>
    <row r="850">
      <c r="A850" s="716"/>
      <c r="C850" s="716"/>
      <c r="F850" s="429"/>
    </row>
    <row r="851">
      <c r="A851" s="716"/>
      <c r="C851" s="716"/>
      <c r="F851" s="429"/>
    </row>
    <row r="852">
      <c r="A852" s="716"/>
      <c r="C852" s="716"/>
      <c r="F852" s="429"/>
    </row>
    <row r="853">
      <c r="A853" s="716"/>
      <c r="C853" s="716"/>
      <c r="F853" s="429"/>
    </row>
    <row r="854">
      <c r="A854" s="716"/>
      <c r="C854" s="716"/>
      <c r="F854" s="429"/>
    </row>
    <row r="855">
      <c r="A855" s="716"/>
      <c r="C855" s="716"/>
      <c r="F855" s="429"/>
    </row>
    <row r="856">
      <c r="A856" s="716"/>
      <c r="C856" s="716"/>
      <c r="F856" s="429"/>
    </row>
    <row r="857">
      <c r="A857" s="716"/>
      <c r="C857" s="716"/>
      <c r="F857" s="429"/>
    </row>
    <row r="858">
      <c r="A858" s="716"/>
      <c r="C858" s="716"/>
      <c r="F858" s="429"/>
    </row>
    <row r="859">
      <c r="A859" s="716"/>
      <c r="C859" s="716"/>
      <c r="F859" s="429"/>
    </row>
    <row r="860">
      <c r="A860" s="716"/>
      <c r="C860" s="716"/>
      <c r="F860" s="429"/>
    </row>
    <row r="861">
      <c r="A861" s="716"/>
      <c r="C861" s="716"/>
      <c r="F861" s="429"/>
    </row>
    <row r="862">
      <c r="A862" s="716"/>
      <c r="C862" s="716"/>
      <c r="F862" s="429"/>
    </row>
    <row r="863">
      <c r="A863" s="716"/>
      <c r="C863" s="716"/>
      <c r="F863" s="429"/>
    </row>
    <row r="864">
      <c r="A864" s="716"/>
      <c r="C864" s="716"/>
      <c r="F864" s="429"/>
    </row>
    <row r="865">
      <c r="A865" s="716"/>
      <c r="C865" s="716"/>
      <c r="F865" s="429"/>
    </row>
    <row r="866">
      <c r="A866" s="716"/>
      <c r="C866" s="716"/>
      <c r="F866" s="429"/>
    </row>
    <row r="867">
      <c r="A867" s="716"/>
      <c r="C867" s="716"/>
      <c r="F867" s="429"/>
    </row>
    <row r="868">
      <c r="A868" s="716"/>
      <c r="C868" s="716"/>
      <c r="F868" s="429"/>
    </row>
    <row r="869">
      <c r="A869" s="716"/>
      <c r="C869" s="716"/>
      <c r="F869" s="429"/>
    </row>
    <row r="870">
      <c r="A870" s="716"/>
      <c r="C870" s="716"/>
      <c r="F870" s="429"/>
    </row>
    <row r="871">
      <c r="A871" s="716"/>
      <c r="C871" s="716"/>
      <c r="F871" s="429"/>
    </row>
    <row r="872">
      <c r="A872" s="716"/>
      <c r="C872" s="716"/>
      <c r="F872" s="429"/>
    </row>
    <row r="873">
      <c r="A873" s="716"/>
      <c r="C873" s="716"/>
      <c r="F873" s="429"/>
    </row>
    <row r="874">
      <c r="A874" s="716"/>
      <c r="C874" s="716"/>
      <c r="F874" s="429"/>
    </row>
    <row r="875">
      <c r="A875" s="716"/>
      <c r="C875" s="716"/>
      <c r="F875" s="429"/>
    </row>
    <row r="876">
      <c r="A876" s="716"/>
      <c r="C876" s="716"/>
      <c r="F876" s="429"/>
    </row>
    <row r="877">
      <c r="A877" s="716"/>
      <c r="C877" s="716"/>
      <c r="F877" s="429"/>
    </row>
    <row r="878">
      <c r="A878" s="716"/>
      <c r="C878" s="716"/>
      <c r="F878" s="429"/>
    </row>
    <row r="879">
      <c r="A879" s="716"/>
      <c r="C879" s="716"/>
      <c r="F879" s="429"/>
    </row>
    <row r="880">
      <c r="A880" s="716"/>
      <c r="C880" s="716"/>
      <c r="F880" s="429"/>
    </row>
    <row r="881">
      <c r="A881" s="716"/>
      <c r="C881" s="716"/>
      <c r="F881" s="429"/>
    </row>
    <row r="882">
      <c r="A882" s="716"/>
      <c r="C882" s="716"/>
      <c r="F882" s="429"/>
    </row>
    <row r="883">
      <c r="A883" s="716"/>
      <c r="C883" s="716"/>
      <c r="F883" s="429"/>
    </row>
    <row r="884">
      <c r="A884" s="716"/>
      <c r="C884" s="716"/>
      <c r="F884" s="429"/>
    </row>
    <row r="885">
      <c r="A885" s="716"/>
      <c r="C885" s="716"/>
      <c r="F885" s="429"/>
    </row>
    <row r="886">
      <c r="A886" s="716"/>
      <c r="C886" s="716"/>
      <c r="F886" s="429"/>
    </row>
    <row r="887">
      <c r="A887" s="716"/>
      <c r="C887" s="716"/>
      <c r="F887" s="429"/>
    </row>
    <row r="888">
      <c r="A888" s="716"/>
      <c r="C888" s="716"/>
      <c r="F888" s="429"/>
    </row>
    <row r="889">
      <c r="A889" s="716"/>
      <c r="C889" s="716"/>
      <c r="F889" s="429"/>
    </row>
    <row r="890">
      <c r="A890" s="716"/>
      <c r="C890" s="716"/>
      <c r="F890" s="429"/>
    </row>
    <row r="891">
      <c r="A891" s="716"/>
      <c r="C891" s="716"/>
      <c r="F891" s="429"/>
    </row>
    <row r="892">
      <c r="A892" s="716"/>
      <c r="C892" s="716"/>
      <c r="F892" s="429"/>
    </row>
    <row r="893">
      <c r="A893" s="716"/>
      <c r="C893" s="716"/>
      <c r="F893" s="429"/>
    </row>
    <row r="894">
      <c r="A894" s="716"/>
      <c r="C894" s="716"/>
      <c r="F894" s="429"/>
    </row>
    <row r="895">
      <c r="A895" s="716"/>
      <c r="C895" s="716"/>
      <c r="F895" s="429"/>
    </row>
    <row r="896">
      <c r="A896" s="716"/>
      <c r="C896" s="716"/>
      <c r="F896" s="429"/>
    </row>
    <row r="897">
      <c r="A897" s="716"/>
      <c r="C897" s="716"/>
      <c r="F897" s="429"/>
    </row>
    <row r="898">
      <c r="A898" s="716"/>
      <c r="C898" s="716"/>
      <c r="F898" s="429"/>
    </row>
    <row r="899">
      <c r="A899" s="716"/>
      <c r="C899" s="716"/>
      <c r="F899" s="429"/>
    </row>
    <row r="900">
      <c r="A900" s="716"/>
      <c r="C900" s="716"/>
      <c r="F900" s="429"/>
    </row>
    <row r="901">
      <c r="A901" s="716"/>
      <c r="C901" s="716"/>
      <c r="F901" s="429"/>
    </row>
    <row r="902">
      <c r="A902" s="716"/>
      <c r="C902" s="716"/>
      <c r="F902" s="429"/>
    </row>
    <row r="903">
      <c r="A903" s="716"/>
      <c r="C903" s="716"/>
      <c r="F903" s="429"/>
    </row>
    <row r="904">
      <c r="A904" s="716"/>
      <c r="C904" s="716"/>
      <c r="F904" s="429"/>
    </row>
    <row r="905">
      <c r="A905" s="716"/>
      <c r="C905" s="716"/>
      <c r="F905" s="429"/>
    </row>
    <row r="906">
      <c r="A906" s="716"/>
      <c r="C906" s="716"/>
      <c r="F906" s="429"/>
    </row>
    <row r="907">
      <c r="A907" s="716"/>
      <c r="C907" s="716"/>
      <c r="F907" s="429"/>
    </row>
    <row r="908">
      <c r="A908" s="716"/>
      <c r="C908" s="716"/>
      <c r="F908" s="429"/>
    </row>
    <row r="909">
      <c r="A909" s="716"/>
      <c r="C909" s="716"/>
      <c r="F909" s="429"/>
    </row>
    <row r="910">
      <c r="A910" s="716"/>
      <c r="C910" s="716"/>
      <c r="F910" s="429"/>
    </row>
    <row r="911">
      <c r="A911" s="716"/>
      <c r="C911" s="716"/>
      <c r="F911" s="429"/>
    </row>
    <row r="912">
      <c r="A912" s="716"/>
      <c r="C912" s="716"/>
      <c r="F912" s="429"/>
    </row>
    <row r="913">
      <c r="A913" s="716"/>
      <c r="C913" s="716"/>
      <c r="F913" s="429"/>
    </row>
    <row r="914">
      <c r="A914" s="716"/>
      <c r="C914" s="716"/>
      <c r="F914" s="429"/>
    </row>
    <row r="915">
      <c r="A915" s="716"/>
      <c r="C915" s="716"/>
      <c r="F915" s="429"/>
    </row>
    <row r="916">
      <c r="A916" s="716"/>
      <c r="C916" s="716"/>
      <c r="F916" s="429"/>
    </row>
    <row r="917">
      <c r="A917" s="716"/>
      <c r="C917" s="716"/>
      <c r="F917" s="429"/>
    </row>
    <row r="918">
      <c r="A918" s="716"/>
      <c r="C918" s="716"/>
      <c r="F918" s="429"/>
    </row>
    <row r="919">
      <c r="A919" s="716"/>
      <c r="C919" s="716"/>
      <c r="F919" s="429"/>
    </row>
    <row r="920">
      <c r="A920" s="716"/>
      <c r="C920" s="716"/>
      <c r="F920" s="429"/>
    </row>
    <row r="921">
      <c r="A921" s="716"/>
      <c r="C921" s="716"/>
      <c r="F921" s="429"/>
    </row>
    <row r="922">
      <c r="A922" s="716"/>
      <c r="C922" s="716"/>
      <c r="F922" s="429"/>
    </row>
    <row r="923">
      <c r="A923" s="716"/>
      <c r="C923" s="716"/>
      <c r="F923" s="429"/>
    </row>
    <row r="924">
      <c r="A924" s="716"/>
      <c r="C924" s="716"/>
      <c r="F924" s="429"/>
    </row>
    <row r="925">
      <c r="A925" s="716"/>
      <c r="C925" s="716"/>
      <c r="F925" s="429"/>
    </row>
    <row r="926">
      <c r="A926" s="716"/>
      <c r="C926" s="716"/>
      <c r="F926" s="429"/>
    </row>
    <row r="927">
      <c r="A927" s="716"/>
      <c r="C927" s="716"/>
      <c r="F927" s="429"/>
    </row>
    <row r="928">
      <c r="A928" s="716"/>
      <c r="C928" s="716"/>
      <c r="F928" s="429"/>
    </row>
    <row r="929">
      <c r="A929" s="716"/>
      <c r="C929" s="716"/>
      <c r="F929" s="429"/>
    </row>
    <row r="930">
      <c r="A930" s="716"/>
      <c r="C930" s="716"/>
      <c r="F930" s="429"/>
    </row>
    <row r="931">
      <c r="A931" s="716"/>
      <c r="C931" s="716"/>
      <c r="F931" s="429"/>
    </row>
    <row r="932">
      <c r="A932" s="716"/>
      <c r="C932" s="716"/>
      <c r="F932" s="429"/>
    </row>
    <row r="933">
      <c r="A933" s="716"/>
      <c r="C933" s="716"/>
      <c r="F933" s="429"/>
    </row>
    <row r="934">
      <c r="A934" s="716"/>
      <c r="C934" s="716"/>
      <c r="F934" s="429"/>
    </row>
    <row r="935">
      <c r="A935" s="716"/>
      <c r="C935" s="716"/>
      <c r="F935" s="429"/>
    </row>
    <row r="936">
      <c r="A936" s="716"/>
      <c r="C936" s="716"/>
      <c r="F936" s="429"/>
    </row>
    <row r="937">
      <c r="A937" s="716"/>
      <c r="C937" s="716"/>
      <c r="F937" s="429"/>
    </row>
    <row r="938">
      <c r="A938" s="716"/>
      <c r="C938" s="716"/>
      <c r="F938" s="429"/>
    </row>
    <row r="939">
      <c r="A939" s="716"/>
      <c r="C939" s="716"/>
      <c r="F939" s="429"/>
    </row>
    <row r="940">
      <c r="A940" s="716"/>
      <c r="C940" s="716"/>
      <c r="F940" s="429"/>
    </row>
    <row r="941">
      <c r="A941" s="716"/>
      <c r="C941" s="716"/>
      <c r="F941" s="429"/>
    </row>
    <row r="942">
      <c r="A942" s="716"/>
      <c r="C942" s="716"/>
      <c r="F942" s="429"/>
    </row>
    <row r="943">
      <c r="A943" s="716"/>
      <c r="C943" s="716"/>
      <c r="F943" s="429"/>
    </row>
    <row r="944">
      <c r="A944" s="716"/>
      <c r="C944" s="716"/>
      <c r="F944" s="429"/>
    </row>
    <row r="945">
      <c r="A945" s="716"/>
      <c r="C945" s="716"/>
      <c r="F945" s="429"/>
    </row>
    <row r="946">
      <c r="A946" s="716"/>
      <c r="C946" s="716"/>
      <c r="F946" s="429"/>
    </row>
    <row r="947">
      <c r="A947" s="716"/>
      <c r="C947" s="716"/>
      <c r="F947" s="429"/>
    </row>
    <row r="948">
      <c r="A948" s="716"/>
      <c r="C948" s="716"/>
      <c r="F948" s="429"/>
    </row>
    <row r="949">
      <c r="A949" s="716"/>
      <c r="C949" s="716"/>
      <c r="F949" s="429"/>
    </row>
    <row r="950">
      <c r="A950" s="716"/>
      <c r="C950" s="716"/>
      <c r="F950" s="429"/>
    </row>
    <row r="951">
      <c r="A951" s="716"/>
      <c r="C951" s="716"/>
      <c r="F951" s="429"/>
    </row>
    <row r="952">
      <c r="A952" s="716"/>
      <c r="C952" s="716"/>
      <c r="F952" s="429"/>
    </row>
    <row r="953">
      <c r="A953" s="716"/>
      <c r="C953" s="716"/>
      <c r="F953" s="429"/>
    </row>
    <row r="954">
      <c r="A954" s="716"/>
      <c r="C954" s="716"/>
      <c r="F954" s="429"/>
    </row>
    <row r="955">
      <c r="A955" s="716"/>
      <c r="C955" s="716"/>
      <c r="F955" s="429"/>
    </row>
    <row r="956">
      <c r="A956" s="716"/>
      <c r="C956" s="716"/>
      <c r="F956" s="429"/>
    </row>
    <row r="957">
      <c r="A957" s="716"/>
      <c r="C957" s="716"/>
      <c r="F957" s="429"/>
    </row>
    <row r="958">
      <c r="A958" s="716"/>
      <c r="C958" s="716"/>
      <c r="F958" s="429"/>
    </row>
    <row r="959">
      <c r="A959" s="716"/>
      <c r="C959" s="716"/>
      <c r="F959" s="429"/>
    </row>
    <row r="960">
      <c r="A960" s="716"/>
      <c r="C960" s="716"/>
      <c r="F960" s="429"/>
    </row>
    <row r="961">
      <c r="A961" s="716"/>
      <c r="C961" s="716"/>
      <c r="F961" s="429"/>
    </row>
    <row r="962">
      <c r="A962" s="716"/>
      <c r="C962" s="716"/>
      <c r="F962" s="429"/>
    </row>
    <row r="963">
      <c r="A963" s="716"/>
      <c r="C963" s="716"/>
      <c r="F963" s="429"/>
    </row>
    <row r="964">
      <c r="A964" s="716"/>
      <c r="C964" s="716"/>
      <c r="F964" s="429"/>
    </row>
    <row r="965">
      <c r="A965" s="716"/>
      <c r="C965" s="716"/>
      <c r="F965" s="429"/>
    </row>
    <row r="966">
      <c r="A966" s="716"/>
      <c r="C966" s="716"/>
      <c r="F966" s="429"/>
    </row>
    <row r="967">
      <c r="A967" s="716"/>
      <c r="C967" s="716"/>
      <c r="F967" s="429"/>
    </row>
    <row r="968">
      <c r="A968" s="716"/>
      <c r="C968" s="716"/>
      <c r="F968" s="429"/>
    </row>
    <row r="969">
      <c r="A969" s="716"/>
      <c r="C969" s="716"/>
      <c r="F969" s="429"/>
    </row>
    <row r="970">
      <c r="A970" s="716"/>
      <c r="C970" s="716"/>
      <c r="F970" s="429"/>
    </row>
    <row r="971">
      <c r="A971" s="716"/>
      <c r="C971" s="716"/>
      <c r="F971" s="429"/>
    </row>
    <row r="972">
      <c r="A972" s="716"/>
      <c r="C972" s="716"/>
      <c r="F972" s="429"/>
    </row>
    <row r="973">
      <c r="A973" s="716"/>
      <c r="C973" s="716"/>
      <c r="F973" s="429"/>
    </row>
    <row r="974">
      <c r="A974" s="716"/>
      <c r="C974" s="716"/>
      <c r="F974" s="429"/>
    </row>
    <row r="975">
      <c r="A975" s="716"/>
      <c r="C975" s="716"/>
      <c r="F975" s="429"/>
    </row>
    <row r="976">
      <c r="A976" s="716"/>
      <c r="C976" s="716"/>
      <c r="F976" s="429"/>
    </row>
    <row r="977">
      <c r="A977" s="716"/>
      <c r="C977" s="716"/>
      <c r="F977" s="429"/>
    </row>
    <row r="978">
      <c r="A978" s="716"/>
      <c r="C978" s="716"/>
      <c r="F978" s="429"/>
    </row>
    <row r="979">
      <c r="A979" s="716"/>
      <c r="C979" s="716"/>
      <c r="F979" s="429"/>
    </row>
    <row r="980">
      <c r="A980" s="716"/>
      <c r="C980" s="716"/>
      <c r="F980" s="429"/>
    </row>
    <row r="981">
      <c r="A981" s="716"/>
      <c r="C981" s="716"/>
      <c r="F981" s="429"/>
    </row>
    <row r="982">
      <c r="A982" s="716"/>
      <c r="C982" s="716"/>
      <c r="F982" s="429"/>
    </row>
    <row r="983">
      <c r="A983" s="716"/>
      <c r="C983" s="716"/>
      <c r="F983" s="429"/>
    </row>
    <row r="984">
      <c r="A984" s="716"/>
      <c r="C984" s="716"/>
      <c r="F984" s="429"/>
    </row>
    <row r="985">
      <c r="A985" s="716"/>
      <c r="C985" s="716"/>
      <c r="F985" s="429"/>
    </row>
    <row r="986">
      <c r="A986" s="716"/>
      <c r="C986" s="716"/>
      <c r="F986" s="429"/>
    </row>
    <row r="987">
      <c r="A987" s="716"/>
      <c r="C987" s="716"/>
      <c r="F987" s="429"/>
    </row>
    <row r="988">
      <c r="A988" s="716"/>
      <c r="C988" s="716"/>
      <c r="F988" s="429"/>
    </row>
    <row r="989">
      <c r="A989" s="716"/>
      <c r="C989" s="716"/>
      <c r="F989" s="429"/>
    </row>
    <row r="990">
      <c r="A990" s="716"/>
      <c r="C990" s="716"/>
      <c r="F990" s="429"/>
    </row>
    <row r="991">
      <c r="A991" s="716"/>
      <c r="C991" s="716"/>
      <c r="F991" s="429"/>
    </row>
    <row r="992">
      <c r="A992" s="716"/>
      <c r="C992" s="716"/>
      <c r="F992" s="429"/>
    </row>
    <row r="993">
      <c r="A993" s="716"/>
      <c r="C993" s="716"/>
      <c r="F993" s="429"/>
    </row>
    <row r="994">
      <c r="A994" s="716"/>
      <c r="C994" s="716"/>
      <c r="F994" s="429"/>
    </row>
    <row r="995">
      <c r="A995" s="716"/>
      <c r="C995" s="716"/>
      <c r="F995" s="429"/>
    </row>
    <row r="996">
      <c r="A996" s="716"/>
      <c r="C996" s="716"/>
      <c r="F996" s="429"/>
    </row>
    <row r="997">
      <c r="A997" s="716"/>
      <c r="C997" s="716"/>
      <c r="F997" s="429"/>
    </row>
    <row r="998">
      <c r="A998" s="716"/>
      <c r="C998" s="716"/>
      <c r="F998" s="429"/>
    </row>
    <row r="999">
      <c r="A999" s="716"/>
      <c r="C999" s="716"/>
      <c r="F999" s="429"/>
    </row>
    <row r="1000">
      <c r="A1000" s="716"/>
      <c r="C1000" s="716"/>
      <c r="F1000" s="429"/>
    </row>
  </sheetData>
  <mergeCells count="4">
    <mergeCell ref="B2:J2"/>
    <mergeCell ref="K2:O2"/>
    <mergeCell ref="B3:J3"/>
    <mergeCell ref="K3:O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</cols>
  <sheetData>
    <row r="2">
      <c r="B2" s="196" t="s">
        <v>237</v>
      </c>
      <c r="C2" s="196" t="s">
        <v>2072</v>
      </c>
      <c r="D2" s="196" t="s">
        <v>2073</v>
      </c>
      <c r="E2" s="196" t="s">
        <v>2074</v>
      </c>
      <c r="F2" s="196" t="s">
        <v>2075</v>
      </c>
      <c r="G2" s="196" t="s">
        <v>2076</v>
      </c>
      <c r="H2" s="196" t="s">
        <v>2077</v>
      </c>
      <c r="I2" s="196" t="s">
        <v>2078</v>
      </c>
    </row>
    <row r="3">
      <c r="B3" s="196" t="s">
        <v>2079</v>
      </c>
      <c r="C3" s="196">
        <v>49.0</v>
      </c>
      <c r="D3" s="196">
        <v>2.0</v>
      </c>
      <c r="E3" s="196">
        <f t="shared" ref="E3:E5" si="1">C3+D3</f>
        <v>51</v>
      </c>
      <c r="F3" s="196">
        <v>22.0</v>
      </c>
      <c r="G3" s="196">
        <v>30.0</v>
      </c>
      <c r="H3" s="102">
        <f t="shared" ref="H3:H5" si="2">F3+G3</f>
        <v>52</v>
      </c>
      <c r="I3" s="102">
        <f t="shared" ref="I3:I5" si="3">E3-H3</f>
        <v>-1</v>
      </c>
    </row>
    <row r="4">
      <c r="B4" s="196" t="s">
        <v>2080</v>
      </c>
      <c r="C4" s="196">
        <v>39.0</v>
      </c>
      <c r="D4" s="196">
        <v>4.0</v>
      </c>
      <c r="E4" s="196">
        <f t="shared" si="1"/>
        <v>43</v>
      </c>
      <c r="F4" s="196">
        <v>22.0</v>
      </c>
      <c r="G4" s="196">
        <v>21.0</v>
      </c>
      <c r="H4" s="102">
        <f t="shared" si="2"/>
        <v>43</v>
      </c>
      <c r="I4" s="102">
        <f t="shared" si="3"/>
        <v>0</v>
      </c>
    </row>
    <row r="5">
      <c r="B5" s="196" t="s">
        <v>2081</v>
      </c>
      <c r="C5" s="196">
        <v>6.0</v>
      </c>
      <c r="D5" s="196">
        <v>0.0</v>
      </c>
      <c r="E5" s="196">
        <f t="shared" si="1"/>
        <v>6</v>
      </c>
      <c r="F5" s="237">
        <v>0.0</v>
      </c>
      <c r="G5" s="196">
        <v>17.0</v>
      </c>
      <c r="H5" s="102">
        <f t="shared" si="2"/>
        <v>17</v>
      </c>
      <c r="I5" s="102">
        <f t="shared" si="3"/>
        <v>-11</v>
      </c>
    </row>
  </sheetData>
  <drawing r:id="rId1"/>
</worksheet>
</file>